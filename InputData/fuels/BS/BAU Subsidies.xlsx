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microsoft.com/office/2011/relationships/webextensiontaskpanes" Target="xl/webextensions/taskpanes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energyinnovation-my.sharepoint.com/personal/maryfrancis_energyinnovation_org/Documents/South Korea/4.0.5/"/>
    </mc:Choice>
  </mc:AlternateContent>
  <xr:revisionPtr revIDLastSave="8" documentId="13_ncr:1_{7DD1891E-F299-4DF1-82E4-6FBF79169CA0}" xr6:coauthVersionLast="47" xr6:coauthVersionMax="47" xr10:uidLastSave="{19A3A858-74F0-4588-BA2A-E68D49D84986}"/>
  <bookViews>
    <workbookView xWindow="-38520" yWindow="-4770" windowWidth="38640" windowHeight="21120" tabRatio="862" firstSheet="9" activeTab="20" xr2:uid="{00000000-000D-0000-FFFF-FFFF00000000}"/>
  </bookViews>
  <sheets>
    <sheet name="Claude Log" sheetId="23" r:id="rId1"/>
    <sheet name="About" sheetId="1" r:id="rId2"/>
    <sheet name="에너지원별 발전량" sheetId="2" r:id="rId3"/>
    <sheet name="발전사별 설비용량" sheetId="3" r:id="rId4"/>
    <sheet name="Subsidies Paid" sheetId="4" r:id="rId5"/>
    <sheet name="LCOE" sheetId="5" r:id="rId6"/>
    <sheet name="Cal-CAPEX (정리)" sheetId="22" r:id="rId7"/>
    <sheet name="Sheet1" sheetId="7" state="hidden" r:id="rId8"/>
    <sheet name="BSpUECB_세액공제액" sheetId="8" r:id="rId9"/>
    <sheet name="BS-BSfTFpEUP" sheetId="9" r:id="rId10"/>
    <sheet name="BS-BSfTFpEUP-transportation" sheetId="10" r:id="rId11"/>
    <sheet name="BS-BSfTFpEUP-electricity" sheetId="11" r:id="rId12"/>
    <sheet name="BS-BSfTFpEUP-res-bldgs" sheetId="12" r:id="rId13"/>
    <sheet name="BS-BSfTFpEUP-com-bldgs" sheetId="13" r:id="rId14"/>
    <sheet name="BS-BSfTFpEUP-industry" sheetId="14" r:id="rId15"/>
    <sheet name="BS-BSfTFpEUP-dist-heat-hydgn" sheetId="15" r:id="rId16"/>
    <sheet name="BS-BSfTFpEUP-geoeng" sheetId="16" r:id="rId17"/>
    <sheet name="BS-BSpUEO" sheetId="20" r:id="rId18"/>
    <sheet name="BS-BSpUEOfEP" sheetId="17" r:id="rId19"/>
    <sheet name="BS-BSpUECB" sheetId="18" r:id="rId20"/>
    <sheet name="BS-DoSpUEO" sheetId="19" r:id="rId21"/>
  </sheets>
  <externalReferences>
    <externalReference r:id="rId22"/>
  </externalReferences>
  <definedNames>
    <definedName name="dollars_2018_to_2012">About!$A$122</definedName>
    <definedName name="dollars_2020_2012" localSheetId="8">About!#REF!</definedName>
    <definedName name="dollars_2020_2012">About!#REF!</definedName>
    <definedName name="dollars_2021_2012">About!$A$118</definedName>
    <definedName name="dollars_2022_2012">#REF!</definedName>
    <definedName name="lignite_multiplier">'[1]Hard Coal and Lig Multipliers'!$N$15</definedName>
    <definedName name="nonlignite_multiplier">'[1]Hard Coal and Lig Multipliers'!$N$16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5" roundtripDataChecksum="2Lw0N/Pz+hfw2UoOL3T0Q8tfBHeDNMkLVSbb4LG7+o8="/>
    </ext>
  </extLst>
</workbook>
</file>

<file path=xl/calcChain.xml><?xml version="1.0" encoding="utf-8"?>
<calcChain xmlns="http://schemas.openxmlformats.org/spreadsheetml/2006/main">
  <c r="B14" i="17" l="1"/>
  <c r="E18" i="4" a="1"/>
  <c r="E18" i="4" s="1"/>
  <c r="C29" i="8"/>
  <c r="D29" i="8"/>
  <c r="E29" i="8"/>
  <c r="F29" i="8"/>
  <c r="G29" i="8"/>
  <c r="H29" i="8"/>
  <c r="I29" i="8"/>
  <c r="J29" i="8"/>
  <c r="K29" i="8"/>
  <c r="L29" i="8"/>
  <c r="M29" i="8"/>
  <c r="N29" i="8"/>
  <c r="O29" i="8"/>
  <c r="P29" i="8"/>
  <c r="Q29" i="8"/>
  <c r="R29" i="8"/>
  <c r="S29" i="8"/>
  <c r="T29" i="8"/>
  <c r="U29" i="8"/>
  <c r="V29" i="8"/>
  <c r="W29" i="8"/>
  <c r="X29" i="8"/>
  <c r="Y29" i="8"/>
  <c r="Z29" i="8"/>
  <c r="AA29" i="8"/>
  <c r="AB29" i="8"/>
  <c r="AC29" i="8"/>
  <c r="AD29" i="8"/>
  <c r="AE29" i="8"/>
  <c r="AF29" i="8"/>
  <c r="C30" i="8"/>
  <c r="D30" i="8"/>
  <c r="E30" i="8"/>
  <c r="F30" i="8"/>
  <c r="G30" i="8"/>
  <c r="H30" i="8"/>
  <c r="I30" i="8"/>
  <c r="J30" i="8"/>
  <c r="K30" i="8"/>
  <c r="L30" i="8"/>
  <c r="C31" i="8"/>
  <c r="D31" i="8"/>
  <c r="E31" i="8"/>
  <c r="F31" i="8"/>
  <c r="G31" i="8"/>
  <c r="H31" i="8"/>
  <c r="I31" i="8"/>
  <c r="J31" i="8"/>
  <c r="K31" i="8"/>
  <c r="L31" i="8"/>
  <c r="C32" i="8"/>
  <c r="D32" i="8"/>
  <c r="E32" i="8"/>
  <c r="F32" i="8"/>
  <c r="G32" i="8"/>
  <c r="H32" i="8"/>
  <c r="I32" i="8"/>
  <c r="J32" i="8"/>
  <c r="K32" i="8"/>
  <c r="L32" i="8"/>
  <c r="M32" i="8"/>
  <c r="N32" i="8"/>
  <c r="O32" i="8"/>
  <c r="P32" i="8"/>
  <c r="Q32" i="8"/>
  <c r="R32" i="8"/>
  <c r="S32" i="8"/>
  <c r="T32" i="8"/>
  <c r="U32" i="8"/>
  <c r="V32" i="8"/>
  <c r="W32" i="8"/>
  <c r="X32" i="8"/>
  <c r="Y32" i="8"/>
  <c r="Z32" i="8"/>
  <c r="AA32" i="8"/>
  <c r="AB32" i="8"/>
  <c r="AC32" i="8"/>
  <c r="AD32" i="8"/>
  <c r="AE32" i="8"/>
  <c r="AF32" i="8"/>
  <c r="C33" i="8"/>
  <c r="D33" i="8"/>
  <c r="E33" i="8"/>
  <c r="F33" i="8"/>
  <c r="G33" i="8"/>
  <c r="H33" i="8"/>
  <c r="I33" i="8"/>
  <c r="J33" i="8"/>
  <c r="K33" i="8"/>
  <c r="L33" i="8"/>
  <c r="M33" i="8"/>
  <c r="N33" i="8"/>
  <c r="O33" i="8"/>
  <c r="P33" i="8"/>
  <c r="Q33" i="8"/>
  <c r="R33" i="8"/>
  <c r="S33" i="8"/>
  <c r="T33" i="8"/>
  <c r="U33" i="8"/>
  <c r="V33" i="8"/>
  <c r="W33" i="8"/>
  <c r="X33" i="8"/>
  <c r="Y33" i="8"/>
  <c r="Z33" i="8"/>
  <c r="AA33" i="8"/>
  <c r="AB33" i="8"/>
  <c r="AC33" i="8"/>
  <c r="AD33" i="8"/>
  <c r="AE33" i="8"/>
  <c r="AF33" i="8"/>
  <c r="C34" i="8"/>
  <c r="D34" i="8"/>
  <c r="E34" i="8"/>
  <c r="F34" i="8"/>
  <c r="G34" i="8"/>
  <c r="H34" i="8"/>
  <c r="I34" i="8"/>
  <c r="J34" i="8"/>
  <c r="K34" i="8"/>
  <c r="L34" i="8"/>
  <c r="M34" i="8"/>
  <c r="N34" i="8"/>
  <c r="O34" i="8"/>
  <c r="P34" i="8"/>
  <c r="Q34" i="8"/>
  <c r="R34" i="8"/>
  <c r="S34" i="8"/>
  <c r="T34" i="8"/>
  <c r="U34" i="8"/>
  <c r="V34" i="8"/>
  <c r="W34" i="8"/>
  <c r="X34" i="8"/>
  <c r="Y34" i="8"/>
  <c r="Z34" i="8"/>
  <c r="AA34" i="8"/>
  <c r="AB34" i="8"/>
  <c r="AC34" i="8"/>
  <c r="AD34" i="8"/>
  <c r="AE34" i="8"/>
  <c r="AF34" i="8"/>
  <c r="C35" i="8"/>
  <c r="D35" i="8"/>
  <c r="E35" i="8"/>
  <c r="F35" i="8"/>
  <c r="G35" i="8"/>
  <c r="H35" i="8"/>
  <c r="I35" i="8"/>
  <c r="J35" i="8"/>
  <c r="K35" i="8"/>
  <c r="L35" i="8"/>
  <c r="M35" i="8"/>
  <c r="N35" i="8"/>
  <c r="O35" i="8"/>
  <c r="P35" i="8"/>
  <c r="Q35" i="8"/>
  <c r="R35" i="8"/>
  <c r="S35" i="8"/>
  <c r="T35" i="8"/>
  <c r="U35" i="8"/>
  <c r="V35" i="8"/>
  <c r="W35" i="8"/>
  <c r="X35" i="8"/>
  <c r="Y35" i="8"/>
  <c r="Z35" i="8"/>
  <c r="AA35" i="8"/>
  <c r="AB35" i="8"/>
  <c r="AC35" i="8"/>
  <c r="AD35" i="8"/>
  <c r="AE35" i="8"/>
  <c r="AF35" i="8"/>
  <c r="C36" i="8"/>
  <c r="D36" i="8"/>
  <c r="E36" i="8"/>
  <c r="F36" i="8"/>
  <c r="G36" i="8"/>
  <c r="H36" i="8"/>
  <c r="I36" i="8"/>
  <c r="J36" i="8"/>
  <c r="K36" i="8"/>
  <c r="L36" i="8"/>
  <c r="M36" i="8"/>
  <c r="N36" i="8"/>
  <c r="O36" i="8"/>
  <c r="P36" i="8"/>
  <c r="Q36" i="8"/>
  <c r="R36" i="8"/>
  <c r="S36" i="8"/>
  <c r="T36" i="8"/>
  <c r="U36" i="8"/>
  <c r="V36" i="8"/>
  <c r="W36" i="8"/>
  <c r="X36" i="8"/>
  <c r="Y36" i="8"/>
  <c r="Z36" i="8"/>
  <c r="AA36" i="8"/>
  <c r="AB36" i="8"/>
  <c r="AC36" i="8"/>
  <c r="AD36" i="8"/>
  <c r="AE36" i="8"/>
  <c r="AF36" i="8"/>
  <c r="C37" i="8"/>
  <c r="D37" i="8"/>
  <c r="E37" i="8"/>
  <c r="F37" i="8"/>
  <c r="G37" i="8"/>
  <c r="H37" i="8"/>
  <c r="I37" i="8"/>
  <c r="J37" i="8"/>
  <c r="K37" i="8"/>
  <c r="L37" i="8"/>
  <c r="M37" i="8"/>
  <c r="N37" i="8"/>
  <c r="O37" i="8"/>
  <c r="P37" i="8"/>
  <c r="Q37" i="8"/>
  <c r="R37" i="8"/>
  <c r="S37" i="8"/>
  <c r="T37" i="8"/>
  <c r="U37" i="8"/>
  <c r="V37" i="8"/>
  <c r="W37" i="8"/>
  <c r="X37" i="8"/>
  <c r="Y37" i="8"/>
  <c r="Z37" i="8"/>
  <c r="AA37" i="8"/>
  <c r="AB37" i="8"/>
  <c r="AC37" i="8"/>
  <c r="AD37" i="8"/>
  <c r="AE37" i="8"/>
  <c r="AF37" i="8"/>
  <c r="B30" i="8"/>
  <c r="B31" i="8"/>
  <c r="B32" i="8"/>
  <c r="B33" i="8"/>
  <c r="B34" i="8"/>
  <c r="B35" i="8"/>
  <c r="B36" i="8"/>
  <c r="B37" i="8"/>
  <c r="B29" i="8"/>
  <c r="C5" i="8"/>
  <c r="D5" i="8"/>
  <c r="E5" i="8"/>
  <c r="F5" i="8"/>
  <c r="G5" i="8"/>
  <c r="H5" i="8"/>
  <c r="I5" i="8"/>
  <c r="J5" i="8"/>
  <c r="K5" i="8"/>
  <c r="L5" i="8"/>
  <c r="M5" i="8"/>
  <c r="N5" i="8"/>
  <c r="O5" i="8"/>
  <c r="P5" i="8"/>
  <c r="Q5" i="8"/>
  <c r="R5" i="8"/>
  <c r="S5" i="8"/>
  <c r="T5" i="8"/>
  <c r="U5" i="8"/>
  <c r="V5" i="8"/>
  <c r="W5" i="8"/>
  <c r="X5" i="8"/>
  <c r="Y5" i="8"/>
  <c r="Z5" i="8"/>
  <c r="AA5" i="8"/>
  <c r="AB5" i="8"/>
  <c r="AC5" i="8"/>
  <c r="AD5" i="8"/>
  <c r="AE5" i="8"/>
  <c r="AF5" i="8"/>
  <c r="C6" i="8"/>
  <c r="D6" i="8"/>
  <c r="E6" i="8"/>
  <c r="F6" i="8"/>
  <c r="G6" i="8"/>
  <c r="H6" i="8"/>
  <c r="I6" i="8"/>
  <c r="J6" i="8"/>
  <c r="K6" i="8"/>
  <c r="L6" i="8"/>
  <c r="C7" i="8"/>
  <c r="D7" i="8"/>
  <c r="E7" i="8"/>
  <c r="F7" i="8"/>
  <c r="G7" i="8"/>
  <c r="H7" i="8"/>
  <c r="I7" i="8"/>
  <c r="J7" i="8"/>
  <c r="K7" i="8"/>
  <c r="L7" i="8"/>
  <c r="C8" i="8"/>
  <c r="D8" i="8"/>
  <c r="E8" i="8"/>
  <c r="F8" i="8"/>
  <c r="G8" i="8"/>
  <c r="H8" i="8"/>
  <c r="I8" i="8"/>
  <c r="J8" i="8"/>
  <c r="K8" i="8"/>
  <c r="L8" i="8"/>
  <c r="M8" i="8"/>
  <c r="N8" i="8"/>
  <c r="O8" i="8"/>
  <c r="P8" i="8"/>
  <c r="Q8" i="8"/>
  <c r="R8" i="8"/>
  <c r="S8" i="8"/>
  <c r="T8" i="8"/>
  <c r="U8" i="8"/>
  <c r="V8" i="8"/>
  <c r="W8" i="8"/>
  <c r="X8" i="8"/>
  <c r="Y8" i="8"/>
  <c r="Z8" i="8"/>
  <c r="AA8" i="8"/>
  <c r="AB8" i="8"/>
  <c r="AC8" i="8"/>
  <c r="AD8" i="8"/>
  <c r="AE8" i="8"/>
  <c r="AF8" i="8"/>
  <c r="C9" i="8"/>
  <c r="D9" i="8"/>
  <c r="E9" i="8"/>
  <c r="F9" i="8"/>
  <c r="G9" i="8"/>
  <c r="H9" i="8"/>
  <c r="I9" i="8"/>
  <c r="J9" i="8"/>
  <c r="K9" i="8"/>
  <c r="L9" i="8"/>
  <c r="M9" i="8"/>
  <c r="N9" i="8"/>
  <c r="O9" i="8"/>
  <c r="P9" i="8"/>
  <c r="Q9" i="8"/>
  <c r="R9" i="8"/>
  <c r="S9" i="8"/>
  <c r="T9" i="8"/>
  <c r="U9" i="8"/>
  <c r="V9" i="8"/>
  <c r="W9" i="8"/>
  <c r="X9" i="8"/>
  <c r="Y9" i="8"/>
  <c r="Z9" i="8"/>
  <c r="AA9" i="8"/>
  <c r="AB9" i="8"/>
  <c r="AC9" i="8"/>
  <c r="AD9" i="8"/>
  <c r="AE9" i="8"/>
  <c r="AF9" i="8"/>
  <c r="C10" i="8"/>
  <c r="D10" i="8"/>
  <c r="E10" i="8"/>
  <c r="F10" i="8"/>
  <c r="G10" i="8"/>
  <c r="H10" i="8"/>
  <c r="I10" i="8"/>
  <c r="J10" i="8"/>
  <c r="K10" i="8"/>
  <c r="L10" i="8"/>
  <c r="M10" i="8"/>
  <c r="N10" i="8"/>
  <c r="O10" i="8"/>
  <c r="P10" i="8"/>
  <c r="Q10" i="8"/>
  <c r="R10" i="8"/>
  <c r="S10" i="8"/>
  <c r="T10" i="8"/>
  <c r="U10" i="8"/>
  <c r="V10" i="8"/>
  <c r="W10" i="8"/>
  <c r="X10" i="8"/>
  <c r="Y10" i="8"/>
  <c r="Z10" i="8"/>
  <c r="AA10" i="8"/>
  <c r="AB10" i="8"/>
  <c r="AC10" i="8"/>
  <c r="AD10" i="8"/>
  <c r="AE10" i="8"/>
  <c r="AF10" i="8"/>
  <c r="C11" i="8"/>
  <c r="D11" i="8"/>
  <c r="E11" i="8"/>
  <c r="F11" i="8"/>
  <c r="G11" i="8"/>
  <c r="H11" i="8"/>
  <c r="I11" i="8"/>
  <c r="J11" i="8"/>
  <c r="K11" i="8"/>
  <c r="L11" i="8"/>
  <c r="M11" i="8"/>
  <c r="N11" i="8"/>
  <c r="O11" i="8"/>
  <c r="P11" i="8"/>
  <c r="Q11" i="8"/>
  <c r="R11" i="8"/>
  <c r="S11" i="8"/>
  <c r="T11" i="8"/>
  <c r="U11" i="8"/>
  <c r="V11" i="8"/>
  <c r="W11" i="8"/>
  <c r="X11" i="8"/>
  <c r="Y11" i="8"/>
  <c r="Z11" i="8"/>
  <c r="AA11" i="8"/>
  <c r="AB11" i="8"/>
  <c r="AC11" i="8"/>
  <c r="AD11" i="8"/>
  <c r="AE11" i="8"/>
  <c r="AF11" i="8"/>
  <c r="C12" i="8"/>
  <c r="D12" i="8"/>
  <c r="E12" i="8"/>
  <c r="F12" i="8"/>
  <c r="G12" i="8"/>
  <c r="H12" i="8"/>
  <c r="I12" i="8"/>
  <c r="J12" i="8"/>
  <c r="K12" i="8"/>
  <c r="L12" i="8"/>
  <c r="M12" i="8"/>
  <c r="N12" i="8"/>
  <c r="O12" i="8"/>
  <c r="P12" i="8"/>
  <c r="Q12" i="8"/>
  <c r="R12" i="8"/>
  <c r="S12" i="8"/>
  <c r="T12" i="8"/>
  <c r="U12" i="8"/>
  <c r="V12" i="8"/>
  <c r="W12" i="8"/>
  <c r="X12" i="8"/>
  <c r="Y12" i="8"/>
  <c r="Z12" i="8"/>
  <c r="AA12" i="8"/>
  <c r="AB12" i="8"/>
  <c r="AC12" i="8"/>
  <c r="AD12" i="8"/>
  <c r="AE12" i="8"/>
  <c r="AF12" i="8"/>
  <c r="C13" i="8"/>
  <c r="D13" i="8"/>
  <c r="E13" i="8"/>
  <c r="F13" i="8"/>
  <c r="G13" i="8"/>
  <c r="H13" i="8"/>
  <c r="I13" i="8"/>
  <c r="J13" i="8"/>
  <c r="K13" i="8"/>
  <c r="L13" i="8"/>
  <c r="M13" i="8"/>
  <c r="N13" i="8"/>
  <c r="O13" i="8"/>
  <c r="P13" i="8"/>
  <c r="Q13" i="8"/>
  <c r="R13" i="8"/>
  <c r="S13" i="8"/>
  <c r="T13" i="8"/>
  <c r="U13" i="8"/>
  <c r="V13" i="8"/>
  <c r="W13" i="8"/>
  <c r="X13" i="8"/>
  <c r="Y13" i="8"/>
  <c r="Z13" i="8"/>
  <c r="AA13" i="8"/>
  <c r="AB13" i="8"/>
  <c r="AC13" i="8"/>
  <c r="AD13" i="8"/>
  <c r="AE13" i="8"/>
  <c r="AF13" i="8"/>
  <c r="B6" i="8"/>
  <c r="B7" i="8"/>
  <c r="B8" i="8"/>
  <c r="B9" i="8"/>
  <c r="B10" i="8"/>
  <c r="B11" i="8"/>
  <c r="B12" i="8"/>
  <c r="B13" i="8"/>
  <c r="B5" i="8"/>
  <c r="B73" i="22"/>
  <c r="C73" i="22" s="1"/>
  <c r="D73" i="22" s="1"/>
  <c r="E73" i="22" s="1"/>
  <c r="F73" i="22" s="1"/>
  <c r="G73" i="22" s="1"/>
  <c r="H73" i="22" s="1"/>
  <c r="I73" i="22" s="1"/>
  <c r="J73" i="22" s="1"/>
  <c r="K73" i="22" s="1"/>
  <c r="L73" i="22" s="1"/>
  <c r="M73" i="22" s="1"/>
  <c r="N73" i="22" s="1"/>
  <c r="O73" i="22" s="1"/>
  <c r="P73" i="22" s="1"/>
  <c r="Q73" i="22" s="1"/>
  <c r="R73" i="22" s="1"/>
  <c r="S73" i="22" s="1"/>
  <c r="T73" i="22" s="1"/>
  <c r="U73" i="22" s="1"/>
  <c r="V73" i="22" s="1"/>
  <c r="W73" i="22" s="1"/>
  <c r="X73" i="22" s="1"/>
  <c r="Y73" i="22" s="1"/>
  <c r="Z73" i="22" s="1"/>
  <c r="AA73" i="22" s="1"/>
  <c r="AB73" i="22" s="1"/>
  <c r="AC73" i="22" s="1"/>
  <c r="AD73" i="22" s="1"/>
  <c r="AE73" i="22" s="1"/>
  <c r="AF73" i="22" s="1"/>
  <c r="B72" i="22"/>
  <c r="C72" i="22" s="1"/>
  <c r="D72" i="22" s="1"/>
  <c r="E72" i="22" s="1"/>
  <c r="F72" i="22" s="1"/>
  <c r="G72" i="22" s="1"/>
  <c r="H72" i="22" s="1"/>
  <c r="I72" i="22" s="1"/>
  <c r="J72" i="22" s="1"/>
  <c r="K72" i="22" s="1"/>
  <c r="L72" i="22" s="1"/>
  <c r="M72" i="22" s="1"/>
  <c r="N72" i="22" s="1"/>
  <c r="O72" i="22" s="1"/>
  <c r="P72" i="22" s="1"/>
  <c r="Q72" i="22" s="1"/>
  <c r="R72" i="22" s="1"/>
  <c r="S72" i="22" s="1"/>
  <c r="T72" i="22" s="1"/>
  <c r="U72" i="22" s="1"/>
  <c r="V72" i="22" s="1"/>
  <c r="W72" i="22" s="1"/>
  <c r="X72" i="22" s="1"/>
  <c r="Y72" i="22" s="1"/>
  <c r="Z72" i="22" s="1"/>
  <c r="AA72" i="22" s="1"/>
  <c r="AB72" i="22" s="1"/>
  <c r="AC72" i="22" s="1"/>
  <c r="AD72" i="22" s="1"/>
  <c r="AE72" i="22" s="1"/>
  <c r="AF72" i="22" s="1"/>
  <c r="D19" i="22"/>
  <c r="D20" i="22"/>
  <c r="D18" i="22"/>
  <c r="G70" i="22"/>
  <c r="J40" i="22"/>
  <c r="K40" i="22"/>
  <c r="L40" i="22"/>
  <c r="M40" i="22"/>
  <c r="K39" i="22"/>
  <c r="L39" i="22"/>
  <c r="J69" i="22" s="1"/>
  <c r="M39" i="22"/>
  <c r="K69" i="22" s="1"/>
  <c r="J39" i="22"/>
  <c r="H69" i="22" s="1"/>
  <c r="F40" i="22"/>
  <c r="D70" i="22" s="1"/>
  <c r="G40" i="22"/>
  <c r="E70" i="22" s="1"/>
  <c r="H40" i="22"/>
  <c r="F70" i="22" s="1"/>
  <c r="E40" i="22"/>
  <c r="C70" i="22" s="1"/>
  <c r="F39" i="22"/>
  <c r="G39" i="22"/>
  <c r="H39" i="22"/>
  <c r="E39" i="22"/>
  <c r="B67" i="22"/>
  <c r="I70" i="22" s="1"/>
  <c r="H70" i="22" l="1"/>
  <c r="G20" i="22"/>
  <c r="B69" i="22"/>
  <c r="L69" i="22"/>
  <c r="C69" i="22"/>
  <c r="F69" i="22"/>
  <c r="E69" i="22"/>
  <c r="D69" i="22"/>
  <c r="G69" i="22"/>
  <c r="I69" i="22"/>
  <c r="K70" i="22"/>
  <c r="G19" i="22"/>
  <c r="J70" i="22"/>
  <c r="G18" i="22"/>
  <c r="B70" i="22"/>
  <c r="L70" i="22"/>
  <c r="AE17" i="20"/>
  <c r="AD17" i="20"/>
  <c r="AC17" i="20"/>
  <c r="AB17" i="20"/>
  <c r="AA17" i="20"/>
  <c r="Z17" i="20"/>
  <c r="Y17" i="20"/>
  <c r="X17" i="20"/>
  <c r="W17" i="20"/>
  <c r="V17" i="20"/>
  <c r="U17" i="20"/>
  <c r="T17" i="20"/>
  <c r="S17" i="20"/>
  <c r="R17" i="20"/>
  <c r="Q17" i="20"/>
  <c r="P17" i="20"/>
  <c r="O17" i="20"/>
  <c r="N17" i="20"/>
  <c r="M17" i="20"/>
  <c r="L17" i="20"/>
  <c r="K17" i="20"/>
  <c r="J17" i="20"/>
  <c r="I17" i="20"/>
  <c r="H17" i="20"/>
  <c r="G17" i="20"/>
  <c r="F17" i="20"/>
  <c r="E17" i="20"/>
  <c r="D17" i="20"/>
  <c r="C17" i="20"/>
  <c r="B17" i="20"/>
  <c r="AE16" i="20"/>
  <c r="AD16" i="20"/>
  <c r="AC16" i="20"/>
  <c r="AB16" i="20"/>
  <c r="AA16" i="20"/>
  <c r="Z16" i="20"/>
  <c r="Y16" i="20"/>
  <c r="X16" i="20"/>
  <c r="W16" i="20"/>
  <c r="V16" i="20"/>
  <c r="U16" i="20"/>
  <c r="T16" i="20"/>
  <c r="S16" i="20"/>
  <c r="R16" i="20"/>
  <c r="Q16" i="20"/>
  <c r="P16" i="20"/>
  <c r="O16" i="20"/>
  <c r="N16" i="20"/>
  <c r="M16" i="20"/>
  <c r="L16" i="20"/>
  <c r="K16" i="20"/>
  <c r="J16" i="20"/>
  <c r="I16" i="20"/>
  <c r="H16" i="20"/>
  <c r="G16" i="20"/>
  <c r="F16" i="20"/>
  <c r="E16" i="20"/>
  <c r="D16" i="20"/>
  <c r="C16" i="20"/>
  <c r="B16" i="20"/>
  <c r="AE17" i="17"/>
  <c r="AD17" i="17"/>
  <c r="AC17" i="17"/>
  <c r="AB17" i="17"/>
  <c r="AA17" i="17"/>
  <c r="Z17" i="17"/>
  <c r="Y17" i="17"/>
  <c r="X17" i="17"/>
  <c r="W17" i="17"/>
  <c r="V17" i="17"/>
  <c r="U17" i="17"/>
  <c r="T17" i="17"/>
  <c r="S17" i="17"/>
  <c r="R17" i="17"/>
  <c r="Q17" i="17"/>
  <c r="P17" i="17"/>
  <c r="O17" i="17"/>
  <c r="N17" i="17"/>
  <c r="M17" i="17"/>
  <c r="L17" i="17"/>
  <c r="K17" i="17"/>
  <c r="J17" i="17"/>
  <c r="I17" i="17"/>
  <c r="H17" i="17"/>
  <c r="G17" i="17"/>
  <c r="F17" i="17"/>
  <c r="E17" i="17"/>
  <c r="D17" i="17"/>
  <c r="C17" i="17"/>
  <c r="B17" i="17"/>
  <c r="AE16" i="17"/>
  <c r="AD16" i="17"/>
  <c r="AC16" i="17"/>
  <c r="AB16" i="17"/>
  <c r="AA16" i="17"/>
  <c r="Z16" i="17"/>
  <c r="Y16" i="17"/>
  <c r="X16" i="17"/>
  <c r="W16" i="17"/>
  <c r="V16" i="17"/>
  <c r="U16" i="17"/>
  <c r="T16" i="17"/>
  <c r="S16" i="17"/>
  <c r="R16" i="17"/>
  <c r="Q16" i="17"/>
  <c r="P16" i="17"/>
  <c r="O16" i="17"/>
  <c r="N16" i="17"/>
  <c r="M16" i="17"/>
  <c r="L16" i="17"/>
  <c r="K16" i="17"/>
  <c r="J16" i="17"/>
  <c r="I16" i="17"/>
  <c r="H16" i="17"/>
  <c r="G16" i="17"/>
  <c r="F16" i="17"/>
  <c r="E16" i="17"/>
  <c r="D16" i="17"/>
  <c r="C16" i="17"/>
  <c r="B16" i="17"/>
  <c r="X62" i="8"/>
  <c r="Y62" i="8" s="1"/>
  <c r="Z62" i="8" s="1"/>
  <c r="AA62" i="8" s="1"/>
  <c r="AB62" i="8" s="1"/>
  <c r="AC62" i="8" s="1"/>
  <c r="AD62" i="8" s="1"/>
  <c r="AE62" i="8" s="1"/>
  <c r="AF62" i="8" s="1"/>
  <c r="W62" i="8"/>
  <c r="V62" i="8"/>
  <c r="U62" i="8"/>
  <c r="T62" i="8"/>
  <c r="S62" i="8"/>
  <c r="R62" i="8"/>
  <c r="Q62" i="8"/>
  <c r="P62" i="8"/>
  <c r="O62" i="8"/>
  <c r="N62" i="8"/>
  <c r="M62" i="8"/>
  <c r="L62" i="8"/>
  <c r="K62" i="8"/>
  <c r="J62" i="8"/>
  <c r="I62" i="8"/>
  <c r="H62" i="8"/>
  <c r="G62" i="8"/>
  <c r="F62" i="8"/>
  <c r="E62" i="8"/>
  <c r="D62" i="8"/>
  <c r="C62" i="8"/>
  <c r="B62" i="8"/>
  <c r="W58" i="8"/>
  <c r="X58" i="8" s="1"/>
  <c r="Y58" i="8" s="1"/>
  <c r="Z58" i="8" s="1"/>
  <c r="AA58" i="8" s="1"/>
  <c r="AB58" i="8" s="1"/>
  <c r="AC58" i="8" s="1"/>
  <c r="AD58" i="8" s="1"/>
  <c r="AE58" i="8" s="1"/>
  <c r="AF58" i="8" s="1"/>
  <c r="V58" i="8"/>
  <c r="U58" i="8"/>
  <c r="T58" i="8"/>
  <c r="S58" i="8"/>
  <c r="R58" i="8"/>
  <c r="Q58" i="8"/>
  <c r="P58" i="8"/>
  <c r="O58" i="8"/>
  <c r="N58" i="8"/>
  <c r="M58" i="8"/>
  <c r="L58" i="8"/>
  <c r="K58" i="8"/>
  <c r="J58" i="8"/>
  <c r="I58" i="8"/>
  <c r="H58" i="8"/>
  <c r="G58" i="8"/>
  <c r="F58" i="8"/>
  <c r="E58" i="8"/>
  <c r="D58" i="8"/>
  <c r="C58" i="8"/>
  <c r="B58" i="8"/>
  <c r="W57" i="8"/>
  <c r="X57" i="8" s="1"/>
  <c r="Y57" i="8" s="1"/>
  <c r="Z57" i="8" s="1"/>
  <c r="AA57" i="8" s="1"/>
  <c r="AB57" i="8" s="1"/>
  <c r="AC57" i="8" s="1"/>
  <c r="AD57" i="8" s="1"/>
  <c r="AE57" i="8" s="1"/>
  <c r="AF57" i="8" s="1"/>
  <c r="V57" i="8"/>
  <c r="U57" i="8"/>
  <c r="T57" i="8"/>
  <c r="S57" i="8"/>
  <c r="R57" i="8"/>
  <c r="Q57" i="8"/>
  <c r="P57" i="8"/>
  <c r="O57" i="8"/>
  <c r="N57" i="8"/>
  <c r="M57" i="8"/>
  <c r="L57" i="8"/>
  <c r="K57" i="8"/>
  <c r="J57" i="8"/>
  <c r="I57" i="8"/>
  <c r="H57" i="8"/>
  <c r="G57" i="8"/>
  <c r="F57" i="8"/>
  <c r="E57" i="8"/>
  <c r="D57" i="8"/>
  <c r="C57" i="8"/>
  <c r="B57" i="8"/>
  <c r="W56" i="8"/>
  <c r="X56" i="8" s="1"/>
  <c r="Y56" i="8" s="1"/>
  <c r="Z56" i="8" s="1"/>
  <c r="AA56" i="8" s="1"/>
  <c r="AB56" i="8" s="1"/>
  <c r="AC56" i="8" s="1"/>
  <c r="AD56" i="8" s="1"/>
  <c r="AE56" i="8" s="1"/>
  <c r="AF56" i="8" s="1"/>
  <c r="V56" i="8"/>
  <c r="U56" i="8"/>
  <c r="T56" i="8"/>
  <c r="S56" i="8"/>
  <c r="R56" i="8"/>
  <c r="Q56" i="8"/>
  <c r="P56" i="8"/>
  <c r="O56" i="8"/>
  <c r="N56" i="8"/>
  <c r="M56" i="8"/>
  <c r="L56" i="8"/>
  <c r="K56" i="8"/>
  <c r="J56" i="8"/>
  <c r="I56" i="8"/>
  <c r="H56" i="8"/>
  <c r="G56" i="8"/>
  <c r="F56" i="8"/>
  <c r="E56" i="8"/>
  <c r="D56" i="8"/>
  <c r="C56" i="8"/>
  <c r="B56" i="8"/>
  <c r="W55" i="8"/>
  <c r="X55" i="8" s="1"/>
  <c r="Y55" i="8" s="1"/>
  <c r="Z55" i="8" s="1"/>
  <c r="AA55" i="8" s="1"/>
  <c r="AB55" i="8" s="1"/>
  <c r="AC55" i="8" s="1"/>
  <c r="AD55" i="8" s="1"/>
  <c r="AE55" i="8" s="1"/>
  <c r="AF55" i="8" s="1"/>
  <c r="V55" i="8"/>
  <c r="U55" i="8"/>
  <c r="T55" i="8"/>
  <c r="S55" i="8"/>
  <c r="R55" i="8"/>
  <c r="Q55" i="8"/>
  <c r="P55" i="8"/>
  <c r="O55" i="8"/>
  <c r="N55" i="8"/>
  <c r="M55" i="8"/>
  <c r="L55" i="8"/>
  <c r="K55" i="8"/>
  <c r="J55" i="8"/>
  <c r="I55" i="8"/>
  <c r="H55" i="8"/>
  <c r="G55" i="8"/>
  <c r="F55" i="8"/>
  <c r="E55" i="8"/>
  <c r="D55" i="8"/>
  <c r="C55" i="8"/>
  <c r="B55" i="8"/>
  <c r="W49" i="8"/>
  <c r="X49" i="8" s="1"/>
  <c r="Y49" i="8" s="1"/>
  <c r="Z49" i="8" s="1"/>
  <c r="AA49" i="8" s="1"/>
  <c r="AB49" i="8" s="1"/>
  <c r="AC49" i="8" s="1"/>
  <c r="AD49" i="8" s="1"/>
  <c r="AE49" i="8" s="1"/>
  <c r="AF49" i="8" s="1"/>
  <c r="V49" i="8"/>
  <c r="U49" i="8"/>
  <c r="T49" i="8"/>
  <c r="S49" i="8"/>
  <c r="R49" i="8"/>
  <c r="Q49" i="8"/>
  <c r="P49" i="8"/>
  <c r="O49" i="8"/>
  <c r="N49" i="8"/>
  <c r="M49" i="8"/>
  <c r="L49" i="8"/>
  <c r="K49" i="8"/>
  <c r="J49" i="8"/>
  <c r="I49" i="8"/>
  <c r="H49" i="8"/>
  <c r="G49" i="8"/>
  <c r="F49" i="8"/>
  <c r="E49" i="8"/>
  <c r="D49" i="8"/>
  <c r="C49" i="8"/>
  <c r="B49" i="8"/>
  <c r="W48" i="8"/>
  <c r="X48" i="8" s="1"/>
  <c r="Y48" i="8" s="1"/>
  <c r="Z48" i="8" s="1"/>
  <c r="AA48" i="8" s="1"/>
  <c r="AB48" i="8" s="1"/>
  <c r="AC48" i="8" s="1"/>
  <c r="AD48" i="8" s="1"/>
  <c r="AE48" i="8" s="1"/>
  <c r="AF48" i="8" s="1"/>
  <c r="V48" i="8"/>
  <c r="U48" i="8"/>
  <c r="T48" i="8"/>
  <c r="S48" i="8"/>
  <c r="R48" i="8"/>
  <c r="Q48" i="8"/>
  <c r="P48" i="8"/>
  <c r="O48" i="8"/>
  <c r="N48" i="8"/>
  <c r="M48" i="8"/>
  <c r="L48" i="8"/>
  <c r="K48" i="8"/>
  <c r="J48" i="8"/>
  <c r="I48" i="8"/>
  <c r="H48" i="8"/>
  <c r="G48" i="8"/>
  <c r="F48" i="8"/>
  <c r="E48" i="8"/>
  <c r="D48" i="8"/>
  <c r="C48" i="8"/>
  <c r="B48" i="8"/>
  <c r="W47" i="8"/>
  <c r="X47" i="8" s="1"/>
  <c r="Y47" i="8" s="1"/>
  <c r="Z47" i="8" s="1"/>
  <c r="AA47" i="8" s="1"/>
  <c r="AB47" i="8" s="1"/>
  <c r="AC47" i="8" s="1"/>
  <c r="AD47" i="8" s="1"/>
  <c r="AE47" i="8" s="1"/>
  <c r="AF47" i="8" s="1"/>
  <c r="V47" i="8"/>
  <c r="U47" i="8"/>
  <c r="T47" i="8"/>
  <c r="S47" i="8"/>
  <c r="R47" i="8"/>
  <c r="Q47" i="8"/>
  <c r="P47" i="8"/>
  <c r="O47" i="8"/>
  <c r="N47" i="8"/>
  <c r="M47" i="8"/>
  <c r="L47" i="8"/>
  <c r="K47" i="8"/>
  <c r="J47" i="8"/>
  <c r="I47" i="8"/>
  <c r="H47" i="8"/>
  <c r="G47" i="8"/>
  <c r="F47" i="8"/>
  <c r="E47" i="8"/>
  <c r="D47" i="8"/>
  <c r="C47" i="8"/>
  <c r="B47" i="8"/>
  <c r="AF16" i="8"/>
  <c r="AE16" i="8"/>
  <c r="AD16" i="8"/>
  <c r="AC16" i="8"/>
  <c r="AB16" i="8"/>
  <c r="AA16" i="8"/>
  <c r="Z16" i="8"/>
  <c r="Y16" i="8"/>
  <c r="X16" i="8"/>
  <c r="W16" i="8"/>
  <c r="V16" i="8"/>
  <c r="U16" i="8"/>
  <c r="T16" i="8"/>
  <c r="S16" i="8"/>
  <c r="R16" i="8"/>
  <c r="Q16" i="8"/>
  <c r="P16" i="8"/>
  <c r="O16" i="8"/>
  <c r="N16" i="8"/>
  <c r="M16" i="8"/>
  <c r="L16" i="8"/>
  <c r="K16" i="8"/>
  <c r="K61" i="8" s="1"/>
  <c r="J16" i="8"/>
  <c r="I16" i="8"/>
  <c r="H16" i="8"/>
  <c r="G16" i="8"/>
  <c r="F16" i="8"/>
  <c r="E16" i="8"/>
  <c r="D16" i="8"/>
  <c r="C16" i="8"/>
  <c r="AF15" i="8"/>
  <c r="AE15" i="8"/>
  <c r="AD15" i="8"/>
  <c r="AC15" i="8"/>
  <c r="AB15" i="8"/>
  <c r="AA15" i="8"/>
  <c r="Z15" i="8"/>
  <c r="Y15" i="8"/>
  <c r="X15" i="8"/>
  <c r="W15" i="8"/>
  <c r="V15" i="8"/>
  <c r="U15" i="8"/>
  <c r="T15" i="8"/>
  <c r="S15" i="8"/>
  <c r="R15" i="8"/>
  <c r="Q15" i="8"/>
  <c r="P15" i="8"/>
  <c r="O15" i="8"/>
  <c r="N15" i="8"/>
  <c r="M15" i="8"/>
  <c r="L15" i="8"/>
  <c r="K15" i="8"/>
  <c r="J15" i="8"/>
  <c r="I15" i="8"/>
  <c r="H15" i="8"/>
  <c r="G15" i="8"/>
  <c r="F15" i="8"/>
  <c r="E15" i="8"/>
  <c r="D15" i="8"/>
  <c r="C15" i="8"/>
  <c r="Q53" i="8"/>
  <c r="B26" i="5"/>
  <c r="B25" i="5"/>
  <c r="D5" i="5"/>
  <c r="D4" i="5"/>
  <c r="D3" i="5"/>
  <c r="E13" i="4"/>
  <c r="E12" i="4"/>
  <c r="G12" i="4" s="1"/>
  <c r="F3" i="4"/>
  <c r="G3" i="4" s="1"/>
  <c r="E3" i="4"/>
  <c r="B29" i="22" l="1"/>
  <c r="O40" i="22" s="1"/>
  <c r="P53" i="8"/>
  <c r="Q61" i="8"/>
  <c r="R61" i="8"/>
  <c r="R53" i="8"/>
  <c r="N60" i="8"/>
  <c r="S61" i="8"/>
  <c r="S53" i="8"/>
  <c r="O60" i="8"/>
  <c r="B61" i="8"/>
  <c r="T61" i="8"/>
  <c r="B30" i="22"/>
  <c r="C41" i="22" s="1"/>
  <c r="D41" i="22" s="1"/>
  <c r="B53" i="8"/>
  <c r="T53" i="8"/>
  <c r="P60" i="8"/>
  <c r="C61" i="8"/>
  <c r="U61" i="8"/>
  <c r="C53" i="8"/>
  <c r="U53" i="8"/>
  <c r="H53" i="8"/>
  <c r="I53" i="8"/>
  <c r="L61" i="8"/>
  <c r="L53" i="8"/>
  <c r="F60" i="8"/>
  <c r="R60" i="8"/>
  <c r="M53" i="8"/>
  <c r="I60" i="8"/>
  <c r="N61" i="8"/>
  <c r="B28" i="22"/>
  <c r="O39" i="22" s="1"/>
  <c r="N53" i="8"/>
  <c r="J60" i="8"/>
  <c r="O61" i="8"/>
  <c r="O53" i="8"/>
  <c r="K60" i="8"/>
  <c r="P61" i="8"/>
  <c r="M60" i="8"/>
  <c r="L60" i="8"/>
  <c r="D53" i="8"/>
  <c r="V53" i="8"/>
  <c r="V61" i="8"/>
  <c r="E53" i="8"/>
  <c r="Q60" i="8"/>
  <c r="D61" i="8"/>
  <c r="W61" i="8"/>
  <c r="X61" i="8" s="1"/>
  <c r="Y61" i="8" s="1"/>
  <c r="Z61" i="8" s="1"/>
  <c r="AA61" i="8" s="1"/>
  <c r="AB61" i="8" s="1"/>
  <c r="AC61" i="8" s="1"/>
  <c r="AD61" i="8" s="1"/>
  <c r="AE61" i="8" s="1"/>
  <c r="AF61" i="8" s="1"/>
  <c r="S60" i="8"/>
  <c r="F61" i="8"/>
  <c r="W53" i="8"/>
  <c r="X53" i="8" s="1"/>
  <c r="Y53" i="8" s="1"/>
  <c r="Z53" i="8" s="1"/>
  <c r="AA53" i="8" s="1"/>
  <c r="AB53" i="8" s="1"/>
  <c r="AC53" i="8" s="1"/>
  <c r="AD53" i="8" s="1"/>
  <c r="AE53" i="8" s="1"/>
  <c r="AF53" i="8" s="1"/>
  <c r="B60" i="8"/>
  <c r="T60" i="8"/>
  <c r="G61" i="8"/>
  <c r="E60" i="8"/>
  <c r="E61" i="8"/>
  <c r="M61" i="8"/>
  <c r="S54" i="8"/>
  <c r="S10" i="18" s="1"/>
  <c r="C60" i="8"/>
  <c r="U60" i="8"/>
  <c r="F53" i="8"/>
  <c r="D60" i="8"/>
  <c r="V60" i="8"/>
  <c r="I61" i="8"/>
  <c r="G53" i="8"/>
  <c r="W60" i="8"/>
  <c r="X60" i="8" s="1"/>
  <c r="Y60" i="8" s="1"/>
  <c r="Z60" i="8" s="1"/>
  <c r="AA60" i="8" s="1"/>
  <c r="AB60" i="8" s="1"/>
  <c r="AC60" i="8" s="1"/>
  <c r="AD60" i="8" s="1"/>
  <c r="AE60" i="8" s="1"/>
  <c r="AF60" i="8" s="1"/>
  <c r="H60" i="8"/>
  <c r="G60" i="8"/>
  <c r="G13" i="4"/>
  <c r="B14" i="20" s="1"/>
  <c r="C14" i="20" s="1"/>
  <c r="D14" i="20" s="1"/>
  <c r="E14" i="20" s="1"/>
  <c r="F14" i="20" s="1"/>
  <c r="G14" i="20" s="1"/>
  <c r="H14" i="20" s="1"/>
  <c r="I14" i="20" s="1"/>
  <c r="J14" i="20" s="1"/>
  <c r="K14" i="20" s="1"/>
  <c r="L14" i="20" s="1"/>
  <c r="M14" i="20" s="1"/>
  <c r="N14" i="20" s="1"/>
  <c r="O14" i="20" s="1"/>
  <c r="P14" i="20" s="1"/>
  <c r="Q14" i="20" s="1"/>
  <c r="R14" i="20" s="1"/>
  <c r="S14" i="20" s="1"/>
  <c r="T14" i="20" s="1"/>
  <c r="U14" i="20" s="1"/>
  <c r="V14" i="20" s="1"/>
  <c r="W14" i="20" s="1"/>
  <c r="X14" i="20" s="1"/>
  <c r="Y14" i="20" s="1"/>
  <c r="Z14" i="20" s="1"/>
  <c r="AA14" i="20" s="1"/>
  <c r="AB14" i="20" s="1"/>
  <c r="AC14" i="20" s="1"/>
  <c r="AD14" i="20" s="1"/>
  <c r="AE14" i="20" s="1"/>
  <c r="H61" i="8"/>
  <c r="J53" i="8"/>
  <c r="K53" i="8"/>
  <c r="J61" i="8"/>
  <c r="E41" i="22" l="1"/>
  <c r="B71" i="22"/>
  <c r="P40" i="22"/>
  <c r="M70" i="22"/>
  <c r="M69" i="22"/>
  <c r="P39" i="22"/>
  <c r="G50" i="8"/>
  <c r="F6" i="18" s="1"/>
  <c r="H50" i="8"/>
  <c r="G6" i="18" s="1"/>
  <c r="C54" i="8"/>
  <c r="C10" i="18" s="1"/>
  <c r="R50" i="8"/>
  <c r="Q6" i="18" s="1"/>
  <c r="Q50" i="8"/>
  <c r="P6" i="18" s="1"/>
  <c r="I50" i="8"/>
  <c r="H6" i="18" s="1"/>
  <c r="W54" i="8"/>
  <c r="W10" i="18" s="1"/>
  <c r="E54" i="8"/>
  <c r="E10" i="18" s="1"/>
  <c r="Q54" i="8"/>
  <c r="Q10" i="18" s="1"/>
  <c r="D54" i="8"/>
  <c r="D10" i="18" s="1"/>
  <c r="R54" i="8"/>
  <c r="R10" i="18" s="1"/>
  <c r="K50" i="8"/>
  <c r="J6" i="18" s="1"/>
  <c r="E50" i="8"/>
  <c r="D6" i="18" s="1"/>
  <c r="J54" i="8"/>
  <c r="J10" i="18" s="1"/>
  <c r="W50" i="8"/>
  <c r="X50" i="8" s="1"/>
  <c r="P50" i="8"/>
  <c r="O6" i="18" s="1"/>
  <c r="O50" i="8"/>
  <c r="N6" i="18" s="1"/>
  <c r="C50" i="8"/>
  <c r="B6" i="18" s="1"/>
  <c r="N50" i="8"/>
  <c r="M6" i="18" s="1"/>
  <c r="L50" i="8"/>
  <c r="K6" i="18" s="1"/>
  <c r="O54" i="8"/>
  <c r="O10" i="18" s="1"/>
  <c r="U50" i="8"/>
  <c r="T6" i="18" s="1"/>
  <c r="T50" i="8"/>
  <c r="S6" i="18" s="1"/>
  <c r="P54" i="8"/>
  <c r="P10" i="18" s="1"/>
  <c r="G18" i="4" a="1"/>
  <c r="G18" i="4" s="1"/>
  <c r="G17" i="4" s="1" a="1"/>
  <c r="G17" i="4" s="1"/>
  <c r="F18" i="4" a="1"/>
  <c r="F18" i="4" s="1"/>
  <c r="F17" i="4" s="1" a="1"/>
  <c r="F17" i="4" s="1"/>
  <c r="N18" i="4" a="1"/>
  <c r="N18" i="4" s="1"/>
  <c r="N17" i="4" s="1" a="1"/>
  <c r="N17" i="4" s="1"/>
  <c r="B2" i="17" s="1"/>
  <c r="E17" i="4" a="1"/>
  <c r="E17" i="4" s="1"/>
  <c r="M18" i="4" a="1"/>
  <c r="M18" i="4" s="1"/>
  <c r="M17" i="4" s="1" a="1"/>
  <c r="M17" i="4" s="1"/>
  <c r="L18" i="4" a="1"/>
  <c r="L18" i="4" s="1"/>
  <c r="L17" i="4" s="1" a="1"/>
  <c r="L17" i="4" s="1"/>
  <c r="K18" i="4" a="1"/>
  <c r="K18" i="4" s="1"/>
  <c r="K17" i="4" s="1" a="1"/>
  <c r="K17" i="4" s="1"/>
  <c r="J18" i="4" a="1"/>
  <c r="J18" i="4" s="1"/>
  <c r="J17" i="4" s="1" a="1"/>
  <c r="J17" i="4" s="1"/>
  <c r="I18" i="4" a="1"/>
  <c r="I18" i="4" s="1"/>
  <c r="I17" i="4" s="1" a="1"/>
  <c r="I17" i="4" s="1"/>
  <c r="H18" i="4" a="1"/>
  <c r="H18" i="4" s="1"/>
  <c r="H17" i="4" s="1" a="1"/>
  <c r="H17" i="4" s="1"/>
  <c r="B50" i="8"/>
  <c r="N54" i="8"/>
  <c r="N10" i="18" s="1"/>
  <c r="F54" i="8"/>
  <c r="F10" i="18" s="1"/>
  <c r="M54" i="8"/>
  <c r="M10" i="18" s="1"/>
  <c r="B54" i="8"/>
  <c r="B10" i="18" s="1"/>
  <c r="G54" i="8"/>
  <c r="G10" i="18" s="1"/>
  <c r="M50" i="8"/>
  <c r="L6" i="18" s="1"/>
  <c r="F50" i="8"/>
  <c r="E6" i="18" s="1"/>
  <c r="I54" i="8"/>
  <c r="I10" i="18" s="1"/>
  <c r="L54" i="8"/>
  <c r="L10" i="18" s="1"/>
  <c r="V54" i="8"/>
  <c r="V10" i="18" s="1"/>
  <c r="V50" i="8"/>
  <c r="U6" i="18" s="1"/>
  <c r="K54" i="8"/>
  <c r="K10" i="18" s="1"/>
  <c r="J50" i="8"/>
  <c r="I6" i="18" s="1"/>
  <c r="D50" i="8"/>
  <c r="C6" i="18" s="1"/>
  <c r="S50" i="8"/>
  <c r="R6" i="18" s="1"/>
  <c r="U54" i="8"/>
  <c r="U10" i="18" s="1"/>
  <c r="H54" i="8"/>
  <c r="H10" i="18" s="1"/>
  <c r="T54" i="8"/>
  <c r="T10" i="18" s="1"/>
  <c r="M7" i="8" l="1"/>
  <c r="M31" i="8"/>
  <c r="M30" i="8"/>
  <c r="M6" i="8"/>
  <c r="B38" i="8"/>
  <c r="B14" i="8"/>
  <c r="X54" i="8"/>
  <c r="X10" i="18" s="1"/>
  <c r="V6" i="18"/>
  <c r="F41" i="22"/>
  <c r="C71" i="22"/>
  <c r="Q40" i="22"/>
  <c r="N70" i="22"/>
  <c r="N69" i="22"/>
  <c r="Q39" i="22"/>
  <c r="C14" i="17"/>
  <c r="D14" i="17" s="1"/>
  <c r="E14" i="17" s="1"/>
  <c r="F14" i="17" s="1"/>
  <c r="G14" i="17" s="1"/>
  <c r="H14" i="17" s="1"/>
  <c r="I14" i="17" s="1"/>
  <c r="J14" i="17" s="1"/>
  <c r="K14" i="17" s="1"/>
  <c r="L14" i="17" s="1"/>
  <c r="M14" i="17" s="1"/>
  <c r="N14" i="17" s="1"/>
  <c r="O14" i="17" s="1"/>
  <c r="P14" i="17" s="1"/>
  <c r="Q14" i="17" s="1"/>
  <c r="R14" i="17" s="1"/>
  <c r="S14" i="17" s="1"/>
  <c r="T14" i="17" s="1"/>
  <c r="U14" i="17" s="1"/>
  <c r="V14" i="17" s="1"/>
  <c r="W14" i="17" s="1"/>
  <c r="X14" i="17" s="1"/>
  <c r="Y14" i="17" s="1"/>
  <c r="Z14" i="17" s="1"/>
  <c r="AA14" i="17" s="1"/>
  <c r="AB14" i="17" s="1"/>
  <c r="AC14" i="17" s="1"/>
  <c r="AD14" i="17" s="1"/>
  <c r="AE14" i="17" s="1"/>
  <c r="C2" i="17"/>
  <c r="D2" i="17" s="1"/>
  <c r="E2" i="17" s="1"/>
  <c r="F2" i="17" s="1"/>
  <c r="G2" i="17" s="1"/>
  <c r="H2" i="17" s="1"/>
  <c r="I2" i="17" s="1"/>
  <c r="J2" i="17" s="1"/>
  <c r="K2" i="17" s="1"/>
  <c r="L2" i="17" s="1"/>
  <c r="M2" i="17" s="1"/>
  <c r="N2" i="17" s="1"/>
  <c r="O2" i="17" s="1"/>
  <c r="P2" i="17" s="1"/>
  <c r="Q2" i="17" s="1"/>
  <c r="R2" i="17" s="1"/>
  <c r="S2" i="17" s="1"/>
  <c r="T2" i="17" s="1"/>
  <c r="U2" i="17" s="1"/>
  <c r="V2" i="17" s="1"/>
  <c r="W2" i="17" s="1"/>
  <c r="X2" i="17" s="1"/>
  <c r="Y2" i="17" s="1"/>
  <c r="Z2" i="17" s="1"/>
  <c r="AA2" i="17" s="1"/>
  <c r="AB2" i="17" s="1"/>
  <c r="AC2" i="17" s="1"/>
  <c r="AD2" i="17" s="1"/>
  <c r="AE2" i="17" s="1"/>
  <c r="Y50" i="8"/>
  <c r="W6" i="18"/>
  <c r="Y54" i="8" l="1"/>
  <c r="Y10" i="18" s="1"/>
  <c r="N7" i="8"/>
  <c r="N31" i="8"/>
  <c r="N30" i="8"/>
  <c r="N6" i="8"/>
  <c r="C38" i="8"/>
  <c r="C14" i="8"/>
  <c r="G41" i="22"/>
  <c r="D71" i="22"/>
  <c r="R40" i="22"/>
  <c r="O70" i="22"/>
  <c r="R39" i="22"/>
  <c r="O69" i="22"/>
  <c r="Z50" i="8"/>
  <c r="X6" i="18"/>
  <c r="Z54" i="8" l="1"/>
  <c r="Z10" i="18" s="1"/>
  <c r="O31" i="8"/>
  <c r="O7" i="8"/>
  <c r="O30" i="8"/>
  <c r="O6" i="8"/>
  <c r="D38" i="8"/>
  <c r="D14" i="8"/>
  <c r="H41" i="22"/>
  <c r="E71" i="22"/>
  <c r="S40" i="22"/>
  <c r="P70" i="22"/>
  <c r="S39" i="22"/>
  <c r="P69" i="22"/>
  <c r="Y6" i="18"/>
  <c r="AA50" i="8"/>
  <c r="AA54" i="8" l="1"/>
  <c r="AB54" i="8" s="1"/>
  <c r="P31" i="8"/>
  <c r="P7" i="8"/>
  <c r="P30" i="8"/>
  <c r="P6" i="8"/>
  <c r="E38" i="8"/>
  <c r="E14" i="8"/>
  <c r="F71" i="22"/>
  <c r="I41" i="22"/>
  <c r="T40" i="22"/>
  <c r="Q70" i="22"/>
  <c r="T39" i="22"/>
  <c r="Q69" i="22"/>
  <c r="C51" i="8"/>
  <c r="B7" i="18" s="1"/>
  <c r="F51" i="8"/>
  <c r="E7" i="18" s="1"/>
  <c r="E51" i="8"/>
  <c r="D7" i="18" s="1"/>
  <c r="D51" i="8"/>
  <c r="C7" i="18" s="1"/>
  <c r="B51" i="8"/>
  <c r="AB50" i="8"/>
  <c r="Z6" i="18"/>
  <c r="Q31" i="8" l="1"/>
  <c r="Q7" i="8"/>
  <c r="Q30" i="8"/>
  <c r="Q6" i="8"/>
  <c r="F38" i="8"/>
  <c r="F14" i="8"/>
  <c r="AA10" i="18"/>
  <c r="J41" i="22"/>
  <c r="G71" i="22"/>
  <c r="U40" i="22"/>
  <c r="R70" i="22"/>
  <c r="U39" i="22"/>
  <c r="R69" i="22"/>
  <c r="E52" i="8"/>
  <c r="D8" i="18" s="1"/>
  <c r="C52" i="8"/>
  <c r="B8" i="18" s="1"/>
  <c r="B52" i="8"/>
  <c r="F52" i="8"/>
  <c r="E8" i="18" s="1"/>
  <c r="D52" i="8"/>
  <c r="C8" i="18" s="1"/>
  <c r="G52" i="8"/>
  <c r="F8" i="18" s="1"/>
  <c r="G51" i="8"/>
  <c r="F7" i="18" s="1"/>
  <c r="AB10" i="18"/>
  <c r="AC54" i="8"/>
  <c r="AC50" i="8"/>
  <c r="AA6" i="18"/>
  <c r="R31" i="8" l="1"/>
  <c r="R7" i="8"/>
  <c r="R30" i="8"/>
  <c r="R6" i="8"/>
  <c r="G38" i="8"/>
  <c r="G14" i="8"/>
  <c r="K41" i="22"/>
  <c r="H71" i="22"/>
  <c r="V40" i="22"/>
  <c r="S70" i="22"/>
  <c r="V39" i="22"/>
  <c r="S69" i="22"/>
  <c r="H52" i="8"/>
  <c r="G8" i="18" s="1"/>
  <c r="AC10" i="18"/>
  <c r="AD54" i="8"/>
  <c r="AD50" i="8"/>
  <c r="AB6" i="18"/>
  <c r="S30" i="8" l="1"/>
  <c r="S6" i="8"/>
  <c r="H38" i="8"/>
  <c r="H14" i="8"/>
  <c r="S31" i="8"/>
  <c r="S7" i="8"/>
  <c r="L41" i="22"/>
  <c r="I71" i="22"/>
  <c r="W40" i="22"/>
  <c r="T70" i="22"/>
  <c r="W39" i="22"/>
  <c r="T69" i="22"/>
  <c r="H51" i="8"/>
  <c r="G7" i="18" s="1"/>
  <c r="I52" i="8"/>
  <c r="H8" i="18" s="1"/>
  <c r="I51" i="8"/>
  <c r="H7" i="18" s="1"/>
  <c r="AE50" i="8"/>
  <c r="AC6" i="18"/>
  <c r="AD10" i="18"/>
  <c r="AE54" i="8"/>
  <c r="T31" i="8" l="1"/>
  <c r="T7" i="8"/>
  <c r="T6" i="8"/>
  <c r="T30" i="8"/>
  <c r="I38" i="8"/>
  <c r="I14" i="8"/>
  <c r="M41" i="22"/>
  <c r="J71" i="22"/>
  <c r="X40" i="22"/>
  <c r="U70" i="22"/>
  <c r="X39" i="22"/>
  <c r="U69" i="22"/>
  <c r="J51" i="8"/>
  <c r="I7" i="18" s="1"/>
  <c r="J52" i="8"/>
  <c r="I8" i="18" s="1"/>
  <c r="AE10" i="18"/>
  <c r="AF54" i="8"/>
  <c r="AF50" i="8"/>
  <c r="AE6" i="18" s="1"/>
  <c r="AD6" i="18"/>
  <c r="U7" i="8" l="1"/>
  <c r="U31" i="8"/>
  <c r="U30" i="8"/>
  <c r="U6" i="8"/>
  <c r="J38" i="8"/>
  <c r="J14" i="8"/>
  <c r="N41" i="22"/>
  <c r="K71" i="22"/>
  <c r="Y40" i="22"/>
  <c r="V70" i="22"/>
  <c r="Y39" i="22"/>
  <c r="V69" i="22"/>
  <c r="K51" i="8"/>
  <c r="J7" i="18" s="1"/>
  <c r="V31" i="8" l="1"/>
  <c r="V7" i="8"/>
  <c r="V6" i="8"/>
  <c r="V30" i="8"/>
  <c r="K38" i="8"/>
  <c r="K14" i="8"/>
  <c r="O41" i="22"/>
  <c r="L71" i="22"/>
  <c r="Z40" i="22"/>
  <c r="W70" i="22"/>
  <c r="Z39" i="22"/>
  <c r="W69" i="22"/>
  <c r="K52" i="8"/>
  <c r="J8" i="18" s="1"/>
  <c r="L51" i="8"/>
  <c r="K7" i="18" s="1"/>
  <c r="W31" i="8" l="1"/>
  <c r="W7" i="8"/>
  <c r="W6" i="8"/>
  <c r="W30" i="8"/>
  <c r="L38" i="8"/>
  <c r="L14" i="8"/>
  <c r="P41" i="22"/>
  <c r="M71" i="22"/>
  <c r="AA40" i="22"/>
  <c r="X70" i="22"/>
  <c r="AA39" i="22"/>
  <c r="X69" i="22"/>
  <c r="M51" i="8"/>
  <c r="L7" i="18" s="1"/>
  <c r="L52" i="8"/>
  <c r="K8" i="18" s="1"/>
  <c r="X31" i="8" l="1"/>
  <c r="X7" i="8"/>
  <c r="X6" i="8"/>
  <c r="X30" i="8"/>
  <c r="M38" i="8"/>
  <c r="M14" i="8"/>
  <c r="Q41" i="22"/>
  <c r="N71" i="22"/>
  <c r="AB40" i="22"/>
  <c r="Y70" i="22"/>
  <c r="AB39" i="22"/>
  <c r="Y69" i="22"/>
  <c r="N52" i="8"/>
  <c r="M8" i="18" s="1"/>
  <c r="B59" i="8"/>
  <c r="B15" i="18" s="1"/>
  <c r="C59" i="8"/>
  <c r="C15" i="18" s="1"/>
  <c r="N51" i="8"/>
  <c r="M7" i="18" s="1"/>
  <c r="M52" i="8"/>
  <c r="L8" i="18" s="1"/>
  <c r="Y6" i="8" l="1"/>
  <c r="Y30" i="8"/>
  <c r="Y31" i="8"/>
  <c r="Y7" i="8"/>
  <c r="N14" i="8"/>
  <c r="N38" i="8"/>
  <c r="R41" i="22"/>
  <c r="O71" i="22"/>
  <c r="AC40" i="22"/>
  <c r="Z70" i="22"/>
  <c r="AC39" i="22"/>
  <c r="Z69" i="22"/>
  <c r="O51" i="8"/>
  <c r="N7" i="18" s="1"/>
  <c r="O52" i="8"/>
  <c r="N8" i="18" s="1"/>
  <c r="D59" i="8"/>
  <c r="D15" i="18" s="1"/>
  <c r="Z7" i="8" l="1"/>
  <c r="Z31" i="8"/>
  <c r="Z6" i="8"/>
  <c r="Z30" i="8"/>
  <c r="O14" i="8"/>
  <c r="O38" i="8"/>
  <c r="S41" i="22"/>
  <c r="P71" i="22"/>
  <c r="AD40" i="22"/>
  <c r="AA70" i="22"/>
  <c r="AD39" i="22"/>
  <c r="AA69" i="22"/>
  <c r="P52" i="8"/>
  <c r="O8" i="18" s="1"/>
  <c r="P51" i="8"/>
  <c r="O7" i="18" s="1"/>
  <c r="AA7" i="8" l="1"/>
  <c r="AA31" i="8"/>
  <c r="AA30" i="8"/>
  <c r="AA6" i="8"/>
  <c r="P14" i="8"/>
  <c r="P38" i="8"/>
  <c r="T41" i="22"/>
  <c r="Q71" i="22"/>
  <c r="AE40" i="22"/>
  <c r="AB70" i="22"/>
  <c r="AE39" i="22"/>
  <c r="AB69" i="22"/>
  <c r="E59" i="8"/>
  <c r="E15" i="18" s="1"/>
  <c r="Q52" i="8"/>
  <c r="P8" i="18" s="1"/>
  <c r="F59" i="8"/>
  <c r="F15" i="18" s="1"/>
  <c r="Q51" i="8"/>
  <c r="P7" i="18" s="1"/>
  <c r="AB7" i="8" l="1"/>
  <c r="AB31" i="8"/>
  <c r="AB30" i="8"/>
  <c r="AB6" i="8"/>
  <c r="Q14" i="8"/>
  <c r="Q38" i="8"/>
  <c r="U41" i="22"/>
  <c r="R71" i="22"/>
  <c r="AF40" i="22"/>
  <c r="AC70" i="22"/>
  <c r="AF39" i="22"/>
  <c r="AC69" i="22"/>
  <c r="G59" i="8"/>
  <c r="G15" i="18" s="1"/>
  <c r="R51" i="8"/>
  <c r="Q7" i="18" s="1"/>
  <c r="R52" i="8"/>
  <c r="Q8" i="18" s="1"/>
  <c r="AC7" i="8" l="1"/>
  <c r="AC31" i="8"/>
  <c r="R14" i="8"/>
  <c r="R38" i="8"/>
  <c r="AC30" i="8"/>
  <c r="AC6" i="8"/>
  <c r="V41" i="22"/>
  <c r="S71" i="22"/>
  <c r="AG40" i="22"/>
  <c r="AD70" i="22"/>
  <c r="AG39" i="22"/>
  <c r="AD69" i="22"/>
  <c r="S52" i="8"/>
  <c r="R8" i="18" s="1"/>
  <c r="S51" i="8"/>
  <c r="R7" i="18" s="1"/>
  <c r="S14" i="8" l="1"/>
  <c r="S38" i="8"/>
  <c r="AD7" i="8"/>
  <c r="AD31" i="8"/>
  <c r="AD30" i="8"/>
  <c r="AD6" i="8"/>
  <c r="W41" i="22"/>
  <c r="T71" i="22"/>
  <c r="AH40" i="22"/>
  <c r="AF70" i="22" s="1"/>
  <c r="AE70" i="22"/>
  <c r="AH39" i="22"/>
  <c r="AF69" i="22" s="1"/>
  <c r="AE69" i="22"/>
  <c r="H59" i="8"/>
  <c r="H15" i="18" s="1"/>
  <c r="T51" i="8"/>
  <c r="S7" i="18" s="1"/>
  <c r="T52" i="8"/>
  <c r="S8" i="18" s="1"/>
  <c r="AE7" i="8" l="1"/>
  <c r="AE31" i="8"/>
  <c r="AF7" i="8"/>
  <c r="AF31" i="8"/>
  <c r="AE30" i="8"/>
  <c r="AE6" i="8"/>
  <c r="AF30" i="8"/>
  <c r="AF6" i="8"/>
  <c r="T14" i="8"/>
  <c r="T38" i="8"/>
  <c r="X41" i="22"/>
  <c r="U71" i="22"/>
  <c r="U52" i="8"/>
  <c r="T8" i="18" s="1"/>
  <c r="U51" i="8"/>
  <c r="T7" i="18" s="1"/>
  <c r="I59" i="8"/>
  <c r="I15" i="18" s="1"/>
  <c r="U38" i="8" l="1"/>
  <c r="U14" i="8"/>
  <c r="Y41" i="22"/>
  <c r="V71" i="22"/>
  <c r="V51" i="8"/>
  <c r="U7" i="18" s="1"/>
  <c r="K59" i="8"/>
  <c r="K15" i="18" s="1"/>
  <c r="J59" i="8"/>
  <c r="J15" i="18" s="1"/>
  <c r="V38" i="8" l="1"/>
  <c r="V14" i="8"/>
  <c r="Z41" i="22"/>
  <c r="W71" i="22"/>
  <c r="W51" i="8"/>
  <c r="V52" i="8"/>
  <c r="U8" i="18" s="1"/>
  <c r="W52" i="8"/>
  <c r="W38" i="8" l="1"/>
  <c r="W14" i="8"/>
  <c r="AA41" i="22"/>
  <c r="X71" i="22"/>
  <c r="X52" i="8"/>
  <c r="V8" i="18"/>
  <c r="X51" i="8"/>
  <c r="V7" i="18"/>
  <c r="L59" i="8"/>
  <c r="L15" i="18" s="1"/>
  <c r="X38" i="8" l="1"/>
  <c r="X14" i="8"/>
  <c r="AB41" i="22"/>
  <c r="Y71" i="22"/>
  <c r="Y51" i="8"/>
  <c r="W7" i="18"/>
  <c r="M59" i="8"/>
  <c r="M15" i="18" s="1"/>
  <c r="Y52" i="8"/>
  <c r="W8" i="18"/>
  <c r="Y38" i="8" l="1"/>
  <c r="Y14" i="8"/>
  <c r="AC41" i="22"/>
  <c r="Z71" i="22"/>
  <c r="X8" i="18"/>
  <c r="Z52" i="8"/>
  <c r="Z51" i="8"/>
  <c r="X7" i="18"/>
  <c r="N59" i="8"/>
  <c r="N15" i="18" s="1"/>
  <c r="Z38" i="8" l="1"/>
  <c r="Z14" i="8"/>
  <c r="AD41" i="22"/>
  <c r="AA71" i="22"/>
  <c r="P59" i="8"/>
  <c r="P15" i="18" s="1"/>
  <c r="AA52" i="8"/>
  <c r="Y8" i="18"/>
  <c r="AA51" i="8"/>
  <c r="Y7" i="18"/>
  <c r="O59" i="8"/>
  <c r="O15" i="18" s="1"/>
  <c r="AA38" i="8" l="1"/>
  <c r="AA14" i="8"/>
  <c r="AE41" i="22"/>
  <c r="AB71" i="22"/>
  <c r="AB51" i="8"/>
  <c r="Z7" i="18"/>
  <c r="AB52" i="8"/>
  <c r="Z8" i="18"/>
  <c r="Q59" i="8"/>
  <c r="Q15" i="18" s="1"/>
  <c r="AB38" i="8" l="1"/>
  <c r="AB14" i="8"/>
  <c r="AF41" i="22"/>
  <c r="AC71" i="22"/>
  <c r="AC52" i="8"/>
  <c r="AA8" i="18"/>
  <c r="AC51" i="8"/>
  <c r="AA7" i="18"/>
  <c r="R59" i="8"/>
  <c r="R15" i="18" s="1"/>
  <c r="AC38" i="8" l="1"/>
  <c r="AC14" i="8"/>
  <c r="AG41" i="22"/>
  <c r="AD71" i="22"/>
  <c r="AD51" i="8"/>
  <c r="AB7" i="18"/>
  <c r="AB8" i="18"/>
  <c r="AD52" i="8"/>
  <c r="S59" i="8"/>
  <c r="S15" i="18" s="1"/>
  <c r="AD38" i="8" l="1"/>
  <c r="AD14" i="8"/>
  <c r="AH41" i="22"/>
  <c r="AF71" i="22" s="1"/>
  <c r="AE71" i="22"/>
  <c r="AE52" i="8"/>
  <c r="AC8" i="18"/>
  <c r="T59" i="8"/>
  <c r="T15" i="18" s="1"/>
  <c r="AE51" i="8"/>
  <c r="AC7" i="18"/>
  <c r="AE38" i="8" l="1"/>
  <c r="AE14" i="8"/>
  <c r="AF38" i="8"/>
  <c r="AF14" i="8"/>
  <c r="AD7" i="18"/>
  <c r="AF51" i="8"/>
  <c r="AE7" i="18" s="1"/>
  <c r="AF52" i="8"/>
  <c r="AE8" i="18" s="1"/>
  <c r="AD8" i="18"/>
  <c r="V59" i="8" l="1"/>
  <c r="V15" i="18" s="1"/>
  <c r="U59" i="8"/>
  <c r="U15" i="18" s="1"/>
  <c r="W59" i="8" l="1"/>
  <c r="W15" i="18" l="1"/>
  <c r="X59" i="8"/>
  <c r="X15" i="18" l="1"/>
  <c r="Y59" i="8"/>
  <c r="Z59" i="8" l="1"/>
  <c r="Y15" i="18"/>
  <c r="Z15" i="18" l="1"/>
  <c r="AA59" i="8"/>
  <c r="AA15" i="18" l="1"/>
  <c r="AB59" i="8"/>
  <c r="AC59" i="8" l="1"/>
  <c r="AB15" i="18"/>
  <c r="AC15" i="18" l="1"/>
  <c r="AD59" i="8"/>
  <c r="AD15" i="18" l="1"/>
  <c r="AE59" i="8"/>
  <c r="AE15" i="18" l="1"/>
  <c r="AF59" i="8"/>
</calcChain>
</file>

<file path=xl/sharedStrings.xml><?xml version="1.0" encoding="utf-8"?>
<sst xmlns="http://schemas.openxmlformats.org/spreadsheetml/2006/main" count="1081" uniqueCount="333">
  <si>
    <t>BS BAU Subsidy for Thermal Fuels per Energy Unit Produced</t>
  </si>
  <si>
    <t>BS BAU Subsidy per Unit Electricity Output</t>
  </si>
  <si>
    <t>BS BAU Subsidy per Unit Electricity Capacity Built</t>
  </si>
  <si>
    <t>BS Duration of Subsidies per Unit Electricity Output</t>
  </si>
  <si>
    <t>Source:</t>
  </si>
  <si>
    <t>Fine dust project evaluation</t>
  </si>
  <si>
    <t>NABO</t>
  </si>
  <si>
    <t>Domestic emission reduction: industry</t>
  </si>
  <si>
    <t>https://www.nabo.go.kr/system/common/JSPservlet/download.jsp?fCode=33315609&amp;fSHC=&amp;fName=%EB%AF%B8%EC%84%B8%EB%A8%BC%EC%A7%80+%EB%8C%80%EC%9D%91+%EC%82%AC%EC%97%85+%EB%B6%84%EC%84%9D.pdf&amp;fMime=application/pdf&amp;fBid=19&amp;flag=bluenet</t>
  </si>
  <si>
    <t>page 49, 61</t>
  </si>
  <si>
    <t>Generation share of coal</t>
  </si>
  <si>
    <t>Index Korea</t>
  </si>
  <si>
    <t>Generation share by source</t>
  </si>
  <si>
    <t>https://www.index.go.kr/potal/main/EachDtlPageDetail.do?idx_cd=1339</t>
  </si>
  <si>
    <t>KOSIS</t>
  </si>
  <si>
    <t>Generation capacity by company</t>
  </si>
  <si>
    <t>https://kosis.kr/statHtml/statHtml.do?orgId=388&amp;tblId=TX_38803_A000A</t>
  </si>
  <si>
    <t>Cost of PV, hydro, wind and bioenergy in 2010-2019</t>
  </si>
  <si>
    <t>IRENA</t>
  </si>
  <si>
    <t>Global weighted average total installed costs</t>
  </si>
  <si>
    <t>https://www.irena.org/Statistics/View-Data-by-Topic/Costs/Global-Trends</t>
  </si>
  <si>
    <t>Installation cost of PV and wind in 2025 for estimating CAGR</t>
  </si>
  <si>
    <t>The Power to change: solar and wind cost reduction potential to 2025</t>
  </si>
  <si>
    <t>https://www.irena.org/-/media/Files/IRENA/Agency/Publication/2016/IRENA_Power_to_Change_2016.pdf</t>
  </si>
  <si>
    <t>Page 10</t>
  </si>
  <si>
    <t>Installation cost of renewables in 2030 and 2050 for estimating CAGR</t>
  </si>
  <si>
    <t>Price prediction of solar photovoltaic in 2030 and 2050</t>
  </si>
  <si>
    <t>Future of solar photovoltaic</t>
  </si>
  <si>
    <t>https://irena.org/-/media/Files/IRENA/Agency/Publication/2019/Nov/IRENA_Future_of_Solar_PV_2019.pdf</t>
  </si>
  <si>
    <t>Page 27</t>
  </si>
  <si>
    <t>Price prediction of onshore and offshore wind in 2030 and 2050</t>
  </si>
  <si>
    <t>Future of wind</t>
  </si>
  <si>
    <t>https://www.irena.org/-/media/files/irena/agency/publication/2019/oct/irena_future_of_wind_2019.pdf</t>
  </si>
  <si>
    <t>Page 32, 48</t>
  </si>
  <si>
    <t>Projecting installation cost and LCOE of solar PV and onshore wind</t>
  </si>
  <si>
    <t>KEEI</t>
  </si>
  <si>
    <t>Projecting CAPEX of solar PV, and projecting LCOE of solar PV and wind (2020 est.)</t>
  </si>
  <si>
    <t>Page 120, 121</t>
  </si>
  <si>
    <t>Projecting installation cost and LCOE of  offshore wind</t>
  </si>
  <si>
    <t>Offshore wind CAPEX breakdown in 2018, and LCOE trend between 2018 and 2030 in South Korea</t>
  </si>
  <si>
    <t>https://signal.sedaily.com/Common/FileDownload?fileName=%EC%84%B8%EA%B3%84_%EC%9E%AC%EC%83%9D%EC%97%90%EB%84%88%EC%A7%80_%EC%9E%90%EA%B5%AD%EC%82%B0_%EB%B6%80%ED%92%88%EC%82%AC%EC%9A%A9%EC%9A%94%EA%B1%B4_%EC%A0%95%EC%B1%85%EC%97%90_%EB%8C%80%ED%95%9C_%EB%8C%80%EC%9D%91%EB%B0%A9%EC%95%88_%EC%97%B0%EA%B5%AC.pdf&amp;fullPath=/Service/Branch/Signal/Report/2020/04/17/%EC%84%B8%EA%B3%84_%EC%9E%AC%EC%83%9D%EC%97%90%EB%84%88%EC%A7%80_%EC%9E%90%EA%B5%AD%EC%82%B0_%EB%B6%80%ED%92%88%EC%82%AC%EC%9A%A9%EC%9A%94%EA%B1%B4_%EC%A0%95%EC%B1%85%EC%97%90_%EB%8C%80%ED%95%9C_%EB%8C%80%EC%9D%91%EB%B0%A9%EC%95%88_%EC%97%B0%EA%B5%AC.pdf</t>
  </si>
  <si>
    <t>Page 79, 80</t>
  </si>
  <si>
    <t>Tax credit for investment in new and renewable energy manufacturing facilities</t>
  </si>
  <si>
    <t>Integrated Investment Tax Credit (Article 24)</t>
  </si>
  <si>
    <t>https://glaw.scourt.go.kr/wsjo/lawod/sjo192.do?lawodNm=%EC%A1%B0%EC%84%B8%ED%8A%B9%EB%A1%80%EC%A0%9C%ED%95%9C%EB%B2%95&amp;jomunNo=24&amp;jomunGajiNo=</t>
  </si>
  <si>
    <t>Notes</t>
  </si>
  <si>
    <t>Korea's dependence on fuel imports is 94%, so fuel production is limited.</t>
  </si>
  <si>
    <t>https://kosis.kr/statHtml/statHtml.do?orgId=339&amp;tblId=DT_339001_001&amp;conn_path=I2</t>
  </si>
  <si>
    <t>BS-BSpUECB</t>
  </si>
  <si>
    <t>There are errors that may occur in the subsidy for power generation facilities (BS-BSpUECB)</t>
  </si>
  <si>
    <t>The tax credit for domestic renewable energy facilities can be explained in two ways.</t>
  </si>
  <si>
    <t>1. Tax deducted by applying a specific ratio (ex, 1, 3, 7%) to the facility investment cost.</t>
  </si>
  <si>
    <t>2. Profit and loss * Tax deducted by applying a specific ratio to the tax to which corporate tax has been applied</t>
  </si>
  <si>
    <t>The data in the data sheet was calculated based on 1. For this reason, the subsidy received by small power generators supported by the scheme 2 may be distorted.</t>
  </si>
  <si>
    <t>For example, in the case of a large-scale power plant, profit and loss for the period is high enough to receive tax credit benefits under 1</t>
  </si>
  <si>
    <t>However, in the case of small-scale power generation operators, the profit or loss is small, so they cannot receive a tax credit for power generation facilities. So, they get a tax deduction based on 2.</t>
  </si>
  <si>
    <t>To reduce errors, the results tab was drawn up using the fact that investment tax credits can be deducted over 10 years.</t>
  </si>
  <si>
    <t>In addition, there is a minimum tax, so even if you receive benefits, a power company cannot pay less than the minimum tax, but the minimum tax was not applied.</t>
  </si>
  <si>
    <t>USD</t>
  </si>
  <si>
    <t>1MW</t>
  </si>
  <si>
    <t>kW</t>
  </si>
  <si>
    <t>통계표명:</t>
  </si>
  <si>
    <t>에너지원별 발전량 현황</t>
  </si>
  <si>
    <t>단위:</t>
  </si>
  <si>
    <t>GWh, %</t>
  </si>
  <si>
    <t/>
  </si>
  <si>
    <t>계</t>
  </si>
  <si>
    <t>원자력</t>
  </si>
  <si>
    <t>석탄</t>
  </si>
  <si>
    <t>가스</t>
  </si>
  <si>
    <t>신재생</t>
  </si>
  <si>
    <t>유류</t>
  </si>
  <si>
    <t>양수</t>
  </si>
  <si>
    <t>기타</t>
  </si>
  <si>
    <t>발전량</t>
  </si>
  <si>
    <t>-</t>
  </si>
  <si>
    <t>비중</t>
  </si>
  <si>
    <t>용도및회사별(1)</t>
  </si>
  <si>
    <t>용도및회사별(2)</t>
  </si>
  <si>
    <t>2020</t>
  </si>
  <si>
    <t>합계</t>
  </si>
  <si>
    <t>기력</t>
  </si>
  <si>
    <t>복합화력</t>
  </si>
  <si>
    <t>내연력</t>
  </si>
  <si>
    <t>집단에너지</t>
  </si>
  <si>
    <t>소계</t>
  </si>
  <si>
    <t>유연탄</t>
  </si>
  <si>
    <t>무연탄</t>
  </si>
  <si>
    <t>중유</t>
  </si>
  <si>
    <t>LNG</t>
  </si>
  <si>
    <t>경유</t>
  </si>
  <si>
    <t>수력</t>
  </si>
  <si>
    <t>태양광</t>
  </si>
  <si>
    <t>풍력</t>
  </si>
  <si>
    <t>사업용발전설비</t>
  </si>
  <si>
    <t>한국전력㈜</t>
  </si>
  <si>
    <t>한수원㈜</t>
  </si>
  <si>
    <t>남동발전㈜</t>
  </si>
  <si>
    <t>중부발전㈜</t>
  </si>
  <si>
    <t>서부발전㈜</t>
  </si>
  <si>
    <t>남부발전㈜</t>
  </si>
  <si>
    <t>동서발전㈜</t>
  </si>
  <si>
    <t>포스코에너지㈜</t>
  </si>
  <si>
    <t>GS EPS㈜</t>
  </si>
  <si>
    <t>지역난방공사</t>
  </si>
  <si>
    <t>씨지앤</t>
  </si>
  <si>
    <t>동두천드림파워㈜</t>
  </si>
  <si>
    <t>파주에너지서비스</t>
  </si>
  <si>
    <t>포천파워㈜</t>
  </si>
  <si>
    <t>GS 파워㈜</t>
  </si>
  <si>
    <t>수자원공사</t>
  </si>
  <si>
    <t>㈜GS동해전력</t>
  </si>
  <si>
    <t>구역전기설비</t>
  </si>
  <si>
    <t>Model Energy Source</t>
  </si>
  <si>
    <t>Subsidy Name</t>
  </si>
  <si>
    <t>Fuel/Electricity</t>
  </si>
  <si>
    <t>Unit</t>
  </si>
  <si>
    <t>biomass</t>
  </si>
  <si>
    <t>no Subsidy</t>
  </si>
  <si>
    <t>Electricity</t>
  </si>
  <si>
    <t>coal</t>
  </si>
  <si>
    <t>Amortization of air pollution control facilities</t>
  </si>
  <si>
    <t>$</t>
  </si>
  <si>
    <t>hydro</t>
  </si>
  <si>
    <t>nuclear</t>
  </si>
  <si>
    <t>Special rules for nuclear decommissioning costs</t>
  </si>
  <si>
    <t>solar pv</t>
  </si>
  <si>
    <t>offshore wind</t>
  </si>
  <si>
    <t>onshore wind</t>
  </si>
  <si>
    <t>geothermal</t>
  </si>
  <si>
    <t>발전사별 설비용량</t>
  </si>
  <si>
    <t>설비비율</t>
  </si>
  <si>
    <t>무연탄, 유연탄 별 발전기여도(추정)(MWh)</t>
  </si>
  <si>
    <t>구분</t>
  </si>
  <si>
    <t>굴뚝자동측정기기 예산, 석탄지원금으로 할당</t>
  </si>
  <si>
    <t>대기오염물질 총량관리대상 사업장은 굴뚝자동측정기기 설치가 의무 사항이고, 이를 예산을 통해 설치유도 및 운영지원을 하고 있다.</t>
  </si>
  <si>
    <t>무연탄과 유연탄 발전이 합쳐진 지원 예산 현황 자료를 발전기여도를 통해 분할하였다.</t>
  </si>
  <si>
    <t>LCOE전망(won/kWh)</t>
  </si>
  <si>
    <t>CAGR</t>
  </si>
  <si>
    <t>=&gt;태양광 CAGR만 현물가격 감소에 반영</t>
  </si>
  <si>
    <t>전원구성 전망 확인 후 offshore과 산술평균수치를 적용할지 생각중</t>
  </si>
  <si>
    <t>solar pv, onshore wind</t>
  </si>
  <si>
    <t>URL:</t>
  </si>
  <si>
    <t>https://home.kepco.co.kr/kepco/KR/ntcob/ntcobView.do?pageIndex=1&amp;boardSeq=21049282&amp;boardCd=BRD_000516&amp;menuCd=FN3113</t>
  </si>
  <si>
    <t>=&gt; 사회적 관점 선택</t>
  </si>
  <si>
    <t>중소기업</t>
  </si>
  <si>
    <t>중견기업</t>
  </si>
  <si>
    <t>내국법인(내국인)</t>
  </si>
  <si>
    <t>한국 에너지 구성비(비율, 수입량, 수입의존도, 수입액) 정리</t>
  </si>
  <si>
    <t>page 4~</t>
  </si>
  <si>
    <t>구성비</t>
  </si>
  <si>
    <t>석탄(Coal)</t>
  </si>
  <si>
    <t>석유(Petroleum)</t>
  </si>
  <si>
    <t>천연가스(LNG)</t>
  </si>
  <si>
    <t>수력(Hydro)</t>
  </si>
  <si>
    <t>원자력(Nuclear)</t>
  </si>
  <si>
    <t>신재생(Renewables)</t>
  </si>
  <si>
    <t>1,000 ton</t>
  </si>
  <si>
    <t>수입량</t>
  </si>
  <si>
    <t>무연탄(Anthracite)</t>
  </si>
  <si>
    <t>유연탄(Bituminous)</t>
  </si>
  <si>
    <t>기타석탄(Others)</t>
  </si>
  <si>
    <t>원유(Crude Oil)</t>
  </si>
  <si>
    <t>석유제품(Petroleum Products)</t>
  </si>
  <si>
    <t>원자력 연료(Uranium)</t>
  </si>
  <si>
    <t>수출량</t>
  </si>
  <si>
    <t>Million USD(CIF)</t>
  </si>
  <si>
    <t>수입액</t>
  </si>
  <si>
    <t>나프타(Naphtha)</t>
  </si>
  <si>
    <t>LPG</t>
  </si>
  <si>
    <t>1차에너지 공급구조</t>
  </si>
  <si>
    <t>생산</t>
  </si>
  <si>
    <t>1000 ton</t>
  </si>
  <si>
    <t>=&gt; 무연탄 지원금을 찾아보자</t>
  </si>
  <si>
    <t>GWh</t>
  </si>
  <si>
    <t>1000 toe</t>
  </si>
  <si>
    <t>수입</t>
  </si>
  <si>
    <t>1000 bbl</t>
  </si>
  <si>
    <t>Year</t>
  </si>
  <si>
    <t>hard coal ($/MW)</t>
  </si>
  <si>
    <t>natural gas nonpeaker ($/MW)</t>
  </si>
  <si>
    <t>nuclear ($/MW)</t>
  </si>
  <si>
    <t>hydro ($/MW)</t>
  </si>
  <si>
    <t>onshore wind ($/MW)</t>
  </si>
  <si>
    <t>solar PV ($/MW)</t>
  </si>
  <si>
    <t>solar thermal ($/MW)</t>
  </si>
  <si>
    <t>biomass ($/MW)</t>
  </si>
  <si>
    <t>geothermal ($/MW)</t>
  </si>
  <si>
    <t>petroleum ($/MW)</t>
  </si>
  <si>
    <t>natural gas peaker ($/MW)</t>
  </si>
  <si>
    <t>lignite ($/MW)</t>
  </si>
  <si>
    <t>offshore wind ($/MW)</t>
  </si>
  <si>
    <t>crude oil ($/MWh)</t>
  </si>
  <si>
    <t>heavy or residual fuel oil ($/MWh)</t>
  </si>
  <si>
    <t>municipal solid waste ($/MWh)</t>
  </si>
  <si>
    <t>세액공제의 이월공제기간이 10년인 것을 적용한 데이터</t>
  </si>
  <si>
    <t>[CAPEX($/MW)</t>
  </si>
  <si>
    <t>[보조금 비율(BS-BSpUECB]</t>
  </si>
  <si>
    <t>d</t>
  </si>
  <si>
    <t>electricity</t>
  </si>
  <si>
    <t>hard coal ($/BTU)</t>
  </si>
  <si>
    <t>natural gas ($/BTU)</t>
  </si>
  <si>
    <t>wind</t>
  </si>
  <si>
    <t>solar</t>
  </si>
  <si>
    <t>biomass ($/BTU)</t>
  </si>
  <si>
    <t>petroleum gasoline ($/BTU)</t>
  </si>
  <si>
    <t>petroleum diesel ($/BTU)</t>
  </si>
  <si>
    <t>biofuel gasoline</t>
  </si>
  <si>
    <t>biofuel diesel</t>
  </si>
  <si>
    <t>jet fuel ($/BTU)</t>
  </si>
  <si>
    <t>heat</t>
  </si>
  <si>
    <t>lignite ($/BTU)</t>
  </si>
  <si>
    <t>crude oil</t>
  </si>
  <si>
    <t>heavy fuel oil</t>
  </si>
  <si>
    <t>LPG propane or butane</t>
  </si>
  <si>
    <t>municipal solid waste</t>
  </si>
  <si>
    <t>hydrogen</t>
  </si>
  <si>
    <t>crude oil ($/BTU)</t>
  </si>
  <si>
    <t>heavy fuel oil ($/BTU)</t>
  </si>
  <si>
    <t>hydrogen ($/BTU)</t>
  </si>
  <si>
    <t>hard coal</t>
  </si>
  <si>
    <t>natural gas steam turbine</t>
  </si>
  <si>
    <t>natural gas combined cycle</t>
  </si>
  <si>
    <t>solar PV</t>
  </si>
  <si>
    <t>solar thermal</t>
  </si>
  <si>
    <t>petroleum</t>
  </si>
  <si>
    <t>natural gas peaker</t>
  </si>
  <si>
    <t>lignite</t>
  </si>
  <si>
    <t>heavy or residual fuel oil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</si>
  <si>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</si>
  <si>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</si>
  <si>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</si>
  <si>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</si>
  <si>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</si>
  <si>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</si>
  <si>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</si>
  <si>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% of capital costs</t>
  </si>
  <si>
    <t>Most of the domestically produced fuel is anthracite coal; however, no upstream Thermal Fuel Subsidy exists for its production.</t>
  </si>
  <si>
    <t>As data suitable for EPS model inputs on nuclear power plant decommissioning costs in Korea was not publicly available, the value was set to 0 KRW.</t>
  </si>
  <si>
    <t>Subsidies paid for automatic stack monitoring equipment were allocated to BSpUEO by dividing them across anthracite and bituminous coal generation capacity.</t>
  </si>
  <si>
    <t>https://www.keei.re.kr/board.es?mid=a10101020000&amp;bid=0001&amp;act=view&amp;list_no=82053&amp;cg_code=C01&amp;act=view&amp;list_no=82053</t>
    <phoneticPr fontId="12" type="noConversion"/>
  </si>
  <si>
    <t>Cal-CAPEX 계산 정리 (계산 순서대로)</t>
  </si>
  <si>
    <t>원본: Cal-CAPEX 시트 기반 / 단위: $/kW (IRENA), 원/kW (한국 CAPEX)</t>
  </si>
  <si>
    <t>【 STEP 1 】 IRENA 글로벌 신재생에너지 설치단가 원본 데이터 ($/kW)</t>
  </si>
  <si>
    <t>에너지원</t>
  </si>
  <si>
    <t>설명</t>
  </si>
  <si>
    <t>태양광 (Solar PV)</t>
  </si>
  <si>
    <t>2010→2018 지속 하락</t>
  </si>
  <si>
    <t>육상풍력 (Onshore Wind)</t>
  </si>
  <si>
    <t>완만한 하락 추세</t>
  </si>
  <si>
    <t>해상풍력 (Offshore Wind)</t>
  </si>
  <si>
    <t>기준연도: 2018 ($4,245)</t>
  </si>
  <si>
    <t>수력 (Hydro)</t>
  </si>
  <si>
    <t>2019가격 고정 (비용상승+수요감소 상충가정)</t>
  </si>
  <si>
    <t>바이오 (Bio)</t>
  </si>
  <si>
    <t>2010-2019 평균가 고정 (규칙성 없음)</t>
  </si>
  <si>
    <t>► 실제 적용 기간: Solar PV / Onshore Wind → 2025−2050, Offshore Wind → 2018−2050</t>
  </si>
  <si>
    <t>CAGR (연평균 감소율)</t>
  </si>
  <si>
    <t>적용기간</t>
  </si>
  <si>
    <t>산정공식</t>
  </si>
  <si>
    <t>2025년 이후 적용</t>
  </si>
  <si>
    <t>= (2050년값 / 2025년값)^(1/연수) - 1</t>
  </si>
  <si>
    <t>2018년 이후 적용</t>
  </si>
  <si>
    <t>= (2050년값 / 2018년값)^(1/연수) - 1</t>
  </si>
  <si>
    <t>⚠️  수력/바이오: CAGR 미사용 (IRENA 데이터 고정)</t>
  </si>
  <si>
    <t>2030 min</t>
  </si>
  <si>
    <t>2030 max</t>
  </si>
  <si>
    <t>2030 적용값</t>
  </si>
  <si>
    <t>2050 min</t>
  </si>
  <si>
    <t>2050 max</t>
  </si>
  <si>
    <t>2050 적용값</t>
  </si>
  <si>
    <t>= min + (max - min) xd7 30%</t>
  </si>
  <si>
    <t>= min + |min - max| xd7 30%</t>
  </si>
  <si>
    <t>⚠️  사용 비율 30%는 사용자가정. 노란 배경이 키 변수</t>
  </si>
  <si>
    <t>【 STEP 4 】 한국 신재에너지 CAPEX 연도별 추정 (원/kW)</t>
  </si>
  <si>
    <t>► 파란색 셀 = 추정치(공식계산) / 흰색 셀 = 고정입력값 / 노란 배경 = 키 가정값 (2030, 2050 목표)</t>
  </si>
  <si>
    <t>► 단위: 원/kW</t>
  </si>
  <si>
    <t>2019년가격 고정 (1,709 $/kW)</t>
  </si>
  <si>
    <t>2010-2019 평균가 고정 (2,289 $/kW)</t>
  </si>
  <si>
    <t>▶ 구간별 추정 방식 요약</t>
  </si>
  <si>
    <t>구간</t>
  </si>
  <si>
    <t>기간</t>
  </si>
  <si>
    <t>태양광 / 육상풍력</t>
  </si>
  <si>
    <t>해상풍력</t>
  </si>
  <si>
    <t>구간 1 (실적)</t>
  </si>
  <si>
    <t>2020~2025</t>
  </si>
  <si>
    <t>한국 실측 CAPEX 기반 선형 보간 (5년 동안 일정 하락)</t>
  </si>
  <si>
    <t>2018 기준데이터에 CAGR (−2.6%/년) 적용</t>
  </si>
  <si>
    <t>구간 2 (연계)</t>
  </si>
  <si>
    <t>2026~2030</t>
  </si>
  <si>
    <t>IRENA 실적 기반 선형 감소 (1단계와 연계)</t>
  </si>
  <si>
    <t>CAGR 연속 적용</t>
  </si>
  <si>
    <t>구간 3 (장기)</t>
  </si>
  <si>
    <t>2031~2050</t>
  </si>
  <si>
    <t>CAGR 적용 (전년 xd7 (1 + CAGR))</t>
  </si>
  <si>
    <t>【 STEP 5 】 한국 CAPEX USD 환산 ($/kW)</t>
  </si>
  <si>
    <t>► 환산 공식: 원/kW xf7 1,000 xf7 환율(About시트 B92)</t>
  </si>
  <si>
    <t>► 예시: 태양광 2020 = 1,513원/kW xf7 1,000 xf7 1,180 = 1.28 $/kW</t>
  </si>
  <si>
    <t>환산 환율 (About시트)</t>
  </si>
  <si>
    <t>【 STEP 6 】 세액공제율 (조세특례제한법 제25조 2연)</t>
  </si>
  <si>
    <t>► CAPEX에 대한 세액공제 참고용 모수 (실제 적용 시 BSpUECB 시트 활용)</t>
  </si>
  <si>
    <t>기업 구분</t>
  </si>
  <si>
    <t>세액공제율</t>
  </si>
  <si>
    <t>■ 범레</t>
  </si>
  <si>
    <t>파란 텍스트</t>
  </si>
  <si>
    <t>= 공식으로 계산된 추정치 (Cal-CAPEX 시트에서 직접 참조)</t>
  </si>
  <si>
    <t>흰 배경 셀</t>
  </si>
  <si>
    <t>= 키 입력값 (2025년 실측 기준값)</t>
  </si>
  <si>
    <t>노란 배경 셀</t>
  </si>
  <si>
    <t>= 2030/2050 목표값 (IRENA 시나리오 기반 가정)</t>
  </si>
  <si>
    <t>노란 CAGR 비율에 근거</t>
  </si>
  <si>
    <t>= 사용자가 조정 가능한 키 변수 (30%, E35 셀)</t>
  </si>
  <si>
    <t>■ 계산 흐름 요약</t>
  </si>
  <si>
    <t>STEP 1 → IRENA 글로벌 데이터 ($/kW, 2010-2018)</t>
  </si>
  <si>
    <t>STEP 2 → IRENA 기반 CAGR 추정 (연평균 감소율)</t>
  </si>
  <si>
    <t>STEP 3 → 2030/2050 목표 CAPEX 가정 (min/max 범위 연구 기반)</t>
  </si>
  <si>
    <t>STEP 4 → 한국 원/kW CAPEX 2020-2050 연도별 추정 (수력/바이오는 IRENA 고정)</t>
  </si>
  <si>
    <t>STEP 5 → 원/kW xf7 1,000 xf7 환율 → $/kW USD 환산</t>
  </si>
  <si>
    <t>STEP 6 → 세액공제율 (BSpUECB 시트 활용)</t>
  </si>
  <si>
    <r>
      <rPr>
        <b/>
        <sz val="12"/>
        <color rgb="FFFFFFFF"/>
        <rFont val="맑은 고딕"/>
        <family val="3"/>
        <charset val="129"/>
      </rPr>
      <t>【</t>
    </r>
    <r>
      <rPr>
        <b/>
        <sz val="12"/>
        <color rgb="FFFFFFFF"/>
        <rFont val="Calibri"/>
        <family val="2"/>
        <scheme val="minor"/>
      </rPr>
      <t xml:space="preserve"> STEP 2 </t>
    </r>
    <r>
      <rPr>
        <b/>
        <sz val="12"/>
        <color rgb="FFFFFFFF"/>
        <rFont val="맑은 고딕"/>
        <family val="3"/>
        <charset val="129"/>
      </rPr>
      <t>】</t>
    </r>
    <r>
      <rPr>
        <b/>
        <sz val="12"/>
        <color rgb="FFFFFFFF"/>
        <rFont val="Calibri"/>
        <family val="2"/>
        <scheme val="minor"/>
      </rPr>
      <t xml:space="preserve"> 2030 / 2050</t>
    </r>
    <r>
      <rPr>
        <b/>
        <sz val="12"/>
        <color rgb="FFFFFFFF"/>
        <rFont val="맑은 고딕"/>
        <family val="3"/>
        <charset val="129"/>
      </rPr>
      <t>년</t>
    </r>
    <r>
      <rPr>
        <b/>
        <sz val="12"/>
        <color rgb="FFFFFFFF"/>
        <rFont val="Calibri"/>
        <family val="2"/>
        <scheme val="minor"/>
      </rPr>
      <t xml:space="preserve"> CAPEX </t>
    </r>
    <r>
      <rPr>
        <b/>
        <sz val="12"/>
        <color rgb="FFFFFFFF"/>
        <rFont val="맑은 고딕"/>
        <family val="3"/>
        <charset val="129"/>
      </rPr>
      <t>목표값</t>
    </r>
    <r>
      <rPr>
        <b/>
        <sz val="12"/>
        <color rgb="FFFFFFFF"/>
        <rFont val="Calibri"/>
        <family val="2"/>
        <scheme val="minor"/>
      </rPr>
      <t xml:space="preserve"> </t>
    </r>
    <r>
      <rPr>
        <b/>
        <sz val="12"/>
        <color rgb="FFFFFFFF"/>
        <rFont val="맑은 고딕"/>
        <family val="3"/>
        <charset val="129"/>
      </rPr>
      <t>가정</t>
    </r>
    <r>
      <rPr>
        <b/>
        <sz val="12"/>
        <color rgb="FFFFFFFF"/>
        <rFont val="Calibri"/>
        <family val="2"/>
        <scheme val="minor"/>
      </rPr>
      <t xml:space="preserve"> ($/kW)</t>
    </r>
    <phoneticPr fontId="12" type="noConversion"/>
  </si>
  <si>
    <r>
      <rPr>
        <b/>
        <sz val="12"/>
        <color rgb="FFFFFFFF"/>
        <rFont val="맑은 고딕"/>
        <family val="3"/>
        <charset val="129"/>
      </rPr>
      <t>【</t>
    </r>
    <r>
      <rPr>
        <b/>
        <sz val="12"/>
        <color rgb="FFFFFFFF"/>
        <rFont val="Calibri"/>
        <family val="2"/>
        <scheme val="minor"/>
      </rPr>
      <t xml:space="preserve"> STEP 3 </t>
    </r>
    <r>
      <rPr>
        <b/>
        <sz val="12"/>
        <color rgb="FFFFFFFF"/>
        <rFont val="맑은 고딕"/>
        <family val="3"/>
        <charset val="129"/>
      </rPr>
      <t>】</t>
    </r>
    <r>
      <rPr>
        <b/>
        <sz val="12"/>
        <color rgb="FFFFFFFF"/>
        <rFont val="Calibri"/>
        <family val="2"/>
        <scheme val="minor"/>
      </rPr>
      <t xml:space="preserve"> CAGR (</t>
    </r>
    <r>
      <rPr>
        <b/>
        <sz val="12"/>
        <color rgb="FFFFFFFF"/>
        <rFont val="맑은 고딕"/>
        <family val="3"/>
        <charset val="129"/>
      </rPr>
      <t>연평균성장률</t>
    </r>
    <r>
      <rPr>
        <b/>
        <sz val="12"/>
        <color rgb="FFFFFFFF"/>
        <rFont val="Calibri"/>
        <family val="2"/>
        <scheme val="minor"/>
      </rPr>
      <t xml:space="preserve">) </t>
    </r>
    <r>
      <rPr>
        <b/>
        <sz val="12"/>
        <color rgb="FFFFFFFF"/>
        <rFont val="맑은 고딕"/>
        <family val="3"/>
        <charset val="129"/>
      </rPr>
      <t>계산</t>
    </r>
    <r>
      <rPr>
        <b/>
        <sz val="12"/>
        <color rgb="FFFFFFFF"/>
        <rFont val="Calibri"/>
        <family val="2"/>
        <scheme val="minor"/>
      </rPr>
      <t xml:space="preserve"> - IRENA </t>
    </r>
    <r>
      <rPr>
        <b/>
        <sz val="12"/>
        <color rgb="FFFFFFFF"/>
        <rFont val="맑은 고딕"/>
        <family val="3"/>
        <charset val="129"/>
      </rPr>
      <t>글로벌</t>
    </r>
    <r>
      <rPr>
        <b/>
        <sz val="12"/>
        <color rgb="FFFFFFFF"/>
        <rFont val="Calibri"/>
        <family val="2"/>
        <scheme val="minor"/>
      </rPr>
      <t xml:space="preserve"> </t>
    </r>
    <r>
      <rPr>
        <b/>
        <sz val="12"/>
        <color rgb="FFFFFFFF"/>
        <rFont val="맑은 고딕"/>
        <family val="3"/>
        <charset val="129"/>
      </rPr>
      <t>데이터</t>
    </r>
    <r>
      <rPr>
        <b/>
        <sz val="12"/>
        <color rgb="FFFFFFFF"/>
        <rFont val="Calibri"/>
        <family val="2"/>
        <scheme val="minor"/>
      </rPr>
      <t xml:space="preserve"> </t>
    </r>
    <r>
      <rPr>
        <b/>
        <sz val="12"/>
        <color rgb="FFFFFFFF"/>
        <rFont val="맑은 고딕"/>
        <family val="3"/>
        <charset val="129"/>
      </rPr>
      <t>기반</t>
    </r>
    <phoneticPr fontId="12" type="noConversion"/>
  </si>
  <si>
    <r>
      <rPr>
        <i/>
        <sz val="10"/>
        <color rgb="FF595959"/>
        <rFont val="Segoe UI Symbol"/>
        <family val="2"/>
      </rPr>
      <t>►</t>
    </r>
    <r>
      <rPr>
        <i/>
        <sz val="10"/>
        <color rgb="FF595959"/>
        <rFont val="Calibri"/>
        <family val="2"/>
        <scheme val="minor"/>
      </rPr>
      <t xml:space="preserve"> min/max </t>
    </r>
    <r>
      <rPr>
        <i/>
        <sz val="10"/>
        <color rgb="FF595959"/>
        <rFont val="맑은 고딕"/>
        <family val="3"/>
        <charset val="129"/>
      </rPr>
      <t>범위를</t>
    </r>
    <r>
      <rPr>
        <i/>
        <sz val="10"/>
        <color rgb="FF595959"/>
        <rFont val="Calibri"/>
        <family val="2"/>
        <scheme val="minor"/>
      </rPr>
      <t xml:space="preserve"> </t>
    </r>
    <r>
      <rPr>
        <i/>
        <sz val="10"/>
        <color rgb="FF595959"/>
        <rFont val="맑은 고딕"/>
        <family val="3"/>
        <charset val="129"/>
      </rPr>
      <t>이용하여</t>
    </r>
    <r>
      <rPr>
        <i/>
        <sz val="10"/>
        <color rgb="FF595959"/>
        <rFont val="Calibri"/>
        <family val="2"/>
        <scheme val="minor"/>
      </rPr>
      <t xml:space="preserve"> IRENA </t>
    </r>
    <r>
      <rPr>
        <i/>
        <sz val="10"/>
        <color rgb="FF595959"/>
        <rFont val="맑은 고딕"/>
        <family val="3"/>
        <charset val="129"/>
      </rPr>
      <t>시나리오</t>
    </r>
    <r>
      <rPr>
        <i/>
        <sz val="10"/>
        <color rgb="FF595959"/>
        <rFont val="Calibri"/>
        <family val="2"/>
        <scheme val="minor"/>
      </rPr>
      <t xml:space="preserve"> </t>
    </r>
    <r>
      <rPr>
        <i/>
        <sz val="10"/>
        <color rgb="FF595959"/>
        <rFont val="맑은 고딕"/>
        <family val="3"/>
        <charset val="129"/>
      </rPr>
      <t>중압값</t>
    </r>
    <r>
      <rPr>
        <i/>
        <sz val="10"/>
        <color rgb="FF595959"/>
        <rFont val="Calibri"/>
        <family val="2"/>
        <scheme val="minor"/>
      </rPr>
      <t xml:space="preserve"> </t>
    </r>
    <r>
      <rPr>
        <i/>
        <sz val="10"/>
        <color rgb="FF595959"/>
        <rFont val="맑은 고딕"/>
        <family val="3"/>
        <charset val="129"/>
      </rPr>
      <t>적용</t>
    </r>
    <r>
      <rPr>
        <i/>
        <sz val="10"/>
        <color rgb="FF595959"/>
        <rFont val="Calibri"/>
        <family val="2"/>
        <scheme val="minor"/>
      </rPr>
      <t xml:space="preserve"> (</t>
    </r>
    <r>
      <rPr>
        <i/>
        <sz val="10"/>
        <color rgb="FF595959"/>
        <rFont val="맑은 고딕"/>
        <family val="3"/>
        <charset val="129"/>
      </rPr>
      <t>비율</t>
    </r>
    <r>
      <rPr>
        <i/>
        <sz val="10"/>
        <color rgb="FF595959"/>
        <rFont val="Calibri"/>
        <family val="2"/>
        <scheme val="minor"/>
      </rPr>
      <t xml:space="preserve"> 30% </t>
    </r>
    <r>
      <rPr>
        <i/>
        <sz val="10"/>
        <color rgb="FF595959"/>
        <rFont val="맑은 고딕"/>
        <family val="3"/>
        <charset val="129"/>
      </rPr>
      <t>위치</t>
    </r>
    <r>
      <rPr>
        <i/>
        <sz val="10"/>
        <color rgb="FF595959"/>
        <rFont val="Calibri"/>
        <family val="2"/>
        <scheme val="minor"/>
      </rPr>
      <t>)</t>
    </r>
    <phoneticPr fontId="12" type="noConversion"/>
  </si>
  <si>
    <t>`</t>
    <phoneticPr fontId="12" type="noConversion"/>
  </si>
  <si>
    <t>Turn #</t>
  </si>
  <si>
    <t>Date</t>
  </si>
  <si>
    <t>User Request</t>
  </si>
  <si>
    <t>Action Taken</t>
  </si>
  <si>
    <t>Details</t>
  </si>
  <si>
    <t>Outcome</t>
  </si>
  <si>
    <t>Subsidies Paid' 시트의 D16:N18 범위가 어떻게 계산되었는지 설명 요청</t>
  </si>
  <si>
    <t>수식 분석 및 계산 로직 설명</t>
  </si>
  <si>
    <t>D16:N18은 무연탄/유연탄 연도별 발전기여도(MWh) 추정 테이블. 18행(무연탄)=INDEX/MATCH로 석탄 전체발전량 조회 × G13(무연탄 설비비율 ≈1.13%) × 10^3. 17행(유연탄)=전체발전량×10^3 - 18행. G13=E13/SUM(E12:E13). 설비비율을 발전기여도 proxy로 사용.</t>
  </si>
  <si>
    <t>수식 로직 및 배경 설명 완료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</si>
</sst>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* #,##0_-;\-* #,##0_-;_-* &quot;-&quot;_-;_-@_-"/>
    <numFmt numFmtId="165" formatCode="0.E+00"/>
    <numFmt numFmtId="166" formatCode="#,##0_ "/>
    <numFmt numFmtId="171" formatCode="#,##0.0_ "/>
    <numFmt numFmtId="172" formatCode="0.000%"/>
  </numFmts>
  <fonts count="34">
    <font>
      <sz val="11"/>
      <color theme="1"/>
      <name val="Calibri"/>
      <scheme val="minor"/>
    </font>
    <font>
      <b/>
      <sz val="11"/>
      <color theme="1"/>
      <name val="Malgun Gothic"/>
      <family val="3"/>
      <charset val="129"/>
    </font>
    <font>
      <sz val="11"/>
      <color theme="1"/>
      <name val="Malgun Gothic"/>
      <family val="3"/>
      <charset val="129"/>
    </font>
    <font>
      <u/>
      <sz val="11"/>
      <color theme="10"/>
      <name val="Malgun Gothic"/>
      <family val="3"/>
      <charset val="129"/>
    </font>
    <font>
      <u/>
      <sz val="11"/>
      <color theme="10"/>
      <name val="Malgun Gothic"/>
      <family val="3"/>
      <charset val="129"/>
    </font>
    <font>
      <u/>
      <sz val="11"/>
      <color theme="1"/>
      <name val="Malgun Gothic"/>
      <family val="3"/>
      <charset val="129"/>
    </font>
    <font>
      <sz val="11"/>
      <color theme="1"/>
      <name val="Calibri"/>
      <family val="2"/>
      <scheme val="minor"/>
    </font>
    <font>
      <b/>
      <sz val="10"/>
      <color theme="1"/>
      <name val="Arial"/>
      <family val="2"/>
    </font>
    <font>
      <sz val="11"/>
      <name val="Calibri"/>
      <family val="2"/>
    </font>
    <font>
      <i/>
      <sz val="11"/>
      <color theme="1"/>
      <name val="Malgun Gothic"/>
      <family val="3"/>
      <charset val="129"/>
    </font>
    <font>
      <sz val="11"/>
      <color rgb="FF000000"/>
      <name val="Malgun Gothic"/>
      <family val="3"/>
      <charset val="129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u/>
      <sz val="11"/>
      <color theme="10"/>
      <name val="Calibri"/>
      <family val="2"/>
      <scheme val="minor"/>
    </font>
    <font>
      <b/>
      <sz val="14"/>
      <color rgb="FFFFFFFF"/>
      <name val="Calibri"/>
      <family val="2"/>
      <scheme val="minor"/>
    </font>
    <font>
      <sz val="11"/>
      <color rgb="FF595959"/>
      <name val="Calibri"/>
      <family val="2"/>
      <scheme val="minor"/>
    </font>
    <font>
      <i/>
      <sz val="10"/>
      <color rgb="FF595959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1F4E79"/>
      <name val="Calibri"/>
      <family val="2"/>
      <scheme val="minor"/>
    </font>
    <font>
      <i/>
      <sz val="11"/>
      <color rgb="FF595959"/>
      <name val="Calibri"/>
      <family val="2"/>
      <scheme val="minor"/>
    </font>
    <font>
      <sz val="11"/>
      <color rgb="FF7F7F7F"/>
      <name val="Calibri"/>
      <family val="2"/>
      <scheme val="minor"/>
    </font>
    <font>
      <b/>
      <sz val="10"/>
      <color rgb="FFC00000"/>
      <name val="Calibri"/>
      <family val="2"/>
      <scheme val="minor"/>
    </font>
    <font>
      <sz val="11"/>
      <color rgb="FF0070C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color rgb="FF1F4E79"/>
      <name val="Calibri"/>
      <family val="2"/>
      <scheme val="minor"/>
    </font>
    <font>
      <b/>
      <sz val="11"/>
      <color rgb="FFC00000"/>
      <name val="Calibri"/>
      <family val="2"/>
      <scheme val="minor"/>
    </font>
    <font>
      <b/>
      <sz val="12"/>
      <color rgb="FFFFFFFF"/>
      <name val="Calibri"/>
      <family val="3"/>
      <charset val="129"/>
      <scheme val="minor"/>
    </font>
    <font>
      <b/>
      <sz val="12"/>
      <color rgb="FFFFFFFF"/>
      <name val="맑은 고딕"/>
      <family val="3"/>
      <charset val="129"/>
    </font>
    <font>
      <i/>
      <sz val="10"/>
      <color rgb="FF595959"/>
      <name val="Calibri"/>
      <family val="3"/>
      <charset val="129"/>
      <scheme val="minor"/>
    </font>
    <font>
      <i/>
      <sz val="10"/>
      <color rgb="FF595959"/>
      <name val="Segoe UI Symbol"/>
      <family val="2"/>
    </font>
    <font>
      <i/>
      <sz val="10"/>
      <color rgb="FF595959"/>
      <name val="맑은 고딕"/>
      <family val="3"/>
      <charset val="129"/>
    </font>
    <font>
      <b/>
      <sz val="11"/>
      <color rgb="FFFFFFFF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rgb="FFC0C0C0"/>
        <bgColor rgb="FFC0C0C0"/>
      </patternFill>
    </fill>
    <fill>
      <patternFill patternType="solid">
        <fgColor rgb="FFBCCCE0"/>
        <bgColor rgb="FFBCCCE0"/>
      </patternFill>
    </fill>
    <fill>
      <patternFill patternType="solid">
        <fgColor rgb="FFF0EBD7"/>
        <bgColor rgb="FFF0EBD7"/>
      </patternFill>
    </fill>
    <fill>
      <patternFill patternType="solid">
        <fgColor rgb="FFE2ECF8"/>
        <bgColor rgb="FFE2ECF8"/>
      </patternFill>
    </fill>
    <fill>
      <patternFill patternType="solid">
        <fgColor rgb="FFFFFF00"/>
        <bgColor rgb="FFFFFF00"/>
      </patternFill>
    </fill>
    <fill>
      <patternFill patternType="solid">
        <fgColor rgb="FF1F4E79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 style="medium">
        <color rgb="FF000000"/>
      </bottom>
      <diagonal/>
    </border>
  </borders>
  <cellStyleXfs count="3">
    <xf numFmtId="0" fontId="0" fillId="0" borderId="0"/>
    <xf numFmtId="164" fontId="11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/>
  </cellStyleXfs>
  <cellXfs count="95">
    <xf numFmtId="0" fontId="0" fillId="0" borderId="0" xfId="0"/>
    <xf numFmtId="0" fontId="1" fillId="0" borderId="0" xfId="0" applyFont="1"/>
    <xf numFmtId="0" fontId="2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0" fontId="1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2" fillId="0" borderId="0" xfId="0" applyFont="1" applyAlignment="1">
      <alignment horizontal="left"/>
    </xf>
    <xf numFmtId="0" fontId="1" fillId="2" borderId="1" xfId="0" applyFont="1" applyFill="1" applyBorder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2" fillId="0" borderId="0" xfId="0" applyFont="1" applyAlignment="1">
      <alignment horizontal="right" vertic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0" fontId="2" fillId="0" borderId="0" xfId="0" applyFont="1" applyAlignment="1">
      <alignment vertical="center" wrapText="1"/>
    </xf>
    <xf numFmtId="0" fontId="2" fillId="0" borderId="0" xfId="0" applyFont="1" applyAlignment="1">
      <alignment horizontal="right"/>
    </xf>
    <xf numFmtId="0" fontId="6" fillId="0" borderId="0" xfId="0" applyFont="1"/>
    <xf numFmtId="0" fontId="7" fillId="3" borderId="4" xfId="0" applyFont="1" applyFill="1" applyBorder="1" applyAlignment="1">
      <alignment horizontal="center" vertical="center"/>
    </xf>
    <xf numFmtId="3" fontId="2" fillId="0" borderId="4" xfId="0" applyNumberFormat="1" applyFont="1" applyBorder="1" applyAlignment="1">
      <alignment horizontal="right" vertical="center"/>
    </xf>
    <xf numFmtId="0" fontId="2" fillId="0" borderId="4" xfId="0" applyFont="1" applyBorder="1" applyAlignment="1">
      <alignment horizontal="right" vertical="center"/>
    </xf>
    <xf numFmtId="0" fontId="2" fillId="5" borderId="4" xfId="0" applyFont="1" applyFill="1" applyBorder="1"/>
    <xf numFmtId="0" fontId="2" fillId="6" borderId="9" xfId="0" applyFont="1" applyFill="1" applyBorder="1"/>
    <xf numFmtId="3" fontId="2" fillId="0" borderId="4" xfId="0" applyNumberFormat="1" applyFont="1" applyBorder="1" applyAlignment="1">
      <alignment horizontal="right"/>
    </xf>
    <xf numFmtId="0" fontId="2" fillId="6" borderId="10" xfId="0" applyFont="1" applyFill="1" applyBorder="1"/>
    <xf numFmtId="0" fontId="2" fillId="6" borderId="4" xfId="0" applyFont="1" applyFill="1" applyBorder="1"/>
    <xf numFmtId="0" fontId="1" fillId="0" borderId="0" xfId="0" applyFont="1" applyAlignment="1">
      <alignment horizontal="left"/>
    </xf>
    <xf numFmtId="0" fontId="9" fillId="0" borderId="0" xfId="0" applyFont="1" applyAlignment="1">
      <alignment horizontal="left"/>
    </xf>
    <xf numFmtId="0" fontId="2" fillId="0" borderId="0" xfId="0" applyFont="1" applyAlignment="1">
      <alignment wrapText="1"/>
    </xf>
    <xf numFmtId="0" fontId="2" fillId="7" borderId="1" xfId="0" applyFont="1" applyFill="1" applyBorder="1" applyAlignment="1">
      <alignment horizontal="left"/>
    </xf>
    <xf numFmtId="0" fontId="2" fillId="7" borderId="1" xfId="0" applyFont="1" applyFill="1" applyBorder="1"/>
    <xf numFmtId="0" fontId="2" fillId="0" borderId="0" xfId="0" applyFont="1"/>
    <xf numFmtId="3" fontId="2" fillId="0" borderId="0" xfId="0" applyNumberFormat="1" applyFont="1"/>
    <xf numFmtId="10" fontId="2" fillId="0" borderId="0" xfId="0" applyNumberFormat="1" applyFont="1"/>
    <xf numFmtId="165" fontId="2" fillId="0" borderId="0" xfId="0" applyNumberFormat="1" applyFont="1"/>
    <xf numFmtId="0" fontId="2" fillId="0" borderId="0" xfId="0" applyFont="1" applyAlignment="1">
      <alignment horizontal="center"/>
    </xf>
    <xf numFmtId="0" fontId="2" fillId="0" borderId="0" xfId="0" quotePrefix="1" applyFont="1"/>
    <xf numFmtId="166" fontId="2" fillId="0" borderId="0" xfId="0" applyNumberFormat="1" applyFont="1"/>
    <xf numFmtId="166" fontId="2" fillId="0" borderId="11" xfId="0" applyNumberFormat="1" applyFont="1" applyBorder="1"/>
    <xf numFmtId="1" fontId="2" fillId="0" borderId="0" xfId="0" applyNumberFormat="1" applyFont="1"/>
    <xf numFmtId="11" fontId="2" fillId="0" borderId="0" xfId="0" applyNumberFormat="1" applyFont="1"/>
    <xf numFmtId="0" fontId="10" fillId="0" borderId="0" xfId="0" applyFont="1" applyAlignment="1">
      <alignment vertical="center"/>
    </xf>
    <xf numFmtId="0" fontId="13" fillId="0" borderId="0" xfId="2" applyAlignment="1">
      <alignment horizontal="left" vertical="center"/>
    </xf>
    <xf numFmtId="0" fontId="15" fillId="0" borderId="0" xfId="0" applyFont="1"/>
    <xf numFmtId="0" fontId="16" fillId="0" borderId="0" xfId="0" applyFont="1"/>
    <xf numFmtId="0" fontId="18" fillId="10" borderId="0" xfId="0" applyFont="1" applyFill="1" applyAlignment="1">
      <alignment horizontal="center"/>
    </xf>
    <xf numFmtId="0" fontId="19" fillId="0" borderId="0" xfId="0" applyFont="1"/>
    <xf numFmtId="171" fontId="0" fillId="0" borderId="0" xfId="0" applyNumberFormat="1"/>
    <xf numFmtId="0" fontId="20" fillId="0" borderId="0" xfId="0" applyFont="1"/>
    <xf numFmtId="0" fontId="21" fillId="0" borderId="0" xfId="0" applyFont="1"/>
    <xf numFmtId="171" fontId="21" fillId="0" borderId="0" xfId="0" applyNumberFormat="1" applyFont="1"/>
    <xf numFmtId="172" fontId="0" fillId="0" borderId="0" xfId="0" applyNumberFormat="1"/>
    <xf numFmtId="0" fontId="15" fillId="0" borderId="0" xfId="0" quotePrefix="1" applyFont="1"/>
    <xf numFmtId="0" fontId="20" fillId="0" borderId="0" xfId="0" quotePrefix="1" applyFont="1"/>
    <xf numFmtId="0" fontId="22" fillId="0" borderId="0" xfId="0" applyFont="1"/>
    <xf numFmtId="0" fontId="18" fillId="11" borderId="0" xfId="0" applyFont="1" applyFill="1" applyAlignment="1">
      <alignment horizontal="center"/>
    </xf>
    <xf numFmtId="166" fontId="0" fillId="0" borderId="0" xfId="0" applyNumberFormat="1"/>
    <xf numFmtId="171" fontId="0" fillId="11" borderId="0" xfId="0" applyNumberFormat="1" applyFill="1"/>
    <xf numFmtId="0" fontId="23" fillId="0" borderId="0" xfId="0" applyFont="1"/>
    <xf numFmtId="0" fontId="24" fillId="0" borderId="0" xfId="0" applyFont="1"/>
    <xf numFmtId="0" fontId="18" fillId="13" borderId="0" xfId="0" applyFont="1" applyFill="1" applyAlignment="1">
      <alignment horizontal="center"/>
    </xf>
    <xf numFmtId="0" fontId="0" fillId="0" borderId="0" xfId="0" applyAlignment="1">
      <alignment horizontal="center"/>
    </xf>
    <xf numFmtId="9" fontId="0" fillId="0" borderId="0" xfId="0" applyNumberFormat="1"/>
    <xf numFmtId="0" fontId="0" fillId="14" borderId="0" xfId="0" applyFill="1"/>
    <xf numFmtId="0" fontId="0" fillId="15" borderId="0" xfId="0" applyFill="1"/>
    <xf numFmtId="0" fontId="27" fillId="0" borderId="0" xfId="0" quotePrefix="1" applyFont="1"/>
    <xf numFmtId="164" fontId="0" fillId="0" borderId="0" xfId="1" applyFont="1" applyAlignment="1"/>
    <xf numFmtId="164" fontId="19" fillId="0" borderId="0" xfId="1" applyFont="1" applyAlignment="1"/>
    <xf numFmtId="164" fontId="23" fillId="15" borderId="0" xfId="1" applyFont="1" applyFill="1" applyAlignment="1"/>
    <xf numFmtId="164" fontId="23" fillId="0" borderId="0" xfId="1" applyFont="1" applyAlignment="1"/>
    <xf numFmtId="0" fontId="33" fillId="8" borderId="0" xfId="0" applyFont="1" applyFill="1"/>
    <xf numFmtId="14" fontId="0" fillId="0" borderId="0" xfId="0" applyNumberFormat="1"/>
    <xf numFmtId="0" fontId="0" fillId="0" borderId="0" xfId="0" quotePrefix="1"/>
    <xf numFmtId="0" fontId="7" fillId="3" borderId="5" xfId="0" applyFont="1" applyFill="1" applyBorder="1" applyAlignment="1">
      <alignment horizontal="center" vertical="center"/>
    </xf>
    <xf numFmtId="0" fontId="8" fillId="0" borderId="6" xfId="0" applyFont="1" applyBorder="1"/>
    <xf numFmtId="0" fontId="7" fillId="3" borderId="2" xfId="0" applyFont="1" applyFill="1" applyBorder="1" applyAlignment="1">
      <alignment horizontal="center" vertical="center"/>
    </xf>
    <xf numFmtId="0" fontId="8" fillId="0" borderId="3" xfId="0" applyFont="1" applyBorder="1"/>
    <xf numFmtId="0" fontId="2" fillId="4" borderId="5" xfId="0" applyFont="1" applyFill="1" applyBorder="1" applyAlignment="1">
      <alignment vertical="center"/>
    </xf>
    <xf numFmtId="0" fontId="8" fillId="0" borderId="8" xfId="0" applyFont="1" applyBorder="1"/>
    <xf numFmtId="0" fontId="2" fillId="5" borderId="2" xfId="0" applyFont="1" applyFill="1" applyBorder="1"/>
    <xf numFmtId="0" fontId="8" fillId="0" borderId="7" xfId="0" applyFont="1" applyBorder="1"/>
    <xf numFmtId="0" fontId="25" fillId="12" borderId="0" xfId="0" applyFont="1" applyFill="1"/>
    <xf numFmtId="0" fontId="16" fillId="0" borderId="0" xfId="0" applyFont="1"/>
    <xf numFmtId="0" fontId="14" fillId="8" borderId="0" xfId="0" applyFont="1" applyFill="1"/>
    <xf numFmtId="0" fontId="17" fillId="9" borderId="0" xfId="0" applyFont="1" applyFill="1"/>
    <xf numFmtId="0" fontId="28" fillId="9" borderId="0" xfId="0" applyFont="1" applyFill="1"/>
    <xf numFmtId="0" fontId="30" fillId="0" borderId="0" xfId="0" applyFont="1"/>
    <xf numFmtId="0" fontId="26" fillId="12" borderId="0" xfId="0" applyFont="1" applyFill="1"/>
    <xf numFmtId="0" fontId="18" fillId="12" borderId="0" xfId="0" applyFont="1" applyFill="1"/>
    <xf numFmtId="0" fontId="6" fillId="0" borderId="0" xfId="0" applyNumberFormat="1" applyFont="1"/>
    <xf numFmtId="0" fontId="0" fillId="0" borderId="0" xfId="0" applyNumberFormat="1"/>
    <xf numFmtId="0" fontId="2" fillId="0" borderId="0" xfId="0" applyNumberFormat="1" applyFont="1"/>
    <xf numFmtId="0" fontId="10" fillId="0" borderId="0" xfId="0" applyNumberFormat="1" applyFont="1" applyAlignment="1">
      <alignment vertical="center"/>
    </xf>
    <xf numFmtId="0" fontId="2" fillId="0" borderId="0" xfId="1" applyNumberFormat="1" applyFont="1" applyAlignment="1"/>
    <xf numFmtId="0" fontId="2" fillId="7" borderId="1" xfId="0" applyNumberFormat="1" applyFont="1" applyFill="1" applyBorder="1"/>
  </cellXfs>
  <cellStyles count="3">
    <cellStyle name="Comma [0]" xfId="1" builtinId="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customschemas.google.com/relationships/workbookmetadata" Target="metadata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externalLink" Target="externalLinks/externalLink1.xml"/><Relationship Id="rId27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png"/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1104900</xdr:colOff>
      <xdr:row>10</xdr:row>
      <xdr:rowOff>28575</xdr:rowOff>
    </xdr:from>
    <xdr:ext cx="4333875" cy="1362075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114300</xdr:colOff>
      <xdr:row>6</xdr:row>
      <xdr:rowOff>200025</xdr:rowOff>
    </xdr:from>
    <xdr:ext cx="4619625" cy="3200400"/>
    <xdr:pic>
      <xdr:nvPicPr>
        <xdr:cNvPr id="2" name="image4.png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76200</xdr:colOff>
      <xdr:row>8</xdr:row>
      <xdr:rowOff>66675</xdr:rowOff>
    </xdr:from>
    <xdr:ext cx="4695825" cy="2809875"/>
    <xdr:pic>
      <xdr:nvPicPr>
        <xdr:cNvPr id="3" name="image3.png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133350</xdr:colOff>
      <xdr:row>29</xdr:row>
      <xdr:rowOff>114300</xdr:rowOff>
    </xdr:from>
    <xdr:ext cx="3724275" cy="3390900"/>
    <xdr:pic>
      <xdr:nvPicPr>
        <xdr:cNvPr id="4" name="image2.png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95250</xdr:colOff>
      <xdr:row>49</xdr:row>
      <xdr:rowOff>171451</xdr:rowOff>
    </xdr:from>
    <xdr:ext cx="4762500" cy="2238374"/>
    <xdr:pic>
      <xdr:nvPicPr>
        <xdr:cNvPr id="2" name="image5.png">
          <a:extLst>
            <a:ext uri="{FF2B5EF4-FFF2-40B4-BE49-F238E27FC236}">
              <a16:creationId xmlns:a16="http://schemas.microsoft.com/office/drawing/2014/main" id="{C856C7D2-5733-41E1-8F46-97FDE1D2DF2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5495925" y="12325351"/>
          <a:ext cx="4762500" cy="2238374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495301</xdr:colOff>
      <xdr:row>49</xdr:row>
      <xdr:rowOff>104775</xdr:rowOff>
    </xdr:from>
    <xdr:to>
      <xdr:col>3</xdr:col>
      <xdr:colOff>783834</xdr:colOff>
      <xdr:row>62</xdr:row>
      <xdr:rowOff>133350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B071DBF6-6C4B-4CF5-A32D-C58F802665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95301" y="12258675"/>
          <a:ext cx="4736708" cy="2505075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Users/MeganMahajan/Documents/eps-us-analysis/InputData/fuels/BFPaT/BAU%20Fuel%20Prices%20and%20Taxes.xlsx" TargetMode="External"/><Relationship Id="rId1" Type="http://schemas.openxmlformats.org/officeDocument/2006/relationships/externalLinkPath" Target="/Users/MeganMahajan/Documents/eps-us-analysis/InputData/fuels/BFPaT/BAU%20Fuel%20Prices%20and%20Tax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bout"/>
      <sheetName val="AEO 2023 Table 2"/>
      <sheetName val="AEO 2022 Table 2"/>
      <sheetName val="Gas Futures"/>
      <sheetName val="Henry Hub Historicals"/>
      <sheetName val="NG Sector Price Historicals"/>
      <sheetName val="Historical Monthly Gas Cons"/>
      <sheetName val="NG Calcs"/>
      <sheetName val="AEO 2023 Table 3"/>
      <sheetName val="AEO 2022 Table 3"/>
      <sheetName val="AEO 2023 Table 12"/>
      <sheetName val="AEO 2022 Table 12"/>
      <sheetName val="AEO 2023 Table 57"/>
      <sheetName val="AEO 2022 Table 57"/>
      <sheetName val="AEO Table 57"/>
      <sheetName val="STEO"/>
      <sheetName val="Hard Coal and Lig Multipliers"/>
      <sheetName val="Hydrogen"/>
      <sheetName val="Transp Charging"/>
      <sheetName val="Other Fuels"/>
      <sheetName val="Inflation Reduction Act"/>
      <sheetName val="Tax Percentages"/>
      <sheetName val="Pretax &gt;"/>
      <sheetName val="BFPaT-pretax-electricity"/>
      <sheetName val="BFPaT-pretax-coal"/>
      <sheetName val="BFPaT-pretax-natgas"/>
      <sheetName val="BFPaT-pretax-nuclear"/>
      <sheetName val="BFPaT-pretax-hydro"/>
      <sheetName val="BFPaT-pretax-wind"/>
      <sheetName val="BFPaT-pretax-solar"/>
      <sheetName val="BFPaT-pretax-biomass"/>
      <sheetName val="BFPaT-pretax-petgas"/>
      <sheetName val="BFPaT-pretax-petdies"/>
      <sheetName val="BFPaT-pretax-biogas"/>
      <sheetName val="BFPaT-pretax-biodies"/>
      <sheetName val="BFPaT-pretax-jetkerosene"/>
      <sheetName val="BFPaT-pretax-heat"/>
      <sheetName val="BFPaT-pretax-geothermal"/>
      <sheetName val="BFPaT-pretax-lignite"/>
      <sheetName val="BFPaT-pretax-crude"/>
      <sheetName val="BFPaT-pretax-heavyfueloil"/>
      <sheetName val="BFPaT-pretax-lpgpropbut"/>
      <sheetName val="BFPaT-pretax-msw"/>
      <sheetName val="BFPaT-pretax-hydrogen"/>
      <sheetName val="Summary_pretax"/>
      <sheetName val="Fuel Tax &gt;"/>
      <sheetName val="BFPaT-fueltax-electricity"/>
      <sheetName val="BFPaT-fueltax-coal"/>
      <sheetName val="BFPaT-fueltax-natgas"/>
      <sheetName val="BFPaT-fueltax-nuclear"/>
      <sheetName val="BFPaT-fueltax-hydro"/>
      <sheetName val="BFPaT-fueltax-wind"/>
      <sheetName val="BFPaT-fueltax-solar"/>
      <sheetName val="BFPaT-fueltax-biomass"/>
      <sheetName val="BFPaT-fueltax-petgas"/>
      <sheetName val="BFPaT-fueltax-petdies"/>
      <sheetName val="BFPaT-fueltax-biogas"/>
      <sheetName val="BFPaT-fueltax-biodies"/>
      <sheetName val="BFPaT-fueltax-jetkerosene"/>
      <sheetName val="BFPaT-fueltax-heat"/>
      <sheetName val="BFPaT-fueltax-geothermal"/>
      <sheetName val="BFPaT-fueltax-lignite"/>
      <sheetName val="BFPaT-fueltax-crude"/>
      <sheetName val="BFPaT-fueltax-heavyfueloil"/>
      <sheetName val="BFPaT-fueltax-lpgpropbut"/>
      <sheetName val="BFPaT-fueltax-msw"/>
      <sheetName val="BFPaT-fueltax-hydrogen"/>
      <sheetName val="Summary_ta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976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E3292A3-2002-40F9-BA95-F83F36FF103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1770b754-e086-4f4b-b493-296da2faf16e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glaw.scourt.go.kr/wsjo/lawod/sjo192.do?lawodNm=%EC%A1%B0%EC%84%B8%ED%8A%B9%EB%A1%80%EC%A0%9C%ED%95%9C%EB%B2%95&amp;jomunNo=24&amp;jomunGajiNo=" TargetMode="External"/><Relationship Id="rId13" Type="http://schemas.openxmlformats.org/officeDocument/2006/relationships/printerSettings" Target="../printerSettings/printerSettings1.bin"/><Relationship Id="rId3" Type="http://schemas.openxmlformats.org/officeDocument/2006/relationships/hyperlink" Target="https://kosis.kr/statHtml/statHtml.do?orgId=388&amp;tblId=TX_38803_A000A" TargetMode="External"/><Relationship Id="rId7" Type="http://schemas.openxmlformats.org/officeDocument/2006/relationships/hyperlink" Target="https://www.irena.org/-/media/files/irena/agency/publication/2019/oct/irena_future_of_wind_2019.pdf" TargetMode="External"/><Relationship Id="rId12" Type="http://schemas.openxmlformats.org/officeDocument/2006/relationships/hyperlink" Target="https://www.keei.re.kr/board.es?mid=a10101020000&amp;bid=0001&amp;act=view&amp;list_no=82053&amp;cg_code=C01&amp;act=view&amp;list_no=82053" TargetMode="External"/><Relationship Id="rId2" Type="http://schemas.openxmlformats.org/officeDocument/2006/relationships/hyperlink" Target="https://www.index.go.kr/potal/main/EachDtlPageDetail.do?idx_cd=1339" TargetMode="External"/><Relationship Id="rId1" Type="http://schemas.openxmlformats.org/officeDocument/2006/relationships/hyperlink" Target="https://www.nabo.go.kr/system/common/JSPservlet/download.jsp?fCode=33315609&amp;fSHC=&amp;fName=%EB%AF%B8%EC%84%B8%EB%A8%BC%EC%A7%80+%EB%8C%80%EC%9D%91+%EC%82%AC%EC%97%85+%EB%B6%84%EC%84%9D.pdf&amp;fMime=application/pdf&amp;fBid=19&amp;flag=bluenet" TargetMode="External"/><Relationship Id="rId6" Type="http://schemas.openxmlformats.org/officeDocument/2006/relationships/hyperlink" Target="https://irena.org/-/media/Files/IRENA/Agency/Publication/2019/Nov/IRENA_Future_of_Solar_PV_2019.pdf" TargetMode="External"/><Relationship Id="rId11" Type="http://schemas.openxmlformats.org/officeDocument/2006/relationships/hyperlink" Target="https://www.greentechmedia.com/articles/read/solar-and-wind-tax-credit-extensions-energy-rd-package-in-spending-bill-before-congress" TargetMode="External"/><Relationship Id="rId5" Type="http://schemas.openxmlformats.org/officeDocument/2006/relationships/hyperlink" Target="https://www.irena.org/-/media/Files/IRENA/Agency/Publication/2016/IRENA_Power_to_Change_2016.pdf" TargetMode="External"/><Relationship Id="rId10" Type="http://schemas.openxmlformats.org/officeDocument/2006/relationships/hyperlink" Target="https://kosis.kr/statHtml/statHtml.do?orgId=339&amp;tblId=DT_339001_001&amp;conn_path=I2" TargetMode="External"/><Relationship Id="rId4" Type="http://schemas.openxmlformats.org/officeDocument/2006/relationships/hyperlink" Target="https://www.irena.org/Statistics/View-Data-by-Topic/Costs/Global-Trends" TargetMode="External"/><Relationship Id="rId9" Type="http://schemas.openxmlformats.org/officeDocument/2006/relationships/hyperlink" Target="https://www.jct.gov/publications.html?func=download&amp;id=4663&amp;chk=4663&amp;no_html=1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DEDEDF-71B2-462A-81E3-4579FC5134AD}">
  <dimension ref="A1:F2"/>
  <sheetViews>
    <sheetView workbookViewId="0"/>
  </sheetViews>
  <sheetFormatPr defaultRowHeight="14.5"/>
  <sheetData>
    <row r="1" spans="1:6">
      <c r="A1" s="70" t="s">
        <v>323</v>
      </c>
      <c r="B1" s="70" t="s">
        <v>324</v>
      </c>
      <c r="C1" s="70" t="s">
        <v>325</v>
      </c>
      <c r="D1" s="70" t="s">
        <v>326</v>
      </c>
      <c r="E1" s="70" t="s">
        <v>327</v>
      </c>
      <c r="F1" s="70" t="s">
        <v>328</v>
      </c>
    </row>
    <row r="2" spans="1:6">
      <c r="A2">
        <v>1</v>
      </c>
      <c r="B2" s="71">
        <v>46125</v>
      </c>
      <c r="C2" s="72" t="s">
        <v>329</v>
      </c>
      <c r="D2" t="s">
        <v>330</v>
      </c>
      <c r="E2" t="s">
        <v>331</v>
      </c>
      <c r="F2" t="s">
        <v>332</v>
      </c>
    </row>
  </sheetData>
  <phoneticPr fontId="1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workbookViewId="0">
      <selection activeCell="A5" sqref="A5"/>
    </sheetView>
  </sheetViews>
  <sheetFormatPr defaultColWidth="14.453125" defaultRowHeight="15" customHeight="1"/>
  <cols>
    <col min="1" max="1" width="26" customWidth="1"/>
    <col min="2" max="2" width="20.453125" customWidth="1"/>
    <col min="3" max="3" width="26.453125" customWidth="1"/>
    <col min="4" max="26" width="9" customWidth="1"/>
  </cols>
  <sheetData>
    <row r="1" spans="1:26" ht="16.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6.5" customHeight="1">
      <c r="A2" s="1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6.5" customHeight="1">
      <c r="A3" s="1" t="s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6.5" customHeight="1">
      <c r="A4" s="1" t="s">
        <v>3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6.5" customHeight="1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6.5" customHeight="1">
      <c r="A6" s="3" t="s">
        <v>4</v>
      </c>
      <c r="B6" s="4" t="s">
        <v>5</v>
      </c>
      <c r="C6" s="5"/>
      <c r="D6" s="5"/>
      <c r="E6" s="5"/>
      <c r="F6" s="5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6.5" customHeight="1">
      <c r="A7" s="3"/>
      <c r="B7" s="6" t="s">
        <v>6</v>
      </c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.5" customHeight="1">
      <c r="A8" s="3"/>
      <c r="B8" s="6">
        <v>2019</v>
      </c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6.5" customHeight="1">
      <c r="A9" s="3"/>
      <c r="B9" s="6" t="s">
        <v>7</v>
      </c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6.5" customHeight="1">
      <c r="A10" s="3"/>
      <c r="B10" s="7" t="s">
        <v>8</v>
      </c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6.5" customHeight="1">
      <c r="A11" s="3"/>
      <c r="B11" s="6" t="s">
        <v>9</v>
      </c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6.5" customHeight="1">
      <c r="A12" s="3"/>
      <c r="B12" s="6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6.5" customHeight="1">
      <c r="A13" s="3"/>
      <c r="B13" s="4" t="s">
        <v>10</v>
      </c>
      <c r="C13" s="5"/>
      <c r="D13" s="5"/>
      <c r="E13" s="5"/>
      <c r="F13" s="5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6.5" customHeight="1">
      <c r="A14" s="3"/>
      <c r="B14" s="6" t="s">
        <v>11</v>
      </c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6.5" customHeight="1">
      <c r="A15" s="3"/>
      <c r="B15" s="6">
        <v>2021</v>
      </c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6.5" customHeight="1">
      <c r="A16" s="3"/>
      <c r="B16" s="6" t="s">
        <v>12</v>
      </c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6.5" customHeight="1">
      <c r="A17" s="3"/>
      <c r="B17" s="7" t="s">
        <v>13</v>
      </c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6.5" customHeight="1">
      <c r="A18" s="3"/>
      <c r="B18" s="6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6.5" customHeight="1">
      <c r="A19" s="3"/>
      <c r="B19" s="6" t="s">
        <v>14</v>
      </c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6.5" customHeight="1">
      <c r="A20" s="3"/>
      <c r="B20" s="6">
        <v>2020</v>
      </c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6.5" customHeight="1">
      <c r="A21" s="3"/>
      <c r="B21" s="6" t="s">
        <v>15</v>
      </c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6.5" customHeight="1">
      <c r="A22" s="3"/>
      <c r="B22" s="7" t="s">
        <v>16</v>
      </c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6.5" customHeight="1">
      <c r="A23" s="3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6.5" customHeight="1">
      <c r="A24" s="3"/>
      <c r="B24" s="4" t="s">
        <v>17</v>
      </c>
      <c r="C24" s="5"/>
      <c r="D24" s="5"/>
      <c r="E24" s="5"/>
      <c r="F24" s="5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6.5" customHeight="1">
      <c r="A25" s="3"/>
      <c r="B25" s="6" t="s">
        <v>18</v>
      </c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6.5" customHeight="1">
      <c r="A26" s="3"/>
      <c r="B26" s="6">
        <v>2019</v>
      </c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6.5" customHeight="1">
      <c r="A27" s="3"/>
      <c r="B27" s="6" t="s">
        <v>19</v>
      </c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6.5" customHeight="1">
      <c r="A28" s="3"/>
      <c r="B28" s="7" t="s">
        <v>20</v>
      </c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6.5" customHeight="1">
      <c r="A29" s="3"/>
      <c r="B29" s="7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6.5" customHeight="1">
      <c r="A30" s="3"/>
      <c r="B30" s="4" t="s">
        <v>21</v>
      </c>
      <c r="C30" s="5"/>
      <c r="D30" s="5"/>
      <c r="E30" s="5"/>
      <c r="F30" s="5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6.5" customHeight="1">
      <c r="A31" s="2"/>
      <c r="B31" s="6" t="s">
        <v>18</v>
      </c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6.5" customHeight="1">
      <c r="A32" s="2"/>
      <c r="B32" s="6">
        <v>2019</v>
      </c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6.5" customHeight="1">
      <c r="A33" s="3"/>
      <c r="B33" s="6" t="s">
        <v>22</v>
      </c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6.5" customHeight="1">
      <c r="A34" s="3"/>
      <c r="B34" s="7" t="s">
        <v>23</v>
      </c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6.5" customHeight="1">
      <c r="A35" s="3"/>
      <c r="B35" s="6" t="s">
        <v>24</v>
      </c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6.5" customHeight="1">
      <c r="A36" s="3"/>
      <c r="B36" s="6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6.5" customHeight="1">
      <c r="A37" s="3"/>
      <c r="B37" s="4" t="s">
        <v>25</v>
      </c>
      <c r="C37" s="5"/>
      <c r="D37" s="5"/>
      <c r="E37" s="5"/>
      <c r="F37" s="5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6.5" customHeight="1">
      <c r="A38" s="3"/>
      <c r="B38" s="6" t="s">
        <v>26</v>
      </c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6.5" customHeight="1">
      <c r="A39" s="2"/>
      <c r="B39" s="6" t="s">
        <v>18</v>
      </c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6.5" customHeight="1">
      <c r="A40" s="2"/>
      <c r="B40" s="6">
        <v>2019</v>
      </c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6.5" customHeight="1">
      <c r="A41" s="3"/>
      <c r="B41" s="6" t="s">
        <v>27</v>
      </c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6.5" customHeight="1">
      <c r="A42" s="3"/>
      <c r="B42" s="7" t="s">
        <v>28</v>
      </c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6.5" customHeight="1">
      <c r="A43" s="3"/>
      <c r="B43" s="6" t="s">
        <v>29</v>
      </c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6.5" customHeight="1">
      <c r="A44" s="3"/>
      <c r="B44" s="6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6.5" customHeight="1">
      <c r="A45" s="3"/>
      <c r="B45" s="6" t="s">
        <v>30</v>
      </c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6.5" customHeight="1">
      <c r="A46" s="3"/>
      <c r="B46" s="2" t="s">
        <v>31</v>
      </c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6.5" customHeight="1">
      <c r="A47" s="3"/>
      <c r="B47" s="7" t="s">
        <v>32</v>
      </c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6.5" customHeight="1">
      <c r="A48" s="3"/>
      <c r="B48" s="6" t="s">
        <v>33</v>
      </c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6.5" customHeight="1">
      <c r="A49" s="3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6.5" customHeight="1">
      <c r="A50" s="3"/>
      <c r="B50" s="4" t="s">
        <v>34</v>
      </c>
      <c r="C50" s="5"/>
      <c r="D50" s="5"/>
      <c r="E50" s="5"/>
      <c r="F50" s="5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6.5" customHeight="1">
      <c r="A51" s="3"/>
      <c r="B51" s="6" t="s">
        <v>35</v>
      </c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6.5" customHeight="1">
      <c r="A52" s="3"/>
      <c r="B52" s="6">
        <v>2020</v>
      </c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6.5" customHeight="1">
      <c r="A53" s="3"/>
      <c r="B53" s="8" t="s">
        <v>36</v>
      </c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6.5" customHeight="1">
      <c r="A54" s="3"/>
      <c r="B54" s="42" t="s">
        <v>240</v>
      </c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6.5" customHeight="1">
      <c r="A55" s="3"/>
      <c r="B55" s="6" t="s">
        <v>37</v>
      </c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6.5" customHeight="1">
      <c r="A56" s="3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6.5" customHeight="1">
      <c r="A57" s="3"/>
      <c r="B57" s="4" t="s">
        <v>38</v>
      </c>
      <c r="C57" s="5"/>
      <c r="D57" s="5"/>
      <c r="E57" s="5"/>
      <c r="F57" s="5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6.5" customHeight="1">
      <c r="A58" s="3"/>
      <c r="B58" s="6" t="s">
        <v>35</v>
      </c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6.5" customHeight="1">
      <c r="A59" s="3"/>
      <c r="B59" s="6">
        <v>2019</v>
      </c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6.5" customHeight="1">
      <c r="A60" s="3"/>
      <c r="B60" s="8" t="s">
        <v>39</v>
      </c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6.5" customHeight="1">
      <c r="A61" s="3"/>
      <c r="B61" s="6" t="s">
        <v>40</v>
      </c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6.5" customHeight="1">
      <c r="A62" s="3"/>
      <c r="B62" s="6" t="s">
        <v>41</v>
      </c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6.5" customHeight="1">
      <c r="A63" s="3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6.5" customHeight="1">
      <c r="A64" s="3"/>
      <c r="B64" s="9" t="s">
        <v>42</v>
      </c>
      <c r="C64" s="5"/>
      <c r="D64" s="5"/>
      <c r="E64" s="5"/>
      <c r="F64" s="5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6.5" customHeight="1">
      <c r="A65" s="3"/>
      <c r="B65" s="2" t="s">
        <v>43</v>
      </c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6.5" customHeight="1">
      <c r="A66" s="3"/>
      <c r="B66" s="10" t="s">
        <v>44</v>
      </c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6.5" customHeight="1">
      <c r="A67" s="3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6.5" customHeight="1">
      <c r="A68" s="3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6.5" customHeight="1">
      <c r="A69" s="3" t="s">
        <v>45</v>
      </c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6.5" customHeight="1">
      <c r="A70" s="2" t="s">
        <v>46</v>
      </c>
      <c r="B70" s="11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6.5" customHeight="1">
      <c r="A71" s="10" t="s">
        <v>47</v>
      </c>
      <c r="B71" s="6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6.5" customHeight="1">
      <c r="A72" s="2" t="s">
        <v>237</v>
      </c>
      <c r="B72" s="6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6.5" customHeight="1">
      <c r="A73" s="2"/>
      <c r="B73" s="6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6.5" customHeight="1">
      <c r="A74" s="2" t="s">
        <v>238</v>
      </c>
      <c r="B74" s="6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6.5" customHeight="1">
      <c r="A75" s="2" t="s">
        <v>239</v>
      </c>
      <c r="B75" s="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6.5" customHeight="1">
      <c r="B76" s="6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6.5" customHeight="1">
      <c r="A77" s="3" t="s">
        <v>48</v>
      </c>
      <c r="B77" s="6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6.5" customHeight="1">
      <c r="A78" s="2" t="s">
        <v>49</v>
      </c>
      <c r="B78" s="6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6.5" customHeight="1">
      <c r="A79" s="2" t="s">
        <v>50</v>
      </c>
      <c r="B79" s="6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6.5" customHeight="1">
      <c r="A80" s="2" t="s">
        <v>51</v>
      </c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6.5" customHeight="1">
      <c r="A81" s="2" t="s">
        <v>52</v>
      </c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6.5" customHeight="1">
      <c r="A82" s="2" t="s">
        <v>53</v>
      </c>
      <c r="B82" s="6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6.5" customHeight="1">
      <c r="A83" s="2"/>
      <c r="B83" s="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6.5" customHeight="1">
      <c r="A84" s="2" t="s">
        <v>54</v>
      </c>
      <c r="B84" s="6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6.5" customHeight="1">
      <c r="A85" s="2" t="s">
        <v>55</v>
      </c>
      <c r="B85" s="6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6.5" customHeight="1">
      <c r="A86" s="2"/>
      <c r="B86" s="6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6.5" customHeight="1">
      <c r="A87" s="2" t="s">
        <v>56</v>
      </c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6.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6.5" customHeight="1">
      <c r="A89" s="2" t="s">
        <v>57</v>
      </c>
      <c r="B89" s="6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6.5" customHeight="1">
      <c r="A90" s="2"/>
      <c r="B90" s="6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6.5" customHeight="1">
      <c r="A91" s="2"/>
      <c r="B91" s="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6.5" customHeight="1">
      <c r="A92" s="12" t="s">
        <v>58</v>
      </c>
      <c r="B92" s="2">
        <v>1179.9000000000001</v>
      </c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6.5" customHeight="1">
      <c r="A93" s="12" t="s">
        <v>59</v>
      </c>
      <c r="B93" s="2">
        <v>1000</v>
      </c>
      <c r="C93" s="2" t="s">
        <v>60</v>
      </c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6.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6.5" customHeight="1">
      <c r="A95" s="13"/>
      <c r="B95" s="13"/>
      <c r="C95" s="13"/>
      <c r="D95" s="13"/>
      <c r="E95" s="13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6.5" customHeight="1">
      <c r="A96" s="14"/>
      <c r="B96" s="15"/>
      <c r="C96" s="15"/>
      <c r="D96" s="15"/>
      <c r="E96" s="15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6.5" customHeight="1">
      <c r="A97" s="14"/>
      <c r="B97" s="15"/>
      <c r="C97" s="15"/>
      <c r="D97" s="15"/>
      <c r="E97" s="15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6.5" customHeight="1">
      <c r="A98" s="14"/>
      <c r="B98" s="15"/>
      <c r="C98" s="15"/>
      <c r="D98" s="15"/>
      <c r="E98" s="15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6.5" customHeight="1">
      <c r="A99" s="14"/>
      <c r="B99" s="15"/>
      <c r="C99" s="15"/>
      <c r="D99" s="15"/>
      <c r="E99" s="15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6.5" customHeight="1">
      <c r="A100" s="14"/>
      <c r="B100" s="15"/>
      <c r="C100" s="15"/>
      <c r="D100" s="15"/>
      <c r="E100" s="15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6.5" customHeight="1">
      <c r="A101" s="14"/>
      <c r="B101" s="15"/>
      <c r="C101" s="14"/>
      <c r="D101" s="15"/>
      <c r="E101" s="15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6.5" customHeight="1">
      <c r="A102" s="14"/>
      <c r="B102" s="15"/>
      <c r="C102" s="14"/>
      <c r="D102" s="15"/>
      <c r="E102" s="15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6.5" customHeight="1">
      <c r="A103" s="14"/>
      <c r="B103" s="15"/>
      <c r="C103" s="15"/>
      <c r="D103" s="15"/>
      <c r="E103" s="15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6.5" customHeight="1">
      <c r="A104" s="14"/>
      <c r="B104" s="15"/>
      <c r="C104" s="14"/>
      <c r="D104" s="15"/>
      <c r="E104" s="15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6.5" customHeight="1">
      <c r="A105" s="14"/>
      <c r="B105" s="15"/>
      <c r="C105" s="14"/>
      <c r="D105" s="15"/>
      <c r="E105" s="15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6.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6.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6.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6.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6.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6.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6.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6.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6.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6.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6.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6.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6.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6.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6.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6.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6.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6.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6.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6.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6.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6.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6.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6.5" customHeight="1">
      <c r="A129" s="2"/>
      <c r="B129" s="11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6.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6.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6.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6.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6.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6.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6.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6.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6.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6.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6.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6.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6.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6.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6.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6.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6.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6.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6.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6.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6.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6.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6.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6.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6.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6.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6.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6.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6.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6.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6.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6.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6.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6.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6.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6.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6.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6.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6.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6.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6.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6.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6.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6.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6.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6.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6.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6.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6.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6.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6.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6.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6.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6.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6.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6.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6.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6.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6.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6.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6.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6.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6.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6.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6.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6.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6.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6.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6.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6.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6.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6.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6.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6.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6.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6.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6.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6.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6.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6.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6.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6.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6.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6.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6.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6.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6.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6.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6.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6.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6.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6.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6.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6.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6.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6.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6.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6.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6.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6.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6.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6.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6.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6.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6.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6.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6.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6.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6.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6.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6.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6.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6.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6.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6.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6.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6.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6.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6.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6.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6.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6.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6.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6.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6.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6.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6.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6.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6.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6.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6.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6.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6.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6.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6.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6.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6.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6.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6.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6.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6.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6.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6.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6.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6.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6.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6.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6.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6.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6.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6.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6.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6.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6.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6.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6.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6.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6.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6.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6.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6.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6.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6.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6.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6.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6.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6.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6.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6.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6.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6.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6.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6.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6.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6.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6.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6.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6.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6.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6.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6.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6.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6.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6.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6.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6.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6.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6.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6.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6.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6.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6.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6.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6.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6.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6.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6.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6.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6.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6.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6.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6.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6.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6.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6.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6.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6.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6.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6.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6.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6.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6.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6.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6.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6.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6.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6.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6.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6.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6.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6.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6.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6.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6.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6.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6.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6.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6.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6.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6.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6.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6.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6.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6.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6.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6.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6.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6.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6.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6.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6.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6.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6.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6.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6.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6.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6.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6.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6.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6.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6.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6.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6.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6.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6.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6.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6.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6.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6.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6.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6.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6.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6.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6.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6.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6.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6.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6.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6.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6.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6.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6.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6.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6.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6.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6.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6.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6.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6.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6.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6.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6.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6.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6.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6.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6.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6.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6.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6.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6.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6.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6.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6.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6.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6.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6.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6.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6.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6.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6.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6.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6.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6.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6.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6.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6.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6.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6.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6.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6.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6.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6.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6.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6.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6.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6.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6.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6.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6.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6.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6.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6.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6.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6.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6.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6.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6.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6.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6.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6.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6.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6.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6.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6.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6.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6.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6.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6.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6.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6.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6.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6.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6.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6.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6.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6.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6.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6.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6.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6.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6.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6.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6.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6.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6.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6.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6.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6.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6.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6.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6.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6.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6.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6.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6.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6.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6.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6.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6.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6.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6.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6.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6.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6.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6.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6.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6.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6.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6.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6.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6.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6.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6.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6.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6.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6.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6.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6.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6.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6.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6.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6.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6.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6.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6.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6.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6.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6.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6.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6.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6.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6.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6.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6.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6.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6.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6.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6.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6.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6.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6.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6.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6.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6.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6.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6.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6.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6.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6.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6.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6.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6.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6.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6.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6.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6.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6.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6.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6.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6.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6.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6.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6.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6.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6.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6.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6.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6.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6.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6.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6.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6.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6.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6.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6.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6.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6.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6.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6.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6.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6.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6.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6.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6.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6.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6.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6.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6.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6.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6.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6.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6.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6.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6.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6.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6.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6.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6.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6.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6.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6.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6.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6.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6.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6.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6.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6.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6.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6.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6.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6.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6.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6.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6.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6.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6.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6.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6.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6.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6.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6.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6.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6.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6.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6.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6.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6.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6.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6.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6.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6.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6.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6.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6.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6.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6.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6.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6.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6.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6.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6.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6.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6.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6.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6.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6.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6.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6.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6.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6.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6.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6.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6.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6.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6.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6.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6.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6.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6.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6.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6.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6.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6.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6.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6.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6.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6.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6.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6.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6.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6.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6.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6.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6.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6.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6.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6.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6.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6.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6.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6.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6.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6.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6.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6.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6.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6.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6.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6.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6.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6.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6.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6.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6.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6.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6.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6.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6.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6.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6.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6.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6.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6.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6.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6.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6.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6.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6.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6.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6.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6.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6.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6.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6.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6.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6.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6.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6.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6.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6.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6.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6.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6.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6.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6.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6.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6.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6.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6.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6.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6.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6.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6.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6.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6.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6.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6.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6.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6.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6.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6.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6.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6.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6.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6.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6.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6.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6.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6.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6.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6.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6.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6.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6.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6.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6.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6.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6.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6.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6.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6.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6.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6.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6.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6.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6.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6.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6.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6.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6.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6.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6.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6.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6.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6.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6.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6.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6.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6.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6.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6.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6.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6.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6.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6.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6.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6.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6.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6.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6.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6.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6.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6.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6.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6.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6.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6.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6.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6.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6.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6.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6.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6.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6.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6.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6.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6.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6.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6.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6.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6.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6.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6.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6.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6.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6.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6.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6.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6.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6.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6.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6.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6.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6.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6.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6.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6.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6.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6.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6.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6.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6.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6.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6.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6.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6.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6.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6.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6.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6.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6.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6.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6.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6.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6.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6.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6.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6.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6.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6.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6.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6.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6.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6.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6.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6.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6.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6.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6.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6.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6.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6.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6.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6.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6.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6.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6.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6.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6.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6.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6.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6.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6.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6.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6.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6.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6.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6.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6.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6.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6.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6.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6.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6.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6.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6.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6.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6.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6.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6.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6.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6.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6.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6.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6.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6.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6.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6.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6.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6.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6.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6.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6.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6.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6.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6.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6.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6.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6.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6.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6.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6.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6.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6.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6.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6.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6.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6.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6.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6.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6.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6.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6.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6.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6.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6.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6.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6.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6.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6.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6.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6.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6.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6.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6.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6.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6.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6.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6.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6.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6.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6.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6.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6.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6.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6.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6.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6.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6.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6.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6.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6.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6.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6.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6.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6.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6.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6.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6.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6.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6.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6.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6.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6.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6.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6.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6.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6.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6.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6.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6.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6.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6.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6.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6.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6.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6.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6.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6.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6.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6.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6.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6.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6.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6.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6.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6.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6.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6.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6.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6.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6.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6.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6.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6.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6.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6.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6.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6.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6.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6.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phoneticPr fontId="12" type="noConversion"/>
  <hyperlinks>
    <hyperlink ref="B10" r:id="rId1" xr:uid="{00000000-0004-0000-0000-000000000000}"/>
    <hyperlink ref="B17" r:id="rId2" xr:uid="{00000000-0004-0000-0000-000001000000}"/>
    <hyperlink ref="B22" r:id="rId3" xr:uid="{00000000-0004-0000-0000-000002000000}"/>
    <hyperlink ref="B28" r:id="rId4" xr:uid="{00000000-0004-0000-0000-000003000000}"/>
    <hyperlink ref="B34" r:id="rId5" xr:uid="{00000000-0004-0000-0000-000004000000}"/>
    <hyperlink ref="B42" r:id="rId6" xr:uid="{00000000-0004-0000-0000-000005000000}"/>
    <hyperlink ref="B47" r:id="rId7" xr:uid="{00000000-0004-0000-0000-000006000000}"/>
    <hyperlink ref="B66" r:id="rId8" xr:uid="{00000000-0004-0000-0000-000007000000}"/>
    <hyperlink ref="B70" r:id="rId9" display="https://www.jct.gov/publications.html?func=download&amp;id=4663&amp;chk=4663&amp;no_html=1" xr:uid="{00000000-0004-0000-0000-000008000000}"/>
    <hyperlink ref="A71" r:id="rId10" xr:uid="{00000000-0004-0000-0000-000009000000}"/>
    <hyperlink ref="B129" r:id="rId11" location=":~:text=According%20to%20a%20summary%20shared,would%20have%20under%20existing%20law." display="https://www.greentechmedia.com/articles/read/solar-and-wind-tax-credit-extensions-energy-rd-package-in-spending-bill-before-congress - :~:text=According%20to%20a%20summary%20shared,would%20have%20under%20existing%20law." xr:uid="{00000000-0004-0000-0000-00000A000000}"/>
    <hyperlink ref="B54" r:id="rId12" xr:uid="{FD881628-89D8-4297-8BF1-660647D49173}"/>
  </hyperlinks>
  <pageMargins left="0.7" right="0.7" top="0.75" bottom="0.75" header="0" footer="0"/>
  <pageSetup orientation="portrait" r:id="rId1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000"/>
  <sheetViews>
    <sheetView workbookViewId="0"/>
  </sheetViews>
  <sheetFormatPr defaultColWidth="14.453125" defaultRowHeight="15" customHeight="1"/>
  <cols>
    <col min="1" max="1" width="14" customWidth="1"/>
    <col min="2" max="2" width="12.453125" customWidth="1"/>
    <col min="3" max="6" width="13.54296875" customWidth="1"/>
    <col min="7" max="8" width="12.54296875" customWidth="1"/>
    <col min="9" max="10" width="11.81640625" customWidth="1"/>
    <col min="11" max="26" width="8.81640625" customWidth="1"/>
  </cols>
  <sheetData>
    <row r="1" spans="1:10" ht="19.5" customHeight="1">
      <c r="A1" s="16" t="s">
        <v>61</v>
      </c>
      <c r="B1" s="17" t="s">
        <v>62</v>
      </c>
    </row>
    <row r="2" spans="1:10" ht="19.5" customHeight="1">
      <c r="A2" s="16" t="s">
        <v>63</v>
      </c>
      <c r="B2" s="17" t="s">
        <v>64</v>
      </c>
    </row>
    <row r="3" spans="1:10" ht="19.5" customHeight="1">
      <c r="A3" s="75" t="s">
        <v>65</v>
      </c>
      <c r="B3" s="76"/>
      <c r="C3" s="18" t="s">
        <v>66</v>
      </c>
      <c r="D3" s="18" t="s">
        <v>67</v>
      </c>
      <c r="E3" s="18" t="s">
        <v>68</v>
      </c>
      <c r="F3" s="18" t="s">
        <v>69</v>
      </c>
      <c r="G3" s="18" t="s">
        <v>70</v>
      </c>
      <c r="H3" s="18" t="s">
        <v>71</v>
      </c>
      <c r="I3" s="18" t="s">
        <v>72</v>
      </c>
      <c r="J3" s="18" t="s">
        <v>73</v>
      </c>
    </row>
    <row r="4" spans="1:10" ht="19.5" customHeight="1">
      <c r="A4" s="73">
        <v>2011</v>
      </c>
      <c r="B4" s="18" t="s">
        <v>74</v>
      </c>
      <c r="C4" s="19">
        <v>496893</v>
      </c>
      <c r="D4" s="19">
        <v>154723</v>
      </c>
      <c r="E4" s="19">
        <v>202856</v>
      </c>
      <c r="F4" s="19">
        <v>112646</v>
      </c>
      <c r="G4" s="19">
        <v>12190</v>
      </c>
      <c r="H4" s="19">
        <v>11245</v>
      </c>
      <c r="I4" s="19">
        <v>3233</v>
      </c>
      <c r="J4" s="20" t="s">
        <v>75</v>
      </c>
    </row>
    <row r="5" spans="1:10" ht="19.5" customHeight="1">
      <c r="A5" s="74"/>
      <c r="B5" s="18" t="s">
        <v>76</v>
      </c>
      <c r="C5" s="20">
        <v>100</v>
      </c>
      <c r="D5" s="20">
        <v>31.1</v>
      </c>
      <c r="E5" s="20">
        <v>40.799999999999997</v>
      </c>
      <c r="F5" s="20">
        <v>22.7</v>
      </c>
      <c r="G5" s="20">
        <v>2.5</v>
      </c>
      <c r="H5" s="20">
        <v>2.2999999999999998</v>
      </c>
      <c r="I5" s="20">
        <v>0.7</v>
      </c>
      <c r="J5" s="20" t="s">
        <v>75</v>
      </c>
    </row>
    <row r="6" spans="1:10" ht="19.5" customHeight="1">
      <c r="A6" s="73">
        <v>2012</v>
      </c>
      <c r="B6" s="18" t="s">
        <v>74</v>
      </c>
      <c r="C6" s="19">
        <v>509574</v>
      </c>
      <c r="D6" s="19">
        <v>150327</v>
      </c>
      <c r="E6" s="19">
        <v>202191</v>
      </c>
      <c r="F6" s="19">
        <v>125285</v>
      </c>
      <c r="G6" s="19">
        <v>12587</v>
      </c>
      <c r="H6" s="19">
        <v>15501</v>
      </c>
      <c r="I6" s="19">
        <v>3683</v>
      </c>
      <c r="J6" s="20" t="s">
        <v>75</v>
      </c>
    </row>
    <row r="7" spans="1:10" ht="19.5" customHeight="1">
      <c r="A7" s="74"/>
      <c r="B7" s="18" t="s">
        <v>76</v>
      </c>
      <c r="C7" s="20">
        <v>100</v>
      </c>
      <c r="D7" s="20">
        <v>29.5</v>
      </c>
      <c r="E7" s="20">
        <v>39.700000000000003</v>
      </c>
      <c r="F7" s="20">
        <v>24.6</v>
      </c>
      <c r="G7" s="20">
        <v>2.5</v>
      </c>
      <c r="H7" s="20">
        <v>3</v>
      </c>
      <c r="I7" s="20">
        <v>0.7</v>
      </c>
      <c r="J7" s="20" t="s">
        <v>75</v>
      </c>
    </row>
    <row r="8" spans="1:10" ht="19.5" customHeight="1">
      <c r="A8" s="73">
        <v>2013</v>
      </c>
      <c r="B8" s="18" t="s">
        <v>74</v>
      </c>
      <c r="C8" s="19">
        <v>517148</v>
      </c>
      <c r="D8" s="19">
        <v>138784</v>
      </c>
      <c r="E8" s="19">
        <v>204196</v>
      </c>
      <c r="F8" s="19">
        <v>139783</v>
      </c>
      <c r="G8" s="19">
        <v>14449</v>
      </c>
      <c r="H8" s="19">
        <v>15832</v>
      </c>
      <c r="I8" s="19">
        <v>4105</v>
      </c>
      <c r="J8" s="20" t="s">
        <v>75</v>
      </c>
    </row>
    <row r="9" spans="1:10" ht="19.5" customHeight="1">
      <c r="A9" s="74"/>
      <c r="B9" s="18" t="s">
        <v>76</v>
      </c>
      <c r="C9" s="20">
        <v>100</v>
      </c>
      <c r="D9" s="20">
        <v>26.8</v>
      </c>
      <c r="E9" s="20">
        <v>39.5</v>
      </c>
      <c r="F9" s="20">
        <v>27</v>
      </c>
      <c r="G9" s="20">
        <v>2.8</v>
      </c>
      <c r="H9" s="20">
        <v>3.1</v>
      </c>
      <c r="I9" s="20">
        <v>0.8</v>
      </c>
      <c r="J9" s="20" t="s">
        <v>75</v>
      </c>
    </row>
    <row r="10" spans="1:10" ht="19.5" customHeight="1">
      <c r="A10" s="73">
        <v>2014</v>
      </c>
      <c r="B10" s="18" t="s">
        <v>74</v>
      </c>
      <c r="C10" s="19">
        <v>521971</v>
      </c>
      <c r="D10" s="19">
        <v>156407</v>
      </c>
      <c r="E10" s="19">
        <v>207214</v>
      </c>
      <c r="F10" s="19">
        <v>127472</v>
      </c>
      <c r="G10" s="19">
        <v>17447</v>
      </c>
      <c r="H10" s="19">
        <v>8364</v>
      </c>
      <c r="I10" s="19">
        <v>5068</v>
      </c>
      <c r="J10" s="20" t="s">
        <v>75</v>
      </c>
    </row>
    <row r="11" spans="1:10" ht="19.5" customHeight="1">
      <c r="A11" s="74"/>
      <c r="B11" s="18" t="s">
        <v>76</v>
      </c>
      <c r="C11" s="20">
        <v>100</v>
      </c>
      <c r="D11" s="20">
        <v>30</v>
      </c>
      <c r="E11" s="20">
        <v>39.700000000000003</v>
      </c>
      <c r="F11" s="20">
        <v>24.4</v>
      </c>
      <c r="G11" s="20">
        <v>3.3</v>
      </c>
      <c r="H11" s="20">
        <v>1.6</v>
      </c>
      <c r="I11" s="20">
        <v>1</v>
      </c>
      <c r="J11" s="20" t="s">
        <v>75</v>
      </c>
    </row>
    <row r="12" spans="1:10" ht="19.5" customHeight="1">
      <c r="A12" s="73">
        <v>2015</v>
      </c>
      <c r="B12" s="18" t="s">
        <v>74</v>
      </c>
      <c r="C12" s="19">
        <v>528091</v>
      </c>
      <c r="D12" s="19">
        <v>164762</v>
      </c>
      <c r="E12" s="19">
        <v>211393</v>
      </c>
      <c r="F12" s="19">
        <v>118695</v>
      </c>
      <c r="G12" s="19">
        <v>19464</v>
      </c>
      <c r="H12" s="19">
        <v>10127</v>
      </c>
      <c r="I12" s="19">
        <v>3650</v>
      </c>
      <c r="J12" s="20" t="s">
        <v>75</v>
      </c>
    </row>
    <row r="13" spans="1:10" ht="19.5" customHeight="1">
      <c r="A13" s="74"/>
      <c r="B13" s="18" t="s">
        <v>76</v>
      </c>
      <c r="C13" s="20">
        <v>100</v>
      </c>
      <c r="D13" s="20">
        <v>31.2</v>
      </c>
      <c r="E13" s="20">
        <v>40</v>
      </c>
      <c r="F13" s="20">
        <v>22.5</v>
      </c>
      <c r="G13" s="20">
        <v>3.7</v>
      </c>
      <c r="H13" s="20">
        <v>1.9</v>
      </c>
      <c r="I13" s="20">
        <v>0.7</v>
      </c>
      <c r="J13" s="20" t="s">
        <v>75</v>
      </c>
    </row>
    <row r="14" spans="1:10" ht="19.5" customHeight="1">
      <c r="A14" s="73">
        <v>2016</v>
      </c>
      <c r="B14" s="18" t="s">
        <v>74</v>
      </c>
      <c r="C14" s="19">
        <v>540441</v>
      </c>
      <c r="D14" s="19">
        <v>161995</v>
      </c>
      <c r="E14" s="19">
        <v>213803</v>
      </c>
      <c r="F14" s="19">
        <v>121018</v>
      </c>
      <c r="G14" s="19">
        <v>25836</v>
      </c>
      <c r="H14" s="19">
        <v>14001</v>
      </c>
      <c r="I14" s="19">
        <v>3787</v>
      </c>
      <c r="J14" s="20" t="s">
        <v>75</v>
      </c>
    </row>
    <row r="15" spans="1:10" ht="19.5" customHeight="1">
      <c r="A15" s="74"/>
      <c r="B15" s="18" t="s">
        <v>76</v>
      </c>
      <c r="C15" s="20">
        <v>100</v>
      </c>
      <c r="D15" s="20">
        <v>30</v>
      </c>
      <c r="E15" s="20">
        <v>39.6</v>
      </c>
      <c r="F15" s="20">
        <v>22.4</v>
      </c>
      <c r="G15" s="20">
        <v>4.8</v>
      </c>
      <c r="H15" s="20">
        <v>2.6</v>
      </c>
      <c r="I15" s="20">
        <v>0.7</v>
      </c>
      <c r="J15" s="20" t="s">
        <v>75</v>
      </c>
    </row>
    <row r="16" spans="1:10" ht="19.5" customHeight="1">
      <c r="A16" s="73">
        <v>2017</v>
      </c>
      <c r="B16" s="18" t="s">
        <v>74</v>
      </c>
      <c r="C16" s="19">
        <v>553530</v>
      </c>
      <c r="D16" s="19">
        <v>148427</v>
      </c>
      <c r="E16" s="19">
        <v>238799</v>
      </c>
      <c r="F16" s="19">
        <v>126039</v>
      </c>
      <c r="G16" s="19">
        <v>30817</v>
      </c>
      <c r="H16" s="19">
        <v>5263</v>
      </c>
      <c r="I16" s="19">
        <v>4186</v>
      </c>
      <c r="J16" s="20" t="s">
        <v>75</v>
      </c>
    </row>
    <row r="17" spans="1:10" ht="19.5" customHeight="1">
      <c r="A17" s="74"/>
      <c r="B17" s="18" t="s">
        <v>76</v>
      </c>
      <c r="C17" s="20">
        <v>100</v>
      </c>
      <c r="D17" s="20">
        <v>26.8</v>
      </c>
      <c r="E17" s="20">
        <v>43.1</v>
      </c>
      <c r="F17" s="20">
        <v>22.8</v>
      </c>
      <c r="G17" s="20">
        <v>5.6</v>
      </c>
      <c r="H17" s="20">
        <v>1</v>
      </c>
      <c r="I17" s="20">
        <v>0.8</v>
      </c>
      <c r="J17" s="20" t="s">
        <v>75</v>
      </c>
    </row>
    <row r="18" spans="1:10" ht="19.5" customHeight="1">
      <c r="A18" s="73">
        <v>2018</v>
      </c>
      <c r="B18" s="18" t="s">
        <v>74</v>
      </c>
      <c r="C18" s="19">
        <v>570647</v>
      </c>
      <c r="D18" s="19">
        <v>133505</v>
      </c>
      <c r="E18" s="19">
        <v>238967</v>
      </c>
      <c r="F18" s="19">
        <v>152924</v>
      </c>
      <c r="G18" s="19">
        <v>35598</v>
      </c>
      <c r="H18" s="19">
        <v>5740</v>
      </c>
      <c r="I18" s="19">
        <v>3911</v>
      </c>
      <c r="J18" s="20">
        <v>0</v>
      </c>
    </row>
    <row r="19" spans="1:10" ht="19.5" customHeight="1">
      <c r="A19" s="74"/>
      <c r="B19" s="18" t="s">
        <v>76</v>
      </c>
      <c r="C19" s="20">
        <v>100</v>
      </c>
      <c r="D19" s="20">
        <v>23.4</v>
      </c>
      <c r="E19" s="20">
        <v>41.9</v>
      </c>
      <c r="F19" s="20">
        <v>26.8</v>
      </c>
      <c r="G19" s="20">
        <v>6.2</v>
      </c>
      <c r="H19" s="20">
        <v>1</v>
      </c>
      <c r="I19" s="20">
        <v>0.7</v>
      </c>
      <c r="J19" s="20">
        <v>0</v>
      </c>
    </row>
    <row r="20" spans="1:10" ht="19.5" customHeight="1">
      <c r="A20" s="73">
        <v>2019</v>
      </c>
      <c r="B20" s="18" t="s">
        <v>74</v>
      </c>
      <c r="C20" s="19">
        <v>563040</v>
      </c>
      <c r="D20" s="19">
        <v>145910</v>
      </c>
      <c r="E20" s="19">
        <v>227384</v>
      </c>
      <c r="F20" s="19">
        <v>144355</v>
      </c>
      <c r="G20" s="19">
        <v>36392</v>
      </c>
      <c r="H20" s="19">
        <v>3292</v>
      </c>
      <c r="I20" s="19">
        <v>3458</v>
      </c>
      <c r="J20" s="19">
        <v>2249</v>
      </c>
    </row>
    <row r="21" spans="1:10" ht="19.5" customHeight="1">
      <c r="A21" s="74"/>
      <c r="B21" s="18" t="s">
        <v>76</v>
      </c>
      <c r="C21" s="20">
        <v>100</v>
      </c>
      <c r="D21" s="20">
        <v>25.9</v>
      </c>
      <c r="E21" s="20">
        <v>40.4</v>
      </c>
      <c r="F21" s="20">
        <v>25.6</v>
      </c>
      <c r="G21" s="20">
        <v>6.5</v>
      </c>
      <c r="H21" s="20">
        <v>0.6</v>
      </c>
      <c r="I21" s="20">
        <v>0.6</v>
      </c>
      <c r="J21" s="20">
        <v>0.4</v>
      </c>
    </row>
    <row r="22" spans="1:10" ht="19.5" customHeight="1">
      <c r="A22" s="73">
        <v>2020</v>
      </c>
      <c r="B22" s="18" t="s">
        <v>74</v>
      </c>
      <c r="C22" s="19">
        <v>552162</v>
      </c>
      <c r="D22" s="19">
        <v>160184</v>
      </c>
      <c r="E22" s="19">
        <v>196333</v>
      </c>
      <c r="F22" s="19">
        <v>145911</v>
      </c>
      <c r="G22" s="19">
        <v>36527</v>
      </c>
      <c r="H22" s="19">
        <v>2255</v>
      </c>
      <c r="I22" s="19">
        <v>3271</v>
      </c>
      <c r="J22" s="19">
        <v>7681</v>
      </c>
    </row>
    <row r="23" spans="1:10" ht="19.5" customHeight="1">
      <c r="A23" s="74"/>
      <c r="B23" s="18" t="s">
        <v>76</v>
      </c>
      <c r="C23" s="20">
        <v>100</v>
      </c>
      <c r="D23" s="20">
        <v>29</v>
      </c>
      <c r="E23" s="20">
        <v>35.6</v>
      </c>
      <c r="F23" s="20">
        <v>26.4</v>
      </c>
      <c r="G23" s="20">
        <v>6.6</v>
      </c>
      <c r="H23" s="20">
        <v>0.4</v>
      </c>
      <c r="I23" s="20">
        <v>0.6</v>
      </c>
      <c r="J23" s="20">
        <v>1.4</v>
      </c>
    </row>
    <row r="24" spans="1:10" ht="19.5" customHeight="1">
      <c r="A24" s="16"/>
    </row>
    <row r="25" spans="1:10" ht="16.5" customHeight="1"/>
    <row r="26" spans="1:10" ht="16.5" customHeight="1"/>
    <row r="27" spans="1:10" ht="16.5" customHeight="1"/>
    <row r="28" spans="1:10" ht="16.5" customHeight="1"/>
    <row r="29" spans="1:10" ht="16.5" customHeight="1"/>
    <row r="30" spans="1:10" ht="16.5" customHeight="1"/>
    <row r="31" spans="1:10" ht="16.5" customHeight="1"/>
    <row r="32" spans="1:10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mergeCells count="11">
    <mergeCell ref="A16:A17"/>
    <mergeCell ref="A18:A19"/>
    <mergeCell ref="A20:A21"/>
    <mergeCell ref="A22:A23"/>
    <mergeCell ref="A3:B3"/>
    <mergeCell ref="A4:A5"/>
    <mergeCell ref="A6:A7"/>
    <mergeCell ref="A8:A9"/>
    <mergeCell ref="A10:A11"/>
    <mergeCell ref="A12:A13"/>
    <mergeCell ref="A14:A15"/>
  </mergeCells>
  <phoneticPr fontId="12" type="noConversion"/>
  <pageMargins left="0.7" right="0.7" top="0.75" bottom="0.75" header="0" footer="0"/>
  <pageSetup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1000"/>
  <sheetViews>
    <sheetView workbookViewId="0">
      <selection sqref="A1:A3"/>
    </sheetView>
  </sheetViews>
  <sheetFormatPr defaultColWidth="14.453125" defaultRowHeight="15" customHeight="1"/>
  <cols>
    <col min="1" max="1" width="14.54296875" customWidth="1"/>
    <col min="2" max="2" width="15.54296875" customWidth="1"/>
    <col min="3" max="3" width="21.1796875" customWidth="1"/>
    <col min="4" max="6" width="18.54296875" customWidth="1"/>
    <col min="7" max="7" width="14.1796875" customWidth="1"/>
    <col min="8" max="9" width="16.453125" customWidth="1"/>
    <col min="10" max="10" width="18.54296875" customWidth="1"/>
    <col min="11" max="11" width="14.1796875" customWidth="1"/>
    <col min="12" max="12" width="18.54296875" customWidth="1"/>
    <col min="13" max="13" width="14.1796875" customWidth="1"/>
    <col min="14" max="15" width="11.54296875" customWidth="1"/>
    <col min="16" max="17" width="16.453125" customWidth="1"/>
    <col min="18" max="18" width="14.1796875" customWidth="1"/>
    <col min="19" max="19" width="16.453125" customWidth="1"/>
    <col min="20" max="20" width="11.54296875" customWidth="1"/>
    <col min="21" max="21" width="16.453125" customWidth="1"/>
    <col min="22" max="22" width="18.54296875" customWidth="1"/>
    <col min="23" max="23" width="16.453125" customWidth="1"/>
    <col min="24" max="24" width="18.54296875" customWidth="1"/>
    <col min="25" max="26" width="16.453125" customWidth="1"/>
    <col min="27" max="27" width="14.1796875" customWidth="1"/>
  </cols>
  <sheetData>
    <row r="1" spans="1:27" ht="19.5" customHeight="1">
      <c r="A1" s="77" t="s">
        <v>77</v>
      </c>
      <c r="B1" s="77" t="s">
        <v>78</v>
      </c>
      <c r="C1" s="79" t="s">
        <v>79</v>
      </c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  <c r="Y1" s="80"/>
      <c r="Z1" s="80"/>
      <c r="AA1" s="76"/>
    </row>
    <row r="2" spans="1:27" ht="19.5" customHeight="1">
      <c r="A2" s="78"/>
      <c r="B2" s="78"/>
      <c r="C2" s="21" t="s">
        <v>80</v>
      </c>
      <c r="D2" s="21" t="s">
        <v>67</v>
      </c>
      <c r="E2" s="79" t="s">
        <v>81</v>
      </c>
      <c r="F2" s="80"/>
      <c r="G2" s="80"/>
      <c r="H2" s="80"/>
      <c r="I2" s="76"/>
      <c r="J2" s="79" t="s">
        <v>82</v>
      </c>
      <c r="K2" s="80"/>
      <c r="L2" s="76"/>
      <c r="M2" s="79" t="s">
        <v>83</v>
      </c>
      <c r="N2" s="80"/>
      <c r="O2" s="76"/>
      <c r="P2" s="79" t="s">
        <v>84</v>
      </c>
      <c r="Q2" s="80"/>
      <c r="R2" s="80"/>
      <c r="S2" s="80"/>
      <c r="T2" s="76"/>
      <c r="U2" s="21" t="s">
        <v>72</v>
      </c>
      <c r="V2" s="79" t="s">
        <v>70</v>
      </c>
      <c r="W2" s="80"/>
      <c r="X2" s="80"/>
      <c r="Y2" s="80"/>
      <c r="Z2" s="76"/>
      <c r="AA2" s="21" t="s">
        <v>73</v>
      </c>
    </row>
    <row r="3" spans="1:27" ht="19.5" customHeight="1">
      <c r="A3" s="74"/>
      <c r="B3" s="74"/>
      <c r="C3" s="21" t="s">
        <v>85</v>
      </c>
      <c r="D3" s="21" t="s">
        <v>85</v>
      </c>
      <c r="E3" s="21" t="s">
        <v>85</v>
      </c>
      <c r="F3" s="21" t="s">
        <v>86</v>
      </c>
      <c r="G3" s="21" t="s">
        <v>87</v>
      </c>
      <c r="H3" s="21" t="s">
        <v>88</v>
      </c>
      <c r="I3" s="21" t="s">
        <v>89</v>
      </c>
      <c r="J3" s="21" t="s">
        <v>85</v>
      </c>
      <c r="K3" s="21" t="s">
        <v>90</v>
      </c>
      <c r="L3" s="21" t="s">
        <v>89</v>
      </c>
      <c r="M3" s="21" t="s">
        <v>85</v>
      </c>
      <c r="N3" s="21" t="s">
        <v>88</v>
      </c>
      <c r="O3" s="21" t="s">
        <v>90</v>
      </c>
      <c r="P3" s="21" t="s">
        <v>85</v>
      </c>
      <c r="Q3" s="21" t="s">
        <v>86</v>
      </c>
      <c r="R3" s="21" t="s">
        <v>71</v>
      </c>
      <c r="S3" s="21" t="s">
        <v>89</v>
      </c>
      <c r="T3" s="21" t="s">
        <v>73</v>
      </c>
      <c r="U3" s="21" t="s">
        <v>85</v>
      </c>
      <c r="V3" s="21" t="s">
        <v>85</v>
      </c>
      <c r="W3" s="21" t="s">
        <v>91</v>
      </c>
      <c r="X3" s="21" t="s">
        <v>92</v>
      </c>
      <c r="Y3" s="21" t="s">
        <v>93</v>
      </c>
      <c r="Z3" s="21" t="s">
        <v>73</v>
      </c>
      <c r="AA3" s="21" t="s">
        <v>85</v>
      </c>
    </row>
    <row r="4" spans="1:27" ht="19.5" customHeight="1">
      <c r="A4" s="22" t="s">
        <v>80</v>
      </c>
      <c r="B4" s="22" t="s">
        <v>85</v>
      </c>
      <c r="C4" s="23">
        <v>130978873</v>
      </c>
      <c r="D4" s="23">
        <v>23250000</v>
      </c>
      <c r="E4" s="23">
        <v>37950658</v>
      </c>
      <c r="F4" s="23">
        <v>34950658</v>
      </c>
      <c r="G4" s="23">
        <v>400000</v>
      </c>
      <c r="H4" s="23">
        <v>1200000</v>
      </c>
      <c r="I4" s="23">
        <v>1400000</v>
      </c>
      <c r="J4" s="23">
        <v>33012852</v>
      </c>
      <c r="K4" s="23">
        <v>612045</v>
      </c>
      <c r="L4" s="23">
        <v>32400807</v>
      </c>
      <c r="M4" s="23">
        <v>175680</v>
      </c>
      <c r="N4" s="23">
        <v>80000</v>
      </c>
      <c r="O4" s="23">
        <v>95680</v>
      </c>
      <c r="P4" s="23">
        <v>9190984</v>
      </c>
      <c r="Q4" s="23">
        <v>1502724</v>
      </c>
      <c r="R4" s="23">
        <v>259300</v>
      </c>
      <c r="S4" s="23">
        <v>7368960</v>
      </c>
      <c r="T4" s="23">
        <v>60000</v>
      </c>
      <c r="U4" s="23">
        <v>4700000</v>
      </c>
      <c r="V4" s="23">
        <v>20544895</v>
      </c>
      <c r="W4" s="23">
        <v>1805768</v>
      </c>
      <c r="X4" s="23">
        <v>14574793</v>
      </c>
      <c r="Y4" s="23">
        <v>1635802</v>
      </c>
      <c r="Z4" s="23">
        <v>2528532</v>
      </c>
      <c r="AA4" s="23">
        <v>366204</v>
      </c>
    </row>
    <row r="5" spans="1:27" ht="19.5" customHeight="1">
      <c r="A5" s="22" t="s">
        <v>94</v>
      </c>
      <c r="B5" s="22" t="s">
        <v>85</v>
      </c>
      <c r="C5" s="23">
        <v>129191273</v>
      </c>
      <c r="D5" s="23">
        <v>23250000</v>
      </c>
      <c r="E5" s="23">
        <v>37950658</v>
      </c>
      <c r="F5" s="23">
        <v>34950658</v>
      </c>
      <c r="G5" s="23">
        <v>400000</v>
      </c>
      <c r="H5" s="23">
        <v>1200000</v>
      </c>
      <c r="I5" s="23">
        <v>1400000</v>
      </c>
      <c r="J5" s="23">
        <v>33012852</v>
      </c>
      <c r="K5" s="23">
        <v>612045</v>
      </c>
      <c r="L5" s="23">
        <v>32400807</v>
      </c>
      <c r="M5" s="23">
        <v>175680</v>
      </c>
      <c r="N5" s="23">
        <v>80000</v>
      </c>
      <c r="O5" s="23">
        <v>95680</v>
      </c>
      <c r="P5" s="23">
        <v>9190984</v>
      </c>
      <c r="Q5" s="23">
        <v>1502724</v>
      </c>
      <c r="R5" s="23">
        <v>259300</v>
      </c>
      <c r="S5" s="23">
        <v>7368960</v>
      </c>
      <c r="T5" s="23">
        <v>60000</v>
      </c>
      <c r="U5" s="23">
        <v>4700000</v>
      </c>
      <c r="V5" s="23">
        <v>20544895</v>
      </c>
      <c r="W5" s="23">
        <v>1805768</v>
      </c>
      <c r="X5" s="23">
        <v>14574793</v>
      </c>
      <c r="Y5" s="23">
        <v>1635802</v>
      </c>
      <c r="Z5" s="23">
        <v>2528532</v>
      </c>
      <c r="AA5" s="23">
        <v>366204</v>
      </c>
    </row>
    <row r="6" spans="1:27" ht="19.5" customHeight="1">
      <c r="A6" s="24" t="s">
        <v>65</v>
      </c>
      <c r="B6" s="22" t="s">
        <v>95</v>
      </c>
      <c r="C6" s="23">
        <v>97103</v>
      </c>
      <c r="D6" s="23" t="s">
        <v>75</v>
      </c>
      <c r="E6" s="23" t="s">
        <v>75</v>
      </c>
      <c r="F6" s="23" t="s">
        <v>75</v>
      </c>
      <c r="G6" s="23" t="s">
        <v>75</v>
      </c>
      <c r="H6" s="23" t="s">
        <v>75</v>
      </c>
      <c r="I6" s="23" t="s">
        <v>75</v>
      </c>
      <c r="J6" s="23" t="s">
        <v>75</v>
      </c>
      <c r="K6" s="23" t="s">
        <v>75</v>
      </c>
      <c r="L6" s="23" t="s">
        <v>75</v>
      </c>
      <c r="M6" s="23">
        <v>95680</v>
      </c>
      <c r="N6" s="23" t="s">
        <v>75</v>
      </c>
      <c r="O6" s="23">
        <v>95680</v>
      </c>
      <c r="P6" s="23" t="s">
        <v>75</v>
      </c>
      <c r="Q6" s="23" t="s">
        <v>75</v>
      </c>
      <c r="R6" s="23" t="s">
        <v>75</v>
      </c>
      <c r="S6" s="23" t="s">
        <v>75</v>
      </c>
      <c r="T6" s="23" t="s">
        <v>75</v>
      </c>
      <c r="U6" s="23" t="s">
        <v>75</v>
      </c>
      <c r="V6" s="23">
        <v>1423</v>
      </c>
      <c r="W6" s="23">
        <v>700</v>
      </c>
      <c r="X6" s="23">
        <v>723</v>
      </c>
      <c r="Y6" s="23" t="s">
        <v>75</v>
      </c>
      <c r="Z6" s="23" t="s">
        <v>75</v>
      </c>
      <c r="AA6" s="23" t="s">
        <v>75</v>
      </c>
    </row>
    <row r="7" spans="1:27" ht="19.5" customHeight="1">
      <c r="A7" s="24" t="s">
        <v>65</v>
      </c>
      <c r="B7" s="22" t="s">
        <v>96</v>
      </c>
      <c r="C7" s="23">
        <v>28600394</v>
      </c>
      <c r="D7" s="23">
        <v>23250000</v>
      </c>
      <c r="E7" s="23" t="s">
        <v>75</v>
      </c>
      <c r="F7" s="23" t="s">
        <v>75</v>
      </c>
      <c r="G7" s="23" t="s">
        <v>75</v>
      </c>
      <c r="H7" s="23" t="s">
        <v>75</v>
      </c>
      <c r="I7" s="23" t="s">
        <v>75</v>
      </c>
      <c r="J7" s="23" t="s">
        <v>75</v>
      </c>
      <c r="K7" s="23" t="s">
        <v>75</v>
      </c>
      <c r="L7" s="23" t="s">
        <v>75</v>
      </c>
      <c r="M7" s="23" t="s">
        <v>75</v>
      </c>
      <c r="N7" s="23" t="s">
        <v>75</v>
      </c>
      <c r="O7" s="23" t="s">
        <v>75</v>
      </c>
      <c r="P7" s="23" t="s">
        <v>75</v>
      </c>
      <c r="Q7" s="23" t="s">
        <v>75</v>
      </c>
      <c r="R7" s="23" t="s">
        <v>75</v>
      </c>
      <c r="S7" s="23" t="s">
        <v>75</v>
      </c>
      <c r="T7" s="23" t="s">
        <v>75</v>
      </c>
      <c r="U7" s="23">
        <v>4700000</v>
      </c>
      <c r="V7" s="23">
        <v>650394</v>
      </c>
      <c r="W7" s="23">
        <v>606800</v>
      </c>
      <c r="X7" s="23">
        <v>42844</v>
      </c>
      <c r="Y7" s="23">
        <v>750</v>
      </c>
      <c r="Z7" s="23" t="s">
        <v>75</v>
      </c>
      <c r="AA7" s="23" t="s">
        <v>75</v>
      </c>
    </row>
    <row r="8" spans="1:27" ht="19.5" customHeight="1">
      <c r="A8" s="24" t="s">
        <v>65</v>
      </c>
      <c r="B8" s="22" t="s">
        <v>97</v>
      </c>
      <c r="C8" s="23">
        <v>10398395</v>
      </c>
      <c r="D8" s="23" t="s">
        <v>75</v>
      </c>
      <c r="E8" s="23">
        <v>8988600</v>
      </c>
      <c r="F8" s="23">
        <v>8988600</v>
      </c>
      <c r="G8" s="23" t="s">
        <v>75</v>
      </c>
      <c r="H8" s="23" t="s">
        <v>75</v>
      </c>
      <c r="I8" s="23" t="s">
        <v>75</v>
      </c>
      <c r="J8" s="23">
        <v>922064</v>
      </c>
      <c r="K8" s="23" t="s">
        <v>75</v>
      </c>
      <c r="L8" s="23">
        <v>922064</v>
      </c>
      <c r="M8" s="23" t="s">
        <v>75</v>
      </c>
      <c r="N8" s="23" t="s">
        <v>75</v>
      </c>
      <c r="O8" s="23" t="s">
        <v>75</v>
      </c>
      <c r="P8" s="23" t="s">
        <v>75</v>
      </c>
      <c r="Q8" s="23" t="s">
        <v>75</v>
      </c>
      <c r="R8" s="23" t="s">
        <v>75</v>
      </c>
      <c r="S8" s="23" t="s">
        <v>75</v>
      </c>
      <c r="T8" s="23" t="s">
        <v>75</v>
      </c>
      <c r="U8" s="23" t="s">
        <v>75</v>
      </c>
      <c r="V8" s="23">
        <v>487731</v>
      </c>
      <c r="W8" s="23">
        <v>18599</v>
      </c>
      <c r="X8" s="23">
        <v>33922</v>
      </c>
      <c r="Y8" s="23">
        <v>58300</v>
      </c>
      <c r="Z8" s="23">
        <v>376910</v>
      </c>
      <c r="AA8" s="23" t="s">
        <v>75</v>
      </c>
    </row>
    <row r="9" spans="1:27" ht="19.5" customHeight="1">
      <c r="A9" s="24" t="s">
        <v>65</v>
      </c>
      <c r="B9" s="22" t="s">
        <v>98</v>
      </c>
      <c r="C9" s="23">
        <v>10726134</v>
      </c>
      <c r="D9" s="23" t="s">
        <v>75</v>
      </c>
      <c r="E9" s="23">
        <v>6088058</v>
      </c>
      <c r="F9" s="23">
        <v>6088058</v>
      </c>
      <c r="G9" s="23" t="s">
        <v>75</v>
      </c>
      <c r="H9" s="23" t="s">
        <v>75</v>
      </c>
      <c r="I9" s="23" t="s">
        <v>75</v>
      </c>
      <c r="J9" s="23">
        <v>3779527</v>
      </c>
      <c r="K9" s="23" t="s">
        <v>75</v>
      </c>
      <c r="L9" s="23">
        <v>3779527</v>
      </c>
      <c r="M9" s="23">
        <v>80000</v>
      </c>
      <c r="N9" s="23">
        <v>80000</v>
      </c>
      <c r="O9" s="23" t="s">
        <v>75</v>
      </c>
      <c r="P9" s="23">
        <v>530441</v>
      </c>
      <c r="Q9" s="23" t="s">
        <v>75</v>
      </c>
      <c r="R9" s="23" t="s">
        <v>75</v>
      </c>
      <c r="S9" s="23">
        <v>530441</v>
      </c>
      <c r="T9" s="23" t="s">
        <v>75</v>
      </c>
      <c r="U9" s="23" t="s">
        <v>75</v>
      </c>
      <c r="V9" s="23">
        <v>238108</v>
      </c>
      <c r="W9" s="23">
        <v>12500</v>
      </c>
      <c r="X9" s="23">
        <v>15008</v>
      </c>
      <c r="Y9" s="23">
        <v>26000</v>
      </c>
      <c r="Z9" s="23">
        <v>184600</v>
      </c>
      <c r="AA9" s="23">
        <v>10000</v>
      </c>
    </row>
    <row r="10" spans="1:27" ht="19.5" customHeight="1">
      <c r="A10" s="24" t="s">
        <v>65</v>
      </c>
      <c r="B10" s="22" t="s">
        <v>99</v>
      </c>
      <c r="C10" s="23">
        <v>11361489</v>
      </c>
      <c r="D10" s="23" t="s">
        <v>75</v>
      </c>
      <c r="E10" s="23">
        <v>7500000</v>
      </c>
      <c r="F10" s="23">
        <v>6100000</v>
      </c>
      <c r="G10" s="23" t="s">
        <v>75</v>
      </c>
      <c r="H10" s="23" t="s">
        <v>75</v>
      </c>
      <c r="I10" s="23">
        <v>1400000</v>
      </c>
      <c r="J10" s="23">
        <v>3386900</v>
      </c>
      <c r="K10" s="23" t="s">
        <v>75</v>
      </c>
      <c r="L10" s="23">
        <v>3386900</v>
      </c>
      <c r="M10" s="23" t="s">
        <v>75</v>
      </c>
      <c r="N10" s="23" t="s">
        <v>75</v>
      </c>
      <c r="O10" s="23" t="s">
        <v>75</v>
      </c>
      <c r="P10" s="23" t="s">
        <v>75</v>
      </c>
      <c r="Q10" s="23" t="s">
        <v>75</v>
      </c>
      <c r="R10" s="23" t="s">
        <v>75</v>
      </c>
      <c r="S10" s="23" t="s">
        <v>75</v>
      </c>
      <c r="T10" s="23" t="s">
        <v>75</v>
      </c>
      <c r="U10" s="23" t="s">
        <v>75</v>
      </c>
      <c r="V10" s="23">
        <v>474589</v>
      </c>
      <c r="W10" s="23">
        <v>2200</v>
      </c>
      <c r="X10" s="23">
        <v>48099</v>
      </c>
      <c r="Y10" s="23">
        <v>16000</v>
      </c>
      <c r="Z10" s="23">
        <v>408290</v>
      </c>
      <c r="AA10" s="23" t="s">
        <v>75</v>
      </c>
    </row>
    <row r="11" spans="1:27" ht="19.5" customHeight="1">
      <c r="A11" s="24" t="s">
        <v>65</v>
      </c>
      <c r="B11" s="22" t="s">
        <v>100</v>
      </c>
      <c r="C11" s="23">
        <v>11431991</v>
      </c>
      <c r="D11" s="23" t="s">
        <v>75</v>
      </c>
      <c r="E11" s="23">
        <v>6044000</v>
      </c>
      <c r="F11" s="23">
        <v>6044000</v>
      </c>
      <c r="G11" s="23" t="s">
        <v>75</v>
      </c>
      <c r="H11" s="23" t="s">
        <v>75</v>
      </c>
      <c r="I11" s="23" t="s">
        <v>75</v>
      </c>
      <c r="J11" s="23">
        <v>5060845</v>
      </c>
      <c r="K11" s="23">
        <v>146245</v>
      </c>
      <c r="L11" s="23">
        <v>4914600</v>
      </c>
      <c r="M11" s="23" t="s">
        <v>75</v>
      </c>
      <c r="N11" s="23" t="s">
        <v>75</v>
      </c>
      <c r="O11" s="23" t="s">
        <v>75</v>
      </c>
      <c r="P11" s="23" t="s">
        <v>75</v>
      </c>
      <c r="Q11" s="23" t="s">
        <v>75</v>
      </c>
      <c r="R11" s="23" t="s">
        <v>75</v>
      </c>
      <c r="S11" s="23" t="s">
        <v>75</v>
      </c>
      <c r="T11" s="23" t="s">
        <v>75</v>
      </c>
      <c r="U11" s="23" t="s">
        <v>75</v>
      </c>
      <c r="V11" s="23">
        <v>327146</v>
      </c>
      <c r="W11" s="23">
        <v>2810</v>
      </c>
      <c r="X11" s="23">
        <v>26116</v>
      </c>
      <c r="Y11" s="23">
        <v>39500</v>
      </c>
      <c r="Z11" s="23">
        <v>258720</v>
      </c>
      <c r="AA11" s="23" t="s">
        <v>75</v>
      </c>
    </row>
    <row r="12" spans="1:27" ht="19.5" customHeight="1">
      <c r="A12" s="24" t="s">
        <v>65</v>
      </c>
      <c r="B12" s="22" t="s">
        <v>101</v>
      </c>
      <c r="C12" s="23">
        <v>11238189</v>
      </c>
      <c r="D12" s="23" t="s">
        <v>75</v>
      </c>
      <c r="E12" s="23">
        <v>8140000</v>
      </c>
      <c r="F12" s="23">
        <v>6540000</v>
      </c>
      <c r="G12" s="23">
        <v>400000</v>
      </c>
      <c r="H12" s="23">
        <v>1200000</v>
      </c>
      <c r="I12" s="23" t="s">
        <v>75</v>
      </c>
      <c r="J12" s="23">
        <v>2971900</v>
      </c>
      <c r="K12" s="23" t="s">
        <v>75</v>
      </c>
      <c r="L12" s="23">
        <v>2971900</v>
      </c>
      <c r="M12" s="23" t="s">
        <v>75</v>
      </c>
      <c r="N12" s="23" t="s">
        <v>75</v>
      </c>
      <c r="O12" s="23" t="s">
        <v>75</v>
      </c>
      <c r="P12" s="23" t="s">
        <v>75</v>
      </c>
      <c r="Q12" s="23" t="s">
        <v>75</v>
      </c>
      <c r="R12" s="23" t="s">
        <v>75</v>
      </c>
      <c r="S12" s="23" t="s">
        <v>75</v>
      </c>
      <c r="T12" s="23" t="s">
        <v>75</v>
      </c>
      <c r="U12" s="23" t="s">
        <v>75</v>
      </c>
      <c r="V12" s="23">
        <v>126289</v>
      </c>
      <c r="W12" s="23">
        <v>8198</v>
      </c>
      <c r="X12" s="23">
        <v>48811</v>
      </c>
      <c r="Y12" s="23">
        <v>3000</v>
      </c>
      <c r="Z12" s="23">
        <v>66280</v>
      </c>
      <c r="AA12" s="23" t="s">
        <v>75</v>
      </c>
    </row>
    <row r="13" spans="1:27" ht="19.5" customHeight="1">
      <c r="A13" s="24" t="s">
        <v>65</v>
      </c>
      <c r="B13" s="22" t="s">
        <v>102</v>
      </c>
      <c r="C13" s="23">
        <v>3197669</v>
      </c>
      <c r="D13" s="23" t="s">
        <v>75</v>
      </c>
      <c r="E13" s="23" t="s">
        <v>75</v>
      </c>
      <c r="F13" s="23" t="s">
        <v>75</v>
      </c>
      <c r="G13" s="23" t="s">
        <v>75</v>
      </c>
      <c r="H13" s="23" t="s">
        <v>75</v>
      </c>
      <c r="I13" s="23" t="s">
        <v>75</v>
      </c>
      <c r="J13" s="23">
        <v>3176000</v>
      </c>
      <c r="K13" s="23" t="s">
        <v>75</v>
      </c>
      <c r="L13" s="23">
        <v>3176000</v>
      </c>
      <c r="M13" s="23" t="s">
        <v>75</v>
      </c>
      <c r="N13" s="23" t="s">
        <v>75</v>
      </c>
      <c r="O13" s="23" t="s">
        <v>75</v>
      </c>
      <c r="P13" s="23" t="s">
        <v>75</v>
      </c>
      <c r="Q13" s="23" t="s">
        <v>75</v>
      </c>
      <c r="R13" s="23" t="s">
        <v>75</v>
      </c>
      <c r="S13" s="23" t="s">
        <v>75</v>
      </c>
      <c r="T13" s="23" t="s">
        <v>75</v>
      </c>
      <c r="U13" s="23" t="s">
        <v>75</v>
      </c>
      <c r="V13" s="23">
        <v>21669</v>
      </c>
      <c r="W13" s="23" t="s">
        <v>75</v>
      </c>
      <c r="X13" s="23">
        <v>14469</v>
      </c>
      <c r="Y13" s="23" t="s">
        <v>75</v>
      </c>
      <c r="Z13" s="23">
        <v>7200</v>
      </c>
      <c r="AA13" s="23" t="s">
        <v>75</v>
      </c>
    </row>
    <row r="14" spans="1:27" ht="19.5" customHeight="1">
      <c r="A14" s="24" t="s">
        <v>65</v>
      </c>
      <c r="B14" s="22" t="s">
        <v>103</v>
      </c>
      <c r="C14" s="23">
        <v>2467084</v>
      </c>
      <c r="D14" s="23" t="s">
        <v>75</v>
      </c>
      <c r="E14" s="23" t="s">
        <v>75</v>
      </c>
      <c r="F14" s="23" t="s">
        <v>75</v>
      </c>
      <c r="G14" s="23" t="s">
        <v>75</v>
      </c>
      <c r="H14" s="23" t="s">
        <v>75</v>
      </c>
      <c r="I14" s="23" t="s">
        <v>75</v>
      </c>
      <c r="J14" s="23">
        <v>2261750</v>
      </c>
      <c r="K14" s="23" t="s">
        <v>75</v>
      </c>
      <c r="L14" s="23">
        <v>2261750</v>
      </c>
      <c r="M14" s="23" t="s">
        <v>75</v>
      </c>
      <c r="N14" s="23" t="s">
        <v>75</v>
      </c>
      <c r="O14" s="23" t="s">
        <v>75</v>
      </c>
      <c r="P14" s="23" t="s">
        <v>75</v>
      </c>
      <c r="Q14" s="23" t="s">
        <v>75</v>
      </c>
      <c r="R14" s="23" t="s">
        <v>75</v>
      </c>
      <c r="S14" s="23" t="s">
        <v>75</v>
      </c>
      <c r="T14" s="23" t="s">
        <v>75</v>
      </c>
      <c r="U14" s="23" t="s">
        <v>75</v>
      </c>
      <c r="V14" s="23">
        <v>205334</v>
      </c>
      <c r="W14" s="23" t="s">
        <v>75</v>
      </c>
      <c r="X14" s="23">
        <v>334</v>
      </c>
      <c r="Y14" s="23" t="s">
        <v>75</v>
      </c>
      <c r="Z14" s="23">
        <v>205000</v>
      </c>
      <c r="AA14" s="23" t="s">
        <v>75</v>
      </c>
    </row>
    <row r="15" spans="1:27" ht="19.5" customHeight="1">
      <c r="A15" s="24" t="s">
        <v>65</v>
      </c>
      <c r="B15" s="22" t="s">
        <v>104</v>
      </c>
      <c r="C15" s="23">
        <v>2280523</v>
      </c>
      <c r="D15" s="23" t="s">
        <v>75</v>
      </c>
      <c r="E15" s="23" t="s">
        <v>75</v>
      </c>
      <c r="F15" s="23" t="s">
        <v>75</v>
      </c>
      <c r="G15" s="23" t="s">
        <v>75</v>
      </c>
      <c r="H15" s="23" t="s">
        <v>75</v>
      </c>
      <c r="I15" s="23" t="s">
        <v>75</v>
      </c>
      <c r="J15" s="23" t="s">
        <v>75</v>
      </c>
      <c r="K15" s="23" t="s">
        <v>75</v>
      </c>
      <c r="L15" s="23" t="s">
        <v>75</v>
      </c>
      <c r="M15" s="23" t="s">
        <v>75</v>
      </c>
      <c r="N15" s="23" t="s">
        <v>75</v>
      </c>
      <c r="O15" s="23" t="s">
        <v>75</v>
      </c>
      <c r="P15" s="23">
        <v>2220162</v>
      </c>
      <c r="Q15" s="23" t="s">
        <v>75</v>
      </c>
      <c r="R15" s="23">
        <v>145000</v>
      </c>
      <c r="S15" s="23">
        <v>2075162</v>
      </c>
      <c r="T15" s="23" t="s">
        <v>75</v>
      </c>
      <c r="U15" s="23" t="s">
        <v>75</v>
      </c>
      <c r="V15" s="23">
        <v>19921</v>
      </c>
      <c r="W15" s="23" t="s">
        <v>75</v>
      </c>
      <c r="X15" s="23">
        <v>2421</v>
      </c>
      <c r="Y15" s="23" t="s">
        <v>75</v>
      </c>
      <c r="Z15" s="23">
        <v>17500</v>
      </c>
      <c r="AA15" s="23">
        <v>40440</v>
      </c>
    </row>
    <row r="16" spans="1:27" ht="19.5" customHeight="1">
      <c r="A16" s="24" t="s">
        <v>65</v>
      </c>
      <c r="B16" s="22" t="s">
        <v>105</v>
      </c>
      <c r="C16" s="23">
        <v>1980900</v>
      </c>
      <c r="D16" s="23" t="s">
        <v>75</v>
      </c>
      <c r="E16" s="23" t="s">
        <v>75</v>
      </c>
      <c r="F16" s="23" t="s">
        <v>75</v>
      </c>
      <c r="G16" s="23" t="s">
        <v>75</v>
      </c>
      <c r="H16" s="23" t="s">
        <v>75</v>
      </c>
      <c r="I16" s="23" t="s">
        <v>75</v>
      </c>
      <c r="J16" s="23">
        <v>1855500</v>
      </c>
      <c r="K16" s="23">
        <v>465800</v>
      </c>
      <c r="L16" s="23">
        <v>1389700</v>
      </c>
      <c r="M16" s="23" t="s">
        <v>75</v>
      </c>
      <c r="N16" s="23" t="s">
        <v>75</v>
      </c>
      <c r="O16" s="23" t="s">
        <v>75</v>
      </c>
      <c r="P16" s="23" t="s">
        <v>75</v>
      </c>
      <c r="Q16" s="23" t="s">
        <v>75</v>
      </c>
      <c r="R16" s="23" t="s">
        <v>75</v>
      </c>
      <c r="S16" s="23" t="s">
        <v>75</v>
      </c>
      <c r="T16" s="23" t="s">
        <v>75</v>
      </c>
      <c r="U16" s="23" t="s">
        <v>75</v>
      </c>
      <c r="V16" s="23">
        <v>125400</v>
      </c>
      <c r="W16" s="23" t="s">
        <v>75</v>
      </c>
      <c r="X16" s="23" t="s">
        <v>75</v>
      </c>
      <c r="Y16" s="23" t="s">
        <v>75</v>
      </c>
      <c r="Z16" s="23">
        <v>125400</v>
      </c>
      <c r="AA16" s="23" t="s">
        <v>75</v>
      </c>
    </row>
    <row r="17" spans="1:27" ht="19.5" customHeight="1">
      <c r="A17" s="24" t="s">
        <v>65</v>
      </c>
      <c r="B17" s="22" t="s">
        <v>106</v>
      </c>
      <c r="C17" s="23">
        <v>1718662</v>
      </c>
      <c r="D17" s="23" t="s">
        <v>75</v>
      </c>
      <c r="E17" s="23" t="s">
        <v>75</v>
      </c>
      <c r="F17" s="23" t="s">
        <v>75</v>
      </c>
      <c r="G17" s="23" t="s">
        <v>75</v>
      </c>
      <c r="H17" s="23" t="s">
        <v>75</v>
      </c>
      <c r="I17" s="23" t="s">
        <v>75</v>
      </c>
      <c r="J17" s="23">
        <v>1716800</v>
      </c>
      <c r="K17" s="23" t="s">
        <v>75</v>
      </c>
      <c r="L17" s="23">
        <v>1716800</v>
      </c>
      <c r="M17" s="23" t="s">
        <v>75</v>
      </c>
      <c r="N17" s="23" t="s">
        <v>75</v>
      </c>
      <c r="O17" s="23" t="s">
        <v>75</v>
      </c>
      <c r="P17" s="23" t="s">
        <v>75</v>
      </c>
      <c r="Q17" s="23" t="s">
        <v>75</v>
      </c>
      <c r="R17" s="23" t="s">
        <v>75</v>
      </c>
      <c r="S17" s="23" t="s">
        <v>75</v>
      </c>
      <c r="T17" s="23" t="s">
        <v>75</v>
      </c>
      <c r="U17" s="23" t="s">
        <v>75</v>
      </c>
      <c r="V17" s="23">
        <v>1862</v>
      </c>
      <c r="W17" s="23" t="s">
        <v>75</v>
      </c>
      <c r="X17" s="23">
        <v>1862</v>
      </c>
      <c r="Y17" s="23" t="s">
        <v>75</v>
      </c>
      <c r="Z17" s="23" t="s">
        <v>75</v>
      </c>
      <c r="AA17" s="23" t="s">
        <v>75</v>
      </c>
    </row>
    <row r="18" spans="1:27" ht="19.5" customHeight="1">
      <c r="A18" s="24" t="s">
        <v>65</v>
      </c>
      <c r="B18" s="22" t="s">
        <v>107</v>
      </c>
      <c r="C18" s="23">
        <v>1715000</v>
      </c>
      <c r="D18" s="23" t="s">
        <v>75</v>
      </c>
      <c r="E18" s="23" t="s">
        <v>75</v>
      </c>
      <c r="F18" s="23" t="s">
        <v>75</v>
      </c>
      <c r="G18" s="23" t="s">
        <v>75</v>
      </c>
      <c r="H18" s="23" t="s">
        <v>75</v>
      </c>
      <c r="I18" s="23" t="s">
        <v>75</v>
      </c>
      <c r="J18" s="23">
        <v>1695200</v>
      </c>
      <c r="K18" s="23" t="s">
        <v>75</v>
      </c>
      <c r="L18" s="23">
        <v>1695200</v>
      </c>
      <c r="M18" s="23" t="s">
        <v>75</v>
      </c>
      <c r="N18" s="23" t="s">
        <v>75</v>
      </c>
      <c r="O18" s="23" t="s">
        <v>75</v>
      </c>
      <c r="P18" s="23" t="s">
        <v>75</v>
      </c>
      <c r="Q18" s="23" t="s">
        <v>75</v>
      </c>
      <c r="R18" s="23" t="s">
        <v>75</v>
      </c>
      <c r="S18" s="23" t="s">
        <v>75</v>
      </c>
      <c r="T18" s="23" t="s">
        <v>75</v>
      </c>
      <c r="U18" s="23" t="s">
        <v>75</v>
      </c>
      <c r="V18" s="23">
        <v>19800</v>
      </c>
      <c r="W18" s="23" t="s">
        <v>75</v>
      </c>
      <c r="X18" s="23" t="s">
        <v>75</v>
      </c>
      <c r="Y18" s="23" t="s">
        <v>75</v>
      </c>
      <c r="Z18" s="23">
        <v>19800</v>
      </c>
      <c r="AA18" s="23" t="s">
        <v>75</v>
      </c>
    </row>
    <row r="19" spans="1:27" ht="19.5" customHeight="1">
      <c r="A19" s="24" t="s">
        <v>65</v>
      </c>
      <c r="B19" s="22" t="s">
        <v>108</v>
      </c>
      <c r="C19" s="23">
        <v>1450664</v>
      </c>
      <c r="D19" s="23" t="s">
        <v>75</v>
      </c>
      <c r="E19" s="23" t="s">
        <v>75</v>
      </c>
      <c r="F19" s="23" t="s">
        <v>75</v>
      </c>
      <c r="G19" s="23" t="s">
        <v>75</v>
      </c>
      <c r="H19" s="23" t="s">
        <v>75</v>
      </c>
      <c r="I19" s="23" t="s">
        <v>75</v>
      </c>
      <c r="J19" s="23">
        <v>1450000</v>
      </c>
      <c r="K19" s="23" t="s">
        <v>75</v>
      </c>
      <c r="L19" s="23">
        <v>1450000</v>
      </c>
      <c r="M19" s="23" t="s">
        <v>75</v>
      </c>
      <c r="N19" s="23" t="s">
        <v>75</v>
      </c>
      <c r="O19" s="23" t="s">
        <v>75</v>
      </c>
      <c r="P19" s="23" t="s">
        <v>75</v>
      </c>
      <c r="Q19" s="23" t="s">
        <v>75</v>
      </c>
      <c r="R19" s="23" t="s">
        <v>75</v>
      </c>
      <c r="S19" s="23" t="s">
        <v>75</v>
      </c>
      <c r="T19" s="23" t="s">
        <v>75</v>
      </c>
      <c r="U19" s="23" t="s">
        <v>75</v>
      </c>
      <c r="V19" s="23">
        <v>664</v>
      </c>
      <c r="W19" s="23" t="s">
        <v>75</v>
      </c>
      <c r="X19" s="23">
        <v>664</v>
      </c>
      <c r="Y19" s="23" t="s">
        <v>75</v>
      </c>
      <c r="Z19" s="23" t="s">
        <v>75</v>
      </c>
      <c r="AA19" s="23" t="s">
        <v>75</v>
      </c>
    </row>
    <row r="20" spans="1:27" ht="19.5" customHeight="1">
      <c r="A20" s="24" t="s">
        <v>65</v>
      </c>
      <c r="B20" s="22" t="s">
        <v>109</v>
      </c>
      <c r="C20" s="23">
        <v>1409147</v>
      </c>
      <c r="D20" s="23" t="s">
        <v>75</v>
      </c>
      <c r="E20" s="23" t="s">
        <v>75</v>
      </c>
      <c r="F20" s="23" t="s">
        <v>75</v>
      </c>
      <c r="G20" s="23" t="s">
        <v>75</v>
      </c>
      <c r="H20" s="23" t="s">
        <v>75</v>
      </c>
      <c r="I20" s="23" t="s">
        <v>75</v>
      </c>
      <c r="J20" s="23" t="s">
        <v>75</v>
      </c>
      <c r="K20" s="23" t="s">
        <v>75</v>
      </c>
      <c r="L20" s="23" t="s">
        <v>75</v>
      </c>
      <c r="M20" s="23" t="s">
        <v>75</v>
      </c>
      <c r="N20" s="23" t="s">
        <v>75</v>
      </c>
      <c r="O20" s="23" t="s">
        <v>75</v>
      </c>
      <c r="P20" s="23">
        <v>1381690</v>
      </c>
      <c r="Q20" s="23" t="s">
        <v>75</v>
      </c>
      <c r="R20" s="23" t="s">
        <v>75</v>
      </c>
      <c r="S20" s="23">
        <v>1381690</v>
      </c>
      <c r="T20" s="23" t="s">
        <v>75</v>
      </c>
      <c r="U20" s="23" t="s">
        <v>75</v>
      </c>
      <c r="V20" s="23">
        <v>27457</v>
      </c>
      <c r="W20" s="23">
        <v>1030</v>
      </c>
      <c r="X20" s="23">
        <v>4017</v>
      </c>
      <c r="Y20" s="23">
        <v>7050</v>
      </c>
      <c r="Z20" s="23">
        <v>15360</v>
      </c>
      <c r="AA20" s="23" t="s">
        <v>75</v>
      </c>
    </row>
    <row r="21" spans="1:27" ht="19.5" customHeight="1">
      <c r="A21" s="24" t="s">
        <v>65</v>
      </c>
      <c r="B21" s="22" t="s">
        <v>110</v>
      </c>
      <c r="C21" s="23">
        <v>1366584</v>
      </c>
      <c r="D21" s="23" t="s">
        <v>75</v>
      </c>
      <c r="E21" s="23" t="s">
        <v>75</v>
      </c>
      <c r="F21" s="23" t="s">
        <v>75</v>
      </c>
      <c r="G21" s="23" t="s">
        <v>75</v>
      </c>
      <c r="H21" s="23" t="s">
        <v>75</v>
      </c>
      <c r="I21" s="23" t="s">
        <v>75</v>
      </c>
      <c r="J21" s="23" t="s">
        <v>75</v>
      </c>
      <c r="K21" s="23" t="s">
        <v>75</v>
      </c>
      <c r="L21" s="23" t="s">
        <v>75</v>
      </c>
      <c r="M21" s="23" t="s">
        <v>75</v>
      </c>
      <c r="N21" s="23" t="s">
        <v>75</v>
      </c>
      <c r="O21" s="23" t="s">
        <v>75</v>
      </c>
      <c r="P21" s="23" t="s">
        <v>75</v>
      </c>
      <c r="Q21" s="23" t="s">
        <v>75</v>
      </c>
      <c r="R21" s="23" t="s">
        <v>75</v>
      </c>
      <c r="S21" s="23" t="s">
        <v>75</v>
      </c>
      <c r="T21" s="23" t="s">
        <v>75</v>
      </c>
      <c r="U21" s="23" t="s">
        <v>75</v>
      </c>
      <c r="V21" s="23">
        <v>1366584</v>
      </c>
      <c r="W21" s="23">
        <v>1089657</v>
      </c>
      <c r="X21" s="23">
        <v>14927</v>
      </c>
      <c r="Y21" s="23">
        <v>8000</v>
      </c>
      <c r="Z21" s="23">
        <v>254000</v>
      </c>
      <c r="AA21" s="23" t="s">
        <v>75</v>
      </c>
    </row>
    <row r="22" spans="1:27" ht="19.5" customHeight="1">
      <c r="A22" s="24" t="s">
        <v>65</v>
      </c>
      <c r="B22" s="22" t="s">
        <v>111</v>
      </c>
      <c r="C22" s="23">
        <v>1200101</v>
      </c>
      <c r="D22" s="23" t="s">
        <v>75</v>
      </c>
      <c r="E22" s="23">
        <v>1190000</v>
      </c>
      <c r="F22" s="23">
        <v>1190000</v>
      </c>
      <c r="G22" s="23" t="s">
        <v>75</v>
      </c>
      <c r="H22" s="23" t="s">
        <v>75</v>
      </c>
      <c r="I22" s="23" t="s">
        <v>75</v>
      </c>
      <c r="J22" s="23" t="s">
        <v>75</v>
      </c>
      <c r="K22" s="23" t="s">
        <v>75</v>
      </c>
      <c r="L22" s="23" t="s">
        <v>75</v>
      </c>
      <c r="M22" s="23" t="s">
        <v>75</v>
      </c>
      <c r="N22" s="23" t="s">
        <v>75</v>
      </c>
      <c r="O22" s="23" t="s">
        <v>75</v>
      </c>
      <c r="P22" s="23" t="s">
        <v>75</v>
      </c>
      <c r="Q22" s="23" t="s">
        <v>75</v>
      </c>
      <c r="R22" s="23" t="s">
        <v>75</v>
      </c>
      <c r="S22" s="23" t="s">
        <v>75</v>
      </c>
      <c r="T22" s="23" t="s">
        <v>75</v>
      </c>
      <c r="U22" s="23" t="s">
        <v>75</v>
      </c>
      <c r="V22" s="23">
        <v>10101</v>
      </c>
      <c r="W22" s="23">
        <v>5000</v>
      </c>
      <c r="X22" s="23">
        <v>5101</v>
      </c>
      <c r="Y22" s="23" t="s">
        <v>75</v>
      </c>
      <c r="Z22" s="23" t="s">
        <v>75</v>
      </c>
      <c r="AA22" s="23" t="s">
        <v>75</v>
      </c>
    </row>
    <row r="23" spans="1:27" ht="19.5" customHeight="1">
      <c r="A23" s="24" t="s">
        <v>65</v>
      </c>
      <c r="B23" s="22" t="s">
        <v>73</v>
      </c>
      <c r="C23" s="23">
        <v>26551244</v>
      </c>
      <c r="D23" s="23" t="s">
        <v>75</v>
      </c>
      <c r="E23" s="23" t="s">
        <v>75</v>
      </c>
      <c r="F23" s="23" t="s">
        <v>75</v>
      </c>
      <c r="G23" s="23" t="s">
        <v>75</v>
      </c>
      <c r="H23" s="23" t="s">
        <v>75</v>
      </c>
      <c r="I23" s="23" t="s">
        <v>75</v>
      </c>
      <c r="J23" s="23">
        <v>4736366</v>
      </c>
      <c r="K23" s="23" t="s">
        <v>75</v>
      </c>
      <c r="L23" s="23">
        <v>4736366</v>
      </c>
      <c r="M23" s="23" t="s">
        <v>75</v>
      </c>
      <c r="N23" s="23" t="s">
        <v>75</v>
      </c>
      <c r="O23" s="23" t="s">
        <v>75</v>
      </c>
      <c r="P23" s="23">
        <v>5058691</v>
      </c>
      <c r="Q23" s="23">
        <v>1502724</v>
      </c>
      <c r="R23" s="23">
        <v>114300</v>
      </c>
      <c r="S23" s="23">
        <v>3381667</v>
      </c>
      <c r="T23" s="23">
        <v>60000</v>
      </c>
      <c r="U23" s="23" t="s">
        <v>75</v>
      </c>
      <c r="V23" s="23">
        <v>16440423</v>
      </c>
      <c r="W23" s="23">
        <v>58274</v>
      </c>
      <c r="X23" s="23">
        <v>14315474</v>
      </c>
      <c r="Y23" s="23">
        <v>1477202</v>
      </c>
      <c r="Z23" s="23">
        <v>589472</v>
      </c>
      <c r="AA23" s="23">
        <v>315764</v>
      </c>
    </row>
    <row r="24" spans="1:27" ht="19.5" customHeight="1">
      <c r="A24" s="25" t="s">
        <v>112</v>
      </c>
      <c r="B24" s="25" t="s">
        <v>85</v>
      </c>
      <c r="C24" s="23">
        <v>1787600</v>
      </c>
      <c r="D24" s="23" t="s">
        <v>75</v>
      </c>
      <c r="E24" s="23" t="s">
        <v>75</v>
      </c>
      <c r="F24" s="23" t="s">
        <v>75</v>
      </c>
      <c r="G24" s="23" t="s">
        <v>75</v>
      </c>
      <c r="H24" s="23" t="s">
        <v>75</v>
      </c>
      <c r="I24" s="23" t="s">
        <v>75</v>
      </c>
      <c r="J24" s="23" t="s">
        <v>75</v>
      </c>
      <c r="K24" s="23" t="s">
        <v>75</v>
      </c>
      <c r="L24" s="23" t="s">
        <v>75</v>
      </c>
      <c r="M24" s="23" t="s">
        <v>75</v>
      </c>
      <c r="N24" s="23" t="s">
        <v>75</v>
      </c>
      <c r="O24" s="23" t="s">
        <v>75</v>
      </c>
      <c r="P24" s="23" t="s">
        <v>75</v>
      </c>
      <c r="Q24" s="23" t="s">
        <v>75</v>
      </c>
      <c r="R24" s="23" t="s">
        <v>75</v>
      </c>
      <c r="S24" s="23" t="s">
        <v>75</v>
      </c>
      <c r="T24" s="23" t="s">
        <v>75</v>
      </c>
      <c r="U24" s="23" t="s">
        <v>75</v>
      </c>
      <c r="V24" s="23" t="s">
        <v>75</v>
      </c>
      <c r="W24" s="23" t="s">
        <v>75</v>
      </c>
      <c r="X24" s="23" t="s">
        <v>75</v>
      </c>
      <c r="Y24" s="23" t="s">
        <v>75</v>
      </c>
      <c r="Z24" s="23" t="s">
        <v>75</v>
      </c>
      <c r="AA24" s="23" t="s">
        <v>75</v>
      </c>
    </row>
    <row r="25" spans="1:27" ht="16.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</row>
    <row r="26" spans="1:27" ht="16.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</row>
    <row r="27" spans="1:27" ht="16.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</row>
    <row r="28" spans="1:27" ht="16.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</row>
    <row r="29" spans="1:27" ht="16.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</row>
    <row r="30" spans="1:27" ht="16.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</row>
    <row r="31" spans="1:27" ht="16.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</row>
    <row r="32" spans="1:27" ht="16.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</row>
    <row r="33" spans="1:27" ht="16.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</row>
    <row r="34" spans="1:27" ht="16.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</row>
    <row r="35" spans="1:27" ht="16.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</row>
    <row r="36" spans="1:27" ht="16.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</row>
    <row r="37" spans="1:27" ht="16.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</row>
    <row r="38" spans="1:27" ht="16.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</row>
    <row r="39" spans="1:27" ht="16.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</row>
    <row r="40" spans="1:27" ht="16.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</row>
    <row r="41" spans="1:27" ht="16.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</row>
    <row r="42" spans="1:27" ht="16.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</row>
    <row r="43" spans="1:27" ht="16.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</row>
    <row r="44" spans="1:27" ht="16.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</row>
    <row r="45" spans="1:27" ht="16.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</row>
    <row r="46" spans="1:27" ht="16.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</row>
    <row r="47" spans="1:27" ht="16.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</row>
    <row r="48" spans="1:27" ht="16.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</row>
    <row r="49" spans="1:27" ht="16.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</row>
    <row r="50" spans="1:27" ht="16.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</row>
    <row r="51" spans="1:27" ht="16.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</row>
    <row r="52" spans="1:27" ht="16.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</row>
    <row r="53" spans="1:27" ht="16.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</row>
    <row r="54" spans="1:27" ht="16.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</row>
    <row r="55" spans="1:27" ht="16.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</row>
    <row r="56" spans="1:27" ht="16.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</row>
    <row r="57" spans="1:27" ht="16.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</row>
    <row r="58" spans="1:27" ht="16.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</row>
    <row r="59" spans="1:27" ht="16.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</row>
    <row r="60" spans="1:27" ht="16.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</row>
    <row r="61" spans="1:27" ht="16.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</row>
    <row r="62" spans="1:27" ht="16.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</row>
    <row r="63" spans="1:27" ht="16.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</row>
    <row r="64" spans="1:27" ht="16.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</row>
    <row r="65" spans="1:27" ht="16.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</row>
    <row r="66" spans="1:27" ht="16.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</row>
    <row r="67" spans="1:27" ht="16.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</row>
    <row r="68" spans="1:27" ht="16.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</row>
    <row r="69" spans="1:27" ht="16.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</row>
    <row r="70" spans="1:27" ht="16.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</row>
    <row r="71" spans="1:27" ht="16.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</row>
    <row r="72" spans="1:27" ht="16.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</row>
    <row r="73" spans="1:27" ht="16.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</row>
    <row r="74" spans="1:27" ht="16.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</row>
    <row r="75" spans="1:27" ht="16.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</row>
    <row r="76" spans="1:27" ht="16.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</row>
    <row r="77" spans="1:27" ht="16.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</row>
    <row r="78" spans="1:27" ht="16.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</row>
    <row r="79" spans="1:27" ht="16.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</row>
    <row r="80" spans="1:27" ht="16.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</row>
    <row r="81" spans="1:27" ht="16.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</row>
    <row r="82" spans="1:27" ht="16.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</row>
    <row r="83" spans="1:27" ht="16.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</row>
    <row r="84" spans="1:27" ht="16.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</row>
    <row r="85" spans="1:27" ht="16.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</row>
    <row r="86" spans="1:27" ht="16.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</row>
    <row r="87" spans="1:27" ht="16.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</row>
    <row r="88" spans="1:27" ht="16.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</row>
    <row r="89" spans="1:27" ht="16.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</row>
    <row r="90" spans="1:27" ht="16.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</row>
    <row r="91" spans="1:27" ht="16.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</row>
    <row r="92" spans="1:27" ht="16.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</row>
    <row r="93" spans="1:27" ht="16.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</row>
    <row r="94" spans="1:27" ht="16.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</row>
    <row r="95" spans="1:27" ht="16.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</row>
    <row r="96" spans="1:27" ht="16.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</row>
    <row r="97" spans="1:27" ht="16.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</row>
    <row r="98" spans="1:27" ht="16.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</row>
    <row r="99" spans="1:27" ht="16.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</row>
    <row r="100" spans="1:27" ht="16.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</row>
    <row r="101" spans="1:27" ht="16.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</row>
    <row r="102" spans="1:27" ht="16.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</row>
    <row r="103" spans="1:27" ht="16.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</row>
    <row r="104" spans="1:27" ht="16.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</row>
    <row r="105" spans="1:27" ht="16.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</row>
    <row r="106" spans="1:27" ht="16.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</row>
    <row r="107" spans="1:27" ht="16.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</row>
    <row r="108" spans="1:27" ht="16.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</row>
    <row r="109" spans="1:27" ht="16.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</row>
    <row r="110" spans="1:27" ht="16.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</row>
    <row r="111" spans="1:27" ht="16.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</row>
    <row r="112" spans="1:27" ht="16.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</row>
    <row r="113" spans="1:27" ht="16.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</row>
    <row r="114" spans="1:27" ht="16.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</row>
    <row r="115" spans="1:27" ht="16.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</row>
    <row r="116" spans="1:27" ht="16.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</row>
    <row r="117" spans="1:27" ht="16.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</row>
    <row r="118" spans="1:27" ht="16.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</row>
    <row r="119" spans="1:27" ht="16.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</row>
    <row r="120" spans="1:27" ht="16.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</row>
    <row r="121" spans="1:27" ht="16.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</row>
    <row r="122" spans="1:27" ht="16.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</row>
    <row r="123" spans="1:27" ht="16.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</row>
    <row r="124" spans="1:27" ht="16.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</row>
    <row r="125" spans="1:27" ht="16.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</row>
    <row r="126" spans="1:27" ht="16.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</row>
    <row r="127" spans="1:27" ht="16.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</row>
    <row r="128" spans="1:27" ht="16.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</row>
    <row r="129" spans="1:27" ht="16.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</row>
    <row r="130" spans="1:27" ht="16.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</row>
    <row r="131" spans="1:27" ht="16.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</row>
    <row r="132" spans="1:27" ht="16.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</row>
    <row r="133" spans="1:27" ht="16.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</row>
    <row r="134" spans="1:27" ht="16.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</row>
    <row r="135" spans="1:27" ht="16.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</row>
    <row r="136" spans="1:27" ht="16.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</row>
    <row r="137" spans="1:27" ht="16.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</row>
    <row r="138" spans="1:27" ht="16.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</row>
    <row r="139" spans="1:27" ht="16.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</row>
    <row r="140" spans="1:27" ht="16.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</row>
    <row r="141" spans="1:27" ht="16.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</row>
    <row r="142" spans="1:27" ht="16.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</row>
    <row r="143" spans="1:27" ht="16.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</row>
    <row r="144" spans="1:27" ht="16.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</row>
    <row r="145" spans="1:27" ht="16.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</row>
    <row r="146" spans="1:27" ht="16.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</row>
    <row r="147" spans="1:27" ht="16.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</row>
    <row r="148" spans="1:27" ht="16.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</row>
    <row r="149" spans="1:27" ht="16.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</row>
    <row r="150" spans="1:27" ht="16.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</row>
    <row r="151" spans="1:27" ht="16.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</row>
    <row r="152" spans="1:27" ht="16.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</row>
    <row r="153" spans="1:27" ht="16.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</row>
    <row r="154" spans="1:27" ht="16.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</row>
    <row r="155" spans="1:27" ht="16.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</row>
    <row r="156" spans="1:27" ht="16.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</row>
    <row r="157" spans="1:27" ht="16.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</row>
    <row r="158" spans="1:27" ht="16.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</row>
    <row r="159" spans="1:27" ht="16.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</row>
    <row r="160" spans="1:27" ht="16.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</row>
    <row r="161" spans="1:27" ht="16.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</row>
    <row r="162" spans="1:27" ht="16.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</row>
    <row r="163" spans="1:27" ht="16.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</row>
    <row r="164" spans="1:27" ht="16.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</row>
    <row r="165" spans="1:27" ht="16.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</row>
    <row r="166" spans="1:27" ht="16.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</row>
    <row r="167" spans="1:27" ht="16.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</row>
    <row r="168" spans="1:27" ht="16.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</row>
    <row r="169" spans="1:27" ht="16.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</row>
    <row r="170" spans="1:27" ht="16.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</row>
    <row r="171" spans="1:27" ht="16.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</row>
    <row r="172" spans="1:27" ht="16.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</row>
    <row r="173" spans="1:27" ht="16.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</row>
    <row r="174" spans="1:27" ht="16.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</row>
    <row r="175" spans="1:27" ht="16.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</row>
    <row r="176" spans="1:27" ht="16.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</row>
    <row r="177" spans="1:27" ht="16.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</row>
    <row r="178" spans="1:27" ht="16.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</row>
    <row r="179" spans="1:27" ht="16.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</row>
    <row r="180" spans="1:27" ht="16.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</row>
    <row r="181" spans="1:27" ht="16.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</row>
    <row r="182" spans="1:27" ht="16.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</row>
    <row r="183" spans="1:27" ht="16.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</row>
    <row r="184" spans="1:27" ht="16.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</row>
    <row r="185" spans="1:27" ht="16.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</row>
    <row r="186" spans="1:27" ht="16.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</row>
    <row r="187" spans="1:27" ht="16.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</row>
    <row r="188" spans="1:27" ht="16.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</row>
    <row r="189" spans="1:27" ht="16.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</row>
    <row r="190" spans="1:27" ht="16.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</row>
    <row r="191" spans="1:27" ht="16.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</row>
    <row r="192" spans="1:27" ht="16.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</row>
    <row r="193" spans="1:27" ht="16.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</row>
    <row r="194" spans="1:27" ht="16.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</row>
    <row r="195" spans="1:27" ht="16.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</row>
    <row r="196" spans="1:27" ht="16.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</row>
    <row r="197" spans="1:27" ht="16.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</row>
    <row r="198" spans="1:27" ht="16.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</row>
    <row r="199" spans="1:27" ht="16.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</row>
    <row r="200" spans="1:27" ht="16.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</row>
    <row r="201" spans="1:27" ht="16.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</row>
    <row r="202" spans="1:27" ht="16.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</row>
    <row r="203" spans="1:27" ht="16.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</row>
    <row r="204" spans="1:27" ht="16.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</row>
    <row r="205" spans="1:27" ht="16.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</row>
    <row r="206" spans="1:27" ht="16.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</row>
    <row r="207" spans="1:27" ht="16.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</row>
    <row r="208" spans="1:27" ht="16.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</row>
    <row r="209" spans="1:27" ht="16.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</row>
    <row r="210" spans="1:27" ht="16.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</row>
    <row r="211" spans="1:27" ht="16.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</row>
    <row r="212" spans="1:27" ht="16.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</row>
    <row r="213" spans="1:27" ht="16.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</row>
    <row r="214" spans="1:27" ht="16.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</row>
    <row r="215" spans="1:27" ht="16.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</row>
    <row r="216" spans="1:27" ht="16.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</row>
    <row r="217" spans="1:27" ht="16.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</row>
    <row r="218" spans="1:27" ht="16.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</row>
    <row r="219" spans="1:27" ht="16.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</row>
    <row r="220" spans="1:27" ht="16.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</row>
    <row r="221" spans="1:27" ht="16.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</row>
    <row r="222" spans="1:27" ht="16.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</row>
    <row r="223" spans="1:27" ht="16.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</row>
    <row r="224" spans="1:27" ht="16.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</row>
    <row r="225" spans="1:27" ht="16.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</row>
    <row r="226" spans="1:27" ht="16.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</row>
    <row r="227" spans="1:27" ht="16.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</row>
    <row r="228" spans="1:27" ht="16.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</row>
    <row r="229" spans="1:27" ht="16.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</row>
    <row r="230" spans="1:27" ht="16.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</row>
    <row r="231" spans="1:27" ht="16.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</row>
    <row r="232" spans="1:27" ht="16.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</row>
    <row r="233" spans="1:27" ht="16.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</row>
    <row r="234" spans="1:27" ht="16.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</row>
    <row r="235" spans="1:27" ht="16.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</row>
    <row r="236" spans="1:27" ht="16.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</row>
    <row r="237" spans="1:27" ht="16.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</row>
    <row r="238" spans="1:27" ht="16.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</row>
    <row r="239" spans="1:27" ht="16.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</row>
    <row r="240" spans="1:27" ht="16.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</row>
    <row r="241" spans="1:27" ht="16.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</row>
    <row r="242" spans="1:27" ht="16.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</row>
    <row r="243" spans="1:27" ht="16.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</row>
    <row r="244" spans="1:27" ht="16.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</row>
    <row r="245" spans="1:27" ht="16.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</row>
    <row r="246" spans="1:27" ht="16.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</row>
    <row r="247" spans="1:27" ht="16.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</row>
    <row r="248" spans="1:27" ht="16.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</row>
    <row r="249" spans="1:27" ht="16.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</row>
    <row r="250" spans="1:27" ht="16.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</row>
    <row r="251" spans="1:27" ht="16.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</row>
    <row r="252" spans="1:27" ht="16.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</row>
    <row r="253" spans="1:27" ht="16.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</row>
    <row r="254" spans="1:27" ht="16.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</row>
    <row r="255" spans="1:27" ht="16.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</row>
    <row r="256" spans="1:27" ht="16.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</row>
    <row r="257" spans="1:27" ht="16.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</row>
    <row r="258" spans="1:27" ht="16.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</row>
    <row r="259" spans="1:27" ht="16.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</row>
    <row r="260" spans="1:27" ht="16.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</row>
    <row r="261" spans="1:27" ht="16.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</row>
    <row r="262" spans="1:27" ht="16.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</row>
    <row r="263" spans="1:27" ht="16.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</row>
    <row r="264" spans="1:27" ht="16.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</row>
    <row r="265" spans="1:27" ht="16.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</row>
    <row r="266" spans="1:27" ht="16.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</row>
    <row r="267" spans="1:27" ht="16.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</row>
    <row r="268" spans="1:27" ht="16.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</row>
    <row r="269" spans="1:27" ht="16.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</row>
    <row r="270" spans="1:27" ht="16.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</row>
    <row r="271" spans="1:27" ht="16.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</row>
    <row r="272" spans="1:27" ht="16.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</row>
    <row r="273" spans="1:27" ht="16.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</row>
    <row r="274" spans="1:27" ht="16.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</row>
    <row r="275" spans="1:27" ht="16.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</row>
    <row r="276" spans="1:27" ht="16.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</row>
    <row r="277" spans="1:27" ht="16.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</row>
    <row r="278" spans="1:27" ht="16.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</row>
    <row r="279" spans="1:27" ht="16.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</row>
    <row r="280" spans="1:27" ht="16.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</row>
    <row r="281" spans="1:27" ht="16.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</row>
    <row r="282" spans="1:27" ht="16.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</row>
    <row r="283" spans="1:27" ht="16.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</row>
    <row r="284" spans="1:27" ht="16.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</row>
    <row r="285" spans="1:27" ht="16.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</row>
    <row r="286" spans="1:27" ht="16.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</row>
    <row r="287" spans="1:27" ht="16.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</row>
    <row r="288" spans="1:27" ht="16.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</row>
    <row r="289" spans="1:27" ht="16.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</row>
    <row r="290" spans="1:27" ht="16.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</row>
    <row r="291" spans="1:27" ht="16.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</row>
    <row r="292" spans="1:27" ht="16.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</row>
    <row r="293" spans="1:27" ht="16.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</row>
    <row r="294" spans="1:27" ht="16.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</row>
    <row r="295" spans="1:27" ht="16.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</row>
    <row r="296" spans="1:27" ht="16.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</row>
    <row r="297" spans="1:27" ht="16.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</row>
    <row r="298" spans="1:27" ht="16.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</row>
    <row r="299" spans="1:27" ht="16.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</row>
    <row r="300" spans="1:27" ht="16.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</row>
    <row r="301" spans="1:27" ht="16.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</row>
    <row r="302" spans="1:27" ht="16.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</row>
    <row r="303" spans="1:27" ht="16.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</row>
    <row r="304" spans="1:27" ht="16.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</row>
    <row r="305" spans="1:27" ht="16.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</row>
    <row r="306" spans="1:27" ht="16.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</row>
    <row r="307" spans="1:27" ht="16.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</row>
    <row r="308" spans="1:27" ht="16.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</row>
    <row r="309" spans="1:27" ht="16.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</row>
    <row r="310" spans="1:27" ht="16.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</row>
    <row r="311" spans="1:27" ht="16.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</row>
    <row r="312" spans="1:27" ht="16.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</row>
    <row r="313" spans="1:27" ht="16.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</row>
    <row r="314" spans="1:27" ht="16.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</row>
    <row r="315" spans="1:27" ht="16.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</row>
    <row r="316" spans="1:27" ht="16.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</row>
    <row r="317" spans="1:27" ht="16.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</row>
    <row r="318" spans="1:27" ht="16.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</row>
    <row r="319" spans="1:27" ht="16.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</row>
    <row r="320" spans="1:27" ht="16.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</row>
    <row r="321" spans="1:27" ht="16.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</row>
    <row r="322" spans="1:27" ht="16.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</row>
    <row r="323" spans="1:27" ht="16.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</row>
    <row r="324" spans="1:27" ht="16.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</row>
    <row r="325" spans="1:27" ht="16.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</row>
    <row r="326" spans="1:27" ht="16.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</row>
    <row r="327" spans="1:27" ht="16.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</row>
    <row r="328" spans="1:27" ht="16.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</row>
    <row r="329" spans="1:27" ht="16.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</row>
    <row r="330" spans="1:27" ht="16.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</row>
    <row r="331" spans="1:27" ht="16.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</row>
    <row r="332" spans="1:27" ht="16.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</row>
    <row r="333" spans="1:27" ht="16.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</row>
    <row r="334" spans="1:27" ht="16.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</row>
    <row r="335" spans="1:27" ht="16.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</row>
    <row r="336" spans="1:27" ht="16.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</row>
    <row r="337" spans="1:27" ht="16.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</row>
    <row r="338" spans="1:27" ht="16.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</row>
    <row r="339" spans="1:27" ht="16.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</row>
    <row r="340" spans="1:27" ht="16.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</row>
    <row r="341" spans="1:27" ht="16.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</row>
    <row r="342" spans="1:27" ht="16.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</row>
    <row r="343" spans="1:27" ht="16.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</row>
    <row r="344" spans="1:27" ht="16.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</row>
    <row r="345" spans="1:27" ht="16.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</row>
    <row r="346" spans="1:27" ht="16.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</row>
    <row r="347" spans="1:27" ht="16.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</row>
    <row r="348" spans="1:27" ht="16.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</row>
    <row r="349" spans="1:27" ht="16.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</row>
    <row r="350" spans="1:27" ht="16.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</row>
    <row r="351" spans="1:27" ht="16.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</row>
    <row r="352" spans="1:27" ht="16.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</row>
    <row r="353" spans="1:27" ht="16.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</row>
    <row r="354" spans="1:27" ht="16.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</row>
    <row r="355" spans="1:27" ht="16.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</row>
    <row r="356" spans="1:27" ht="16.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</row>
    <row r="357" spans="1:27" ht="16.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</row>
    <row r="358" spans="1:27" ht="16.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</row>
    <row r="359" spans="1:27" ht="16.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</row>
    <row r="360" spans="1:27" ht="16.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</row>
    <row r="361" spans="1:27" ht="16.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</row>
    <row r="362" spans="1:27" ht="16.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</row>
    <row r="363" spans="1:27" ht="16.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</row>
    <row r="364" spans="1:27" ht="16.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</row>
    <row r="365" spans="1:27" ht="16.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</row>
    <row r="366" spans="1:27" ht="16.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</row>
    <row r="367" spans="1:27" ht="16.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</row>
    <row r="368" spans="1:27" ht="16.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</row>
    <row r="369" spans="1:27" ht="16.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</row>
    <row r="370" spans="1:27" ht="16.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</row>
    <row r="371" spans="1:27" ht="16.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</row>
    <row r="372" spans="1:27" ht="16.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</row>
    <row r="373" spans="1:27" ht="16.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</row>
    <row r="374" spans="1:27" ht="16.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</row>
    <row r="375" spans="1:27" ht="16.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</row>
    <row r="376" spans="1:27" ht="16.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</row>
    <row r="377" spans="1:27" ht="16.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</row>
    <row r="378" spans="1:27" ht="16.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</row>
    <row r="379" spans="1:27" ht="16.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</row>
    <row r="380" spans="1:27" ht="16.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</row>
    <row r="381" spans="1:27" ht="16.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</row>
    <row r="382" spans="1:27" ht="16.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</row>
    <row r="383" spans="1:27" ht="16.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</row>
    <row r="384" spans="1:27" ht="16.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</row>
    <row r="385" spans="1:27" ht="16.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</row>
    <row r="386" spans="1:27" ht="16.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</row>
    <row r="387" spans="1:27" ht="16.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</row>
    <row r="388" spans="1:27" ht="16.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</row>
    <row r="389" spans="1:27" ht="16.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</row>
    <row r="390" spans="1:27" ht="16.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</row>
    <row r="391" spans="1:27" ht="16.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</row>
    <row r="392" spans="1:27" ht="16.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</row>
    <row r="393" spans="1:27" ht="16.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</row>
    <row r="394" spans="1:27" ht="16.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</row>
    <row r="395" spans="1:27" ht="16.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</row>
    <row r="396" spans="1:27" ht="16.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</row>
    <row r="397" spans="1:27" ht="16.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</row>
    <row r="398" spans="1:27" ht="16.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</row>
    <row r="399" spans="1:27" ht="16.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</row>
    <row r="400" spans="1:27" ht="16.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</row>
    <row r="401" spans="1:27" ht="16.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</row>
    <row r="402" spans="1:27" ht="16.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</row>
    <row r="403" spans="1:27" ht="16.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</row>
    <row r="404" spans="1:27" ht="16.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</row>
    <row r="405" spans="1:27" ht="16.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</row>
    <row r="406" spans="1:27" ht="16.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</row>
    <row r="407" spans="1:27" ht="16.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</row>
    <row r="408" spans="1:27" ht="16.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</row>
    <row r="409" spans="1:27" ht="16.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</row>
    <row r="410" spans="1:27" ht="16.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</row>
    <row r="411" spans="1:27" ht="16.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</row>
    <row r="412" spans="1:27" ht="16.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</row>
    <row r="413" spans="1:27" ht="16.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</row>
    <row r="414" spans="1:27" ht="16.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</row>
    <row r="415" spans="1:27" ht="16.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</row>
    <row r="416" spans="1:27" ht="16.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</row>
    <row r="417" spans="1:27" ht="16.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</row>
    <row r="418" spans="1:27" ht="16.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</row>
    <row r="419" spans="1:27" ht="16.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</row>
    <row r="420" spans="1:27" ht="16.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</row>
    <row r="421" spans="1:27" ht="16.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</row>
    <row r="422" spans="1:27" ht="16.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</row>
    <row r="423" spans="1:27" ht="16.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</row>
    <row r="424" spans="1:27" ht="16.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</row>
    <row r="425" spans="1:27" ht="16.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</row>
    <row r="426" spans="1:27" ht="16.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</row>
    <row r="427" spans="1:27" ht="16.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</row>
    <row r="428" spans="1:27" ht="16.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</row>
    <row r="429" spans="1:27" ht="16.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</row>
    <row r="430" spans="1:27" ht="16.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</row>
    <row r="431" spans="1:27" ht="16.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</row>
    <row r="432" spans="1:27" ht="16.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</row>
    <row r="433" spans="1:27" ht="16.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</row>
    <row r="434" spans="1:27" ht="16.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</row>
    <row r="435" spans="1:27" ht="16.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</row>
    <row r="436" spans="1:27" ht="16.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</row>
    <row r="437" spans="1:27" ht="16.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</row>
    <row r="438" spans="1:27" ht="16.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</row>
    <row r="439" spans="1:27" ht="16.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</row>
    <row r="440" spans="1:27" ht="16.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</row>
    <row r="441" spans="1:27" ht="16.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</row>
    <row r="442" spans="1:27" ht="16.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</row>
    <row r="443" spans="1:27" ht="16.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</row>
    <row r="444" spans="1:27" ht="16.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</row>
    <row r="445" spans="1:27" ht="16.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</row>
    <row r="446" spans="1:27" ht="16.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</row>
    <row r="447" spans="1:27" ht="16.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</row>
    <row r="448" spans="1:27" ht="16.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</row>
    <row r="449" spans="1:27" ht="16.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</row>
    <row r="450" spans="1:27" ht="16.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</row>
    <row r="451" spans="1:27" ht="16.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</row>
    <row r="452" spans="1:27" ht="16.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</row>
    <row r="453" spans="1:27" ht="16.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</row>
    <row r="454" spans="1:27" ht="16.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</row>
    <row r="455" spans="1:27" ht="16.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</row>
    <row r="456" spans="1:27" ht="16.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</row>
    <row r="457" spans="1:27" ht="16.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</row>
    <row r="458" spans="1:27" ht="16.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</row>
    <row r="459" spans="1:27" ht="16.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</row>
    <row r="460" spans="1:27" ht="16.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</row>
    <row r="461" spans="1:27" ht="16.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</row>
    <row r="462" spans="1:27" ht="16.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</row>
    <row r="463" spans="1:27" ht="16.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</row>
    <row r="464" spans="1:27" ht="16.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</row>
    <row r="465" spans="1:27" ht="16.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</row>
    <row r="466" spans="1:27" ht="16.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</row>
    <row r="467" spans="1:27" ht="16.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</row>
    <row r="468" spans="1:27" ht="16.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</row>
    <row r="469" spans="1:27" ht="16.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</row>
    <row r="470" spans="1:27" ht="16.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</row>
    <row r="471" spans="1:27" ht="16.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</row>
    <row r="472" spans="1:27" ht="16.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</row>
    <row r="473" spans="1:27" ht="16.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</row>
    <row r="474" spans="1:27" ht="16.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</row>
    <row r="475" spans="1:27" ht="16.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</row>
    <row r="476" spans="1:27" ht="16.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</row>
    <row r="477" spans="1:27" ht="16.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</row>
    <row r="478" spans="1:27" ht="16.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</row>
    <row r="479" spans="1:27" ht="16.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</row>
    <row r="480" spans="1:27" ht="16.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</row>
    <row r="481" spans="1:27" ht="16.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</row>
    <row r="482" spans="1:27" ht="16.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</row>
    <row r="483" spans="1:27" ht="16.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</row>
    <row r="484" spans="1:27" ht="16.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</row>
    <row r="485" spans="1:27" ht="16.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</row>
    <row r="486" spans="1:27" ht="16.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</row>
    <row r="487" spans="1:27" ht="16.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</row>
    <row r="488" spans="1:27" ht="16.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</row>
    <row r="489" spans="1:27" ht="16.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</row>
    <row r="490" spans="1:27" ht="16.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</row>
    <row r="491" spans="1:27" ht="16.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</row>
    <row r="492" spans="1:27" ht="16.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</row>
    <row r="493" spans="1:27" ht="16.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</row>
    <row r="494" spans="1:27" ht="16.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</row>
    <row r="495" spans="1:27" ht="16.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</row>
    <row r="496" spans="1:27" ht="16.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</row>
    <row r="497" spans="1:27" ht="16.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</row>
    <row r="498" spans="1:27" ht="16.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</row>
    <row r="499" spans="1:27" ht="16.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</row>
    <row r="500" spans="1:27" ht="16.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</row>
    <row r="501" spans="1:27" ht="16.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</row>
    <row r="502" spans="1:27" ht="16.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</row>
    <row r="503" spans="1:27" ht="16.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</row>
    <row r="504" spans="1:27" ht="16.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</row>
    <row r="505" spans="1:27" ht="16.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</row>
    <row r="506" spans="1:27" ht="16.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</row>
    <row r="507" spans="1:27" ht="16.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</row>
    <row r="508" spans="1:27" ht="16.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</row>
    <row r="509" spans="1:27" ht="16.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</row>
    <row r="510" spans="1:27" ht="16.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</row>
    <row r="511" spans="1:27" ht="16.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</row>
    <row r="512" spans="1:27" ht="16.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</row>
    <row r="513" spans="1:27" ht="16.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</row>
    <row r="514" spans="1:27" ht="16.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</row>
    <row r="515" spans="1:27" ht="16.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</row>
    <row r="516" spans="1:27" ht="16.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</row>
    <row r="517" spans="1:27" ht="16.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</row>
    <row r="518" spans="1:27" ht="16.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</row>
    <row r="519" spans="1:27" ht="16.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</row>
    <row r="520" spans="1:27" ht="16.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</row>
    <row r="521" spans="1:27" ht="16.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</row>
    <row r="522" spans="1:27" ht="16.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</row>
    <row r="523" spans="1:27" ht="16.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</row>
    <row r="524" spans="1:27" ht="16.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</row>
    <row r="525" spans="1:27" ht="16.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</row>
    <row r="526" spans="1:27" ht="16.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</row>
    <row r="527" spans="1:27" ht="16.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</row>
    <row r="528" spans="1:27" ht="16.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</row>
    <row r="529" spans="1:27" ht="16.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</row>
    <row r="530" spans="1:27" ht="16.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</row>
    <row r="531" spans="1:27" ht="16.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</row>
    <row r="532" spans="1:27" ht="16.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</row>
    <row r="533" spans="1:27" ht="16.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</row>
    <row r="534" spans="1:27" ht="16.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</row>
    <row r="535" spans="1:27" ht="16.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</row>
    <row r="536" spans="1:27" ht="16.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</row>
    <row r="537" spans="1:27" ht="16.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</row>
    <row r="538" spans="1:27" ht="16.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</row>
    <row r="539" spans="1:27" ht="16.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</row>
    <row r="540" spans="1:27" ht="16.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</row>
    <row r="541" spans="1:27" ht="16.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</row>
    <row r="542" spans="1:27" ht="16.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</row>
    <row r="543" spans="1:27" ht="16.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</row>
    <row r="544" spans="1:27" ht="16.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</row>
    <row r="545" spans="1:27" ht="16.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</row>
    <row r="546" spans="1:27" ht="16.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</row>
    <row r="547" spans="1:27" ht="16.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</row>
    <row r="548" spans="1:27" ht="16.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</row>
    <row r="549" spans="1:27" ht="16.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</row>
    <row r="550" spans="1:27" ht="16.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</row>
    <row r="551" spans="1:27" ht="16.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</row>
    <row r="552" spans="1:27" ht="16.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</row>
    <row r="553" spans="1:27" ht="16.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</row>
    <row r="554" spans="1:27" ht="16.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</row>
    <row r="555" spans="1:27" ht="16.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</row>
    <row r="556" spans="1:27" ht="16.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</row>
    <row r="557" spans="1:27" ht="16.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</row>
    <row r="558" spans="1:27" ht="16.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</row>
    <row r="559" spans="1:27" ht="16.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</row>
    <row r="560" spans="1:27" ht="16.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</row>
    <row r="561" spans="1:27" ht="16.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</row>
    <row r="562" spans="1:27" ht="16.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</row>
    <row r="563" spans="1:27" ht="16.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</row>
    <row r="564" spans="1:27" ht="16.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</row>
    <row r="565" spans="1:27" ht="16.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</row>
    <row r="566" spans="1:27" ht="16.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</row>
    <row r="567" spans="1:27" ht="16.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</row>
    <row r="568" spans="1:27" ht="16.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</row>
    <row r="569" spans="1:27" ht="16.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</row>
    <row r="570" spans="1:27" ht="16.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</row>
    <row r="571" spans="1:27" ht="16.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</row>
    <row r="572" spans="1:27" ht="16.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</row>
    <row r="573" spans="1:27" ht="16.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</row>
    <row r="574" spans="1:27" ht="16.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</row>
    <row r="575" spans="1:27" ht="16.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</row>
    <row r="576" spans="1:27" ht="16.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</row>
    <row r="577" spans="1:27" ht="16.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</row>
    <row r="578" spans="1:27" ht="16.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</row>
    <row r="579" spans="1:27" ht="16.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</row>
    <row r="580" spans="1:27" ht="16.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</row>
    <row r="581" spans="1:27" ht="16.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</row>
    <row r="582" spans="1:27" ht="16.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</row>
    <row r="583" spans="1:27" ht="16.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</row>
    <row r="584" spans="1:27" ht="16.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</row>
    <row r="585" spans="1:27" ht="16.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</row>
    <row r="586" spans="1:27" ht="16.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</row>
    <row r="587" spans="1:27" ht="16.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</row>
    <row r="588" spans="1:27" ht="16.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</row>
    <row r="589" spans="1:27" ht="16.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</row>
    <row r="590" spans="1:27" ht="16.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</row>
    <row r="591" spans="1:27" ht="16.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</row>
    <row r="592" spans="1:27" ht="16.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</row>
    <row r="593" spans="1:27" ht="16.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</row>
    <row r="594" spans="1:27" ht="16.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</row>
    <row r="595" spans="1:27" ht="16.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</row>
    <row r="596" spans="1:27" ht="16.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</row>
    <row r="597" spans="1:27" ht="16.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</row>
    <row r="598" spans="1:27" ht="16.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</row>
    <row r="599" spans="1:27" ht="16.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</row>
    <row r="600" spans="1:27" ht="16.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</row>
    <row r="601" spans="1:27" ht="16.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</row>
    <row r="602" spans="1:27" ht="16.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</row>
    <row r="603" spans="1:27" ht="16.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</row>
    <row r="604" spans="1:27" ht="16.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</row>
    <row r="605" spans="1:27" ht="16.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</row>
    <row r="606" spans="1:27" ht="16.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</row>
    <row r="607" spans="1:27" ht="16.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</row>
    <row r="608" spans="1:27" ht="16.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</row>
    <row r="609" spans="1:27" ht="16.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</row>
    <row r="610" spans="1:27" ht="16.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</row>
    <row r="611" spans="1:27" ht="16.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</row>
    <row r="612" spans="1:27" ht="16.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</row>
    <row r="613" spans="1:27" ht="16.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</row>
    <row r="614" spans="1:27" ht="16.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</row>
    <row r="615" spans="1:27" ht="16.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</row>
    <row r="616" spans="1:27" ht="16.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</row>
    <row r="617" spans="1:27" ht="16.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</row>
    <row r="618" spans="1:27" ht="16.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</row>
    <row r="619" spans="1:27" ht="16.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</row>
    <row r="620" spans="1:27" ht="16.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</row>
    <row r="621" spans="1:27" ht="16.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</row>
    <row r="622" spans="1:27" ht="16.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</row>
    <row r="623" spans="1:27" ht="16.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</row>
    <row r="624" spans="1:27" ht="16.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</row>
    <row r="625" spans="1:27" ht="16.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</row>
    <row r="626" spans="1:27" ht="16.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</row>
    <row r="627" spans="1:27" ht="16.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</row>
    <row r="628" spans="1:27" ht="16.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</row>
    <row r="629" spans="1:27" ht="16.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</row>
    <row r="630" spans="1:27" ht="16.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</row>
    <row r="631" spans="1:27" ht="16.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</row>
    <row r="632" spans="1:27" ht="16.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</row>
    <row r="633" spans="1:27" ht="16.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</row>
    <row r="634" spans="1:27" ht="16.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</row>
    <row r="635" spans="1:27" ht="16.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</row>
    <row r="636" spans="1:27" ht="16.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</row>
    <row r="637" spans="1:27" ht="16.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</row>
    <row r="638" spans="1:27" ht="16.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</row>
    <row r="639" spans="1:27" ht="16.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</row>
    <row r="640" spans="1:27" ht="16.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</row>
    <row r="641" spans="1:27" ht="16.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</row>
    <row r="642" spans="1:27" ht="16.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</row>
    <row r="643" spans="1:27" ht="16.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</row>
    <row r="644" spans="1:27" ht="16.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</row>
    <row r="645" spans="1:27" ht="16.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</row>
    <row r="646" spans="1:27" ht="16.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</row>
    <row r="647" spans="1:27" ht="16.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</row>
    <row r="648" spans="1:27" ht="16.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</row>
    <row r="649" spans="1:27" ht="16.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</row>
    <row r="650" spans="1:27" ht="16.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</row>
    <row r="651" spans="1:27" ht="16.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</row>
    <row r="652" spans="1:27" ht="16.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</row>
    <row r="653" spans="1:27" ht="16.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</row>
    <row r="654" spans="1:27" ht="16.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</row>
    <row r="655" spans="1:27" ht="16.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</row>
    <row r="656" spans="1:27" ht="16.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</row>
    <row r="657" spans="1:27" ht="16.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</row>
    <row r="658" spans="1:27" ht="16.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</row>
    <row r="659" spans="1:27" ht="16.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</row>
    <row r="660" spans="1:27" ht="16.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</row>
    <row r="661" spans="1:27" ht="16.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</row>
    <row r="662" spans="1:27" ht="16.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</row>
    <row r="663" spans="1:27" ht="16.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</row>
    <row r="664" spans="1:27" ht="16.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</row>
    <row r="665" spans="1:27" ht="16.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</row>
    <row r="666" spans="1:27" ht="16.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</row>
    <row r="667" spans="1:27" ht="16.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</row>
    <row r="668" spans="1:27" ht="16.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</row>
    <row r="669" spans="1:27" ht="16.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</row>
    <row r="670" spans="1:27" ht="16.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</row>
    <row r="671" spans="1:27" ht="16.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</row>
    <row r="672" spans="1:27" ht="16.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</row>
    <row r="673" spans="1:27" ht="16.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</row>
    <row r="674" spans="1:27" ht="16.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</row>
    <row r="675" spans="1:27" ht="16.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</row>
    <row r="676" spans="1:27" ht="16.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</row>
    <row r="677" spans="1:27" ht="16.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</row>
    <row r="678" spans="1:27" ht="16.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</row>
    <row r="679" spans="1:27" ht="16.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</row>
    <row r="680" spans="1:27" ht="16.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</row>
    <row r="681" spans="1:27" ht="16.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</row>
    <row r="682" spans="1:27" ht="16.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</row>
    <row r="683" spans="1:27" ht="16.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</row>
    <row r="684" spans="1:27" ht="16.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</row>
    <row r="685" spans="1:27" ht="16.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</row>
    <row r="686" spans="1:27" ht="16.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</row>
    <row r="687" spans="1:27" ht="16.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</row>
    <row r="688" spans="1:27" ht="16.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</row>
    <row r="689" spans="1:27" ht="16.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</row>
    <row r="690" spans="1:27" ht="16.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</row>
    <row r="691" spans="1:27" ht="16.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</row>
    <row r="692" spans="1:27" ht="16.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</row>
    <row r="693" spans="1:27" ht="16.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</row>
    <row r="694" spans="1:27" ht="16.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</row>
    <row r="695" spans="1:27" ht="16.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</row>
    <row r="696" spans="1:27" ht="16.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</row>
    <row r="697" spans="1:27" ht="16.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</row>
    <row r="698" spans="1:27" ht="16.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</row>
    <row r="699" spans="1:27" ht="16.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</row>
    <row r="700" spans="1:27" ht="16.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</row>
    <row r="701" spans="1:27" ht="16.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</row>
    <row r="702" spans="1:27" ht="16.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</row>
    <row r="703" spans="1:27" ht="16.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</row>
    <row r="704" spans="1:27" ht="16.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</row>
    <row r="705" spans="1:27" ht="16.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</row>
    <row r="706" spans="1:27" ht="16.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</row>
    <row r="707" spans="1:27" ht="16.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</row>
    <row r="708" spans="1:27" ht="16.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</row>
    <row r="709" spans="1:27" ht="16.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</row>
    <row r="710" spans="1:27" ht="16.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</row>
    <row r="711" spans="1:27" ht="16.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</row>
    <row r="712" spans="1:27" ht="16.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</row>
    <row r="713" spans="1:27" ht="16.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</row>
    <row r="714" spans="1:27" ht="16.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</row>
    <row r="715" spans="1:27" ht="16.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</row>
    <row r="716" spans="1:27" ht="16.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</row>
    <row r="717" spans="1:27" ht="16.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</row>
    <row r="718" spans="1:27" ht="16.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</row>
    <row r="719" spans="1:27" ht="16.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</row>
    <row r="720" spans="1:27" ht="16.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</row>
    <row r="721" spans="1:27" ht="16.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</row>
    <row r="722" spans="1:27" ht="16.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</row>
    <row r="723" spans="1:27" ht="16.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</row>
    <row r="724" spans="1:27" ht="16.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</row>
    <row r="725" spans="1:27" ht="16.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</row>
    <row r="726" spans="1:27" ht="16.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</row>
    <row r="727" spans="1:27" ht="16.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</row>
    <row r="728" spans="1:27" ht="16.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</row>
    <row r="729" spans="1:27" ht="16.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</row>
    <row r="730" spans="1:27" ht="16.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</row>
    <row r="731" spans="1:27" ht="16.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</row>
    <row r="732" spans="1:27" ht="16.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</row>
    <row r="733" spans="1:27" ht="16.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</row>
    <row r="734" spans="1:27" ht="16.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</row>
    <row r="735" spans="1:27" ht="16.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</row>
    <row r="736" spans="1:27" ht="16.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</row>
    <row r="737" spans="1:27" ht="16.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</row>
    <row r="738" spans="1:27" ht="16.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</row>
    <row r="739" spans="1:27" ht="16.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</row>
    <row r="740" spans="1:27" ht="16.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</row>
    <row r="741" spans="1:27" ht="16.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</row>
    <row r="742" spans="1:27" ht="16.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</row>
    <row r="743" spans="1:27" ht="16.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</row>
    <row r="744" spans="1:27" ht="16.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</row>
    <row r="745" spans="1:27" ht="16.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</row>
    <row r="746" spans="1:27" ht="16.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</row>
    <row r="747" spans="1:27" ht="16.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</row>
    <row r="748" spans="1:27" ht="16.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</row>
    <row r="749" spans="1:27" ht="16.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</row>
    <row r="750" spans="1:27" ht="16.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</row>
    <row r="751" spans="1:27" ht="16.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</row>
    <row r="752" spans="1:27" ht="16.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</row>
    <row r="753" spans="1:27" ht="16.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</row>
    <row r="754" spans="1:27" ht="16.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</row>
    <row r="755" spans="1:27" ht="16.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</row>
    <row r="756" spans="1:27" ht="16.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</row>
    <row r="757" spans="1:27" ht="16.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</row>
    <row r="758" spans="1:27" ht="16.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</row>
    <row r="759" spans="1:27" ht="16.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</row>
    <row r="760" spans="1:27" ht="16.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</row>
    <row r="761" spans="1:27" ht="16.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</row>
    <row r="762" spans="1:27" ht="16.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</row>
    <row r="763" spans="1:27" ht="16.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</row>
    <row r="764" spans="1:27" ht="16.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</row>
    <row r="765" spans="1:27" ht="16.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</row>
    <row r="766" spans="1:27" ht="16.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</row>
    <row r="767" spans="1:27" ht="16.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</row>
    <row r="768" spans="1:27" ht="16.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</row>
    <row r="769" spans="1:27" ht="16.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</row>
    <row r="770" spans="1:27" ht="16.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</row>
    <row r="771" spans="1:27" ht="16.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</row>
    <row r="772" spans="1:27" ht="16.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</row>
    <row r="773" spans="1:27" ht="16.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</row>
    <row r="774" spans="1:27" ht="16.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</row>
    <row r="775" spans="1:27" ht="16.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</row>
    <row r="776" spans="1:27" ht="16.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</row>
    <row r="777" spans="1:27" ht="16.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</row>
    <row r="778" spans="1:27" ht="16.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</row>
    <row r="779" spans="1:27" ht="16.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</row>
    <row r="780" spans="1:27" ht="16.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</row>
    <row r="781" spans="1:27" ht="16.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</row>
    <row r="782" spans="1:27" ht="16.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</row>
    <row r="783" spans="1:27" ht="16.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</row>
    <row r="784" spans="1:27" ht="16.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</row>
    <row r="785" spans="1:27" ht="16.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</row>
    <row r="786" spans="1:27" ht="16.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</row>
    <row r="787" spans="1:27" ht="16.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</row>
    <row r="788" spans="1:27" ht="16.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</row>
    <row r="789" spans="1:27" ht="16.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</row>
    <row r="790" spans="1:27" ht="16.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</row>
    <row r="791" spans="1:27" ht="16.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</row>
    <row r="792" spans="1:27" ht="16.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</row>
    <row r="793" spans="1:27" ht="16.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</row>
    <row r="794" spans="1:27" ht="16.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</row>
    <row r="795" spans="1:27" ht="16.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</row>
    <row r="796" spans="1:27" ht="16.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</row>
    <row r="797" spans="1:27" ht="16.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</row>
    <row r="798" spans="1:27" ht="16.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</row>
    <row r="799" spans="1:27" ht="16.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</row>
    <row r="800" spans="1:27" ht="16.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</row>
    <row r="801" spans="1:27" ht="16.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</row>
    <row r="802" spans="1:27" ht="16.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</row>
    <row r="803" spans="1:27" ht="16.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</row>
    <row r="804" spans="1:27" ht="16.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</row>
    <row r="805" spans="1:27" ht="16.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</row>
    <row r="806" spans="1:27" ht="16.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</row>
    <row r="807" spans="1:27" ht="16.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</row>
    <row r="808" spans="1:27" ht="16.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</row>
    <row r="809" spans="1:27" ht="16.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</row>
    <row r="810" spans="1:27" ht="16.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</row>
    <row r="811" spans="1:27" ht="16.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</row>
    <row r="812" spans="1:27" ht="16.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</row>
    <row r="813" spans="1:27" ht="16.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</row>
    <row r="814" spans="1:27" ht="16.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</row>
    <row r="815" spans="1:27" ht="16.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</row>
    <row r="816" spans="1:27" ht="16.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</row>
    <row r="817" spans="1:27" ht="16.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</row>
    <row r="818" spans="1:27" ht="16.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</row>
    <row r="819" spans="1:27" ht="16.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</row>
    <row r="820" spans="1:27" ht="16.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</row>
    <row r="821" spans="1:27" ht="16.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</row>
    <row r="822" spans="1:27" ht="16.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</row>
    <row r="823" spans="1:27" ht="16.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</row>
    <row r="824" spans="1:27" ht="16.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</row>
    <row r="825" spans="1:27" ht="16.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</row>
    <row r="826" spans="1:27" ht="16.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</row>
    <row r="827" spans="1:27" ht="16.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</row>
    <row r="828" spans="1:27" ht="16.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</row>
    <row r="829" spans="1:27" ht="16.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</row>
    <row r="830" spans="1:27" ht="16.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</row>
    <row r="831" spans="1:27" ht="16.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</row>
    <row r="832" spans="1:27" ht="16.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</row>
    <row r="833" spans="1:27" ht="16.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</row>
    <row r="834" spans="1:27" ht="16.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</row>
    <row r="835" spans="1:27" ht="16.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</row>
    <row r="836" spans="1:27" ht="16.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</row>
    <row r="837" spans="1:27" ht="16.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</row>
    <row r="838" spans="1:27" ht="16.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</row>
    <row r="839" spans="1:27" ht="16.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</row>
    <row r="840" spans="1:27" ht="16.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</row>
    <row r="841" spans="1:27" ht="16.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</row>
    <row r="842" spans="1:27" ht="16.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</row>
    <row r="843" spans="1:27" ht="16.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</row>
    <row r="844" spans="1:27" ht="16.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</row>
    <row r="845" spans="1:27" ht="16.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</row>
    <row r="846" spans="1:27" ht="16.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</row>
    <row r="847" spans="1:27" ht="16.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</row>
    <row r="848" spans="1:27" ht="16.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</row>
    <row r="849" spans="1:27" ht="16.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</row>
    <row r="850" spans="1:27" ht="16.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</row>
    <row r="851" spans="1:27" ht="16.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</row>
    <row r="852" spans="1:27" ht="16.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</row>
    <row r="853" spans="1:27" ht="16.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</row>
    <row r="854" spans="1:27" ht="16.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</row>
    <row r="855" spans="1:27" ht="16.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</row>
    <row r="856" spans="1:27" ht="16.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</row>
    <row r="857" spans="1:27" ht="16.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</row>
    <row r="858" spans="1:27" ht="16.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</row>
    <row r="859" spans="1:27" ht="16.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</row>
    <row r="860" spans="1:27" ht="16.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</row>
    <row r="861" spans="1:27" ht="16.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</row>
    <row r="862" spans="1:27" ht="16.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</row>
    <row r="863" spans="1:27" ht="16.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</row>
    <row r="864" spans="1:27" ht="16.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</row>
    <row r="865" spans="1:27" ht="16.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</row>
    <row r="866" spans="1:27" ht="16.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</row>
    <row r="867" spans="1:27" ht="16.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</row>
    <row r="868" spans="1:27" ht="16.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</row>
    <row r="869" spans="1:27" ht="16.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</row>
    <row r="870" spans="1:27" ht="16.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</row>
    <row r="871" spans="1:27" ht="16.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</row>
    <row r="872" spans="1:27" ht="16.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</row>
    <row r="873" spans="1:27" ht="16.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</row>
    <row r="874" spans="1:27" ht="16.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</row>
    <row r="875" spans="1:27" ht="16.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</row>
    <row r="876" spans="1:27" ht="16.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</row>
    <row r="877" spans="1:27" ht="16.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</row>
    <row r="878" spans="1:27" ht="16.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</row>
    <row r="879" spans="1:27" ht="16.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</row>
    <row r="880" spans="1:27" ht="16.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</row>
    <row r="881" spans="1:27" ht="16.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</row>
    <row r="882" spans="1:27" ht="16.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</row>
    <row r="883" spans="1:27" ht="16.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</row>
    <row r="884" spans="1:27" ht="16.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</row>
    <row r="885" spans="1:27" ht="16.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</row>
    <row r="886" spans="1:27" ht="16.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</row>
    <row r="887" spans="1:27" ht="16.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</row>
    <row r="888" spans="1:27" ht="16.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</row>
    <row r="889" spans="1:27" ht="16.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</row>
    <row r="890" spans="1:27" ht="16.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</row>
    <row r="891" spans="1:27" ht="16.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</row>
    <row r="892" spans="1:27" ht="16.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</row>
    <row r="893" spans="1:27" ht="16.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</row>
    <row r="894" spans="1:27" ht="16.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</row>
    <row r="895" spans="1:27" ht="16.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</row>
    <row r="896" spans="1:27" ht="16.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</row>
    <row r="897" spans="1:27" ht="16.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</row>
    <row r="898" spans="1:27" ht="16.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</row>
    <row r="899" spans="1:27" ht="16.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</row>
    <row r="900" spans="1:27" ht="16.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</row>
    <row r="901" spans="1:27" ht="16.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</row>
    <row r="902" spans="1:27" ht="16.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</row>
    <row r="903" spans="1:27" ht="16.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</row>
    <row r="904" spans="1:27" ht="16.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</row>
    <row r="905" spans="1:27" ht="16.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</row>
    <row r="906" spans="1:27" ht="16.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</row>
    <row r="907" spans="1:27" ht="16.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</row>
    <row r="908" spans="1:27" ht="16.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</row>
    <row r="909" spans="1:27" ht="16.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</row>
    <row r="910" spans="1:27" ht="16.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</row>
    <row r="911" spans="1:27" ht="16.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</row>
    <row r="912" spans="1:27" ht="16.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</row>
    <row r="913" spans="1:27" ht="16.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</row>
    <row r="914" spans="1:27" ht="16.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</row>
    <row r="915" spans="1:27" ht="16.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</row>
    <row r="916" spans="1:27" ht="16.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</row>
    <row r="917" spans="1:27" ht="16.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</row>
    <row r="918" spans="1:27" ht="16.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</row>
    <row r="919" spans="1:27" ht="16.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</row>
    <row r="920" spans="1:27" ht="16.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</row>
    <row r="921" spans="1:27" ht="16.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</row>
    <row r="922" spans="1:27" ht="16.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</row>
    <row r="923" spans="1:27" ht="16.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</row>
    <row r="924" spans="1:27" ht="16.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</row>
    <row r="925" spans="1:27" ht="16.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</row>
    <row r="926" spans="1:27" ht="16.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</row>
    <row r="927" spans="1:27" ht="16.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</row>
    <row r="928" spans="1:27" ht="16.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</row>
    <row r="929" spans="1:27" ht="16.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</row>
    <row r="930" spans="1:27" ht="16.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</row>
    <row r="931" spans="1:27" ht="16.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</row>
    <row r="932" spans="1:27" ht="16.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</row>
    <row r="933" spans="1:27" ht="16.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</row>
    <row r="934" spans="1:27" ht="16.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</row>
    <row r="935" spans="1:27" ht="16.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</row>
    <row r="936" spans="1:27" ht="16.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</row>
    <row r="937" spans="1:27" ht="16.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</row>
    <row r="938" spans="1:27" ht="16.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</row>
    <row r="939" spans="1:27" ht="16.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</row>
    <row r="940" spans="1:27" ht="16.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</row>
    <row r="941" spans="1:27" ht="16.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</row>
    <row r="942" spans="1:27" ht="16.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</row>
    <row r="943" spans="1:27" ht="16.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</row>
    <row r="944" spans="1:27" ht="16.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</row>
    <row r="945" spans="1:27" ht="16.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</row>
    <row r="946" spans="1:27" ht="16.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</row>
    <row r="947" spans="1:27" ht="16.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</row>
    <row r="948" spans="1:27" ht="16.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</row>
    <row r="949" spans="1:27" ht="16.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</row>
    <row r="950" spans="1:27" ht="16.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</row>
    <row r="951" spans="1:27" ht="16.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</row>
    <row r="952" spans="1:27" ht="16.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</row>
    <row r="953" spans="1:27" ht="16.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</row>
    <row r="954" spans="1:27" ht="16.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</row>
    <row r="955" spans="1:27" ht="16.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</row>
    <row r="956" spans="1:27" ht="16.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</row>
    <row r="957" spans="1:27" ht="16.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</row>
    <row r="958" spans="1:27" ht="16.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</row>
    <row r="959" spans="1:27" ht="16.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</row>
    <row r="960" spans="1:27" ht="16.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</row>
    <row r="961" spans="1:27" ht="16.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</row>
    <row r="962" spans="1:27" ht="16.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</row>
    <row r="963" spans="1:27" ht="16.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</row>
    <row r="964" spans="1:27" ht="16.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</row>
    <row r="965" spans="1:27" ht="16.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</row>
    <row r="966" spans="1:27" ht="16.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</row>
    <row r="967" spans="1:27" ht="16.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</row>
    <row r="968" spans="1:27" ht="16.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</row>
    <row r="969" spans="1:27" ht="16.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</row>
    <row r="970" spans="1:27" ht="16.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</row>
    <row r="971" spans="1:27" ht="16.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</row>
    <row r="972" spans="1:27" ht="16.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</row>
    <row r="973" spans="1:27" ht="16.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</row>
    <row r="974" spans="1:27" ht="16.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</row>
    <row r="975" spans="1:27" ht="16.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</row>
    <row r="976" spans="1:27" ht="16.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</row>
    <row r="977" spans="1:27" ht="16.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</row>
    <row r="978" spans="1:27" ht="16.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</row>
    <row r="979" spans="1:27" ht="16.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</row>
    <row r="980" spans="1:27" ht="16.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</row>
    <row r="981" spans="1:27" ht="16.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</row>
    <row r="982" spans="1:27" ht="16.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</row>
    <row r="983" spans="1:27" ht="16.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</row>
    <row r="984" spans="1:27" ht="16.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</row>
    <row r="985" spans="1:27" ht="16.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</row>
    <row r="986" spans="1:27" ht="16.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</row>
    <row r="987" spans="1:27" ht="16.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</row>
    <row r="988" spans="1:27" ht="16.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</row>
    <row r="989" spans="1:27" ht="16.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</row>
    <row r="990" spans="1:27" ht="16.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</row>
    <row r="991" spans="1:27" ht="16.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</row>
    <row r="992" spans="1:27" ht="16.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</row>
    <row r="993" spans="1:27" ht="16.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</row>
    <row r="994" spans="1:27" ht="16.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</row>
    <row r="995" spans="1:27" ht="16.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</row>
    <row r="996" spans="1:27" ht="16.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</row>
    <row r="997" spans="1:27" ht="16.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</row>
    <row r="998" spans="1:27" ht="16.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</row>
    <row r="999" spans="1:27" ht="16.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</row>
    <row r="1000" spans="1:27" ht="16.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</row>
  </sheetData>
  <mergeCells count="8">
    <mergeCell ref="A1:A3"/>
    <mergeCell ref="B1:B3"/>
    <mergeCell ref="C1:AA1"/>
    <mergeCell ref="E2:I2"/>
    <mergeCell ref="J2:L2"/>
    <mergeCell ref="M2:O2"/>
    <mergeCell ref="P2:T2"/>
    <mergeCell ref="V2:Z2"/>
  </mergeCells>
  <phoneticPr fontId="12" type="noConversion"/>
  <pageMargins left="0.7" right="0.7" top="0.75" bottom="0.75" header="0" footer="0"/>
  <pageSetup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K1000"/>
  <sheetViews>
    <sheetView workbookViewId="0">
      <selection activeCell="E26" sqref="E26"/>
    </sheetView>
  </sheetViews>
  <sheetFormatPr defaultColWidth="14.453125" defaultRowHeight="15" customHeight="1"/>
  <cols>
    <col min="1" max="1" width="22.453125" customWidth="1"/>
    <col min="2" max="2" width="42.54296875" customWidth="1"/>
    <col min="3" max="3" width="17.453125" customWidth="1"/>
    <col min="4" max="4" width="21.54296875" customWidth="1"/>
    <col min="5" max="5" width="15.7265625" bestFit="1" customWidth="1"/>
    <col min="6" max="6" width="10.54296875" customWidth="1"/>
    <col min="7" max="7" width="16" customWidth="1"/>
    <col min="8" max="17" width="10.54296875" customWidth="1"/>
    <col min="18" max="37" width="9.1796875" customWidth="1"/>
  </cols>
  <sheetData>
    <row r="1" spans="1:37" ht="16.5" customHeight="1">
      <c r="A1" s="1" t="s">
        <v>113</v>
      </c>
      <c r="B1" s="1" t="s">
        <v>114</v>
      </c>
      <c r="C1" s="1" t="s">
        <v>115</v>
      </c>
      <c r="D1" s="1" t="s">
        <v>116</v>
      </c>
      <c r="E1" s="26">
        <v>2018</v>
      </c>
      <c r="F1" s="26">
        <v>2019</v>
      </c>
      <c r="G1" s="26">
        <v>2020</v>
      </c>
      <c r="H1" s="26">
        <v>2021</v>
      </c>
      <c r="I1" s="26">
        <v>2022</v>
      </c>
      <c r="J1" s="26">
        <v>2023</v>
      </c>
      <c r="K1" s="26">
        <v>2024</v>
      </c>
      <c r="L1" s="26">
        <v>2025</v>
      </c>
      <c r="M1" s="26">
        <v>2026</v>
      </c>
      <c r="N1" s="26">
        <v>2027</v>
      </c>
      <c r="O1" s="26">
        <v>2028</v>
      </c>
      <c r="P1" s="26">
        <v>2029</v>
      </c>
      <c r="Q1" s="26">
        <v>2030</v>
      </c>
      <c r="R1" s="26">
        <v>2031</v>
      </c>
      <c r="S1" s="26">
        <v>2032</v>
      </c>
      <c r="T1" s="26">
        <v>2033</v>
      </c>
      <c r="U1" s="26">
        <v>2034</v>
      </c>
      <c r="V1" s="26">
        <v>2035</v>
      </c>
      <c r="W1" s="26">
        <v>2036</v>
      </c>
      <c r="X1" s="26">
        <v>2037</v>
      </c>
      <c r="Y1" s="26">
        <v>2038</v>
      </c>
      <c r="Z1" s="26">
        <v>2039</v>
      </c>
      <c r="AA1" s="26">
        <v>2040</v>
      </c>
      <c r="AB1" s="26">
        <v>2041</v>
      </c>
      <c r="AC1" s="26">
        <v>2042</v>
      </c>
      <c r="AD1" s="26">
        <v>2043</v>
      </c>
      <c r="AE1" s="26">
        <v>2044</v>
      </c>
      <c r="AF1" s="26">
        <v>2045</v>
      </c>
      <c r="AG1" s="26">
        <v>2046</v>
      </c>
      <c r="AH1" s="26">
        <v>2047</v>
      </c>
      <c r="AI1" s="26">
        <v>2048</v>
      </c>
      <c r="AJ1" s="26">
        <v>2049</v>
      </c>
      <c r="AK1" s="26">
        <v>2050</v>
      </c>
    </row>
    <row r="2" spans="1:37" ht="16.5" customHeight="1">
      <c r="A2" s="17" t="s">
        <v>117</v>
      </c>
      <c r="B2" s="17" t="s">
        <v>118</v>
      </c>
      <c r="C2" s="17" t="s">
        <v>119</v>
      </c>
      <c r="E2" s="27">
        <v>0</v>
      </c>
      <c r="F2" s="27">
        <v>0</v>
      </c>
      <c r="G2" s="27">
        <v>0</v>
      </c>
      <c r="H2" s="27">
        <v>0</v>
      </c>
      <c r="I2" s="27">
        <v>0</v>
      </c>
      <c r="J2" s="27">
        <v>0</v>
      </c>
      <c r="K2" s="27">
        <v>0</v>
      </c>
      <c r="L2" s="27">
        <v>0</v>
      </c>
      <c r="M2" s="27">
        <v>0</v>
      </c>
      <c r="N2" s="27">
        <v>0</v>
      </c>
      <c r="O2" s="27">
        <v>0</v>
      </c>
      <c r="P2" s="27">
        <v>0</v>
      </c>
      <c r="Q2" s="27">
        <v>0</v>
      </c>
      <c r="R2" s="27">
        <v>0</v>
      </c>
      <c r="S2" s="27">
        <v>0</v>
      </c>
      <c r="T2" s="27">
        <v>0</v>
      </c>
      <c r="U2" s="27">
        <v>0</v>
      </c>
      <c r="V2" s="27">
        <v>0</v>
      </c>
      <c r="W2" s="27">
        <v>0</v>
      </c>
      <c r="X2" s="27">
        <v>0</v>
      </c>
      <c r="Y2" s="27">
        <v>0</v>
      </c>
      <c r="Z2" s="27">
        <v>0</v>
      </c>
      <c r="AA2" s="27">
        <v>0</v>
      </c>
      <c r="AB2" s="27">
        <v>0</v>
      </c>
      <c r="AC2" s="27">
        <v>0</v>
      </c>
      <c r="AD2" s="27">
        <v>0</v>
      </c>
      <c r="AE2" s="27">
        <v>0</v>
      </c>
      <c r="AF2" s="27">
        <v>0</v>
      </c>
      <c r="AG2" s="27">
        <v>0</v>
      </c>
      <c r="AH2" s="27">
        <v>0</v>
      </c>
      <c r="AI2" s="27">
        <v>0</v>
      </c>
      <c r="AJ2" s="27">
        <v>0</v>
      </c>
      <c r="AK2" s="27">
        <v>0</v>
      </c>
    </row>
    <row r="3" spans="1:37" ht="16.5" customHeight="1">
      <c r="A3" s="28" t="s">
        <v>120</v>
      </c>
      <c r="B3" s="17" t="s">
        <v>121</v>
      </c>
      <c r="C3" s="17" t="s">
        <v>119</v>
      </c>
      <c r="D3" s="17" t="s">
        <v>122</v>
      </c>
      <c r="E3" s="27">
        <f>1070*10^5/About!$B$92</f>
        <v>90685.65132638358</v>
      </c>
      <c r="F3" s="8">
        <f>19528*10^5/About!$B$92</f>
        <v>1655055.5131790829</v>
      </c>
      <c r="G3" s="29">
        <f>F3</f>
        <v>1655055.5131790829</v>
      </c>
      <c r="H3" s="8"/>
      <c r="I3" s="8"/>
      <c r="J3" s="8"/>
      <c r="K3" s="8"/>
      <c r="L3" s="8"/>
      <c r="M3" s="8"/>
      <c r="N3" s="8"/>
      <c r="O3" s="8"/>
      <c r="P3" s="8"/>
      <c r="Q3" s="8"/>
    </row>
    <row r="4" spans="1:37" ht="16.5" customHeight="1">
      <c r="A4" s="17" t="s">
        <v>123</v>
      </c>
      <c r="B4" s="17" t="s">
        <v>118</v>
      </c>
      <c r="C4" s="17" t="s">
        <v>119</v>
      </c>
      <c r="E4" s="27">
        <v>0</v>
      </c>
      <c r="F4" s="27">
        <v>0</v>
      </c>
      <c r="G4" s="27">
        <v>0</v>
      </c>
      <c r="H4" s="27">
        <v>0</v>
      </c>
      <c r="I4" s="27">
        <v>0</v>
      </c>
      <c r="J4" s="27">
        <v>0</v>
      </c>
      <c r="K4" s="27">
        <v>0</v>
      </c>
      <c r="L4" s="27">
        <v>0</v>
      </c>
      <c r="M4" s="27">
        <v>0</v>
      </c>
      <c r="N4" s="27">
        <v>0</v>
      </c>
      <c r="O4" s="27">
        <v>0</v>
      </c>
      <c r="P4" s="27">
        <v>0</v>
      </c>
      <c r="Q4" s="27">
        <v>0</v>
      </c>
      <c r="R4" s="27">
        <v>0</v>
      </c>
      <c r="S4" s="27">
        <v>0</v>
      </c>
      <c r="T4" s="27">
        <v>0</v>
      </c>
      <c r="U4" s="27">
        <v>0</v>
      </c>
      <c r="V4" s="27">
        <v>0</v>
      </c>
      <c r="W4" s="27">
        <v>0</v>
      </c>
      <c r="X4" s="27">
        <v>0</v>
      </c>
      <c r="Y4" s="27">
        <v>0</v>
      </c>
      <c r="Z4" s="27">
        <v>0</v>
      </c>
      <c r="AA4" s="27">
        <v>0</v>
      </c>
      <c r="AB4" s="27">
        <v>0</v>
      </c>
      <c r="AC4" s="27">
        <v>0</v>
      </c>
      <c r="AD4" s="27">
        <v>0</v>
      </c>
      <c r="AE4" s="27">
        <v>0</v>
      </c>
      <c r="AF4" s="27">
        <v>0</v>
      </c>
      <c r="AG4" s="27">
        <v>0</v>
      </c>
      <c r="AH4" s="27">
        <v>0</v>
      </c>
      <c r="AI4" s="27">
        <v>0</v>
      </c>
      <c r="AJ4" s="27">
        <v>0</v>
      </c>
      <c r="AK4" s="27">
        <v>0</v>
      </c>
    </row>
    <row r="5" spans="1:37" ht="16.5" customHeight="1">
      <c r="A5" s="17" t="s">
        <v>124</v>
      </c>
      <c r="B5" s="30" t="s">
        <v>125</v>
      </c>
      <c r="C5" s="17" t="s">
        <v>119</v>
      </c>
      <c r="D5" s="17" t="s">
        <v>122</v>
      </c>
      <c r="E5" s="27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</row>
    <row r="6" spans="1:37" ht="16.5" customHeight="1">
      <c r="A6" s="17" t="s">
        <v>126</v>
      </c>
      <c r="B6" s="17" t="s">
        <v>118</v>
      </c>
      <c r="C6" s="17" t="s">
        <v>119</v>
      </c>
      <c r="E6" s="27">
        <v>0</v>
      </c>
      <c r="F6" s="27">
        <v>0</v>
      </c>
      <c r="G6" s="27">
        <v>0</v>
      </c>
      <c r="H6" s="27">
        <v>0</v>
      </c>
      <c r="I6" s="27">
        <v>0</v>
      </c>
      <c r="J6" s="27">
        <v>0</v>
      </c>
      <c r="K6" s="27">
        <v>0</v>
      </c>
      <c r="L6" s="27">
        <v>0</v>
      </c>
      <c r="M6" s="27">
        <v>0</v>
      </c>
      <c r="N6" s="27">
        <v>0</v>
      </c>
      <c r="O6" s="27">
        <v>0</v>
      </c>
      <c r="P6" s="27">
        <v>0</v>
      </c>
      <c r="Q6" s="27">
        <v>0</v>
      </c>
      <c r="R6" s="27">
        <v>0</v>
      </c>
      <c r="S6" s="27">
        <v>0</v>
      </c>
      <c r="T6" s="27">
        <v>0</v>
      </c>
      <c r="U6" s="27">
        <v>0</v>
      </c>
      <c r="V6" s="27">
        <v>0</v>
      </c>
      <c r="W6" s="27">
        <v>0</v>
      </c>
      <c r="X6" s="27">
        <v>0</v>
      </c>
      <c r="Y6" s="27">
        <v>0</v>
      </c>
      <c r="Z6" s="27">
        <v>0</v>
      </c>
      <c r="AA6" s="27">
        <v>0</v>
      </c>
      <c r="AB6" s="27">
        <v>0</v>
      </c>
      <c r="AC6" s="27">
        <v>0</v>
      </c>
      <c r="AD6" s="27">
        <v>0</v>
      </c>
      <c r="AE6" s="27">
        <v>0</v>
      </c>
      <c r="AF6" s="27">
        <v>0</v>
      </c>
      <c r="AG6" s="27">
        <v>0</v>
      </c>
      <c r="AH6" s="27">
        <v>0</v>
      </c>
      <c r="AI6" s="27">
        <v>0</v>
      </c>
      <c r="AJ6" s="27">
        <v>0</v>
      </c>
      <c r="AK6" s="27">
        <v>0</v>
      </c>
    </row>
    <row r="7" spans="1:37" ht="16.5" customHeight="1">
      <c r="A7" s="17" t="s">
        <v>127</v>
      </c>
      <c r="B7" s="17" t="s">
        <v>118</v>
      </c>
      <c r="C7" s="17" t="s">
        <v>119</v>
      </c>
      <c r="E7" s="27">
        <v>0</v>
      </c>
      <c r="F7" s="27">
        <v>0</v>
      </c>
      <c r="G7" s="27">
        <v>0</v>
      </c>
      <c r="H7" s="27">
        <v>0</v>
      </c>
      <c r="I7" s="27">
        <v>0</v>
      </c>
      <c r="J7" s="27">
        <v>0</v>
      </c>
      <c r="K7" s="27">
        <v>0</v>
      </c>
      <c r="L7" s="27">
        <v>0</v>
      </c>
      <c r="M7" s="27">
        <v>0</v>
      </c>
      <c r="N7" s="27">
        <v>0</v>
      </c>
      <c r="O7" s="27">
        <v>0</v>
      </c>
      <c r="P7" s="27">
        <v>0</v>
      </c>
      <c r="Q7" s="27">
        <v>0</v>
      </c>
      <c r="R7" s="27">
        <v>0</v>
      </c>
      <c r="S7" s="27">
        <v>0</v>
      </c>
      <c r="T7" s="27">
        <v>0</v>
      </c>
      <c r="U7" s="27">
        <v>0</v>
      </c>
      <c r="V7" s="27">
        <v>0</v>
      </c>
      <c r="W7" s="27">
        <v>0</v>
      </c>
      <c r="X7" s="27">
        <v>0</v>
      </c>
      <c r="Y7" s="27">
        <v>0</v>
      </c>
      <c r="Z7" s="27">
        <v>0</v>
      </c>
      <c r="AA7" s="27">
        <v>0</v>
      </c>
      <c r="AB7" s="27">
        <v>0</v>
      </c>
      <c r="AC7" s="27">
        <v>0</v>
      </c>
      <c r="AD7" s="27">
        <v>0</v>
      </c>
      <c r="AE7" s="27">
        <v>0</v>
      </c>
      <c r="AF7" s="27">
        <v>0</v>
      </c>
      <c r="AG7" s="27">
        <v>0</v>
      </c>
      <c r="AH7" s="27">
        <v>0</v>
      </c>
      <c r="AI7" s="27">
        <v>0</v>
      </c>
      <c r="AJ7" s="27">
        <v>0</v>
      </c>
      <c r="AK7" s="27">
        <v>0</v>
      </c>
    </row>
    <row r="8" spans="1:37" ht="16.5" customHeight="1">
      <c r="A8" s="17" t="s">
        <v>128</v>
      </c>
      <c r="B8" s="17" t="s">
        <v>118</v>
      </c>
      <c r="C8" s="17" t="s">
        <v>119</v>
      </c>
      <c r="E8" s="27">
        <v>0</v>
      </c>
      <c r="F8" s="27">
        <v>0</v>
      </c>
      <c r="G8" s="27">
        <v>0</v>
      </c>
      <c r="H8" s="27">
        <v>0</v>
      </c>
      <c r="I8" s="27">
        <v>0</v>
      </c>
      <c r="J8" s="27">
        <v>0</v>
      </c>
      <c r="K8" s="27">
        <v>0</v>
      </c>
      <c r="L8" s="27">
        <v>0</v>
      </c>
      <c r="M8" s="27">
        <v>0</v>
      </c>
      <c r="N8" s="27">
        <v>0</v>
      </c>
      <c r="O8" s="27">
        <v>0</v>
      </c>
      <c r="P8" s="27">
        <v>0</v>
      </c>
      <c r="Q8" s="27">
        <v>0</v>
      </c>
      <c r="R8" s="27">
        <v>0</v>
      </c>
      <c r="S8" s="27">
        <v>0</v>
      </c>
      <c r="T8" s="27">
        <v>0</v>
      </c>
      <c r="U8" s="27">
        <v>0</v>
      </c>
      <c r="V8" s="27">
        <v>0</v>
      </c>
      <c r="W8" s="27">
        <v>0</v>
      </c>
      <c r="X8" s="27">
        <v>0</v>
      </c>
      <c r="Y8" s="27">
        <v>0</v>
      </c>
      <c r="Z8" s="27">
        <v>0</v>
      </c>
      <c r="AA8" s="27">
        <v>0</v>
      </c>
      <c r="AB8" s="27">
        <v>0</v>
      </c>
      <c r="AC8" s="27">
        <v>0</v>
      </c>
      <c r="AD8" s="27">
        <v>0</v>
      </c>
      <c r="AE8" s="27">
        <v>0</v>
      </c>
      <c r="AF8" s="27">
        <v>0</v>
      </c>
      <c r="AG8" s="27">
        <v>0</v>
      </c>
      <c r="AH8" s="27">
        <v>0</v>
      </c>
      <c r="AI8" s="27">
        <v>0</v>
      </c>
      <c r="AJ8" s="27">
        <v>0</v>
      </c>
      <c r="AK8" s="27">
        <v>0</v>
      </c>
    </row>
    <row r="9" spans="1:37" ht="16.5" customHeight="1">
      <c r="A9" s="31" t="s">
        <v>129</v>
      </c>
      <c r="B9" s="17" t="s">
        <v>118</v>
      </c>
      <c r="C9" s="31" t="s">
        <v>119</v>
      </c>
      <c r="E9" s="27">
        <v>0</v>
      </c>
      <c r="F9" s="27">
        <v>0</v>
      </c>
      <c r="G9" s="27">
        <v>0</v>
      </c>
      <c r="H9" s="27">
        <v>0</v>
      </c>
      <c r="I9" s="27">
        <v>0</v>
      </c>
      <c r="J9" s="27">
        <v>0</v>
      </c>
      <c r="K9" s="27">
        <v>0</v>
      </c>
      <c r="L9" s="27">
        <v>0</v>
      </c>
      <c r="M9" s="27">
        <v>0</v>
      </c>
      <c r="N9" s="27">
        <v>0</v>
      </c>
      <c r="O9" s="27">
        <v>0</v>
      </c>
      <c r="P9" s="27">
        <v>0</v>
      </c>
      <c r="Q9" s="27">
        <v>0</v>
      </c>
      <c r="R9" s="27">
        <v>0</v>
      </c>
      <c r="S9" s="27">
        <v>0</v>
      </c>
      <c r="T9" s="27">
        <v>0</v>
      </c>
      <c r="U9" s="27">
        <v>0</v>
      </c>
      <c r="V9" s="27">
        <v>0</v>
      </c>
      <c r="W9" s="27">
        <v>0</v>
      </c>
      <c r="X9" s="27">
        <v>0</v>
      </c>
      <c r="Y9" s="27">
        <v>0</v>
      </c>
      <c r="Z9" s="27">
        <v>0</v>
      </c>
      <c r="AA9" s="27">
        <v>0</v>
      </c>
      <c r="AB9" s="27">
        <v>0</v>
      </c>
      <c r="AC9" s="27">
        <v>0</v>
      </c>
      <c r="AD9" s="27">
        <v>0</v>
      </c>
      <c r="AE9" s="27">
        <v>0</v>
      </c>
      <c r="AF9" s="27">
        <v>0</v>
      </c>
      <c r="AG9" s="27">
        <v>0</v>
      </c>
      <c r="AH9" s="27">
        <v>0</v>
      </c>
      <c r="AI9" s="27">
        <v>0</v>
      </c>
      <c r="AJ9" s="27">
        <v>0</v>
      </c>
      <c r="AK9" s="27">
        <v>0</v>
      </c>
    </row>
    <row r="10" spans="1:37" ht="16.5" customHeight="1"/>
    <row r="11" spans="1:37" ht="16.5" customHeight="1">
      <c r="D11" s="1" t="s">
        <v>130</v>
      </c>
      <c r="G11" s="1" t="s">
        <v>131</v>
      </c>
    </row>
    <row r="12" spans="1:37" ht="16.5" customHeight="1">
      <c r="D12" s="17" t="s">
        <v>86</v>
      </c>
      <c r="E12" s="32">
        <f>'발전사별 설비용량'!F5</f>
        <v>34950658</v>
      </c>
      <c r="F12" s="17" t="s">
        <v>60</v>
      </c>
      <c r="G12" s="33">
        <f t="shared" ref="G12:G13" si="0">E12/SUM($E$12:$E$13)</f>
        <v>0.98868479336367654</v>
      </c>
    </row>
    <row r="13" spans="1:37" ht="16.5" customHeight="1">
      <c r="D13" s="17" t="s">
        <v>87</v>
      </c>
      <c r="E13" s="32">
        <f>'발전사별 설비용량'!G5</f>
        <v>400000</v>
      </c>
      <c r="F13" s="17" t="s">
        <v>60</v>
      </c>
      <c r="G13" s="33">
        <f t="shared" si="0"/>
        <v>1.1315206636323431E-2</v>
      </c>
    </row>
    <row r="14" spans="1:37" ht="16.5" customHeight="1"/>
    <row r="15" spans="1:37" ht="16.5" customHeight="1">
      <c r="D15" s="1" t="s">
        <v>132</v>
      </c>
    </row>
    <row r="16" spans="1:37" ht="16.5" customHeight="1">
      <c r="D16" s="1" t="s">
        <v>133</v>
      </c>
      <c r="E16" s="26">
        <v>2011</v>
      </c>
      <c r="F16" s="26">
        <v>2012</v>
      </c>
      <c r="G16" s="26">
        <v>2013</v>
      </c>
      <c r="H16" s="26">
        <v>2014</v>
      </c>
      <c r="I16" s="26">
        <v>2015</v>
      </c>
      <c r="J16" s="26">
        <v>2016</v>
      </c>
      <c r="K16" s="26">
        <v>2017</v>
      </c>
      <c r="L16" s="26">
        <v>2018</v>
      </c>
      <c r="M16" s="26">
        <v>2019</v>
      </c>
      <c r="N16" s="26">
        <v>2020</v>
      </c>
    </row>
    <row r="17" spans="1:14" ht="16.5" customHeight="1">
      <c r="D17" s="17" t="s">
        <v>86</v>
      </c>
      <c r="E17" s="34">
        <f t="array" ref="E17">(INDEX('에너지원별 발전량'!$E$4:$E$23,MATCH('Subsidies Paid'!E16,'에너지원별 발전량'!$A$4:$A$23,0)))*10^3-E18</f>
        <v>200560642.44258198</v>
      </c>
      <c r="F17" s="34">
        <f t="array" ref="F17">(INDEX('에너지원별 발전량'!$E$4:$E$23,MATCH('Subsidies Paid'!F16,'에너지원별 발전량'!$A$4:$A$23,0)))*10^3-F18</f>
        <v>199903167.05499512</v>
      </c>
      <c r="G17" s="34">
        <f t="array" ref="G17">(INDEX('에너지원별 발전량'!$E$4:$E$23,MATCH('Subsidies Paid'!G16,'에너지원별 발전량'!$A$4:$A$23,0)))*10^3-G18</f>
        <v>201885480.0656893</v>
      </c>
      <c r="H17" s="34">
        <f t="array" ref="H17">(INDEX('에너지원별 발전량'!$E$4:$E$23,MATCH('Subsidies Paid'!H16,'에너지원별 발전량'!$A$4:$A$23,0)))*10^3-H18</f>
        <v>204869330.77206087</v>
      </c>
      <c r="I17" s="34">
        <f t="array" ref="I17">(INDEX('에너지원별 발전량'!$E$4:$E$23,MATCH('Subsidies Paid'!I16,'에너지원별 발전량'!$A$4:$A$23,0)))*10^3-I18</f>
        <v>209001044.52352768</v>
      </c>
      <c r="J17" s="34">
        <f t="array" ref="J17">(INDEX('에너지원별 발전량'!$E$4:$E$23,MATCH('Subsidies Paid'!J16,'에너지원별 발전량'!$A$4:$A$23,0)))*10^3-J18</f>
        <v>211383774.87553415</v>
      </c>
      <c r="K17" s="34">
        <f t="array" ref="K17">(INDEX('에너지원별 발전량'!$E$4:$E$23,MATCH('Subsidies Paid'!K16,'에너지원별 발전량'!$A$4:$A$23,0)))*10^3-K18</f>
        <v>236096939.97045261</v>
      </c>
      <c r="L17" s="34">
        <f t="array" ref="L17">(INDEX('에너지원별 발전량'!$E$4:$E$23,MATCH('Subsidies Paid'!L16,'에너지원별 발전량'!$A$4:$A$23,0)))*10^3-L18</f>
        <v>236263039.01573771</v>
      </c>
      <c r="M17" s="34">
        <f t="array" ref="M17">(INDEX('에너지원별 발전량'!$E$4:$E$23,MATCH('Subsidies Paid'!M16,'에너지원별 발전량'!$A$4:$A$23,0)))*10^3-M18</f>
        <v>224811103.05420622</v>
      </c>
      <c r="N17" s="34">
        <f t="array" ref="N17">(INDEX('에너지원별 발전량'!$E$4:$E$23,MATCH('Subsidies Paid'!N16,'에너지원별 발전량'!$A$4:$A$23,0)))*10^3-N18</f>
        <v>194111451.53547072</v>
      </c>
    </row>
    <row r="18" spans="1:14" ht="16.5" customHeight="1">
      <c r="B18" s="17" t="s">
        <v>134</v>
      </c>
      <c r="D18" s="17" t="s">
        <v>87</v>
      </c>
      <c r="E18" s="34">
        <f t="array" ref="E18">($G$13*INDEX('에너지원별 발전량'!$E$4:$E$23,MATCH('Subsidies Paid'!E16,'에너지원별 발전량'!$A$4:$A$23,0)))*10^3</f>
        <v>2295357.557418026</v>
      </c>
      <c r="F18" s="34">
        <f t="array" ref="F18">($G$13*INDEX('에너지원별 발전량'!$E$4:$E$23,MATCH('Subsidies Paid'!F16,'에너지원별 발전량'!$A$4:$A$23,0)))*10^3</f>
        <v>2287832.9450048711</v>
      </c>
      <c r="G18" s="34">
        <f t="array" ref="G18">($G$13*INDEX('에너지원별 발전량'!$E$4:$E$23,MATCH('Subsidies Paid'!G16,'에너지원별 발전량'!$A$4:$A$23,0)))*10^3</f>
        <v>2310519.9343106993</v>
      </c>
      <c r="H18" s="34">
        <f t="array" ref="H18">($G$13*INDEX('에너지원별 발전량'!$E$4:$E$23,MATCH('Subsidies Paid'!H16,'에너지원별 발전량'!$A$4:$A$23,0)))*10^3</f>
        <v>2344669.2279391238</v>
      </c>
      <c r="I18" s="34">
        <f t="array" ref="I18">($G$13*INDEX('에너지원별 발전량'!$E$4:$E$23,MATCH('Subsidies Paid'!I16,'에너지원별 발전량'!$A$4:$A$23,0)))*10^3</f>
        <v>2391955.4764723191</v>
      </c>
      <c r="J18" s="34">
        <f t="array" ref="J18">($G$13*INDEX('에너지원별 발전량'!$E$4:$E$23,MATCH('Subsidies Paid'!J16,'에너지원별 발전량'!$A$4:$A$23,0)))*10^3</f>
        <v>2419225.1244658586</v>
      </c>
      <c r="K18" s="34">
        <f t="array" ref="K18">($G$13*INDEX('에너지원별 발전량'!$E$4:$E$23,MATCH('Subsidies Paid'!K16,'에너지원별 발전량'!$A$4:$A$23,0)))*10^3</f>
        <v>2702060.0295473994</v>
      </c>
      <c r="L18" s="34">
        <f t="array" ref="L18">($G$13*INDEX('에너지원별 발전량'!$E$4:$E$23,MATCH('Subsidies Paid'!L16,'에너지원별 발전량'!$A$4:$A$23,0)))*10^3</f>
        <v>2703960.9842623011</v>
      </c>
      <c r="M18" s="34">
        <f t="array" ref="M18">($G$13*INDEX('에너지원별 발전량'!$E$4:$E$23,MATCH('Subsidies Paid'!M16,'에너지원별 발전량'!$A$4:$A$23,0)))*10^3</f>
        <v>2572896.945793767</v>
      </c>
      <c r="N18" s="34">
        <f t="array" ref="N18">($G$13*INDEX('에너지원별 발전량'!$E$4:$E$23,MATCH('Subsidies Paid'!N16,'에너지원별 발전량'!$A$4:$A$23,0)))*10^3</f>
        <v>2221548.464529288</v>
      </c>
    </row>
    <row r="19" spans="1:14" ht="16.5" customHeight="1"/>
    <row r="20" spans="1:14" ht="16.5" customHeight="1">
      <c r="A20" s="1" t="s">
        <v>45</v>
      </c>
    </row>
    <row r="21" spans="1:14" ht="16.5" customHeight="1">
      <c r="A21" s="17" t="s">
        <v>135</v>
      </c>
    </row>
    <row r="22" spans="1:14" ht="16.5" customHeight="1">
      <c r="A22" s="31" t="s">
        <v>136</v>
      </c>
    </row>
    <row r="23" spans="1:14" ht="16.5" customHeight="1"/>
    <row r="24" spans="1:14" ht="16.5" customHeight="1"/>
    <row r="25" spans="1:14" ht="16.5" customHeight="1"/>
    <row r="26" spans="1:14" ht="16.5" customHeight="1"/>
    <row r="27" spans="1:14" ht="16.5" customHeight="1"/>
    <row r="28" spans="1:14" ht="16.5" customHeight="1"/>
    <row r="29" spans="1:14" ht="16.5" customHeight="1"/>
    <row r="30" spans="1:14" ht="16.5" customHeight="1"/>
    <row r="31" spans="1:14" ht="16.5" customHeight="1"/>
    <row r="32" spans="1:14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phoneticPr fontId="12" type="noConversion"/>
  <pageMargins left="0.7" right="0.7" top="0.75" bottom="0.75" header="0" footer="0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000"/>
  <sheetViews>
    <sheetView topLeftCell="A9" workbookViewId="0"/>
  </sheetViews>
  <sheetFormatPr defaultColWidth="14.453125" defaultRowHeight="15" customHeight="1"/>
  <cols>
    <col min="1" max="26" width="8.81640625" customWidth="1"/>
  </cols>
  <sheetData>
    <row r="1" spans="1:9" ht="16.5" customHeight="1">
      <c r="A1" s="1" t="s">
        <v>137</v>
      </c>
    </row>
    <row r="2" spans="1:9" ht="16.5" customHeight="1">
      <c r="B2" s="35">
        <v>2020</v>
      </c>
      <c r="C2" s="35">
        <v>2030</v>
      </c>
      <c r="D2" s="35" t="s">
        <v>138</v>
      </c>
    </row>
    <row r="3" spans="1:9" ht="16.5" customHeight="1">
      <c r="A3" s="17" t="s">
        <v>126</v>
      </c>
      <c r="B3" s="17">
        <v>133.30000000000001</v>
      </c>
      <c r="C3" s="17">
        <v>106.2</v>
      </c>
      <c r="D3" s="30">
        <f t="shared" ref="D3:D5" si="0">(C3/B3-1)/10</f>
        <v>-2.0330082520630167E-2</v>
      </c>
      <c r="E3" s="36" t="s">
        <v>139</v>
      </c>
      <c r="I3" s="17" t="s">
        <v>140</v>
      </c>
    </row>
    <row r="4" spans="1:9" ht="16.5" customHeight="1">
      <c r="A4" s="17" t="s">
        <v>128</v>
      </c>
      <c r="B4" s="17">
        <v>131.6</v>
      </c>
      <c r="C4" s="17">
        <v>122.7</v>
      </c>
      <c r="D4" s="17">
        <f t="shared" si="0"/>
        <v>-6.7629179331306962E-3</v>
      </c>
      <c r="E4" s="31"/>
    </row>
    <row r="5" spans="1:9" ht="16.5" customHeight="1">
      <c r="A5" s="17" t="s">
        <v>127</v>
      </c>
      <c r="B5" s="17">
        <v>215</v>
      </c>
      <c r="C5" s="17">
        <v>155</v>
      </c>
      <c r="D5" s="17">
        <f t="shared" si="0"/>
        <v>-2.7906976744186053E-2</v>
      </c>
      <c r="E5" s="31"/>
    </row>
    <row r="6" spans="1:9" ht="16.5" customHeight="1"/>
    <row r="7" spans="1:9" ht="16.5" customHeight="1">
      <c r="A7" s="1" t="s">
        <v>45</v>
      </c>
    </row>
    <row r="8" spans="1:9" ht="16.5" customHeight="1">
      <c r="A8" s="1" t="s">
        <v>141</v>
      </c>
    </row>
    <row r="9" spans="1:9" ht="16.5" customHeight="1"/>
    <row r="10" spans="1:9" ht="16.5" customHeight="1"/>
    <row r="11" spans="1:9" ht="16.5" customHeight="1"/>
    <row r="12" spans="1:9" ht="16.5" customHeight="1"/>
    <row r="13" spans="1:9" ht="16.5" customHeight="1"/>
    <row r="14" spans="1:9" ht="16.5" customHeight="1"/>
    <row r="15" spans="1:9" ht="16.5" customHeight="1"/>
    <row r="16" spans="1:9" ht="16.5" customHeight="1"/>
    <row r="17" spans="1:3" ht="16.5" customHeight="1"/>
    <row r="18" spans="1:3" ht="16.5" customHeight="1"/>
    <row r="19" spans="1:3" ht="16.5" customHeight="1"/>
    <row r="20" spans="1:3" ht="16.5" customHeight="1"/>
    <row r="21" spans="1:3" ht="16.5" customHeight="1"/>
    <row r="22" spans="1:3" ht="16.5" customHeight="1"/>
    <row r="23" spans="1:3" ht="16.5" customHeight="1">
      <c r="A23" s="16" t="s">
        <v>142</v>
      </c>
      <c r="B23" s="17" t="s">
        <v>143</v>
      </c>
    </row>
    <row r="24" spans="1:3" ht="16.5" customHeight="1"/>
    <row r="25" spans="1:3" ht="16.5" customHeight="1">
      <c r="A25" s="17" t="s">
        <v>126</v>
      </c>
      <c r="B25" s="17">
        <f>106*About!$B$92/1000</f>
        <v>125.0694</v>
      </c>
      <c r="C25" s="36" t="s">
        <v>144</v>
      </c>
    </row>
    <row r="26" spans="1:3" ht="16.5" customHeight="1">
      <c r="A26" s="17" t="s">
        <v>128</v>
      </c>
      <c r="B26" s="17">
        <f>105*About!$B$92/1000</f>
        <v>123.88950000000001</v>
      </c>
      <c r="C26" s="36" t="s">
        <v>144</v>
      </c>
    </row>
    <row r="27" spans="1:3" ht="16.5" customHeight="1"/>
    <row r="28" spans="1:3" ht="16.5" customHeight="1"/>
    <row r="29" spans="1:3" ht="16.5" customHeight="1">
      <c r="A29" s="1" t="s">
        <v>127</v>
      </c>
    </row>
    <row r="30" spans="1:3" ht="16.5" customHeight="1"/>
    <row r="31" spans="1:3" ht="16.5" customHeight="1"/>
    <row r="32" spans="1:3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phoneticPr fontId="12" type="noConversion"/>
  <pageMargins left="0.7" right="0.7" top="0.75" bottom="0.75" header="0" footer="0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C4F66F-2C62-4979-8065-F0D7229FC3EA}">
  <sheetPr>
    <tabColor rgb="FF2E75B6"/>
  </sheetPr>
  <dimension ref="A1:AH95"/>
  <sheetViews>
    <sheetView topLeftCell="A25" workbookViewId="0">
      <selection activeCell="A13" sqref="A13"/>
    </sheetView>
  </sheetViews>
  <sheetFormatPr defaultRowHeight="14.5"/>
  <cols>
    <col min="1" max="1" width="38.1796875" customWidth="1"/>
    <col min="2" max="6" width="14.26953125" customWidth="1"/>
    <col min="7" max="7" width="13.1796875" bestFit="1" customWidth="1"/>
    <col min="8" max="11" width="26.7265625" customWidth="1"/>
    <col min="12" max="32" width="14.26953125" customWidth="1"/>
  </cols>
  <sheetData>
    <row r="1" spans="1:12" ht="30" customHeight="1">
      <c r="A1" s="83" t="s">
        <v>241</v>
      </c>
      <c r="B1" s="83"/>
      <c r="C1" s="83"/>
      <c r="D1" s="83"/>
      <c r="E1" s="83"/>
      <c r="F1" s="83"/>
      <c r="G1" s="83"/>
      <c r="H1" s="83"/>
      <c r="I1" s="83"/>
      <c r="J1" s="83"/>
      <c r="K1" s="83"/>
    </row>
    <row r="2" spans="1:12">
      <c r="A2" s="44" t="s">
        <v>242</v>
      </c>
    </row>
    <row r="4" spans="1:12" ht="22" customHeight="1">
      <c r="A4" s="84" t="s">
        <v>243</v>
      </c>
      <c r="B4" s="84"/>
      <c r="C4" s="84"/>
      <c r="D4" s="84"/>
      <c r="E4" s="84"/>
      <c r="F4" s="84"/>
      <c r="G4" s="84"/>
      <c r="H4" s="84"/>
      <c r="I4" s="84"/>
      <c r="J4" s="84"/>
      <c r="K4" s="84"/>
    </row>
    <row r="5" spans="1:12">
      <c r="A5" s="86" t="s">
        <v>322</v>
      </c>
      <c r="B5" s="82"/>
      <c r="C5" s="82"/>
      <c r="D5" s="82"/>
      <c r="E5" s="82"/>
      <c r="F5" s="82"/>
      <c r="G5" s="82"/>
      <c r="H5" s="82"/>
      <c r="I5" s="82"/>
      <c r="J5" s="82"/>
      <c r="K5" s="82"/>
    </row>
    <row r="7" spans="1:12">
      <c r="A7" s="45" t="s">
        <v>244</v>
      </c>
      <c r="B7" s="45">
        <v>2010</v>
      </c>
      <c r="C7" s="45">
        <v>2011</v>
      </c>
      <c r="D7" s="45">
        <v>2012</v>
      </c>
      <c r="E7" s="45">
        <v>2013</v>
      </c>
      <c r="F7" s="45">
        <v>2014</v>
      </c>
      <c r="G7" s="45">
        <v>2015</v>
      </c>
      <c r="H7" s="45">
        <v>2016</v>
      </c>
      <c r="I7" s="45">
        <v>2017</v>
      </c>
      <c r="J7" s="45">
        <v>2018</v>
      </c>
      <c r="K7" s="45">
        <v>2019</v>
      </c>
      <c r="L7" s="45" t="s">
        <v>245</v>
      </c>
    </row>
    <row r="8" spans="1:12" ht="17">
      <c r="A8" s="46" t="s">
        <v>246</v>
      </c>
      <c r="B8" s="47">
        <v>4702.3620000000001</v>
      </c>
      <c r="C8" s="47">
        <v>3936.326</v>
      </c>
      <c r="D8" s="47">
        <v>2984.701</v>
      </c>
      <c r="E8" s="47">
        <v>2615.2890000000002</v>
      </c>
      <c r="F8" s="47">
        <v>2362.9659999999999</v>
      </c>
      <c r="G8" s="47">
        <v>1800.941</v>
      </c>
      <c r="H8" s="47">
        <v>1637.269</v>
      </c>
      <c r="I8" s="47">
        <v>1414.6780000000001</v>
      </c>
      <c r="J8" s="47">
        <v>1208.364</v>
      </c>
      <c r="K8" s="37">
        <v>994.69500000000005</v>
      </c>
      <c r="L8" s="48" t="s">
        <v>247</v>
      </c>
    </row>
    <row r="9" spans="1:12" ht="17">
      <c r="A9" s="46" t="s">
        <v>248</v>
      </c>
      <c r="B9" s="47">
        <v>1949</v>
      </c>
      <c r="C9" s="47">
        <v>1939</v>
      </c>
      <c r="D9" s="47">
        <v>1972</v>
      </c>
      <c r="E9" s="47">
        <v>1828</v>
      </c>
      <c r="F9" s="47">
        <v>1781</v>
      </c>
      <c r="G9" s="47">
        <v>1642</v>
      </c>
      <c r="H9" s="47">
        <v>1635</v>
      </c>
      <c r="I9" s="47">
        <v>1628</v>
      </c>
      <c r="J9" s="47">
        <v>1549</v>
      </c>
      <c r="K9" s="37">
        <v>1473</v>
      </c>
      <c r="L9" s="48" t="s">
        <v>249</v>
      </c>
    </row>
    <row r="10" spans="1:12" ht="17">
      <c r="A10" s="46" t="s">
        <v>250</v>
      </c>
      <c r="B10" s="47">
        <v>4650</v>
      </c>
      <c r="C10" s="47">
        <v>5326</v>
      </c>
      <c r="D10" s="47">
        <v>4741</v>
      </c>
      <c r="E10" s="47">
        <v>5738</v>
      </c>
      <c r="F10" s="47">
        <v>5245</v>
      </c>
      <c r="G10" s="47">
        <v>5260</v>
      </c>
      <c r="H10" s="47">
        <v>4280</v>
      </c>
      <c r="I10" s="47">
        <v>4683</v>
      </c>
      <c r="J10" s="47">
        <v>4245</v>
      </c>
      <c r="K10" s="37">
        <v>3800</v>
      </c>
      <c r="L10" s="48" t="s">
        <v>251</v>
      </c>
    </row>
    <row r="11" spans="1:12" ht="17">
      <c r="A11" s="49" t="s">
        <v>252</v>
      </c>
      <c r="B11" s="50">
        <v>1234.26</v>
      </c>
      <c r="C11" s="50">
        <v>1210.0830000000001</v>
      </c>
      <c r="D11" s="50">
        <v>1286.921</v>
      </c>
      <c r="E11" s="50">
        <v>1517.231</v>
      </c>
      <c r="F11" s="50">
        <v>1587.4649999999999</v>
      </c>
      <c r="G11" s="50">
        <v>1452.069</v>
      </c>
      <c r="H11" s="50">
        <v>1839.2370000000001</v>
      </c>
      <c r="I11" s="50">
        <v>1768.749</v>
      </c>
      <c r="J11" s="50">
        <v>1455.857</v>
      </c>
      <c r="K11" s="37">
        <v>1709.289</v>
      </c>
      <c r="L11" s="48" t="s">
        <v>253</v>
      </c>
    </row>
    <row r="12" spans="1:12" ht="17.5" thickBot="1">
      <c r="A12" s="49" t="s">
        <v>254</v>
      </c>
      <c r="B12" s="50">
        <v>2588.0990000000002</v>
      </c>
      <c r="C12" s="50">
        <v>1301.9880000000001</v>
      </c>
      <c r="D12" s="50">
        <v>1494.864</v>
      </c>
      <c r="E12" s="50">
        <v>3027.7849999999999</v>
      </c>
      <c r="F12" s="50">
        <v>2982.498</v>
      </c>
      <c r="G12" s="50">
        <v>2591.8130000000001</v>
      </c>
      <c r="H12" s="50">
        <v>2175.08</v>
      </c>
      <c r="I12" s="50">
        <v>2897.3020000000001</v>
      </c>
      <c r="J12" s="50">
        <v>1693.367</v>
      </c>
      <c r="K12" s="38">
        <v>2140.643</v>
      </c>
      <c r="L12" s="48" t="s">
        <v>255</v>
      </c>
    </row>
    <row r="14" spans="1:12" ht="22" customHeight="1">
      <c r="A14" s="85" t="s">
        <v>319</v>
      </c>
      <c r="B14" s="84"/>
      <c r="C14" s="84"/>
      <c r="D14" s="84"/>
      <c r="E14" s="84"/>
      <c r="F14" s="84"/>
      <c r="G14" s="84"/>
      <c r="H14" s="84"/>
      <c r="I14" s="84"/>
      <c r="J14" s="84"/>
      <c r="K14" s="84"/>
    </row>
    <row r="15" spans="1:12" ht="16">
      <c r="A15" s="82" t="s">
        <v>321</v>
      </c>
      <c r="B15" s="82"/>
      <c r="C15" s="82"/>
      <c r="D15" s="82"/>
      <c r="E15" s="82"/>
      <c r="F15" s="82"/>
      <c r="G15" s="82"/>
      <c r="H15" s="82"/>
      <c r="I15" s="82"/>
      <c r="J15" s="82"/>
      <c r="K15" s="82"/>
    </row>
    <row r="17" spans="1:11">
      <c r="A17" s="45" t="s">
        <v>244</v>
      </c>
      <c r="B17" s="45" t="s">
        <v>265</v>
      </c>
      <c r="C17" s="45" t="s">
        <v>266</v>
      </c>
      <c r="D17" s="55" t="s">
        <v>267</v>
      </c>
      <c r="E17" s="45" t="s">
        <v>268</v>
      </c>
      <c r="F17" s="45" t="s">
        <v>269</v>
      </c>
      <c r="G17" s="55" t="s">
        <v>270</v>
      </c>
      <c r="H17" s="45" t="s">
        <v>259</v>
      </c>
    </row>
    <row r="18" spans="1:11">
      <c r="A18" s="46" t="s">
        <v>246</v>
      </c>
      <c r="B18" s="56">
        <v>340</v>
      </c>
      <c r="C18" s="56">
        <v>834</v>
      </c>
      <c r="D18" s="57">
        <f>B18+(C18-B18)*0.3</f>
        <v>488.2</v>
      </c>
      <c r="E18" s="56">
        <v>165</v>
      </c>
      <c r="F18" s="56">
        <v>481</v>
      </c>
      <c r="G18" s="57">
        <f>E18+(F18-E18)*0.3</f>
        <v>259.8</v>
      </c>
      <c r="H18" s="53" t="s">
        <v>271</v>
      </c>
    </row>
    <row r="19" spans="1:11">
      <c r="A19" s="46" t="s">
        <v>248</v>
      </c>
      <c r="B19" s="56">
        <v>800</v>
      </c>
      <c r="C19" s="56">
        <v>1350</v>
      </c>
      <c r="D19" s="57">
        <f t="shared" ref="D19:D20" si="0">B19+(C19-B19)*0.3</f>
        <v>965</v>
      </c>
      <c r="E19" s="56">
        <v>650</v>
      </c>
      <c r="F19" s="56">
        <v>1000</v>
      </c>
      <c r="G19" s="57">
        <f t="shared" ref="G19:G20" si="1">E19+(F19-E19)*0.3</f>
        <v>755</v>
      </c>
      <c r="H19" s="53" t="s">
        <v>272</v>
      </c>
    </row>
    <row r="20" spans="1:11">
      <c r="A20" s="46" t="s">
        <v>250</v>
      </c>
      <c r="B20" s="56">
        <v>1700</v>
      </c>
      <c r="C20" s="56">
        <v>3200</v>
      </c>
      <c r="D20" s="57">
        <f t="shared" si="0"/>
        <v>2150</v>
      </c>
      <c r="E20" s="56">
        <v>1400</v>
      </c>
      <c r="F20" s="56">
        <v>2800</v>
      </c>
      <c r="G20" s="57">
        <f t="shared" si="1"/>
        <v>1820</v>
      </c>
      <c r="H20" s="53" t="s">
        <v>272</v>
      </c>
    </row>
    <row r="22" spans="1:11">
      <c r="A22" s="54" t="s">
        <v>273</v>
      </c>
    </row>
    <row r="23" spans="1:11">
      <c r="A23" s="54"/>
    </row>
    <row r="24" spans="1:11" ht="22" customHeight="1">
      <c r="A24" s="85" t="s">
        <v>320</v>
      </c>
      <c r="B24" s="84"/>
      <c r="C24" s="84"/>
      <c r="D24" s="84"/>
      <c r="E24" s="84"/>
      <c r="F24" s="84"/>
      <c r="G24" s="84"/>
      <c r="H24" s="84"/>
      <c r="I24" s="84"/>
      <c r="J24" s="84"/>
      <c r="K24" s="84"/>
    </row>
    <row r="25" spans="1:11">
      <c r="A25" s="82" t="s">
        <v>256</v>
      </c>
      <c r="B25" s="82"/>
      <c r="C25" s="82"/>
      <c r="D25" s="82"/>
      <c r="E25" s="82"/>
      <c r="F25" s="82"/>
      <c r="G25" s="82"/>
      <c r="H25" s="82"/>
      <c r="I25" s="82"/>
      <c r="J25" s="82"/>
      <c r="K25" s="82"/>
    </row>
    <row r="27" spans="1:11">
      <c r="A27" s="45" t="s">
        <v>244</v>
      </c>
      <c r="B27" s="45" t="s">
        <v>257</v>
      </c>
      <c r="C27" s="45" t="s">
        <v>258</v>
      </c>
      <c r="D27" s="45" t="s">
        <v>259</v>
      </c>
    </row>
    <row r="28" spans="1:11">
      <c r="A28" s="46" t="s">
        <v>246</v>
      </c>
      <c r="B28" s="51">
        <f>(G18/D18)^(1/(50-30))-1</f>
        <v>-3.1048434830778016E-2</v>
      </c>
      <c r="C28" s="43" t="s">
        <v>260</v>
      </c>
      <c r="D28" s="53" t="s">
        <v>261</v>
      </c>
    </row>
    <row r="29" spans="1:11">
      <c r="A29" s="46" t="s">
        <v>248</v>
      </c>
      <c r="B29" s="51">
        <f t="shared" ref="B29" si="2">(G19/D19)^(1/(50-30))-1</f>
        <v>-1.2195541780732455E-2</v>
      </c>
      <c r="C29" s="43" t="s">
        <v>260</v>
      </c>
      <c r="D29" s="53" t="s">
        <v>261</v>
      </c>
    </row>
    <row r="30" spans="1:11">
      <c r="A30" s="46" t="s">
        <v>250</v>
      </c>
      <c r="B30" s="51">
        <f>(G20/J10)^(1/(50-18))-1</f>
        <v>-2.6118641430034839E-2</v>
      </c>
      <c r="C30" s="43" t="s">
        <v>262</v>
      </c>
      <c r="D30" s="53" t="s">
        <v>263</v>
      </c>
    </row>
    <row r="32" spans="1:11">
      <c r="A32" s="54" t="s">
        <v>264</v>
      </c>
    </row>
    <row r="34" spans="1:34" ht="22" customHeight="1">
      <c r="A34" s="84" t="s">
        <v>274</v>
      </c>
      <c r="B34" s="84"/>
      <c r="C34" s="84"/>
      <c r="D34" s="84"/>
      <c r="E34" s="84"/>
      <c r="F34" s="84"/>
      <c r="G34" s="84"/>
      <c r="H34" s="84"/>
      <c r="I34" s="84"/>
      <c r="J34" s="84"/>
      <c r="K34" s="84"/>
    </row>
    <row r="35" spans="1:34">
      <c r="A35" s="82" t="s">
        <v>275</v>
      </c>
      <c r="B35" s="82"/>
      <c r="C35" s="82"/>
      <c r="D35" s="82"/>
      <c r="E35" s="82"/>
      <c r="F35" s="82"/>
      <c r="G35" s="82"/>
      <c r="H35" s="82"/>
      <c r="I35" s="82"/>
      <c r="J35" s="82"/>
      <c r="K35" s="82"/>
    </row>
    <row r="36" spans="1:34">
      <c r="A36" s="82" t="s">
        <v>276</v>
      </c>
      <c r="B36" s="82"/>
      <c r="C36" s="82"/>
      <c r="D36" s="82"/>
      <c r="E36" s="82"/>
      <c r="F36" s="82"/>
      <c r="G36" s="82"/>
      <c r="H36" s="82"/>
      <c r="I36" s="82"/>
      <c r="J36" s="82"/>
      <c r="K36" s="82"/>
    </row>
    <row r="38" spans="1:34">
      <c r="A38" s="45" t="s">
        <v>244</v>
      </c>
      <c r="B38" s="45">
        <v>2018</v>
      </c>
      <c r="C38" s="45">
        <v>2019</v>
      </c>
      <c r="D38" s="45">
        <v>2020</v>
      </c>
      <c r="E38" s="45">
        <v>2021</v>
      </c>
      <c r="F38" s="45">
        <v>2022</v>
      </c>
      <c r="G38" s="45">
        <v>2023</v>
      </c>
      <c r="H38" s="45">
        <v>2024</v>
      </c>
      <c r="I38" s="45">
        <v>2025</v>
      </c>
      <c r="J38" s="45">
        <v>2026</v>
      </c>
      <c r="K38" s="45">
        <v>2027</v>
      </c>
      <c r="L38" s="45">
        <v>2028</v>
      </c>
      <c r="M38" s="45">
        <v>2029</v>
      </c>
      <c r="N38" s="45">
        <v>2030</v>
      </c>
      <c r="O38" s="45">
        <v>2031</v>
      </c>
      <c r="P38" s="45">
        <v>2032</v>
      </c>
      <c r="Q38" s="45">
        <v>2033</v>
      </c>
      <c r="R38" s="45">
        <v>2034</v>
      </c>
      <c r="S38" s="45">
        <v>2035</v>
      </c>
      <c r="T38" s="45">
        <v>2036</v>
      </c>
      <c r="U38" s="45">
        <v>2037</v>
      </c>
      <c r="V38" s="45">
        <v>2038</v>
      </c>
      <c r="W38" s="45">
        <v>2039</v>
      </c>
      <c r="X38" s="45">
        <v>2040</v>
      </c>
      <c r="Y38" s="45">
        <v>2041</v>
      </c>
      <c r="Z38" s="45">
        <v>2042</v>
      </c>
      <c r="AA38" s="45">
        <v>2043</v>
      </c>
      <c r="AB38" s="45">
        <v>2044</v>
      </c>
      <c r="AC38" s="45">
        <v>2045</v>
      </c>
      <c r="AD38" s="45">
        <v>2046</v>
      </c>
      <c r="AE38" s="45">
        <v>2047</v>
      </c>
      <c r="AF38" s="45">
        <v>2048</v>
      </c>
      <c r="AG38" s="45">
        <v>2049</v>
      </c>
      <c r="AH38" s="45">
        <v>2050</v>
      </c>
    </row>
    <row r="39" spans="1:34">
      <c r="A39" s="46" t="s">
        <v>246</v>
      </c>
      <c r="B39" s="46"/>
      <c r="C39" s="67"/>
      <c r="D39" s="68">
        <v>1513.3</v>
      </c>
      <c r="E39" s="69">
        <f>_xlfn.FORECAST.LINEAR(E$38,CHOOSE({1,2},$D$39,$I$39),CHOOSE({1,2},$D$38,$I$38))</f>
        <v>1456.4199999999983</v>
      </c>
      <c r="F39" s="69">
        <f>_xlfn.FORECAST.LINEAR(F$38,CHOOSE({1,2},$D$39,$I$39),CHOOSE({1,2},$D$38,$I$38))</f>
        <v>1399.5400000000081</v>
      </c>
      <c r="G39" s="69">
        <f>_xlfn.FORECAST.LINEAR(G$38,CHOOSE({1,2},$D$39,$I$39),CHOOSE({1,2},$D$38,$I$38))</f>
        <v>1342.6600000000035</v>
      </c>
      <c r="H39" s="69">
        <f>_xlfn.FORECAST.LINEAR(H$38,CHOOSE({1,2},$D$39,$I$39),CHOOSE({1,2},$D$38,$I$38))</f>
        <v>1285.7799999999988</v>
      </c>
      <c r="I39" s="68">
        <v>1228.9000000000001</v>
      </c>
      <c r="J39" s="69">
        <f>_xlfn.FORECAST.LINEAR(J$38,CHOOSE({1,2},$I39,$N39), CHOOSE({1,2}, $I$38,$N$38))</f>
        <v>1194.1399999999994</v>
      </c>
      <c r="K39" s="69">
        <f>_xlfn.FORECAST.LINEAR(K$38,CHOOSE({1,2},$I39,$N39), CHOOSE({1,2}, $I$38,$N$38))</f>
        <v>1159.3800000000047</v>
      </c>
      <c r="L39" s="69">
        <f>_xlfn.FORECAST.LINEAR(L$38,CHOOSE({1,2},$I39,$N39), CHOOSE({1,2}, $I$38,$N$38))</f>
        <v>1124.6199999999953</v>
      </c>
      <c r="M39" s="69">
        <f>_xlfn.FORECAST.LINEAR(M$38,CHOOSE({1,2},$I39,$N39), CHOOSE({1,2}, $I$38,$N$38))</f>
        <v>1089.8600000000006</v>
      </c>
      <c r="N39" s="68">
        <v>1055.0999999999999</v>
      </c>
      <c r="O39" s="69">
        <f>N39*(1+$B$28)</f>
        <v>1022.340796410046</v>
      </c>
      <c r="P39" s="69">
        <f t="shared" ref="P39:AH39" si="3">O39*(1+$B$28)</f>
        <v>990.59871481786297</v>
      </c>
      <c r="Q39" s="69">
        <f t="shared" si="3"/>
        <v>959.84217517738807</v>
      </c>
      <c r="R39" s="69">
        <f t="shared" si="3"/>
        <v>930.04057795356073</v>
      </c>
      <c r="S39" s="69">
        <f t="shared" si="3"/>
        <v>901.16427367899053</v>
      </c>
      <c r="T39" s="69">
        <f t="shared" si="3"/>
        <v>873.18453345584294</v>
      </c>
      <c r="U39" s="69">
        <f t="shared" si="3"/>
        <v>846.0735203735959</v>
      </c>
      <c r="V39" s="69">
        <f t="shared" si="3"/>
        <v>819.80426181422933</v>
      </c>
      <c r="W39" s="69">
        <f t="shared" si="3"/>
        <v>794.35062261729615</v>
      </c>
      <c r="X39" s="69">
        <f t="shared" si="3"/>
        <v>769.68727907817504</v>
      </c>
      <c r="Y39" s="69">
        <f t="shared" si="3"/>
        <v>745.78969375363749</v>
      </c>
      <c r="Z39" s="69">
        <f t="shared" si="3"/>
        <v>722.63409104966183</v>
      </c>
      <c r="AA39" s="69">
        <f t="shared" si="3"/>
        <v>700.1974335672079</v>
      </c>
      <c r="AB39" s="69">
        <f t="shared" si="3"/>
        <v>678.45739918241838</v>
      </c>
      <c r="AC39" s="69">
        <f t="shared" si="3"/>
        <v>657.3923588384439</v>
      </c>
      <c r="AD39" s="69">
        <f t="shared" si="3"/>
        <v>636.98135502679702</v>
      </c>
      <c r="AE39" s="69">
        <f t="shared" si="3"/>
        <v>617.20408093682681</v>
      </c>
      <c r="AF39" s="69">
        <f t="shared" si="3"/>
        <v>598.04086025256947</v>
      </c>
      <c r="AG39" s="69">
        <f t="shared" si="3"/>
        <v>579.4726275768752</v>
      </c>
      <c r="AH39" s="69">
        <f t="shared" si="3"/>
        <v>561.48090946333491</v>
      </c>
    </row>
    <row r="40" spans="1:34">
      <c r="A40" t="s">
        <v>248</v>
      </c>
      <c r="C40" s="66"/>
      <c r="D40" s="68">
        <v>2522.4</v>
      </c>
      <c r="E40" s="69">
        <f>_xlfn.FORECAST.LINEAR(E$38,CHOOSE({1,2},$D$40,$I$40),CHOOSE({1,2},$D$38,$I$38))</f>
        <v>2481.8999999999942</v>
      </c>
      <c r="F40" s="69">
        <f>_xlfn.FORECAST.LINEAR(F$38,CHOOSE({1,2},$D$40,$I$40),CHOOSE({1,2},$D$38,$I$38))</f>
        <v>2441.3999999999942</v>
      </c>
      <c r="G40" s="69">
        <f>_xlfn.FORECAST.LINEAR(G$38,CHOOSE({1,2},$D$40,$I$40),CHOOSE({1,2},$D$38,$I$38))</f>
        <v>2400.8999999999942</v>
      </c>
      <c r="H40" s="69">
        <f>_xlfn.FORECAST.LINEAR(H$38,CHOOSE({1,2},$D$40,$I$40),CHOOSE({1,2},$D$38,$I$38))</f>
        <v>2360.3999999999942</v>
      </c>
      <c r="I40" s="68">
        <v>2319.9</v>
      </c>
      <c r="J40" s="69">
        <f>_xlfn.FORECAST.LINEAR(J$38,CHOOSE({1,2},$I40,$N40), CHOOSE({1,2}, $I$38,$N$38))</f>
        <v>2296.4000000000015</v>
      </c>
      <c r="K40" s="69">
        <f>_xlfn.FORECAST.LINEAR(K$38,CHOOSE({1,2},$I40,$N40), CHOOSE({1,2}, $I$38,$N$38))</f>
        <v>2272.9000000000015</v>
      </c>
      <c r="L40" s="69">
        <f>_xlfn.FORECAST.LINEAR(L$38,CHOOSE({1,2},$I40,$N40), CHOOSE({1,2}, $I$38,$N$38))</f>
        <v>2249.4000000000015</v>
      </c>
      <c r="M40" s="69">
        <f>_xlfn.FORECAST.LINEAR(M$38,CHOOSE({1,2},$I40,$N40), CHOOSE({1,2}, $I$38,$N$38))</f>
        <v>2225.9000000000015</v>
      </c>
      <c r="N40" s="68">
        <v>2202.4</v>
      </c>
      <c r="O40" s="69">
        <f>N40*(1+$B$29)</f>
        <v>2175.5405387821147</v>
      </c>
      <c r="P40" s="69">
        <f t="shared" ref="P40:AH40" si="4">O40*(1+$B$29)</f>
        <v>2149.0086432457201</v>
      </c>
      <c r="Q40" s="69">
        <f t="shared" si="4"/>
        <v>2122.8003185498619</v>
      </c>
      <c r="R40" s="69">
        <f t="shared" si="4"/>
        <v>2096.9116185728349</v>
      </c>
      <c r="S40" s="69">
        <f t="shared" si="4"/>
        <v>2071.3386453180265</v>
      </c>
      <c r="T40" s="69">
        <f t="shared" si="4"/>
        <v>2046.0775483270047</v>
      </c>
      <c r="U40" s="69">
        <f t="shared" si="4"/>
        <v>2021.1245240997641</v>
      </c>
      <c r="V40" s="69">
        <f t="shared" si="4"/>
        <v>1996.4758155220425</v>
      </c>
      <c r="W40" s="69">
        <f t="shared" si="4"/>
        <v>1972.1277112996215</v>
      </c>
      <c r="X40" s="69">
        <f t="shared" si="4"/>
        <v>1948.0765453995268</v>
      </c>
      <c r="Y40" s="69">
        <f t="shared" si="4"/>
        <v>1924.3186964980418</v>
      </c>
      <c r="Z40" s="69">
        <f t="shared" si="4"/>
        <v>1900.8505874354553</v>
      </c>
      <c r="AA40" s="69">
        <f t="shared" si="4"/>
        <v>1877.6686846774564</v>
      </c>
      <c r="AB40" s="69">
        <f t="shared" si="4"/>
        <v>1854.7694977830995</v>
      </c>
      <c r="AC40" s="69">
        <f t="shared" si="4"/>
        <v>1832.1495788792577</v>
      </c>
      <c r="AD40" s="69">
        <f t="shared" si="4"/>
        <v>1809.8055221414843</v>
      </c>
      <c r="AE40" s="69">
        <f t="shared" si="4"/>
        <v>1787.7339632812075</v>
      </c>
      <c r="AF40" s="69">
        <f t="shared" si="4"/>
        <v>1765.931579039177</v>
      </c>
      <c r="AG40" s="69">
        <f t="shared" si="4"/>
        <v>1744.3950866850898</v>
      </c>
      <c r="AH40" s="69">
        <f t="shared" si="4"/>
        <v>1723.1212435233174</v>
      </c>
    </row>
    <row r="41" spans="1:34">
      <c r="A41" t="s">
        <v>250</v>
      </c>
      <c r="B41" s="64">
        <v>5730</v>
      </c>
      <c r="C41" s="66">
        <f>B41*(1+$B$30)</f>
        <v>5580.3401846059005</v>
      </c>
      <c r="D41" s="66">
        <f t="shared" ref="D41:AH41" si="5">C41*(1+$B$30)</f>
        <v>5434.5892802665649</v>
      </c>
      <c r="E41" s="66">
        <f t="shared" si="5"/>
        <v>5292.6451915357711</v>
      </c>
      <c r="F41" s="66">
        <f t="shared" si="5"/>
        <v>5154.4084895616506</v>
      </c>
      <c r="G41" s="66">
        <f t="shared" si="5"/>
        <v>5019.7823424388625</v>
      </c>
      <c r="H41" s="66">
        <f t="shared" si="5"/>
        <v>4888.6724473798813</v>
      </c>
      <c r="I41" s="66">
        <f t="shared" si="5"/>
        <v>4760.9869646578754</v>
      </c>
      <c r="J41" s="66">
        <f t="shared" si="5"/>
        <v>4636.6364532749067</v>
      </c>
      <c r="K41" s="66">
        <f t="shared" si="5"/>
        <v>4515.5338083103907</v>
      </c>
      <c r="L41" s="66">
        <f t="shared" si="5"/>
        <v>4397.5941999059323</v>
      </c>
      <c r="M41" s="66">
        <f t="shared" si="5"/>
        <v>4282.7350138437887</v>
      </c>
      <c r="N41" s="66">
        <f t="shared" si="5"/>
        <v>4170.8757936773472</v>
      </c>
      <c r="O41" s="66">
        <f t="shared" si="5"/>
        <v>4061.9381843730766</v>
      </c>
      <c r="P41" s="66">
        <f t="shared" si="5"/>
        <v>3955.8458774244696</v>
      </c>
      <c r="Q41" s="66">
        <f t="shared" si="5"/>
        <v>3852.5245573995385</v>
      </c>
      <c r="R41" s="66">
        <f t="shared" si="5"/>
        <v>3751.9018498844162</v>
      </c>
      <c r="S41" s="66">
        <f t="shared" si="5"/>
        <v>3653.9072707866007</v>
      </c>
      <c r="T41" s="66">
        <f t="shared" si="5"/>
        <v>3558.4721769623284</v>
      </c>
      <c r="U41" s="66">
        <f t="shared" si="5"/>
        <v>3465.529718133494</v>
      </c>
      <c r="V41" s="66">
        <f t="shared" si="5"/>
        <v>3375.0147900604356</v>
      </c>
      <c r="W41" s="66">
        <f t="shared" si="5"/>
        <v>3286.8639889377828</v>
      </c>
      <c r="X41" s="66">
        <f t="shared" si="5"/>
        <v>3201.015566981423</v>
      </c>
      <c r="Y41" s="66">
        <f t="shared" si="5"/>
        <v>3117.4093891754756</v>
      </c>
      <c r="Z41" s="66">
        <f t="shared" si="5"/>
        <v>3035.9868911489775</v>
      </c>
      <c r="AA41" s="66">
        <f t="shared" si="5"/>
        <v>2956.6910381527709</v>
      </c>
      <c r="AB41" s="66">
        <f t="shared" si="5"/>
        <v>2879.466285107861</v>
      </c>
      <c r="AC41" s="66">
        <f t="shared" si="5"/>
        <v>2804.2585376972543</v>
      </c>
      <c r="AD41" s="66">
        <f t="shared" si="5"/>
        <v>2731.0151144740257</v>
      </c>
      <c r="AE41" s="66">
        <f t="shared" si="5"/>
        <v>2659.6847099590732</v>
      </c>
      <c r="AF41" s="66">
        <f t="shared" si="5"/>
        <v>2590.217358702706</v>
      </c>
      <c r="AG41" s="66">
        <f t="shared" si="5"/>
        <v>2522.5644002848981</v>
      </c>
      <c r="AH41" s="66">
        <f t="shared" si="5"/>
        <v>2456.6784452296861</v>
      </c>
    </row>
    <row r="45" spans="1:34">
      <c r="A45" s="81" t="s">
        <v>279</v>
      </c>
      <c r="B45" s="81"/>
      <c r="C45" s="81"/>
      <c r="D45" s="81"/>
      <c r="E45" s="81"/>
      <c r="F45" s="81"/>
      <c r="G45" s="81"/>
      <c r="H45" s="81"/>
      <c r="I45" s="81"/>
      <c r="J45" s="81"/>
      <c r="K45" s="81"/>
    </row>
    <row r="46" spans="1:34">
      <c r="A46" s="60" t="s">
        <v>280</v>
      </c>
      <c r="B46" s="60" t="s">
        <v>281</v>
      </c>
      <c r="C46" s="60" t="s">
        <v>282</v>
      </c>
      <c r="D46" s="60" t="s">
        <v>283</v>
      </c>
    </row>
    <row r="47" spans="1:34">
      <c r="A47" s="46" t="s">
        <v>284</v>
      </c>
      <c r="B47" s="61" t="s">
        <v>285</v>
      </c>
      <c r="C47" s="43" t="s">
        <v>286</v>
      </c>
      <c r="D47" s="43" t="s">
        <v>287</v>
      </c>
    </row>
    <row r="48" spans="1:34">
      <c r="A48" s="46" t="s">
        <v>288</v>
      </c>
      <c r="B48" s="61" t="s">
        <v>289</v>
      </c>
      <c r="C48" s="43" t="s">
        <v>290</v>
      </c>
      <c r="D48" s="43" t="s">
        <v>291</v>
      </c>
    </row>
    <row r="49" spans="1:11">
      <c r="A49" s="46" t="s">
        <v>292</v>
      </c>
      <c r="B49" s="61" t="s">
        <v>293</v>
      </c>
      <c r="C49" s="43" t="s">
        <v>294</v>
      </c>
      <c r="D49" s="43" t="s">
        <v>291</v>
      </c>
    </row>
    <row r="64" spans="1:11" ht="22" customHeight="1">
      <c r="A64" s="84" t="s">
        <v>295</v>
      </c>
      <c r="B64" s="84"/>
      <c r="C64" s="84"/>
      <c r="D64" s="84"/>
      <c r="E64" s="84"/>
      <c r="F64" s="84"/>
      <c r="G64" s="84"/>
      <c r="H64" s="84"/>
      <c r="I64" s="84"/>
      <c r="J64" s="84"/>
      <c r="K64" s="84"/>
    </row>
    <row r="65" spans="1:33">
      <c r="A65" s="82" t="s">
        <v>296</v>
      </c>
      <c r="B65" s="82"/>
      <c r="C65" s="82"/>
      <c r="D65" s="82"/>
      <c r="E65" s="82"/>
      <c r="F65" s="82"/>
      <c r="G65" s="82"/>
      <c r="H65" s="82"/>
      <c r="I65" s="82"/>
      <c r="J65" s="82"/>
      <c r="K65" s="82"/>
    </row>
    <row r="66" spans="1:33">
      <c r="A66" s="82" t="s">
        <v>297</v>
      </c>
      <c r="B66" s="82"/>
      <c r="C66" s="82"/>
      <c r="D66" s="82"/>
      <c r="E66" s="82"/>
      <c r="F66" s="82"/>
      <c r="G66" s="82"/>
      <c r="H66" s="82"/>
      <c r="I66" s="82"/>
      <c r="J66" s="82"/>
      <c r="K66" s="82"/>
    </row>
    <row r="67" spans="1:33">
      <c r="A67" s="45" t="s">
        <v>298</v>
      </c>
      <c r="B67">
        <f>About!$B$92</f>
        <v>1179.9000000000001</v>
      </c>
    </row>
    <row r="68" spans="1:33">
      <c r="A68" s="45" t="s">
        <v>244</v>
      </c>
      <c r="B68" s="45">
        <v>2020</v>
      </c>
      <c r="C68" s="45">
        <v>2021</v>
      </c>
      <c r="D68" s="45">
        <v>2022</v>
      </c>
      <c r="E68" s="45">
        <v>2023</v>
      </c>
      <c r="F68" s="45">
        <v>2024</v>
      </c>
      <c r="G68" s="45">
        <v>2025</v>
      </c>
      <c r="H68" s="45">
        <v>2026</v>
      </c>
      <c r="I68" s="45">
        <v>2027</v>
      </c>
      <c r="J68" s="45">
        <v>2028</v>
      </c>
      <c r="K68" s="45">
        <v>2029</v>
      </c>
      <c r="L68" s="45">
        <v>2030</v>
      </c>
      <c r="M68" s="45">
        <v>2031</v>
      </c>
      <c r="N68" s="45">
        <v>2032</v>
      </c>
      <c r="O68" s="45">
        <v>2033</v>
      </c>
      <c r="P68" s="45">
        <v>2034</v>
      </c>
      <c r="Q68" s="45">
        <v>2035</v>
      </c>
      <c r="R68" s="45">
        <v>2036</v>
      </c>
      <c r="S68" s="45">
        <v>2037</v>
      </c>
      <c r="T68" s="45">
        <v>2038</v>
      </c>
      <c r="U68" s="45">
        <v>2039</v>
      </c>
      <c r="V68" s="45">
        <v>2040</v>
      </c>
      <c r="W68" s="45">
        <v>2041</v>
      </c>
      <c r="X68" s="45">
        <v>2042</v>
      </c>
      <c r="Y68" s="45">
        <v>2043</v>
      </c>
      <c r="Z68" s="45">
        <v>2044</v>
      </c>
      <c r="AA68" s="45">
        <v>2045</v>
      </c>
      <c r="AB68" s="45">
        <v>2046</v>
      </c>
      <c r="AC68" s="45">
        <v>2047</v>
      </c>
      <c r="AD68" s="45">
        <v>2048</v>
      </c>
      <c r="AE68" s="45">
        <v>2049</v>
      </c>
      <c r="AF68" s="45">
        <v>2050</v>
      </c>
    </row>
    <row r="69" spans="1:33">
      <c r="A69" s="17" t="s">
        <v>184</v>
      </c>
      <c r="B69" s="66">
        <f>D39/$B$67*1000</f>
        <v>1282.5663191795913</v>
      </c>
      <c r="C69" s="66">
        <f t="shared" ref="C69:AF71" si="6">E39/$B$67*1000</f>
        <v>1234.3588439698262</v>
      </c>
      <c r="D69" s="66">
        <f t="shared" si="6"/>
        <v>1186.1513687600714</v>
      </c>
      <c r="E69" s="66">
        <f t="shared" si="6"/>
        <v>1137.9438935503038</v>
      </c>
      <c r="F69" s="66">
        <f t="shared" si="6"/>
        <v>1089.7364183405361</v>
      </c>
      <c r="G69" s="66">
        <f t="shared" si="6"/>
        <v>1041.5289431307738</v>
      </c>
      <c r="H69" s="66">
        <f t="shared" si="6"/>
        <v>1012.0688193914733</v>
      </c>
      <c r="I69" s="66">
        <f t="shared" si="6"/>
        <v>982.60869565217774</v>
      </c>
      <c r="J69" s="66">
        <f t="shared" si="6"/>
        <v>953.1485719128699</v>
      </c>
      <c r="K69" s="66">
        <f t="shared" si="6"/>
        <v>923.68844817357444</v>
      </c>
      <c r="L69" s="66">
        <f t="shared" si="6"/>
        <v>894.22832443427387</v>
      </c>
      <c r="M69" s="66">
        <f t="shared" si="6"/>
        <v>866.46393457924057</v>
      </c>
      <c r="N69" s="66">
        <f t="shared" si="6"/>
        <v>839.56158557323749</v>
      </c>
      <c r="O69" s="66">
        <f t="shared" si="6"/>
        <v>813.4945123971421</v>
      </c>
      <c r="P69" s="66">
        <f t="shared" si="6"/>
        <v>788.23678104378394</v>
      </c>
      <c r="Q69" s="66">
        <f t="shared" si="6"/>
        <v>763.76326271632377</v>
      </c>
      <c r="R69" s="66">
        <f t="shared" si="6"/>
        <v>740.04960882773366</v>
      </c>
      <c r="S69" s="66">
        <f t="shared" si="6"/>
        <v>717.07222677650293</v>
      </c>
      <c r="T69" s="66">
        <f t="shared" si="6"/>
        <v>694.8082564744717</v>
      </c>
      <c r="U69" s="66">
        <f t="shared" si="6"/>
        <v>673.23554760343757</v>
      </c>
      <c r="V69" s="66">
        <f t="shared" si="6"/>
        <v>652.33263757790917</v>
      </c>
      <c r="W69" s="66">
        <f t="shared" si="6"/>
        <v>632.07873019208193</v>
      </c>
      <c r="X69" s="66">
        <f t="shared" si="6"/>
        <v>612.45367492979221</v>
      </c>
      <c r="Y69" s="66">
        <f t="shared" si="6"/>
        <v>593.43794691686401</v>
      </c>
      <c r="Z69" s="66">
        <f t="shared" si="6"/>
        <v>575.01262749590501</v>
      </c>
      <c r="AA69" s="66">
        <f t="shared" si="6"/>
        <v>557.15938540422394</v>
      </c>
      <c r="AB69" s="66">
        <f t="shared" si="6"/>
        <v>539.86045853614462</v>
      </c>
      <c r="AC69" s="66">
        <f t="shared" si="6"/>
        <v>523.09863627157119</v>
      </c>
      <c r="AD69" s="66">
        <f t="shared" si="6"/>
        <v>506.85724235322436</v>
      </c>
      <c r="AE69" s="66">
        <f t="shared" si="6"/>
        <v>491.12011829551244</v>
      </c>
      <c r="AF69" s="66">
        <f t="shared" si="6"/>
        <v>475.87160730853032</v>
      </c>
    </row>
    <row r="70" spans="1:33">
      <c r="A70" s="17" t="s">
        <v>183</v>
      </c>
      <c r="B70" s="66">
        <f t="shared" ref="B70:B71" si="7">D40/$B$67*1000</f>
        <v>2137.8082888380372</v>
      </c>
      <c r="C70" s="66">
        <f t="shared" si="6"/>
        <v>2103.4833460462701</v>
      </c>
      <c r="D70" s="66">
        <f t="shared" si="6"/>
        <v>2069.1584032545079</v>
      </c>
      <c r="E70" s="66">
        <f t="shared" si="6"/>
        <v>2034.833460462746</v>
      </c>
      <c r="F70" s="66">
        <f t="shared" si="6"/>
        <v>2000.5085176709838</v>
      </c>
      <c r="G70" s="66">
        <f t="shared" si="6"/>
        <v>1966.1835748792269</v>
      </c>
      <c r="H70" s="66">
        <f t="shared" si="6"/>
        <v>1946.2666327654897</v>
      </c>
      <c r="I70" s="66">
        <f t="shared" si="6"/>
        <v>1926.3496906517512</v>
      </c>
      <c r="J70" s="66">
        <f t="shared" si="6"/>
        <v>1906.4327485380129</v>
      </c>
      <c r="K70" s="66">
        <f t="shared" si="6"/>
        <v>1886.5158064242744</v>
      </c>
      <c r="L70" s="66">
        <f t="shared" si="6"/>
        <v>1866.5988643105347</v>
      </c>
      <c r="M70" s="66">
        <f t="shared" si="6"/>
        <v>1843.8346798729676</v>
      </c>
      <c r="N70" s="66">
        <f t="shared" si="6"/>
        <v>1821.3481169978133</v>
      </c>
      <c r="O70" s="66">
        <f t="shared" si="6"/>
        <v>1799.1357899397083</v>
      </c>
      <c r="P70" s="66">
        <f t="shared" si="6"/>
        <v>1777.1943542442873</v>
      </c>
      <c r="Q70" s="66">
        <f t="shared" si="6"/>
        <v>1755.5205062446194</v>
      </c>
      <c r="R70" s="66">
        <f t="shared" si="6"/>
        <v>1734.1109825637805</v>
      </c>
      <c r="S70" s="66">
        <f t="shared" si="6"/>
        <v>1712.9625596234969</v>
      </c>
      <c r="T70" s="66">
        <f t="shared" si="6"/>
        <v>1692.0720531587781</v>
      </c>
      <c r="U70" s="66">
        <f t="shared" si="6"/>
        <v>1671.4363177384705</v>
      </c>
      <c r="V70" s="66">
        <f t="shared" si="6"/>
        <v>1651.0522462916574</v>
      </c>
      <c r="W70" s="66">
        <f t="shared" si="6"/>
        <v>1630.9167696398351</v>
      </c>
      <c r="X70" s="66">
        <f t="shared" si="6"/>
        <v>1611.0268560347954</v>
      </c>
      <c r="Y70" s="66">
        <f t="shared" si="6"/>
        <v>1591.379510702141</v>
      </c>
      <c r="Z70" s="66">
        <f t="shared" si="6"/>
        <v>1571.9717753903715</v>
      </c>
      <c r="AA70" s="66">
        <f t="shared" si="6"/>
        <v>1552.8007279254662</v>
      </c>
      <c r="AB70" s="66">
        <f t="shared" si="6"/>
        <v>1533.8634817708994</v>
      </c>
      <c r="AC70" s="66">
        <f t="shared" si="6"/>
        <v>1515.1571855930226</v>
      </c>
      <c r="AD70" s="66">
        <f t="shared" si="6"/>
        <v>1496.6790228317457</v>
      </c>
      <c r="AE70" s="66">
        <f t="shared" si="6"/>
        <v>1478.4262112764554</v>
      </c>
      <c r="AF70" s="66">
        <f t="shared" si="6"/>
        <v>1460.3960026471034</v>
      </c>
    </row>
    <row r="71" spans="1:33">
      <c r="A71" s="17" t="s">
        <v>191</v>
      </c>
      <c r="B71" s="66">
        <f t="shared" si="7"/>
        <v>4605.9744726388371</v>
      </c>
      <c r="C71" s="66">
        <f t="shared" si="6"/>
        <v>4485.6726769520901</v>
      </c>
      <c r="D71" s="66">
        <f t="shared" si="6"/>
        <v>4368.5130007302741</v>
      </c>
      <c r="E71" s="66">
        <f t="shared" si="6"/>
        <v>4254.4133760817549</v>
      </c>
      <c r="F71" s="66">
        <f t="shared" si="6"/>
        <v>4143.2938786167315</v>
      </c>
      <c r="G71" s="66">
        <f t="shared" si="6"/>
        <v>4035.0766714618826</v>
      </c>
      <c r="H71" s="66">
        <f t="shared" si="6"/>
        <v>3929.685950737271</v>
      </c>
      <c r="I71" s="66">
        <f t="shared" si="6"/>
        <v>3827.0478924573185</v>
      </c>
      <c r="J71" s="66">
        <f t="shared" si="6"/>
        <v>3727.0906008186557</v>
      </c>
      <c r="K71" s="66">
        <f t="shared" si="6"/>
        <v>3629.7440578386208</v>
      </c>
      <c r="L71" s="66">
        <f t="shared" si="6"/>
        <v>3534.9400743091337</v>
      </c>
      <c r="M71" s="66">
        <f t="shared" si="6"/>
        <v>3442.6122420315928</v>
      </c>
      <c r="N71" s="66">
        <f t="shared" si="6"/>
        <v>3352.6958872993214</v>
      </c>
      <c r="O71" s="66">
        <f t="shared" si="6"/>
        <v>3265.1280255949978</v>
      </c>
      <c r="P71" s="66">
        <f t="shared" si="6"/>
        <v>3179.8473174713245</v>
      </c>
      <c r="Q71" s="66">
        <f t="shared" si="6"/>
        <v>3096.7940255840331</v>
      </c>
      <c r="R71" s="66">
        <f t="shared" si="6"/>
        <v>3015.9099728471297</v>
      </c>
      <c r="S71" s="66">
        <f t="shared" si="6"/>
        <v>2937.1385016810696</v>
      </c>
      <c r="T71" s="66">
        <f t="shared" si="6"/>
        <v>2860.4244343253117</v>
      </c>
      <c r="U71" s="66">
        <f t="shared" si="6"/>
        <v>2785.7140341874588</v>
      </c>
      <c r="V71" s="66">
        <f t="shared" si="6"/>
        <v>2712.9549682019006</v>
      </c>
      <c r="W71" s="66">
        <f t="shared" si="6"/>
        <v>2642.0962701716039</v>
      </c>
      <c r="X71" s="66">
        <f t="shared" si="6"/>
        <v>2573.0883050673592</v>
      </c>
      <c r="Y71" s="66">
        <f t="shared" si="6"/>
        <v>2505.8827342594886</v>
      </c>
      <c r="Z71" s="66">
        <f t="shared" si="6"/>
        <v>2440.4324816576495</v>
      </c>
      <c r="AA71" s="66">
        <f t="shared" si="6"/>
        <v>2376.6917007350235</v>
      </c>
      <c r="AB71" s="66">
        <f t="shared" si="6"/>
        <v>2314.6157424137855</v>
      </c>
      <c r="AC71" s="66">
        <f t="shared" si="6"/>
        <v>2254.1611237893662</v>
      </c>
      <c r="AD71" s="66">
        <f t="shared" si="6"/>
        <v>2195.2854976715871</v>
      </c>
      <c r="AE71" s="66">
        <f t="shared" si="6"/>
        <v>2137.9476229213474</v>
      </c>
      <c r="AF71" s="66">
        <f t="shared" si="6"/>
        <v>2082.1073355620692</v>
      </c>
    </row>
    <row r="72" spans="1:33">
      <c r="A72" s="17" t="s">
        <v>182</v>
      </c>
      <c r="B72" s="66">
        <f>K11</f>
        <v>1709.289</v>
      </c>
      <c r="C72" s="66">
        <f>B72</f>
        <v>1709.289</v>
      </c>
      <c r="D72" s="66">
        <f t="shared" ref="D72:AF72" si="8">C72</f>
        <v>1709.289</v>
      </c>
      <c r="E72" s="66">
        <f t="shared" si="8"/>
        <v>1709.289</v>
      </c>
      <c r="F72" s="66">
        <f t="shared" si="8"/>
        <v>1709.289</v>
      </c>
      <c r="G72" s="66">
        <f t="shared" si="8"/>
        <v>1709.289</v>
      </c>
      <c r="H72" s="66">
        <f t="shared" si="8"/>
        <v>1709.289</v>
      </c>
      <c r="I72" s="66">
        <f t="shared" si="8"/>
        <v>1709.289</v>
      </c>
      <c r="J72" s="66">
        <f t="shared" si="8"/>
        <v>1709.289</v>
      </c>
      <c r="K72" s="66">
        <f t="shared" si="8"/>
        <v>1709.289</v>
      </c>
      <c r="L72" s="66">
        <f t="shared" si="8"/>
        <v>1709.289</v>
      </c>
      <c r="M72" s="66">
        <f t="shared" si="8"/>
        <v>1709.289</v>
      </c>
      <c r="N72" s="66">
        <f t="shared" si="8"/>
        <v>1709.289</v>
      </c>
      <c r="O72" s="66">
        <f t="shared" si="8"/>
        <v>1709.289</v>
      </c>
      <c r="P72" s="66">
        <f t="shared" si="8"/>
        <v>1709.289</v>
      </c>
      <c r="Q72" s="66">
        <f t="shared" si="8"/>
        <v>1709.289</v>
      </c>
      <c r="R72" s="66">
        <f t="shared" si="8"/>
        <v>1709.289</v>
      </c>
      <c r="S72" s="66">
        <f t="shared" si="8"/>
        <v>1709.289</v>
      </c>
      <c r="T72" s="66">
        <f t="shared" si="8"/>
        <v>1709.289</v>
      </c>
      <c r="U72" s="66">
        <f t="shared" si="8"/>
        <v>1709.289</v>
      </c>
      <c r="V72" s="66">
        <f t="shared" si="8"/>
        <v>1709.289</v>
      </c>
      <c r="W72" s="66">
        <f t="shared" si="8"/>
        <v>1709.289</v>
      </c>
      <c r="X72" s="66">
        <f t="shared" si="8"/>
        <v>1709.289</v>
      </c>
      <c r="Y72" s="66">
        <f t="shared" si="8"/>
        <v>1709.289</v>
      </c>
      <c r="Z72" s="66">
        <f t="shared" si="8"/>
        <v>1709.289</v>
      </c>
      <c r="AA72" s="66">
        <f t="shared" si="8"/>
        <v>1709.289</v>
      </c>
      <c r="AB72" s="66">
        <f t="shared" si="8"/>
        <v>1709.289</v>
      </c>
      <c r="AC72" s="66">
        <f t="shared" si="8"/>
        <v>1709.289</v>
      </c>
      <c r="AD72" s="66">
        <f t="shared" si="8"/>
        <v>1709.289</v>
      </c>
      <c r="AE72" s="66">
        <f t="shared" si="8"/>
        <v>1709.289</v>
      </c>
      <c r="AF72" s="66">
        <f t="shared" si="8"/>
        <v>1709.289</v>
      </c>
      <c r="AG72" s="59" t="s">
        <v>277</v>
      </c>
    </row>
    <row r="73" spans="1:33">
      <c r="A73" s="17" t="s">
        <v>186</v>
      </c>
      <c r="B73" s="66">
        <f>AVERAGE(B12:K12)</f>
        <v>2289.3438999999998</v>
      </c>
      <c r="C73" s="66">
        <f>B73</f>
        <v>2289.3438999999998</v>
      </c>
      <c r="D73" s="66">
        <f t="shared" ref="D73:AF73" si="9">C73</f>
        <v>2289.3438999999998</v>
      </c>
      <c r="E73" s="66">
        <f t="shared" si="9"/>
        <v>2289.3438999999998</v>
      </c>
      <c r="F73" s="66">
        <f t="shared" si="9"/>
        <v>2289.3438999999998</v>
      </c>
      <c r="G73" s="66">
        <f t="shared" si="9"/>
        <v>2289.3438999999998</v>
      </c>
      <c r="H73" s="66">
        <f t="shared" si="9"/>
        <v>2289.3438999999998</v>
      </c>
      <c r="I73" s="66">
        <f t="shared" si="9"/>
        <v>2289.3438999999998</v>
      </c>
      <c r="J73" s="66">
        <f t="shared" si="9"/>
        <v>2289.3438999999998</v>
      </c>
      <c r="K73" s="66">
        <f t="shared" si="9"/>
        <v>2289.3438999999998</v>
      </c>
      <c r="L73" s="66">
        <f t="shared" si="9"/>
        <v>2289.3438999999998</v>
      </c>
      <c r="M73" s="66">
        <f t="shared" si="9"/>
        <v>2289.3438999999998</v>
      </c>
      <c r="N73" s="66">
        <f t="shared" si="9"/>
        <v>2289.3438999999998</v>
      </c>
      <c r="O73" s="66">
        <f t="shared" si="9"/>
        <v>2289.3438999999998</v>
      </c>
      <c r="P73" s="66">
        <f t="shared" si="9"/>
        <v>2289.3438999999998</v>
      </c>
      <c r="Q73" s="66">
        <f t="shared" si="9"/>
        <v>2289.3438999999998</v>
      </c>
      <c r="R73" s="66">
        <f t="shared" si="9"/>
        <v>2289.3438999999998</v>
      </c>
      <c r="S73" s="66">
        <f t="shared" si="9"/>
        <v>2289.3438999999998</v>
      </c>
      <c r="T73" s="66">
        <f t="shared" si="9"/>
        <v>2289.3438999999998</v>
      </c>
      <c r="U73" s="66">
        <f t="shared" si="9"/>
        <v>2289.3438999999998</v>
      </c>
      <c r="V73" s="66">
        <f t="shared" si="9"/>
        <v>2289.3438999999998</v>
      </c>
      <c r="W73" s="66">
        <f t="shared" si="9"/>
        <v>2289.3438999999998</v>
      </c>
      <c r="X73" s="66">
        <f t="shared" si="9"/>
        <v>2289.3438999999998</v>
      </c>
      <c r="Y73" s="66">
        <f t="shared" si="9"/>
        <v>2289.3438999999998</v>
      </c>
      <c r="Z73" s="66">
        <f t="shared" si="9"/>
        <v>2289.3438999999998</v>
      </c>
      <c r="AA73" s="66">
        <f t="shared" si="9"/>
        <v>2289.3438999999998</v>
      </c>
      <c r="AB73" s="66">
        <f t="shared" si="9"/>
        <v>2289.3438999999998</v>
      </c>
      <c r="AC73" s="66">
        <f t="shared" si="9"/>
        <v>2289.3438999999998</v>
      </c>
      <c r="AD73" s="66">
        <f t="shared" si="9"/>
        <v>2289.3438999999998</v>
      </c>
      <c r="AE73" s="66">
        <f t="shared" si="9"/>
        <v>2289.3438999999998</v>
      </c>
      <c r="AF73" s="66">
        <f t="shared" si="9"/>
        <v>2289.3438999999998</v>
      </c>
      <c r="AG73" s="59" t="s">
        <v>278</v>
      </c>
    </row>
    <row r="74" spans="1:33" ht="22" customHeight="1">
      <c r="A74" s="84" t="s">
        <v>299</v>
      </c>
      <c r="B74" s="84"/>
      <c r="C74" s="84"/>
      <c r="D74" s="84"/>
      <c r="E74" s="84"/>
      <c r="F74" s="84"/>
      <c r="G74" s="84"/>
      <c r="H74" s="84"/>
      <c r="I74" s="84"/>
      <c r="J74" s="84"/>
      <c r="K74" s="84"/>
    </row>
    <row r="75" spans="1:33">
      <c r="A75" s="82" t="s">
        <v>300</v>
      </c>
      <c r="B75" s="82"/>
      <c r="C75" s="82"/>
      <c r="D75" s="82"/>
      <c r="E75" s="82"/>
      <c r="F75" s="82"/>
      <c r="G75" s="82"/>
      <c r="H75" s="82"/>
      <c r="I75" s="82"/>
      <c r="J75" s="82"/>
      <c r="K75" s="82"/>
    </row>
    <row r="77" spans="1:33">
      <c r="A77" s="45" t="s">
        <v>301</v>
      </c>
      <c r="B77" s="45" t="s">
        <v>302</v>
      </c>
    </row>
    <row r="78" spans="1:33">
      <c r="A78" s="46" t="s">
        <v>145</v>
      </c>
      <c r="B78" s="62">
        <v>7.0000000000000007E-2</v>
      </c>
    </row>
    <row r="79" spans="1:33">
      <c r="A79" s="46" t="s">
        <v>146</v>
      </c>
      <c r="B79" s="62">
        <v>0.03</v>
      </c>
    </row>
    <row r="80" spans="1:33">
      <c r="A80" s="46" t="s">
        <v>147</v>
      </c>
      <c r="B80" s="62">
        <v>0.01</v>
      </c>
    </row>
    <row r="83" spans="1:11">
      <c r="A83" s="87" t="s">
        <v>303</v>
      </c>
      <c r="B83" s="87"/>
      <c r="C83" s="87"/>
      <c r="D83" s="87"/>
      <c r="E83" s="87"/>
      <c r="F83" s="87"/>
      <c r="G83" s="87"/>
      <c r="H83" s="87"/>
      <c r="I83" s="87"/>
      <c r="J83" s="87"/>
      <c r="K83" s="87"/>
    </row>
    <row r="84" spans="1:11">
      <c r="A84" s="58" t="s">
        <v>304</v>
      </c>
      <c r="B84" s="52" t="s">
        <v>305</v>
      </c>
    </row>
    <row r="85" spans="1:11">
      <c r="A85" t="s">
        <v>306</v>
      </c>
      <c r="B85" s="52" t="s">
        <v>307</v>
      </c>
    </row>
    <row r="86" spans="1:11">
      <c r="A86" s="63" t="s">
        <v>308</v>
      </c>
      <c r="B86" s="52" t="s">
        <v>309</v>
      </c>
    </row>
    <row r="87" spans="1:11">
      <c r="A87" s="64" t="s">
        <v>310</v>
      </c>
      <c r="B87" s="65" t="s">
        <v>311</v>
      </c>
    </row>
    <row r="89" spans="1:11">
      <c r="A89" s="88" t="s">
        <v>312</v>
      </c>
      <c r="B89" s="88"/>
      <c r="C89" s="88"/>
      <c r="D89" s="88"/>
      <c r="E89" s="88"/>
      <c r="F89" s="88"/>
      <c r="G89" s="88"/>
      <c r="H89" s="88"/>
      <c r="I89" s="88"/>
      <c r="J89" s="88"/>
      <c r="K89" s="88"/>
    </row>
    <row r="90" spans="1:11">
      <c r="A90" s="43" t="s">
        <v>313</v>
      </c>
    </row>
    <row r="91" spans="1:11">
      <c r="A91" s="43" t="s">
        <v>314</v>
      </c>
    </row>
    <row r="92" spans="1:11">
      <c r="A92" s="43" t="s">
        <v>315</v>
      </c>
    </row>
    <row r="93" spans="1:11">
      <c r="A93" s="43" t="s">
        <v>316</v>
      </c>
    </row>
    <row r="94" spans="1:11">
      <c r="A94" s="43" t="s">
        <v>317</v>
      </c>
    </row>
    <row r="95" spans="1:11">
      <c r="A95" s="43" t="s">
        <v>318</v>
      </c>
    </row>
  </sheetData>
  <mergeCells count="18">
    <mergeCell ref="A66:K66"/>
    <mergeCell ref="A75:K75"/>
    <mergeCell ref="A74:K74"/>
    <mergeCell ref="A83:K83"/>
    <mergeCell ref="A89:K89"/>
    <mergeCell ref="A45:K45"/>
    <mergeCell ref="A65:K65"/>
    <mergeCell ref="A1:K1"/>
    <mergeCell ref="A4:K4"/>
    <mergeCell ref="A24:K24"/>
    <mergeCell ref="A14:K14"/>
    <mergeCell ref="A34:K34"/>
    <mergeCell ref="A64:K64"/>
    <mergeCell ref="A5:K5"/>
    <mergeCell ref="A25:K25"/>
    <mergeCell ref="A15:K15"/>
    <mergeCell ref="A35:K35"/>
    <mergeCell ref="A36:K36"/>
  </mergeCells>
  <phoneticPr fontId="12" type="noConversion"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1000"/>
  <sheetViews>
    <sheetView workbookViewId="0"/>
  </sheetViews>
  <sheetFormatPr defaultColWidth="14.453125" defaultRowHeight="15" customHeight="1"/>
  <cols>
    <col min="1" max="2" width="8.81640625" customWidth="1"/>
    <col min="3" max="3" width="28.81640625" customWidth="1"/>
    <col min="4" max="26" width="8.81640625" customWidth="1"/>
  </cols>
  <sheetData>
    <row r="1" spans="1:6" ht="16.5" customHeight="1">
      <c r="A1" s="17" t="s">
        <v>148</v>
      </c>
    </row>
    <row r="2" spans="1:6" ht="16.5" customHeight="1">
      <c r="C2" s="17" t="s">
        <v>149</v>
      </c>
    </row>
    <row r="3" spans="1:6" ht="16.5" customHeight="1"/>
    <row r="4" spans="1:6" ht="16.5" customHeight="1">
      <c r="C4" s="1" t="s">
        <v>150</v>
      </c>
      <c r="D4" s="17">
        <v>2016</v>
      </c>
      <c r="E4" s="17">
        <v>2017</v>
      </c>
      <c r="F4" s="17">
        <v>2018</v>
      </c>
    </row>
    <row r="5" spans="1:6" ht="16.5" customHeight="1">
      <c r="C5" s="17" t="s">
        <v>151</v>
      </c>
      <c r="D5" s="17">
        <v>27.7</v>
      </c>
      <c r="E5" s="17">
        <v>28.5</v>
      </c>
      <c r="F5" s="17">
        <v>28.2</v>
      </c>
    </row>
    <row r="6" spans="1:6" ht="16.5" customHeight="1">
      <c r="C6" s="17" t="s">
        <v>152</v>
      </c>
      <c r="D6" s="17">
        <v>40</v>
      </c>
      <c r="E6" s="17">
        <v>39.5</v>
      </c>
      <c r="F6" s="17">
        <v>38.5</v>
      </c>
    </row>
    <row r="7" spans="1:6" ht="16.5" customHeight="1">
      <c r="C7" s="17" t="s">
        <v>153</v>
      </c>
      <c r="D7" s="17">
        <v>15.5</v>
      </c>
      <c r="E7" s="17">
        <v>15.7</v>
      </c>
      <c r="F7" s="17">
        <v>18</v>
      </c>
    </row>
    <row r="8" spans="1:6" ht="16.5" customHeight="1">
      <c r="C8" s="17" t="s">
        <v>154</v>
      </c>
      <c r="D8" s="17">
        <v>0.5</v>
      </c>
      <c r="E8" s="17">
        <v>0.5</v>
      </c>
      <c r="F8" s="17">
        <v>0.5</v>
      </c>
    </row>
    <row r="9" spans="1:6" ht="16.5" customHeight="1">
      <c r="C9" s="17" t="s">
        <v>155</v>
      </c>
      <c r="D9" s="17">
        <v>11.6</v>
      </c>
      <c r="E9" s="17">
        <v>10.5</v>
      </c>
      <c r="F9" s="17">
        <v>9.1999999999999993</v>
      </c>
    </row>
    <row r="10" spans="1:6" ht="16.5" customHeight="1">
      <c r="C10" s="17" t="s">
        <v>156</v>
      </c>
      <c r="D10" s="17">
        <v>4.5999999999999996</v>
      </c>
      <c r="E10" s="17">
        <v>5.2</v>
      </c>
      <c r="F10" s="17">
        <v>5.6</v>
      </c>
    </row>
    <row r="11" spans="1:6" ht="16.5" customHeight="1"/>
    <row r="12" spans="1:6" ht="16.5" customHeight="1">
      <c r="F12" s="17" t="s">
        <v>157</v>
      </c>
    </row>
    <row r="13" spans="1:6" ht="16.5" customHeight="1">
      <c r="C13" s="1" t="s">
        <v>158</v>
      </c>
      <c r="D13" s="17">
        <v>2016</v>
      </c>
      <c r="E13" s="17">
        <v>2017</v>
      </c>
      <c r="F13" s="17">
        <v>2018</v>
      </c>
    </row>
    <row r="14" spans="1:6" ht="16.5" customHeight="1">
      <c r="C14" s="17" t="s">
        <v>159</v>
      </c>
      <c r="D14" s="17">
        <v>9424</v>
      </c>
      <c r="E14" s="17">
        <v>7003</v>
      </c>
      <c r="F14" s="17">
        <v>8126</v>
      </c>
    </row>
    <row r="15" spans="1:6" ht="16.5" customHeight="1">
      <c r="C15" s="17" t="s">
        <v>160</v>
      </c>
      <c r="D15" s="17">
        <v>118468</v>
      </c>
      <c r="E15" s="17">
        <v>131464</v>
      </c>
      <c r="F15" s="17">
        <v>131520</v>
      </c>
    </row>
    <row r="16" spans="1:6" ht="16.5" customHeight="1">
      <c r="C16" s="17" t="s">
        <v>161</v>
      </c>
      <c r="D16" s="17">
        <v>7038</v>
      </c>
      <c r="E16" s="17">
        <v>10210</v>
      </c>
      <c r="F16" s="17">
        <v>9450</v>
      </c>
    </row>
    <row r="17" spans="3:6" ht="16.5" customHeight="1">
      <c r="C17" s="17" t="s">
        <v>162</v>
      </c>
      <c r="D17" s="17">
        <v>1078119</v>
      </c>
      <c r="E17" s="17">
        <v>1118167</v>
      </c>
      <c r="F17" s="17">
        <v>1116281</v>
      </c>
    </row>
    <row r="18" spans="3:6" ht="16.5" customHeight="1">
      <c r="C18" s="17" t="s">
        <v>163</v>
      </c>
      <c r="D18" s="17">
        <v>334608</v>
      </c>
      <c r="E18" s="17">
        <v>314487</v>
      </c>
      <c r="F18" s="17">
        <v>341628</v>
      </c>
    </row>
    <row r="19" spans="3:6" ht="16.5" customHeight="1">
      <c r="C19" s="17" t="s">
        <v>153</v>
      </c>
      <c r="D19" s="17">
        <v>33453</v>
      </c>
      <c r="E19" s="17">
        <v>37537</v>
      </c>
      <c r="F19" s="17">
        <v>44015</v>
      </c>
    </row>
    <row r="20" spans="3:6" ht="16.5" customHeight="1">
      <c r="C20" s="17" t="s">
        <v>164</v>
      </c>
      <c r="D20" s="17">
        <v>752</v>
      </c>
      <c r="E20" s="17">
        <v>1012</v>
      </c>
      <c r="F20" s="17">
        <v>723</v>
      </c>
    </row>
    <row r="21" spans="3:6" ht="16.5" customHeight="1"/>
    <row r="22" spans="3:6" ht="16.5" customHeight="1">
      <c r="C22" s="1" t="s">
        <v>165</v>
      </c>
      <c r="D22" s="17">
        <v>2016</v>
      </c>
      <c r="E22" s="17">
        <v>2017</v>
      </c>
      <c r="F22" s="17">
        <v>2018</v>
      </c>
    </row>
    <row r="23" spans="3:6" ht="16.5" customHeight="1">
      <c r="C23" s="17" t="s">
        <v>163</v>
      </c>
      <c r="D23" s="17">
        <v>487716</v>
      </c>
      <c r="E23" s="17">
        <v>509113</v>
      </c>
      <c r="F23" s="17">
        <v>531563</v>
      </c>
    </row>
    <row r="24" spans="3:6" ht="16.5" customHeight="1"/>
    <row r="25" spans="3:6" ht="16.5" customHeight="1">
      <c r="F25" s="17" t="s">
        <v>166</v>
      </c>
    </row>
    <row r="26" spans="3:6" ht="16.5" customHeight="1">
      <c r="C26" s="1" t="s">
        <v>167</v>
      </c>
      <c r="D26" s="17">
        <v>2016</v>
      </c>
      <c r="E26" s="17">
        <v>2017</v>
      </c>
      <c r="F26" s="17">
        <v>2018</v>
      </c>
    </row>
    <row r="27" spans="3:6" ht="16.5" customHeight="1">
      <c r="C27" s="17" t="s">
        <v>159</v>
      </c>
      <c r="D27" s="17">
        <v>759</v>
      </c>
      <c r="E27" s="17">
        <v>933</v>
      </c>
      <c r="F27" s="17">
        <v>1199</v>
      </c>
    </row>
    <row r="28" spans="3:6" ht="16.5" customHeight="1">
      <c r="C28" s="17" t="s">
        <v>160</v>
      </c>
      <c r="D28" s="17">
        <v>8168</v>
      </c>
      <c r="E28" s="17">
        <v>13481</v>
      </c>
      <c r="F28" s="17">
        <v>14668</v>
      </c>
    </row>
    <row r="29" spans="3:6" ht="16.5" customHeight="1">
      <c r="C29" s="17" t="s">
        <v>161</v>
      </c>
      <c r="D29" s="17">
        <v>383</v>
      </c>
      <c r="E29" s="17">
        <v>765</v>
      </c>
      <c r="F29" s="17">
        <v>835</v>
      </c>
    </row>
    <row r="30" spans="3:6" ht="16.5" customHeight="1">
      <c r="C30" s="17" t="s">
        <v>162</v>
      </c>
      <c r="D30" s="17">
        <v>44295</v>
      </c>
      <c r="E30" s="17">
        <v>59603</v>
      </c>
      <c r="F30" s="17">
        <v>80393</v>
      </c>
    </row>
    <row r="31" spans="3:6" ht="16.5" customHeight="1">
      <c r="C31" s="17" t="s">
        <v>168</v>
      </c>
      <c r="D31" s="17">
        <v>8933</v>
      </c>
      <c r="E31" s="17">
        <v>10899</v>
      </c>
      <c r="F31" s="17">
        <v>15671</v>
      </c>
    </row>
    <row r="32" spans="3:6" ht="16.5" customHeight="1">
      <c r="C32" s="17" t="s">
        <v>169</v>
      </c>
      <c r="D32" s="17">
        <v>2576</v>
      </c>
      <c r="E32" s="17">
        <v>2959</v>
      </c>
      <c r="F32" s="17">
        <v>3665</v>
      </c>
    </row>
    <row r="33" spans="3:8" ht="16.5" customHeight="1">
      <c r="C33" s="17" t="s">
        <v>153</v>
      </c>
      <c r="D33" s="17">
        <v>12170</v>
      </c>
      <c r="E33" s="17">
        <v>15616</v>
      </c>
      <c r="F33" s="17">
        <v>23189</v>
      </c>
    </row>
    <row r="34" spans="3:8" ht="16.5" customHeight="1">
      <c r="C34" s="17" t="s">
        <v>164</v>
      </c>
      <c r="D34" s="17">
        <v>589</v>
      </c>
      <c r="E34" s="17">
        <v>991</v>
      </c>
      <c r="F34" s="17">
        <v>576</v>
      </c>
    </row>
    <row r="35" spans="3:8" ht="16.5" customHeight="1"/>
    <row r="36" spans="3:8" ht="16.5" customHeight="1">
      <c r="C36" s="1" t="s">
        <v>170</v>
      </c>
    </row>
    <row r="37" spans="3:8" ht="16.5" customHeight="1"/>
    <row r="38" spans="3:8" ht="16.5" customHeight="1">
      <c r="C38" s="1" t="s">
        <v>171</v>
      </c>
      <c r="D38" s="17">
        <v>2016</v>
      </c>
      <c r="E38" s="17">
        <v>2017</v>
      </c>
      <c r="F38" s="17">
        <v>2018</v>
      </c>
    </row>
    <row r="39" spans="3:8" ht="16.5" customHeight="1">
      <c r="C39" s="17" t="s">
        <v>159</v>
      </c>
      <c r="D39" s="17">
        <v>1373</v>
      </c>
      <c r="E39" s="17">
        <v>1244</v>
      </c>
      <c r="F39" s="17">
        <v>1099</v>
      </c>
      <c r="G39" s="17" t="s">
        <v>172</v>
      </c>
      <c r="H39" s="36" t="s">
        <v>173</v>
      </c>
    </row>
    <row r="40" spans="3:8" ht="16.5" customHeight="1">
      <c r="C40" s="17" t="s">
        <v>153</v>
      </c>
      <c r="D40" s="17">
        <v>118</v>
      </c>
      <c r="E40" s="17">
        <v>261</v>
      </c>
      <c r="F40" s="17">
        <v>234</v>
      </c>
      <c r="G40" s="17" t="s">
        <v>172</v>
      </c>
    </row>
    <row r="41" spans="3:8" ht="16.5" customHeight="1">
      <c r="C41" s="17" t="s">
        <v>154</v>
      </c>
      <c r="D41" s="17">
        <v>6634</v>
      </c>
      <c r="E41" s="17">
        <v>6995</v>
      </c>
      <c r="F41" s="17">
        <v>7270</v>
      </c>
      <c r="G41" s="17" t="s">
        <v>174</v>
      </c>
    </row>
    <row r="42" spans="3:8" ht="16.5" customHeight="1">
      <c r="C42" s="17" t="s">
        <v>156</v>
      </c>
      <c r="D42" s="17">
        <v>13575</v>
      </c>
      <c r="E42" s="17">
        <v>15848</v>
      </c>
      <c r="F42" s="17">
        <v>17119</v>
      </c>
      <c r="G42" s="17" t="s">
        <v>175</v>
      </c>
    </row>
    <row r="43" spans="3:8" ht="16.5" customHeight="1"/>
    <row r="44" spans="3:8" ht="16.5" customHeight="1"/>
    <row r="45" spans="3:8" ht="16.5" customHeight="1">
      <c r="C45" s="1" t="s">
        <v>176</v>
      </c>
      <c r="D45" s="17">
        <v>2016</v>
      </c>
      <c r="E45" s="17">
        <v>2017</v>
      </c>
      <c r="F45" s="17">
        <v>2018</v>
      </c>
    </row>
    <row r="46" spans="3:8" ht="16.5" customHeight="1">
      <c r="C46" s="17" t="s">
        <v>151</v>
      </c>
      <c r="D46" s="17">
        <v>127936</v>
      </c>
      <c r="E46" s="17">
        <v>138506</v>
      </c>
      <c r="F46" s="17">
        <v>139876</v>
      </c>
      <c r="G46" s="17" t="s">
        <v>172</v>
      </c>
    </row>
    <row r="47" spans="3:8" ht="16.5" customHeight="1">
      <c r="C47" s="17" t="s">
        <v>152</v>
      </c>
      <c r="D47" s="17">
        <v>921082</v>
      </c>
      <c r="E47" s="17">
        <v>937095</v>
      </c>
      <c r="F47" s="17">
        <v>931787</v>
      </c>
      <c r="G47" s="17" t="s">
        <v>177</v>
      </c>
    </row>
    <row r="48" spans="3:8" ht="16.5" customHeight="1">
      <c r="C48" s="17" t="s">
        <v>155</v>
      </c>
      <c r="D48" s="17">
        <v>161995</v>
      </c>
      <c r="E48" s="17">
        <v>148427</v>
      </c>
      <c r="F48" s="17">
        <v>133505</v>
      </c>
      <c r="G48" s="17" t="s">
        <v>174</v>
      </c>
    </row>
    <row r="49" spans="3:7" ht="16.5" customHeight="1">
      <c r="C49" s="17" t="s">
        <v>153</v>
      </c>
      <c r="D49" s="17">
        <v>34788</v>
      </c>
      <c r="E49" s="17">
        <v>36138</v>
      </c>
      <c r="F49" s="17">
        <v>42051</v>
      </c>
      <c r="G49" s="17" t="s">
        <v>172</v>
      </c>
    </row>
    <row r="50" spans="3:7" ht="16.5" customHeight="1"/>
    <row r="51" spans="3:7" ht="16.5" customHeight="1"/>
    <row r="52" spans="3:7" ht="16.5" customHeight="1"/>
    <row r="53" spans="3:7" ht="16.5" customHeight="1"/>
    <row r="54" spans="3:7" ht="16.5" customHeight="1"/>
    <row r="55" spans="3:7" ht="16.5" customHeight="1"/>
    <row r="56" spans="3:7" ht="16.5" customHeight="1"/>
    <row r="57" spans="3:7" ht="16.5" customHeight="1"/>
    <row r="58" spans="3:7" ht="16.5" customHeight="1"/>
    <row r="59" spans="3:7" ht="16.5" customHeight="1"/>
    <row r="60" spans="3:7" ht="16.5" customHeight="1"/>
    <row r="61" spans="3:7" ht="16.5" customHeight="1"/>
    <row r="62" spans="3:7" ht="16.5" customHeight="1"/>
    <row r="63" spans="3:7" ht="16.5" customHeight="1"/>
    <row r="64" spans="3:7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phoneticPr fontId="12" type="noConversion"/>
  <pageMargins left="0.7" right="0.7" top="0.75" bottom="0.75" header="0" footer="0"/>
  <pageSetup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H1000"/>
  <sheetViews>
    <sheetView topLeftCell="A20" workbookViewId="0">
      <selection activeCell="B50" sqref="B50"/>
    </sheetView>
  </sheetViews>
  <sheetFormatPr defaultColWidth="14.453125" defaultRowHeight="15" customHeight="1"/>
  <cols>
    <col min="1" max="1" width="32.54296875" customWidth="1"/>
    <col min="2" max="34" width="9" customWidth="1"/>
  </cols>
  <sheetData>
    <row r="1" spans="1:34" ht="16.5" customHeight="1">
      <c r="A1" s="17" t="s">
        <v>178</v>
      </c>
      <c r="B1" s="17">
        <v>2020</v>
      </c>
      <c r="C1" s="17">
        <v>2021</v>
      </c>
      <c r="D1" s="17">
        <v>2022</v>
      </c>
      <c r="E1" s="17">
        <v>2023</v>
      </c>
      <c r="F1" s="17">
        <v>2024</v>
      </c>
      <c r="G1" s="17">
        <v>2025</v>
      </c>
      <c r="H1" s="17">
        <v>2026</v>
      </c>
      <c r="I1" s="17">
        <v>2027</v>
      </c>
      <c r="J1" s="17">
        <v>2028</v>
      </c>
      <c r="K1" s="17">
        <v>2029</v>
      </c>
      <c r="L1" s="17">
        <v>2030</v>
      </c>
      <c r="M1" s="17">
        <v>2031</v>
      </c>
      <c r="N1" s="17">
        <v>2032</v>
      </c>
      <c r="O1" s="17">
        <v>2033</v>
      </c>
      <c r="P1" s="17">
        <v>2034</v>
      </c>
      <c r="Q1" s="17">
        <v>2035</v>
      </c>
      <c r="R1" s="17">
        <v>2036</v>
      </c>
      <c r="S1" s="17">
        <v>2037</v>
      </c>
      <c r="T1" s="17">
        <v>2038</v>
      </c>
      <c r="U1" s="17">
        <v>2039</v>
      </c>
      <c r="V1" s="17">
        <v>2040</v>
      </c>
      <c r="W1" s="17">
        <v>2041</v>
      </c>
      <c r="X1" s="17">
        <v>2042</v>
      </c>
      <c r="Y1" s="17">
        <v>2043</v>
      </c>
      <c r="Z1" s="17">
        <v>2044</v>
      </c>
      <c r="AA1" s="17">
        <v>2045</v>
      </c>
      <c r="AB1" s="17">
        <v>2046</v>
      </c>
      <c r="AC1" s="17">
        <v>2047</v>
      </c>
      <c r="AD1" s="17">
        <v>2048</v>
      </c>
      <c r="AE1" s="17">
        <v>2049</v>
      </c>
      <c r="AF1" s="17">
        <v>2050</v>
      </c>
    </row>
    <row r="2" spans="1:34" ht="16.5" customHeight="1">
      <c r="A2" s="17" t="s">
        <v>179</v>
      </c>
      <c r="B2" s="39">
        <v>0</v>
      </c>
      <c r="C2" s="39">
        <v>0</v>
      </c>
      <c r="D2" s="39">
        <v>0</v>
      </c>
      <c r="E2" s="39">
        <v>0</v>
      </c>
      <c r="F2" s="39">
        <v>0</v>
      </c>
      <c r="G2" s="39">
        <v>0</v>
      </c>
      <c r="H2" s="39">
        <v>0</v>
      </c>
      <c r="I2" s="39">
        <v>0</v>
      </c>
      <c r="J2" s="39">
        <v>0</v>
      </c>
      <c r="K2" s="39">
        <v>0</v>
      </c>
      <c r="L2" s="39">
        <v>0</v>
      </c>
      <c r="M2" s="39">
        <v>0</v>
      </c>
      <c r="N2" s="39">
        <v>0</v>
      </c>
      <c r="O2" s="39">
        <v>0</v>
      </c>
      <c r="P2" s="39">
        <v>0</v>
      </c>
      <c r="Q2" s="39">
        <v>0</v>
      </c>
      <c r="R2" s="39">
        <v>0</v>
      </c>
      <c r="S2" s="39">
        <v>0</v>
      </c>
      <c r="T2" s="39">
        <v>0</v>
      </c>
      <c r="U2" s="39">
        <v>0</v>
      </c>
      <c r="V2" s="39">
        <v>0</v>
      </c>
      <c r="W2" s="39">
        <v>0</v>
      </c>
      <c r="X2" s="39">
        <v>0</v>
      </c>
      <c r="Y2" s="39">
        <v>0</v>
      </c>
      <c r="Z2" s="39">
        <v>0</v>
      </c>
      <c r="AA2" s="39">
        <v>0</v>
      </c>
      <c r="AB2" s="39">
        <v>0</v>
      </c>
      <c r="AC2" s="39">
        <v>0</v>
      </c>
      <c r="AD2" s="39">
        <v>0</v>
      </c>
      <c r="AE2" s="39">
        <v>0</v>
      </c>
      <c r="AF2" s="39">
        <v>0</v>
      </c>
      <c r="AG2" s="39"/>
      <c r="AH2" s="39"/>
    </row>
    <row r="3" spans="1:34" ht="16.5" customHeight="1">
      <c r="A3" s="17" t="s">
        <v>180</v>
      </c>
      <c r="B3" s="39">
        <v>0</v>
      </c>
      <c r="C3" s="39">
        <v>0</v>
      </c>
      <c r="D3" s="39">
        <v>0</v>
      </c>
      <c r="E3" s="39">
        <v>0</v>
      </c>
      <c r="F3" s="39">
        <v>0</v>
      </c>
      <c r="G3" s="39">
        <v>0</v>
      </c>
      <c r="H3" s="39">
        <v>0</v>
      </c>
      <c r="I3" s="39">
        <v>0</v>
      </c>
      <c r="J3" s="39">
        <v>0</v>
      </c>
      <c r="K3" s="39">
        <v>0</v>
      </c>
      <c r="L3" s="39">
        <v>0</v>
      </c>
      <c r="M3" s="39">
        <v>0</v>
      </c>
      <c r="N3" s="39">
        <v>0</v>
      </c>
      <c r="O3" s="39">
        <v>0</v>
      </c>
      <c r="P3" s="39">
        <v>0</v>
      </c>
      <c r="Q3" s="39">
        <v>0</v>
      </c>
      <c r="R3" s="39">
        <v>0</v>
      </c>
      <c r="S3" s="39">
        <v>0</v>
      </c>
      <c r="T3" s="39">
        <v>0</v>
      </c>
      <c r="U3" s="39">
        <v>0</v>
      </c>
      <c r="V3" s="39">
        <v>0</v>
      </c>
      <c r="W3" s="39">
        <v>0</v>
      </c>
      <c r="X3" s="39">
        <v>0</v>
      </c>
      <c r="Y3" s="39">
        <v>0</v>
      </c>
      <c r="Z3" s="39">
        <v>0</v>
      </c>
      <c r="AA3" s="39">
        <v>0</v>
      </c>
      <c r="AB3" s="39">
        <v>0</v>
      </c>
      <c r="AC3" s="39">
        <v>0</v>
      </c>
      <c r="AD3" s="39">
        <v>0</v>
      </c>
      <c r="AE3" s="39">
        <v>0</v>
      </c>
      <c r="AF3" s="39">
        <v>0</v>
      </c>
      <c r="AG3" s="39"/>
      <c r="AH3" s="39"/>
    </row>
    <row r="4" spans="1:34" ht="16.5" customHeight="1">
      <c r="A4" s="17" t="s">
        <v>181</v>
      </c>
      <c r="B4" s="39">
        <v>0</v>
      </c>
      <c r="C4" s="39">
        <v>0</v>
      </c>
      <c r="D4" s="39">
        <v>0</v>
      </c>
      <c r="E4" s="39">
        <v>0</v>
      </c>
      <c r="F4" s="39">
        <v>0</v>
      </c>
      <c r="G4" s="39">
        <v>0</v>
      </c>
      <c r="H4" s="39">
        <v>0</v>
      </c>
      <c r="I4" s="39">
        <v>0</v>
      </c>
      <c r="J4" s="39">
        <v>0</v>
      </c>
      <c r="K4" s="39">
        <v>0</v>
      </c>
      <c r="L4" s="39">
        <v>0</v>
      </c>
      <c r="M4" s="39">
        <v>0</v>
      </c>
      <c r="N4" s="39">
        <v>0</v>
      </c>
      <c r="O4" s="39">
        <v>0</v>
      </c>
      <c r="P4" s="39">
        <v>0</v>
      </c>
      <c r="Q4" s="39">
        <v>0</v>
      </c>
      <c r="R4" s="39">
        <v>0</v>
      </c>
      <c r="S4" s="39">
        <v>0</v>
      </c>
      <c r="T4" s="39">
        <v>0</v>
      </c>
      <c r="U4" s="39">
        <v>0</v>
      </c>
      <c r="V4" s="39">
        <v>0</v>
      </c>
      <c r="W4" s="39">
        <v>0</v>
      </c>
      <c r="X4" s="39">
        <v>0</v>
      </c>
      <c r="Y4" s="39">
        <v>0</v>
      </c>
      <c r="Z4" s="39">
        <v>0</v>
      </c>
      <c r="AA4" s="39">
        <v>0</v>
      </c>
      <c r="AB4" s="39">
        <v>0</v>
      </c>
      <c r="AC4" s="39">
        <v>0</v>
      </c>
      <c r="AD4" s="39">
        <v>0</v>
      </c>
      <c r="AE4" s="39">
        <v>0</v>
      </c>
      <c r="AF4" s="39">
        <v>0</v>
      </c>
      <c r="AG4" s="39"/>
      <c r="AH4" s="39"/>
    </row>
    <row r="5" spans="1:34" ht="16.5" customHeight="1">
      <c r="A5" s="17" t="s">
        <v>182</v>
      </c>
      <c r="B5" s="39">
        <f>IFERROR(INDEX('Cal-CAPEX (정리)'!$B$69:$AF$73,MATCH(BSpUECB_세액공제액!$A5,'Cal-CAPEX (정리)'!$A$69:$A$73,0),MATCH(BSpUECB_세액공제액!B$1,'Cal-CAPEX (정리)'!$B$68:$AF$68,0))*About!$B$93*'Cal-CAPEX (정리)'!$B$79/10,0)</f>
        <v>5127.8670000000002</v>
      </c>
      <c r="C5" s="39">
        <f>IFERROR(INDEX('Cal-CAPEX (정리)'!$B$69:$AF$73,MATCH(BSpUECB_세액공제액!$A5,'Cal-CAPEX (정리)'!$A$69:$A$73,0),MATCH(BSpUECB_세액공제액!C$1,'Cal-CAPEX (정리)'!$B$68:$AF$68,0))*About!$B$93*'Cal-CAPEX (정리)'!$B$79/10,0)</f>
        <v>5127.8670000000002</v>
      </c>
      <c r="D5" s="39">
        <f>IFERROR(INDEX('Cal-CAPEX (정리)'!$B$69:$AF$73,MATCH(BSpUECB_세액공제액!$A5,'Cal-CAPEX (정리)'!$A$69:$A$73,0),MATCH(BSpUECB_세액공제액!D$1,'Cal-CAPEX (정리)'!$B$68:$AF$68,0))*About!$B$93*'Cal-CAPEX (정리)'!$B$79/10,0)</f>
        <v>5127.8670000000002</v>
      </c>
      <c r="E5" s="39">
        <f>IFERROR(INDEX('Cal-CAPEX (정리)'!$B$69:$AF$73,MATCH(BSpUECB_세액공제액!$A5,'Cal-CAPEX (정리)'!$A$69:$A$73,0),MATCH(BSpUECB_세액공제액!E$1,'Cal-CAPEX (정리)'!$B$68:$AF$68,0))*About!$B$93*'Cal-CAPEX (정리)'!$B$79/10,0)</f>
        <v>5127.8670000000002</v>
      </c>
      <c r="F5" s="39">
        <f>IFERROR(INDEX('Cal-CAPEX (정리)'!$B$69:$AF$73,MATCH(BSpUECB_세액공제액!$A5,'Cal-CAPEX (정리)'!$A$69:$A$73,0),MATCH(BSpUECB_세액공제액!F$1,'Cal-CAPEX (정리)'!$B$68:$AF$68,0))*About!$B$93*'Cal-CAPEX (정리)'!$B$79/10,0)</f>
        <v>5127.8670000000002</v>
      </c>
      <c r="G5" s="39">
        <f>IFERROR(INDEX('Cal-CAPEX (정리)'!$B$69:$AF$73,MATCH(BSpUECB_세액공제액!$A5,'Cal-CAPEX (정리)'!$A$69:$A$73,0),MATCH(BSpUECB_세액공제액!G$1,'Cal-CAPEX (정리)'!$B$68:$AF$68,0))*About!$B$93*'Cal-CAPEX (정리)'!$B$79/10,0)</f>
        <v>5127.8670000000002</v>
      </c>
      <c r="H5" s="39">
        <f>IFERROR(INDEX('Cal-CAPEX (정리)'!$B$69:$AF$73,MATCH(BSpUECB_세액공제액!$A5,'Cal-CAPEX (정리)'!$A$69:$A$73,0),MATCH(BSpUECB_세액공제액!H$1,'Cal-CAPEX (정리)'!$B$68:$AF$68,0))*About!$B$93*'Cal-CAPEX (정리)'!$B$79/10,0)</f>
        <v>5127.8670000000002</v>
      </c>
      <c r="I5" s="39">
        <f>IFERROR(INDEX('Cal-CAPEX (정리)'!$B$69:$AF$73,MATCH(BSpUECB_세액공제액!$A5,'Cal-CAPEX (정리)'!$A$69:$A$73,0),MATCH(BSpUECB_세액공제액!I$1,'Cal-CAPEX (정리)'!$B$68:$AF$68,0))*About!$B$93*'Cal-CAPEX (정리)'!$B$79/10,0)</f>
        <v>5127.8670000000002</v>
      </c>
      <c r="J5" s="39">
        <f>IFERROR(INDEX('Cal-CAPEX (정리)'!$B$69:$AF$73,MATCH(BSpUECB_세액공제액!$A5,'Cal-CAPEX (정리)'!$A$69:$A$73,0),MATCH(BSpUECB_세액공제액!J$1,'Cal-CAPEX (정리)'!$B$68:$AF$68,0))*About!$B$93*'Cal-CAPEX (정리)'!$B$79/10,0)</f>
        <v>5127.8670000000002</v>
      </c>
      <c r="K5" s="39">
        <f>IFERROR(INDEX('Cal-CAPEX (정리)'!$B$69:$AF$73,MATCH(BSpUECB_세액공제액!$A5,'Cal-CAPEX (정리)'!$A$69:$A$73,0),MATCH(BSpUECB_세액공제액!K$1,'Cal-CAPEX (정리)'!$B$68:$AF$68,0))*About!$B$93*'Cal-CAPEX (정리)'!$B$79/10,0)</f>
        <v>5127.8670000000002</v>
      </c>
      <c r="L5" s="39">
        <f>IFERROR(INDEX('Cal-CAPEX (정리)'!$B$69:$AF$73,MATCH(BSpUECB_세액공제액!$A5,'Cal-CAPEX (정리)'!$A$69:$A$73,0),MATCH(BSpUECB_세액공제액!L$1,'Cal-CAPEX (정리)'!$B$68:$AF$68,0))*About!$B$93*'Cal-CAPEX (정리)'!$B$79/10,0)</f>
        <v>5127.8670000000002</v>
      </c>
      <c r="M5" s="39">
        <f>IFERROR(INDEX('Cal-CAPEX (정리)'!$B$69:$AF$73,MATCH(BSpUECB_세액공제액!$A5,'Cal-CAPEX (정리)'!$A$69:$A$73,0),MATCH(BSpUECB_세액공제액!M$1,'Cal-CAPEX (정리)'!$B$68:$AF$68,0))*About!$B$93*'Cal-CAPEX (정리)'!$B$79/10,0)</f>
        <v>5127.8670000000002</v>
      </c>
      <c r="N5" s="39">
        <f>IFERROR(INDEX('Cal-CAPEX (정리)'!$B$69:$AF$73,MATCH(BSpUECB_세액공제액!$A5,'Cal-CAPEX (정리)'!$A$69:$A$73,0),MATCH(BSpUECB_세액공제액!N$1,'Cal-CAPEX (정리)'!$B$68:$AF$68,0))*About!$B$93*'Cal-CAPEX (정리)'!$B$79/10,0)</f>
        <v>5127.8670000000002</v>
      </c>
      <c r="O5" s="39">
        <f>IFERROR(INDEX('Cal-CAPEX (정리)'!$B$69:$AF$73,MATCH(BSpUECB_세액공제액!$A5,'Cal-CAPEX (정리)'!$A$69:$A$73,0),MATCH(BSpUECB_세액공제액!O$1,'Cal-CAPEX (정리)'!$B$68:$AF$68,0))*About!$B$93*'Cal-CAPEX (정리)'!$B$79/10,0)</f>
        <v>5127.8670000000002</v>
      </c>
      <c r="P5" s="39">
        <f>IFERROR(INDEX('Cal-CAPEX (정리)'!$B$69:$AF$73,MATCH(BSpUECB_세액공제액!$A5,'Cal-CAPEX (정리)'!$A$69:$A$73,0),MATCH(BSpUECB_세액공제액!P$1,'Cal-CAPEX (정리)'!$B$68:$AF$68,0))*About!$B$93*'Cal-CAPEX (정리)'!$B$79/10,0)</f>
        <v>5127.8670000000002</v>
      </c>
      <c r="Q5" s="39">
        <f>IFERROR(INDEX('Cal-CAPEX (정리)'!$B$69:$AF$73,MATCH(BSpUECB_세액공제액!$A5,'Cal-CAPEX (정리)'!$A$69:$A$73,0),MATCH(BSpUECB_세액공제액!Q$1,'Cal-CAPEX (정리)'!$B$68:$AF$68,0))*About!$B$93*'Cal-CAPEX (정리)'!$B$79/10,0)</f>
        <v>5127.8670000000002</v>
      </c>
      <c r="R5" s="39">
        <f>IFERROR(INDEX('Cal-CAPEX (정리)'!$B$69:$AF$73,MATCH(BSpUECB_세액공제액!$A5,'Cal-CAPEX (정리)'!$A$69:$A$73,0),MATCH(BSpUECB_세액공제액!R$1,'Cal-CAPEX (정리)'!$B$68:$AF$68,0))*About!$B$93*'Cal-CAPEX (정리)'!$B$79/10,0)</f>
        <v>5127.8670000000002</v>
      </c>
      <c r="S5" s="39">
        <f>IFERROR(INDEX('Cal-CAPEX (정리)'!$B$69:$AF$73,MATCH(BSpUECB_세액공제액!$A5,'Cal-CAPEX (정리)'!$A$69:$A$73,0),MATCH(BSpUECB_세액공제액!S$1,'Cal-CAPEX (정리)'!$B$68:$AF$68,0))*About!$B$93*'Cal-CAPEX (정리)'!$B$79/10,0)</f>
        <v>5127.8670000000002</v>
      </c>
      <c r="T5" s="39">
        <f>IFERROR(INDEX('Cal-CAPEX (정리)'!$B$69:$AF$73,MATCH(BSpUECB_세액공제액!$A5,'Cal-CAPEX (정리)'!$A$69:$A$73,0),MATCH(BSpUECB_세액공제액!T$1,'Cal-CAPEX (정리)'!$B$68:$AF$68,0))*About!$B$93*'Cal-CAPEX (정리)'!$B$79/10,0)</f>
        <v>5127.8670000000002</v>
      </c>
      <c r="U5" s="39">
        <f>IFERROR(INDEX('Cal-CAPEX (정리)'!$B$69:$AF$73,MATCH(BSpUECB_세액공제액!$A5,'Cal-CAPEX (정리)'!$A$69:$A$73,0),MATCH(BSpUECB_세액공제액!U$1,'Cal-CAPEX (정리)'!$B$68:$AF$68,0))*About!$B$93*'Cal-CAPEX (정리)'!$B$79/10,0)</f>
        <v>5127.8670000000002</v>
      </c>
      <c r="V5" s="39">
        <f>IFERROR(INDEX('Cal-CAPEX (정리)'!$B$69:$AF$73,MATCH(BSpUECB_세액공제액!$A5,'Cal-CAPEX (정리)'!$A$69:$A$73,0),MATCH(BSpUECB_세액공제액!V$1,'Cal-CAPEX (정리)'!$B$68:$AF$68,0))*About!$B$93*'Cal-CAPEX (정리)'!$B$79/10,0)</f>
        <v>5127.8670000000002</v>
      </c>
      <c r="W5" s="39">
        <f>IFERROR(INDEX('Cal-CAPEX (정리)'!$B$69:$AF$73,MATCH(BSpUECB_세액공제액!$A5,'Cal-CAPEX (정리)'!$A$69:$A$73,0),MATCH(BSpUECB_세액공제액!W$1,'Cal-CAPEX (정리)'!$B$68:$AF$68,0))*About!$B$93*'Cal-CAPEX (정리)'!$B$79/10,0)</f>
        <v>5127.8670000000002</v>
      </c>
      <c r="X5" s="39">
        <f>IFERROR(INDEX('Cal-CAPEX (정리)'!$B$69:$AF$73,MATCH(BSpUECB_세액공제액!$A5,'Cal-CAPEX (정리)'!$A$69:$A$73,0),MATCH(BSpUECB_세액공제액!X$1,'Cal-CAPEX (정리)'!$B$68:$AF$68,0))*About!$B$93*'Cal-CAPEX (정리)'!$B$79/10,0)</f>
        <v>5127.8670000000002</v>
      </c>
      <c r="Y5" s="39">
        <f>IFERROR(INDEX('Cal-CAPEX (정리)'!$B$69:$AF$73,MATCH(BSpUECB_세액공제액!$A5,'Cal-CAPEX (정리)'!$A$69:$A$73,0),MATCH(BSpUECB_세액공제액!Y$1,'Cal-CAPEX (정리)'!$B$68:$AF$68,0))*About!$B$93*'Cal-CAPEX (정리)'!$B$79/10,0)</f>
        <v>5127.8670000000002</v>
      </c>
      <c r="Z5" s="39">
        <f>IFERROR(INDEX('Cal-CAPEX (정리)'!$B$69:$AF$73,MATCH(BSpUECB_세액공제액!$A5,'Cal-CAPEX (정리)'!$A$69:$A$73,0),MATCH(BSpUECB_세액공제액!Z$1,'Cal-CAPEX (정리)'!$B$68:$AF$68,0))*About!$B$93*'Cal-CAPEX (정리)'!$B$79/10,0)</f>
        <v>5127.8670000000002</v>
      </c>
      <c r="AA5" s="39">
        <f>IFERROR(INDEX('Cal-CAPEX (정리)'!$B$69:$AF$73,MATCH(BSpUECB_세액공제액!$A5,'Cal-CAPEX (정리)'!$A$69:$A$73,0),MATCH(BSpUECB_세액공제액!AA$1,'Cal-CAPEX (정리)'!$B$68:$AF$68,0))*About!$B$93*'Cal-CAPEX (정리)'!$B$79/10,0)</f>
        <v>5127.8670000000002</v>
      </c>
      <c r="AB5" s="39">
        <f>IFERROR(INDEX('Cal-CAPEX (정리)'!$B$69:$AF$73,MATCH(BSpUECB_세액공제액!$A5,'Cal-CAPEX (정리)'!$A$69:$A$73,0),MATCH(BSpUECB_세액공제액!AB$1,'Cal-CAPEX (정리)'!$B$68:$AF$68,0))*About!$B$93*'Cal-CAPEX (정리)'!$B$79/10,0)</f>
        <v>5127.8670000000002</v>
      </c>
      <c r="AC5" s="39">
        <f>IFERROR(INDEX('Cal-CAPEX (정리)'!$B$69:$AF$73,MATCH(BSpUECB_세액공제액!$A5,'Cal-CAPEX (정리)'!$A$69:$A$73,0),MATCH(BSpUECB_세액공제액!AC$1,'Cal-CAPEX (정리)'!$B$68:$AF$68,0))*About!$B$93*'Cal-CAPEX (정리)'!$B$79/10,0)</f>
        <v>5127.8670000000002</v>
      </c>
      <c r="AD5" s="39">
        <f>IFERROR(INDEX('Cal-CAPEX (정리)'!$B$69:$AF$73,MATCH(BSpUECB_세액공제액!$A5,'Cal-CAPEX (정리)'!$A$69:$A$73,0),MATCH(BSpUECB_세액공제액!AD$1,'Cal-CAPEX (정리)'!$B$68:$AF$68,0))*About!$B$93*'Cal-CAPEX (정리)'!$B$79/10,0)</f>
        <v>5127.8670000000002</v>
      </c>
      <c r="AE5" s="39">
        <f>IFERROR(INDEX('Cal-CAPEX (정리)'!$B$69:$AF$73,MATCH(BSpUECB_세액공제액!$A5,'Cal-CAPEX (정리)'!$A$69:$A$73,0),MATCH(BSpUECB_세액공제액!AE$1,'Cal-CAPEX (정리)'!$B$68:$AF$68,0))*About!$B$93*'Cal-CAPEX (정리)'!$B$79/10,0)</f>
        <v>5127.8670000000002</v>
      </c>
      <c r="AF5" s="39">
        <f>IFERROR(INDEX('Cal-CAPEX (정리)'!$B$69:$AF$73,MATCH(BSpUECB_세액공제액!$A5,'Cal-CAPEX (정리)'!$A$69:$A$73,0),MATCH(BSpUECB_세액공제액!AF$1,'Cal-CAPEX (정리)'!$B$68:$AF$68,0))*About!$B$93*'Cal-CAPEX (정리)'!$B$79/10,0)</f>
        <v>5127.8670000000002</v>
      </c>
      <c r="AG5" s="39"/>
      <c r="AH5" s="39"/>
    </row>
    <row r="6" spans="1:34" ht="16.5" customHeight="1">
      <c r="A6" s="17" t="s">
        <v>183</v>
      </c>
      <c r="B6" s="39">
        <f>IFERROR(INDEX('Cal-CAPEX (정리)'!$B$69:$AF$73,MATCH(BSpUECB_세액공제액!$A6,'Cal-CAPEX (정리)'!$A$69:$A$73,0),MATCH(BSpUECB_세액공제액!B$1,'Cal-CAPEX (정리)'!$B$68:$AF$68,0))*About!$B$93*'Cal-CAPEX (정리)'!$B$79/10,0)</f>
        <v>6413.4248665141113</v>
      </c>
      <c r="C6" s="39">
        <f>IFERROR(INDEX('Cal-CAPEX (정리)'!$B$69:$AF$73,MATCH(BSpUECB_세액공제액!$A6,'Cal-CAPEX (정리)'!$A$69:$A$73,0),MATCH(BSpUECB_세액공제액!C$1,'Cal-CAPEX (정리)'!$B$68:$AF$68,0))*About!$B$93*'Cal-CAPEX (정리)'!$B$79/10,0)</f>
        <v>6310.4500381388088</v>
      </c>
      <c r="D6" s="39">
        <f>IFERROR(INDEX('Cal-CAPEX (정리)'!$B$69:$AF$73,MATCH(BSpUECB_세액공제액!$A6,'Cal-CAPEX (정리)'!$A$69:$A$73,0),MATCH(BSpUECB_세액공제액!D$1,'Cal-CAPEX (정리)'!$B$68:$AF$68,0))*About!$B$93*'Cal-CAPEX (정리)'!$B$79/10,0)</f>
        <v>6207.4752097635228</v>
      </c>
      <c r="E6" s="39">
        <f>IFERROR(INDEX('Cal-CAPEX (정리)'!$B$69:$AF$73,MATCH(BSpUECB_세액공제액!$A6,'Cal-CAPEX (정리)'!$A$69:$A$73,0),MATCH(BSpUECB_세액공제액!E$1,'Cal-CAPEX (정리)'!$B$68:$AF$68,0))*About!$B$93*'Cal-CAPEX (정리)'!$B$79/10,0)</f>
        <v>6104.5003813882377</v>
      </c>
      <c r="F6" s="39">
        <f>IFERROR(INDEX('Cal-CAPEX (정리)'!$B$69:$AF$73,MATCH(BSpUECB_세액공제액!$A6,'Cal-CAPEX (정리)'!$A$69:$A$73,0),MATCH(BSpUECB_세액공제액!F$1,'Cal-CAPEX (정리)'!$B$68:$AF$68,0))*About!$B$93*'Cal-CAPEX (정리)'!$B$79/10,0)</f>
        <v>6001.5255530129507</v>
      </c>
      <c r="G6" s="39">
        <f>IFERROR(INDEX('Cal-CAPEX (정리)'!$B$69:$AF$73,MATCH(BSpUECB_세액공제액!$A6,'Cal-CAPEX (정리)'!$A$69:$A$73,0),MATCH(BSpUECB_세액공제액!G$1,'Cal-CAPEX (정리)'!$B$68:$AF$68,0))*About!$B$93*'Cal-CAPEX (정리)'!$B$79/10,0)</f>
        <v>5898.5507246376801</v>
      </c>
      <c r="H6" s="39">
        <f>IFERROR(INDEX('Cal-CAPEX (정리)'!$B$69:$AF$73,MATCH(BSpUECB_세액공제액!$A6,'Cal-CAPEX (정리)'!$A$69:$A$73,0),MATCH(BSpUECB_세액공제액!H$1,'Cal-CAPEX (정리)'!$B$68:$AF$68,0))*About!$B$93*'Cal-CAPEX (정리)'!$B$79/10,0)</f>
        <v>5838.7998982964691</v>
      </c>
      <c r="I6" s="39">
        <f>IFERROR(INDEX('Cal-CAPEX (정리)'!$B$69:$AF$73,MATCH(BSpUECB_세액공제액!$A6,'Cal-CAPEX (정리)'!$A$69:$A$73,0),MATCH(BSpUECB_세액공제액!I$1,'Cal-CAPEX (정리)'!$B$68:$AF$68,0))*About!$B$93*'Cal-CAPEX (정리)'!$B$79/10,0)</f>
        <v>5779.0490719552527</v>
      </c>
      <c r="J6" s="39">
        <f>IFERROR(INDEX('Cal-CAPEX (정리)'!$B$69:$AF$73,MATCH(BSpUECB_세액공제액!$A6,'Cal-CAPEX (정리)'!$A$69:$A$73,0),MATCH(BSpUECB_세액공제액!J$1,'Cal-CAPEX (정리)'!$B$68:$AF$68,0))*About!$B$93*'Cal-CAPEX (정리)'!$B$79/10,0)</f>
        <v>5719.298245614038</v>
      </c>
      <c r="K6" s="39">
        <f>IFERROR(INDEX('Cal-CAPEX (정리)'!$B$69:$AF$73,MATCH(BSpUECB_세액공제액!$A6,'Cal-CAPEX (정리)'!$A$69:$A$73,0),MATCH(BSpUECB_세액공제액!K$1,'Cal-CAPEX (정리)'!$B$68:$AF$68,0))*About!$B$93*'Cal-CAPEX (정리)'!$B$79/10,0)</f>
        <v>5659.5474192728234</v>
      </c>
      <c r="L6" s="39">
        <f>IFERROR(INDEX('Cal-CAPEX (정리)'!$B$69:$AF$73,MATCH(BSpUECB_세액공제액!$A6,'Cal-CAPEX (정리)'!$A$69:$A$73,0),MATCH(BSpUECB_세액공제액!L$1,'Cal-CAPEX (정리)'!$B$68:$AF$68,0))*About!$B$93*'Cal-CAPEX (정리)'!$B$79/10,0)</f>
        <v>5599.7965929316033</v>
      </c>
      <c r="M6" s="39">
        <f>IFERROR(INDEX('Cal-CAPEX (정리)'!$B$69:$AF$73,MATCH(BSpUECB_세액공제액!$A6,'Cal-CAPEX (정리)'!$A$69:$A$73,0),MATCH(BSpUECB_세액공제액!M$1,'Cal-CAPEX (정리)'!$B$68:$AF$68,0))*About!$B$93*'Cal-CAPEX (정리)'!$B$79/10,0)</f>
        <v>5531.5040396189024</v>
      </c>
      <c r="N6" s="39">
        <f>IFERROR(INDEX('Cal-CAPEX (정리)'!$B$69:$AF$73,MATCH(BSpUECB_세액공제액!$A6,'Cal-CAPEX (정리)'!$A$69:$A$73,0),MATCH(BSpUECB_세액공제액!N$1,'Cal-CAPEX (정리)'!$B$68:$AF$68,0))*About!$B$93*'Cal-CAPEX (정리)'!$B$79/10,0)</f>
        <v>5464.0443509934394</v>
      </c>
      <c r="O6" s="39">
        <f>IFERROR(INDEX('Cal-CAPEX (정리)'!$B$69:$AF$73,MATCH(BSpUECB_세액공제액!$A6,'Cal-CAPEX (정리)'!$A$69:$A$73,0),MATCH(BSpUECB_세액공제액!O$1,'Cal-CAPEX (정리)'!$B$68:$AF$68,0))*About!$B$93*'Cal-CAPEX (정리)'!$B$79/10,0)</f>
        <v>5397.4073698191251</v>
      </c>
      <c r="P6" s="39">
        <f>IFERROR(INDEX('Cal-CAPEX (정리)'!$B$69:$AF$73,MATCH(BSpUECB_세액공제액!$A6,'Cal-CAPEX (정리)'!$A$69:$A$73,0),MATCH(BSpUECB_세액공제액!P$1,'Cal-CAPEX (정리)'!$B$68:$AF$68,0))*About!$B$93*'Cal-CAPEX (정리)'!$B$79/10,0)</f>
        <v>5331.5830627328623</v>
      </c>
      <c r="Q6" s="39">
        <f>IFERROR(INDEX('Cal-CAPEX (정리)'!$B$69:$AF$73,MATCH(BSpUECB_세액공제액!$A6,'Cal-CAPEX (정리)'!$A$69:$A$73,0),MATCH(BSpUECB_세액공제액!Q$1,'Cal-CAPEX (정리)'!$B$68:$AF$68,0))*About!$B$93*'Cal-CAPEX (정리)'!$B$79/10,0)</f>
        <v>5266.5615187338581</v>
      </c>
      <c r="R6" s="39">
        <f>IFERROR(INDEX('Cal-CAPEX (정리)'!$B$69:$AF$73,MATCH(BSpUECB_세액공제액!$A6,'Cal-CAPEX (정리)'!$A$69:$A$73,0),MATCH(BSpUECB_세액공제액!R$1,'Cal-CAPEX (정리)'!$B$68:$AF$68,0))*About!$B$93*'Cal-CAPEX (정리)'!$B$79/10,0)</f>
        <v>5202.3329476913405</v>
      </c>
      <c r="S6" s="39">
        <f>IFERROR(INDEX('Cal-CAPEX (정리)'!$B$69:$AF$73,MATCH(BSpUECB_세액공제액!$A6,'Cal-CAPEX (정리)'!$A$69:$A$73,0),MATCH(BSpUECB_세액공제액!S$1,'Cal-CAPEX (정리)'!$B$68:$AF$68,0))*About!$B$93*'Cal-CAPEX (정리)'!$B$79/10,0)</f>
        <v>5138.8876788704902</v>
      </c>
      <c r="T6" s="39">
        <f>IFERROR(INDEX('Cal-CAPEX (정리)'!$B$69:$AF$73,MATCH(BSpUECB_세액공제액!$A6,'Cal-CAPEX (정리)'!$A$69:$A$73,0),MATCH(BSpUECB_세액공제액!T$1,'Cal-CAPEX (정리)'!$B$68:$AF$68,0))*About!$B$93*'Cal-CAPEX (정리)'!$B$79/10,0)</f>
        <v>5076.2161594763338</v>
      </c>
      <c r="U6" s="39">
        <f>IFERROR(INDEX('Cal-CAPEX (정리)'!$B$69:$AF$73,MATCH(BSpUECB_세액공제액!$A6,'Cal-CAPEX (정리)'!$A$69:$A$73,0),MATCH(BSpUECB_세액공제액!U$1,'Cal-CAPEX (정리)'!$B$68:$AF$68,0))*About!$B$93*'Cal-CAPEX (정리)'!$B$79/10,0)</f>
        <v>5014.3089532154117</v>
      </c>
      <c r="V6" s="39">
        <f>IFERROR(INDEX('Cal-CAPEX (정리)'!$B$69:$AF$73,MATCH(BSpUECB_세액공제액!$A6,'Cal-CAPEX (정리)'!$A$69:$A$73,0),MATCH(BSpUECB_세액공제액!V$1,'Cal-CAPEX (정리)'!$B$68:$AF$68,0))*About!$B$93*'Cal-CAPEX (정리)'!$B$79/10,0)</f>
        <v>4953.1567388749727</v>
      </c>
      <c r="W6" s="39">
        <f>IFERROR(INDEX('Cal-CAPEX (정리)'!$B$69:$AF$73,MATCH(BSpUECB_세액공제액!$A6,'Cal-CAPEX (정리)'!$A$69:$A$73,0),MATCH(BSpUECB_세액공제액!W$1,'Cal-CAPEX (정리)'!$B$68:$AF$68,0))*About!$B$93*'Cal-CAPEX (정리)'!$B$79/10,0)</f>
        <v>4892.7503089195052</v>
      </c>
      <c r="X6" s="39">
        <f>IFERROR(INDEX('Cal-CAPEX (정리)'!$B$69:$AF$73,MATCH(BSpUECB_세액공제액!$A6,'Cal-CAPEX (정리)'!$A$69:$A$73,0),MATCH(BSpUECB_세액공제액!X$1,'Cal-CAPEX (정리)'!$B$68:$AF$68,0))*About!$B$93*'Cal-CAPEX (정리)'!$B$79/10,0)</f>
        <v>4833.0805681043857</v>
      </c>
      <c r="Y6" s="39">
        <f>IFERROR(INDEX('Cal-CAPEX (정리)'!$B$69:$AF$73,MATCH(BSpUECB_세액공제액!$A6,'Cal-CAPEX (정리)'!$A$69:$A$73,0),MATCH(BSpUECB_세액공제액!Y$1,'Cal-CAPEX (정리)'!$B$68:$AF$68,0))*About!$B$93*'Cal-CAPEX (정리)'!$B$79/10,0)</f>
        <v>4774.1385321064236</v>
      </c>
      <c r="Z6" s="39">
        <f>IFERROR(INDEX('Cal-CAPEX (정리)'!$B$69:$AF$73,MATCH(BSpUECB_세액공제액!$A6,'Cal-CAPEX (정리)'!$A$69:$A$73,0),MATCH(BSpUECB_세액공제액!Z$1,'Cal-CAPEX (정리)'!$B$68:$AF$68,0))*About!$B$93*'Cal-CAPEX (정리)'!$B$79/10,0)</f>
        <v>4715.9153261711144</v>
      </c>
      <c r="AA6" s="39">
        <f>IFERROR(INDEX('Cal-CAPEX (정리)'!$B$69:$AF$73,MATCH(BSpUECB_세액공제액!$A6,'Cal-CAPEX (정리)'!$A$69:$A$73,0),MATCH(BSpUECB_세액공제액!AA$1,'Cal-CAPEX (정리)'!$B$68:$AF$68,0))*About!$B$93*'Cal-CAPEX (정리)'!$B$79/10,0)</f>
        <v>4658.4021837763985</v>
      </c>
      <c r="AB6" s="39">
        <f>IFERROR(INDEX('Cal-CAPEX (정리)'!$B$69:$AF$73,MATCH(BSpUECB_세액공제액!$A6,'Cal-CAPEX (정리)'!$A$69:$A$73,0),MATCH(BSpUECB_세액공제액!AB$1,'Cal-CAPEX (정리)'!$B$68:$AF$68,0))*About!$B$93*'Cal-CAPEX (정리)'!$B$79/10,0)</f>
        <v>4601.5904453126986</v>
      </c>
      <c r="AC6" s="39">
        <f>IFERROR(INDEX('Cal-CAPEX (정리)'!$B$69:$AF$73,MATCH(BSpUECB_세액공제액!$A6,'Cal-CAPEX (정리)'!$A$69:$A$73,0),MATCH(BSpUECB_세액공제액!AC$1,'Cal-CAPEX (정리)'!$B$68:$AF$68,0))*About!$B$93*'Cal-CAPEX (정리)'!$B$79/10,0)</f>
        <v>4545.4715567790681</v>
      </c>
      <c r="AD6" s="39">
        <f>IFERROR(INDEX('Cal-CAPEX (정리)'!$B$69:$AF$73,MATCH(BSpUECB_세액공제액!$A6,'Cal-CAPEX (정리)'!$A$69:$A$73,0),MATCH(BSpUECB_세액공제액!AD$1,'Cal-CAPEX (정리)'!$B$68:$AF$68,0))*About!$B$93*'Cal-CAPEX (정리)'!$B$79/10,0)</f>
        <v>4490.0370684952368</v>
      </c>
      <c r="AE6" s="39">
        <f>IFERROR(INDEX('Cal-CAPEX (정리)'!$B$69:$AF$73,MATCH(BSpUECB_세액공제액!$A6,'Cal-CAPEX (정리)'!$A$69:$A$73,0),MATCH(BSpUECB_세액공제액!AE$1,'Cal-CAPEX (정리)'!$B$68:$AF$68,0))*About!$B$93*'Cal-CAPEX (정리)'!$B$79/10,0)</f>
        <v>4435.2786338293654</v>
      </c>
      <c r="AF6" s="39">
        <f>IFERROR(INDEX('Cal-CAPEX (정리)'!$B$69:$AF$73,MATCH(BSpUECB_세액공제액!$A6,'Cal-CAPEX (정리)'!$A$69:$A$73,0),MATCH(BSpUECB_세액공제액!AF$1,'Cal-CAPEX (정리)'!$B$68:$AF$68,0))*About!$B$93*'Cal-CAPEX (정리)'!$B$79/10,0)</f>
        <v>4381.1880079413095</v>
      </c>
      <c r="AG6" s="39"/>
      <c r="AH6" s="39"/>
    </row>
    <row r="7" spans="1:34" ht="16.5" customHeight="1">
      <c r="A7" s="17" t="s">
        <v>184</v>
      </c>
      <c r="B7" s="39">
        <f>IFERROR(INDEX('Cal-CAPEX (정리)'!$B$69:$AF$73,MATCH(BSpUECB_세액공제액!$A7,'Cal-CAPEX (정리)'!$A$69:$A$73,0),MATCH(BSpUECB_세액공제액!B$1,'Cal-CAPEX (정리)'!$B$68:$AF$68,0))*About!$B$93*'Cal-CAPEX (정리)'!$B$79/10,0)</f>
        <v>3847.6989575387734</v>
      </c>
      <c r="C7" s="39">
        <f>IFERROR(INDEX('Cal-CAPEX (정리)'!$B$69:$AF$73,MATCH(BSpUECB_세액공제액!$A7,'Cal-CAPEX (정리)'!$A$69:$A$73,0),MATCH(BSpUECB_세액공제액!C$1,'Cal-CAPEX (정리)'!$B$68:$AF$68,0))*About!$B$93*'Cal-CAPEX (정리)'!$B$79/10,0)</f>
        <v>3703.0765319094789</v>
      </c>
      <c r="D7" s="39">
        <f>IFERROR(INDEX('Cal-CAPEX (정리)'!$B$69:$AF$73,MATCH(BSpUECB_세액공제액!$A7,'Cal-CAPEX (정리)'!$A$69:$A$73,0),MATCH(BSpUECB_세액공제액!D$1,'Cal-CAPEX (정리)'!$B$68:$AF$68,0))*About!$B$93*'Cal-CAPEX (정리)'!$B$79/10,0)</f>
        <v>3558.4541062802141</v>
      </c>
      <c r="E7" s="39">
        <f>IFERROR(INDEX('Cal-CAPEX (정리)'!$B$69:$AF$73,MATCH(BSpUECB_세액공제액!$A7,'Cal-CAPEX (정리)'!$A$69:$A$73,0),MATCH(BSpUECB_세액공제액!E$1,'Cal-CAPEX (정리)'!$B$68:$AF$68,0))*About!$B$93*'Cal-CAPEX (정리)'!$B$79/10,0)</f>
        <v>3413.831680650911</v>
      </c>
      <c r="F7" s="39">
        <f>IFERROR(INDEX('Cal-CAPEX (정리)'!$B$69:$AF$73,MATCH(BSpUECB_세액공제액!$A7,'Cal-CAPEX (정리)'!$A$69:$A$73,0),MATCH(BSpUECB_세액공제액!F$1,'Cal-CAPEX (정리)'!$B$68:$AF$68,0))*About!$B$93*'Cal-CAPEX (정리)'!$B$79/10,0)</f>
        <v>3269.2092550216084</v>
      </c>
      <c r="G7" s="39">
        <f>IFERROR(INDEX('Cal-CAPEX (정리)'!$B$69:$AF$73,MATCH(BSpUECB_세액공제액!$A7,'Cal-CAPEX (정리)'!$A$69:$A$73,0),MATCH(BSpUECB_세액공제액!G$1,'Cal-CAPEX (정리)'!$B$68:$AF$68,0))*About!$B$93*'Cal-CAPEX (정리)'!$B$79/10,0)</f>
        <v>3124.5868293923209</v>
      </c>
      <c r="H7" s="39">
        <f>IFERROR(INDEX('Cal-CAPEX (정리)'!$B$69:$AF$73,MATCH(BSpUECB_세액공제액!$A7,'Cal-CAPEX (정리)'!$A$69:$A$73,0),MATCH(BSpUECB_세액공제액!H$1,'Cal-CAPEX (정리)'!$B$68:$AF$68,0))*About!$B$93*'Cal-CAPEX (정리)'!$B$79/10,0)</f>
        <v>3036.2064581744198</v>
      </c>
      <c r="I7" s="39">
        <f>IFERROR(INDEX('Cal-CAPEX (정리)'!$B$69:$AF$73,MATCH(BSpUECB_세액공제액!$A7,'Cal-CAPEX (정리)'!$A$69:$A$73,0),MATCH(BSpUECB_세액공제액!I$1,'Cal-CAPEX (정리)'!$B$68:$AF$68,0))*About!$B$93*'Cal-CAPEX (정리)'!$B$79/10,0)</f>
        <v>2947.8260869565333</v>
      </c>
      <c r="J7" s="39">
        <f>IFERROR(INDEX('Cal-CAPEX (정리)'!$B$69:$AF$73,MATCH(BSpUECB_세액공제액!$A7,'Cal-CAPEX (정리)'!$A$69:$A$73,0),MATCH(BSpUECB_세액공제액!J$1,'Cal-CAPEX (정리)'!$B$68:$AF$68,0))*About!$B$93*'Cal-CAPEX (정리)'!$B$79/10,0)</f>
        <v>2859.4457157386096</v>
      </c>
      <c r="K7" s="39">
        <f>IFERROR(INDEX('Cal-CAPEX (정리)'!$B$69:$AF$73,MATCH(BSpUECB_세액공제액!$A7,'Cal-CAPEX (정리)'!$A$69:$A$73,0),MATCH(BSpUECB_세액공제액!K$1,'Cal-CAPEX (정리)'!$B$68:$AF$68,0))*About!$B$93*'Cal-CAPEX (정리)'!$B$79/10,0)</f>
        <v>2771.0653445207231</v>
      </c>
      <c r="L7" s="39">
        <f>IFERROR(INDEX('Cal-CAPEX (정리)'!$B$69:$AF$73,MATCH(BSpUECB_세액공제액!$A7,'Cal-CAPEX (정리)'!$A$69:$A$73,0),MATCH(BSpUECB_세액공제액!L$1,'Cal-CAPEX (정리)'!$B$68:$AF$68,0))*About!$B$93*'Cal-CAPEX (정리)'!$B$79/10,0)</f>
        <v>2682.6849733028216</v>
      </c>
      <c r="M7" s="39">
        <f>IFERROR(INDEX('Cal-CAPEX (정리)'!$B$69:$AF$73,MATCH(BSpUECB_세액공제액!$A7,'Cal-CAPEX (정리)'!$A$69:$A$73,0),MATCH(BSpUECB_세액공제액!M$1,'Cal-CAPEX (정리)'!$B$68:$AF$68,0))*About!$B$93*'Cal-CAPEX (정리)'!$B$79/10,0)</f>
        <v>2599.3918037377216</v>
      </c>
      <c r="N7" s="39">
        <f>IFERROR(INDEX('Cal-CAPEX (정리)'!$B$69:$AF$73,MATCH(BSpUECB_세액공제액!$A7,'Cal-CAPEX (정리)'!$A$69:$A$73,0),MATCH(BSpUECB_세액공제액!N$1,'Cal-CAPEX (정리)'!$B$68:$AF$68,0))*About!$B$93*'Cal-CAPEX (정리)'!$B$79/10,0)</f>
        <v>2518.6847567197124</v>
      </c>
      <c r="O7" s="39">
        <f>IFERROR(INDEX('Cal-CAPEX (정리)'!$B$69:$AF$73,MATCH(BSpUECB_세액공제액!$A7,'Cal-CAPEX (정리)'!$A$69:$A$73,0),MATCH(BSpUECB_세액공제액!O$1,'Cal-CAPEX (정리)'!$B$68:$AF$68,0))*About!$B$93*'Cal-CAPEX (정리)'!$B$79/10,0)</f>
        <v>2440.483537191426</v>
      </c>
      <c r="P7" s="39">
        <f>IFERROR(INDEX('Cal-CAPEX (정리)'!$B$69:$AF$73,MATCH(BSpUECB_세액공제액!$A7,'Cal-CAPEX (정리)'!$A$69:$A$73,0),MATCH(BSpUECB_세액공제액!P$1,'Cal-CAPEX (정리)'!$B$68:$AF$68,0))*About!$B$93*'Cal-CAPEX (정리)'!$B$79/10,0)</f>
        <v>2364.7103431313517</v>
      </c>
      <c r="Q7" s="39">
        <f>IFERROR(INDEX('Cal-CAPEX (정리)'!$B$69:$AF$73,MATCH(BSpUECB_세액공제액!$A7,'Cal-CAPEX (정리)'!$A$69:$A$73,0),MATCH(BSpUECB_세액공제액!Q$1,'Cal-CAPEX (정리)'!$B$68:$AF$68,0))*About!$B$93*'Cal-CAPEX (정리)'!$B$79/10,0)</f>
        <v>2291.2897881489707</v>
      </c>
      <c r="R7" s="39">
        <f>IFERROR(INDEX('Cal-CAPEX (정리)'!$B$69:$AF$73,MATCH(BSpUECB_세액공제액!$A7,'Cal-CAPEX (정리)'!$A$69:$A$73,0),MATCH(BSpUECB_세액공제액!R$1,'Cal-CAPEX (정리)'!$B$68:$AF$68,0))*About!$B$93*'Cal-CAPEX (정리)'!$B$79/10,0)</f>
        <v>2220.148826483201</v>
      </c>
      <c r="S7" s="39">
        <f>IFERROR(INDEX('Cal-CAPEX (정리)'!$B$69:$AF$73,MATCH(BSpUECB_세액공제액!$A7,'Cal-CAPEX (정리)'!$A$69:$A$73,0),MATCH(BSpUECB_세액공제액!S$1,'Cal-CAPEX (정리)'!$B$68:$AF$68,0))*About!$B$93*'Cal-CAPEX (정리)'!$B$79/10,0)</f>
        <v>2151.2166803295086</v>
      </c>
      <c r="T7" s="39">
        <f>IFERROR(INDEX('Cal-CAPEX (정리)'!$B$69:$AF$73,MATCH(BSpUECB_세액공제액!$A7,'Cal-CAPEX (정리)'!$A$69:$A$73,0),MATCH(BSpUECB_세액공제액!T$1,'Cal-CAPEX (정리)'!$B$68:$AF$68,0))*About!$B$93*'Cal-CAPEX (정리)'!$B$79/10,0)</f>
        <v>2084.424769423415</v>
      </c>
      <c r="U7" s="39">
        <f>IFERROR(INDEX('Cal-CAPEX (정리)'!$B$69:$AF$73,MATCH(BSpUECB_세액공제액!$A7,'Cal-CAPEX (정리)'!$A$69:$A$73,0),MATCH(BSpUECB_세액공제액!U$1,'Cal-CAPEX (정리)'!$B$68:$AF$68,0))*About!$B$93*'Cal-CAPEX (정리)'!$B$79/10,0)</f>
        <v>2019.7066428103128</v>
      </c>
      <c r="V7" s="39">
        <f>IFERROR(INDEX('Cal-CAPEX (정리)'!$B$69:$AF$73,MATCH(BSpUECB_세액공제액!$A7,'Cal-CAPEX (정리)'!$A$69:$A$73,0),MATCH(BSpUECB_세액공제액!V$1,'Cal-CAPEX (정리)'!$B$68:$AF$68,0))*About!$B$93*'Cal-CAPEX (정리)'!$B$79/10,0)</f>
        <v>1956.9979127337276</v>
      </c>
      <c r="W7" s="39">
        <f>IFERROR(INDEX('Cal-CAPEX (정리)'!$B$69:$AF$73,MATCH(BSpUECB_세액공제액!$A7,'Cal-CAPEX (정리)'!$A$69:$A$73,0),MATCH(BSpUECB_세액공제액!W$1,'Cal-CAPEX (정리)'!$B$68:$AF$68,0))*About!$B$93*'Cal-CAPEX (정리)'!$B$79/10,0)</f>
        <v>1896.2361905762457</v>
      </c>
      <c r="X7" s="39">
        <f>IFERROR(INDEX('Cal-CAPEX (정리)'!$B$69:$AF$73,MATCH(BSpUECB_세액공제액!$A7,'Cal-CAPEX (정리)'!$A$69:$A$73,0),MATCH(BSpUECB_세액공제액!X$1,'Cal-CAPEX (정리)'!$B$68:$AF$68,0))*About!$B$93*'Cal-CAPEX (정리)'!$B$79/10,0)</f>
        <v>1837.3610247893764</v>
      </c>
      <c r="Y7" s="39">
        <f>IFERROR(INDEX('Cal-CAPEX (정리)'!$B$69:$AF$73,MATCH(BSpUECB_세액공제액!$A7,'Cal-CAPEX (정리)'!$A$69:$A$73,0),MATCH(BSpUECB_세액공제액!Y$1,'Cal-CAPEX (정리)'!$B$68:$AF$68,0))*About!$B$93*'Cal-CAPEX (정리)'!$B$79/10,0)</f>
        <v>1780.3138407505921</v>
      </c>
      <c r="Z7" s="39">
        <f>IFERROR(INDEX('Cal-CAPEX (정리)'!$B$69:$AF$73,MATCH(BSpUECB_세액공제액!$A7,'Cal-CAPEX (정리)'!$A$69:$A$73,0),MATCH(BSpUECB_세액공제액!Z$1,'Cal-CAPEX (정리)'!$B$68:$AF$68,0))*About!$B$93*'Cal-CAPEX (정리)'!$B$79/10,0)</f>
        <v>1725.0378824877148</v>
      </c>
      <c r="AA7" s="39">
        <f>IFERROR(INDEX('Cal-CAPEX (정리)'!$B$69:$AF$73,MATCH(BSpUECB_세액공제액!$A7,'Cal-CAPEX (정리)'!$A$69:$A$73,0),MATCH(BSpUECB_세액공제액!AA$1,'Cal-CAPEX (정리)'!$B$68:$AF$68,0))*About!$B$93*'Cal-CAPEX (정리)'!$B$79/10,0)</f>
        <v>1671.4781562126718</v>
      </c>
      <c r="AB7" s="39">
        <f>IFERROR(INDEX('Cal-CAPEX (정리)'!$B$69:$AF$73,MATCH(BSpUECB_세액공제액!$A7,'Cal-CAPEX (정리)'!$A$69:$A$73,0),MATCH(BSpUECB_세액공제액!AB$1,'Cal-CAPEX (정리)'!$B$68:$AF$68,0))*About!$B$93*'Cal-CAPEX (정리)'!$B$79/10,0)</f>
        <v>1619.5813756084337</v>
      </c>
      <c r="AC7" s="39">
        <f>IFERROR(INDEX('Cal-CAPEX (정리)'!$B$69:$AF$73,MATCH(BSpUECB_세액공제액!$A7,'Cal-CAPEX (정리)'!$A$69:$A$73,0),MATCH(BSpUECB_세액공제액!AC$1,'Cal-CAPEX (정리)'!$B$68:$AF$68,0))*About!$B$93*'Cal-CAPEX (정리)'!$B$79/10,0)</f>
        <v>1569.2959088147136</v>
      </c>
      <c r="AD7" s="39">
        <f>IFERROR(INDEX('Cal-CAPEX (정리)'!$B$69:$AF$73,MATCH(BSpUECB_세액공제액!$A7,'Cal-CAPEX (정리)'!$A$69:$A$73,0),MATCH(BSpUECB_세액공제액!AD$1,'Cal-CAPEX (정리)'!$B$68:$AF$68,0))*About!$B$93*'Cal-CAPEX (정리)'!$B$79/10,0)</f>
        <v>1520.5717270596731</v>
      </c>
      <c r="AE7" s="39">
        <f>IFERROR(INDEX('Cal-CAPEX (정리)'!$B$69:$AF$73,MATCH(BSpUECB_세액공제액!$A7,'Cal-CAPEX (정리)'!$A$69:$A$73,0),MATCH(BSpUECB_세액공제액!AE$1,'Cal-CAPEX (정리)'!$B$68:$AF$68,0))*About!$B$93*'Cal-CAPEX (정리)'!$B$79/10,0)</f>
        <v>1473.3603548865372</v>
      </c>
      <c r="AF7" s="39">
        <f>IFERROR(INDEX('Cal-CAPEX (정리)'!$B$69:$AF$73,MATCH(BSpUECB_세액공제액!$A7,'Cal-CAPEX (정리)'!$A$69:$A$73,0),MATCH(BSpUECB_세액공제액!AF$1,'Cal-CAPEX (정리)'!$B$68:$AF$68,0))*About!$B$93*'Cal-CAPEX (정리)'!$B$79/10,0)</f>
        <v>1427.6148219255908</v>
      </c>
      <c r="AG7" s="39"/>
      <c r="AH7" s="39"/>
    </row>
    <row r="8" spans="1:34" ht="16.5" customHeight="1">
      <c r="A8" s="17" t="s">
        <v>185</v>
      </c>
      <c r="B8" s="39">
        <f>IFERROR(INDEX('Cal-CAPEX (정리)'!$B$69:$AF$73,MATCH(BSpUECB_세액공제액!$A8,'Cal-CAPEX (정리)'!$A$69:$A$73,0),MATCH(BSpUECB_세액공제액!B$1,'Cal-CAPEX (정리)'!$B$68:$AF$68,0))*About!$B$93*'Cal-CAPEX (정리)'!$B$79/10,0)</f>
        <v>0</v>
      </c>
      <c r="C8" s="39">
        <f>IFERROR(INDEX('Cal-CAPEX (정리)'!$B$69:$AF$73,MATCH(BSpUECB_세액공제액!$A8,'Cal-CAPEX (정리)'!$A$69:$A$73,0),MATCH(BSpUECB_세액공제액!C$1,'Cal-CAPEX (정리)'!$B$68:$AF$68,0))*About!$B$93*'Cal-CAPEX (정리)'!$B$79/10,0)</f>
        <v>0</v>
      </c>
      <c r="D8" s="39">
        <f>IFERROR(INDEX('Cal-CAPEX (정리)'!$B$69:$AF$73,MATCH(BSpUECB_세액공제액!$A8,'Cal-CAPEX (정리)'!$A$69:$A$73,0),MATCH(BSpUECB_세액공제액!D$1,'Cal-CAPEX (정리)'!$B$68:$AF$68,0))*About!$B$93*'Cal-CAPEX (정리)'!$B$79/10,0)</f>
        <v>0</v>
      </c>
      <c r="E8" s="39">
        <f>IFERROR(INDEX('Cal-CAPEX (정리)'!$B$69:$AF$73,MATCH(BSpUECB_세액공제액!$A8,'Cal-CAPEX (정리)'!$A$69:$A$73,0),MATCH(BSpUECB_세액공제액!E$1,'Cal-CAPEX (정리)'!$B$68:$AF$68,0))*About!$B$93*'Cal-CAPEX (정리)'!$B$79/10,0)</f>
        <v>0</v>
      </c>
      <c r="F8" s="39">
        <f>IFERROR(INDEX('Cal-CAPEX (정리)'!$B$69:$AF$73,MATCH(BSpUECB_세액공제액!$A8,'Cal-CAPEX (정리)'!$A$69:$A$73,0),MATCH(BSpUECB_세액공제액!F$1,'Cal-CAPEX (정리)'!$B$68:$AF$68,0))*About!$B$93*'Cal-CAPEX (정리)'!$B$79/10,0)</f>
        <v>0</v>
      </c>
      <c r="G8" s="39">
        <f>IFERROR(INDEX('Cal-CAPEX (정리)'!$B$69:$AF$73,MATCH(BSpUECB_세액공제액!$A8,'Cal-CAPEX (정리)'!$A$69:$A$73,0),MATCH(BSpUECB_세액공제액!G$1,'Cal-CAPEX (정리)'!$B$68:$AF$68,0))*About!$B$93*'Cal-CAPEX (정리)'!$B$79/10,0)</f>
        <v>0</v>
      </c>
      <c r="H8" s="39">
        <f>IFERROR(INDEX('Cal-CAPEX (정리)'!$B$69:$AF$73,MATCH(BSpUECB_세액공제액!$A8,'Cal-CAPEX (정리)'!$A$69:$A$73,0),MATCH(BSpUECB_세액공제액!H$1,'Cal-CAPEX (정리)'!$B$68:$AF$68,0))*About!$B$93*'Cal-CAPEX (정리)'!$B$79/10,0)</f>
        <v>0</v>
      </c>
      <c r="I8" s="39">
        <f>IFERROR(INDEX('Cal-CAPEX (정리)'!$B$69:$AF$73,MATCH(BSpUECB_세액공제액!$A8,'Cal-CAPEX (정리)'!$A$69:$A$73,0),MATCH(BSpUECB_세액공제액!I$1,'Cal-CAPEX (정리)'!$B$68:$AF$68,0))*About!$B$93*'Cal-CAPEX (정리)'!$B$79/10,0)</f>
        <v>0</v>
      </c>
      <c r="J8" s="39">
        <f>IFERROR(INDEX('Cal-CAPEX (정리)'!$B$69:$AF$73,MATCH(BSpUECB_세액공제액!$A8,'Cal-CAPEX (정리)'!$A$69:$A$73,0),MATCH(BSpUECB_세액공제액!J$1,'Cal-CAPEX (정리)'!$B$68:$AF$68,0))*About!$B$93*'Cal-CAPEX (정리)'!$B$79/10,0)</f>
        <v>0</v>
      </c>
      <c r="K8" s="39">
        <f>IFERROR(INDEX('Cal-CAPEX (정리)'!$B$69:$AF$73,MATCH(BSpUECB_세액공제액!$A8,'Cal-CAPEX (정리)'!$A$69:$A$73,0),MATCH(BSpUECB_세액공제액!K$1,'Cal-CAPEX (정리)'!$B$68:$AF$68,0))*About!$B$93*'Cal-CAPEX (정리)'!$B$79/10,0)</f>
        <v>0</v>
      </c>
      <c r="L8" s="39">
        <f>IFERROR(INDEX('Cal-CAPEX (정리)'!$B$69:$AF$73,MATCH(BSpUECB_세액공제액!$A8,'Cal-CAPEX (정리)'!$A$69:$A$73,0),MATCH(BSpUECB_세액공제액!L$1,'Cal-CAPEX (정리)'!$B$68:$AF$68,0))*About!$B$93*'Cal-CAPEX (정리)'!$B$79/10,0)</f>
        <v>0</v>
      </c>
      <c r="M8" s="39">
        <f>IFERROR(INDEX('Cal-CAPEX (정리)'!$B$69:$AF$73,MATCH(BSpUECB_세액공제액!$A8,'Cal-CAPEX (정리)'!$A$69:$A$73,0),MATCH(BSpUECB_세액공제액!M$1,'Cal-CAPEX (정리)'!$B$68:$AF$68,0))*About!$B$93*'Cal-CAPEX (정리)'!$B$79/10,0)</f>
        <v>0</v>
      </c>
      <c r="N8" s="39">
        <f>IFERROR(INDEX('Cal-CAPEX (정리)'!$B$69:$AF$73,MATCH(BSpUECB_세액공제액!$A8,'Cal-CAPEX (정리)'!$A$69:$A$73,0),MATCH(BSpUECB_세액공제액!N$1,'Cal-CAPEX (정리)'!$B$68:$AF$68,0))*About!$B$93*'Cal-CAPEX (정리)'!$B$79/10,0)</f>
        <v>0</v>
      </c>
      <c r="O8" s="39">
        <f>IFERROR(INDEX('Cal-CAPEX (정리)'!$B$69:$AF$73,MATCH(BSpUECB_세액공제액!$A8,'Cal-CAPEX (정리)'!$A$69:$A$73,0),MATCH(BSpUECB_세액공제액!O$1,'Cal-CAPEX (정리)'!$B$68:$AF$68,0))*About!$B$93*'Cal-CAPEX (정리)'!$B$79/10,0)</f>
        <v>0</v>
      </c>
      <c r="P8" s="39">
        <f>IFERROR(INDEX('Cal-CAPEX (정리)'!$B$69:$AF$73,MATCH(BSpUECB_세액공제액!$A8,'Cal-CAPEX (정리)'!$A$69:$A$73,0),MATCH(BSpUECB_세액공제액!P$1,'Cal-CAPEX (정리)'!$B$68:$AF$68,0))*About!$B$93*'Cal-CAPEX (정리)'!$B$79/10,0)</f>
        <v>0</v>
      </c>
      <c r="Q8" s="39">
        <f>IFERROR(INDEX('Cal-CAPEX (정리)'!$B$69:$AF$73,MATCH(BSpUECB_세액공제액!$A8,'Cal-CAPEX (정리)'!$A$69:$A$73,0),MATCH(BSpUECB_세액공제액!Q$1,'Cal-CAPEX (정리)'!$B$68:$AF$68,0))*About!$B$93*'Cal-CAPEX (정리)'!$B$79/10,0)</f>
        <v>0</v>
      </c>
      <c r="R8" s="39">
        <f>IFERROR(INDEX('Cal-CAPEX (정리)'!$B$69:$AF$73,MATCH(BSpUECB_세액공제액!$A8,'Cal-CAPEX (정리)'!$A$69:$A$73,0),MATCH(BSpUECB_세액공제액!R$1,'Cal-CAPEX (정리)'!$B$68:$AF$68,0))*About!$B$93*'Cal-CAPEX (정리)'!$B$79/10,0)</f>
        <v>0</v>
      </c>
      <c r="S8" s="39">
        <f>IFERROR(INDEX('Cal-CAPEX (정리)'!$B$69:$AF$73,MATCH(BSpUECB_세액공제액!$A8,'Cal-CAPEX (정리)'!$A$69:$A$73,0),MATCH(BSpUECB_세액공제액!S$1,'Cal-CAPEX (정리)'!$B$68:$AF$68,0))*About!$B$93*'Cal-CAPEX (정리)'!$B$79/10,0)</f>
        <v>0</v>
      </c>
      <c r="T8" s="39">
        <f>IFERROR(INDEX('Cal-CAPEX (정리)'!$B$69:$AF$73,MATCH(BSpUECB_세액공제액!$A8,'Cal-CAPEX (정리)'!$A$69:$A$73,0),MATCH(BSpUECB_세액공제액!T$1,'Cal-CAPEX (정리)'!$B$68:$AF$68,0))*About!$B$93*'Cal-CAPEX (정리)'!$B$79/10,0)</f>
        <v>0</v>
      </c>
      <c r="U8" s="39">
        <f>IFERROR(INDEX('Cal-CAPEX (정리)'!$B$69:$AF$73,MATCH(BSpUECB_세액공제액!$A8,'Cal-CAPEX (정리)'!$A$69:$A$73,0),MATCH(BSpUECB_세액공제액!U$1,'Cal-CAPEX (정리)'!$B$68:$AF$68,0))*About!$B$93*'Cal-CAPEX (정리)'!$B$79/10,0)</f>
        <v>0</v>
      </c>
      <c r="V8" s="39">
        <f>IFERROR(INDEX('Cal-CAPEX (정리)'!$B$69:$AF$73,MATCH(BSpUECB_세액공제액!$A8,'Cal-CAPEX (정리)'!$A$69:$A$73,0),MATCH(BSpUECB_세액공제액!V$1,'Cal-CAPEX (정리)'!$B$68:$AF$68,0))*About!$B$93*'Cal-CAPEX (정리)'!$B$79/10,0)</f>
        <v>0</v>
      </c>
      <c r="W8" s="39">
        <f>IFERROR(INDEX('Cal-CAPEX (정리)'!$B$69:$AF$73,MATCH(BSpUECB_세액공제액!$A8,'Cal-CAPEX (정리)'!$A$69:$A$73,0),MATCH(BSpUECB_세액공제액!W$1,'Cal-CAPEX (정리)'!$B$68:$AF$68,0))*About!$B$93*'Cal-CAPEX (정리)'!$B$79/10,0)</f>
        <v>0</v>
      </c>
      <c r="X8" s="39">
        <f>IFERROR(INDEX('Cal-CAPEX (정리)'!$B$69:$AF$73,MATCH(BSpUECB_세액공제액!$A8,'Cal-CAPEX (정리)'!$A$69:$A$73,0),MATCH(BSpUECB_세액공제액!X$1,'Cal-CAPEX (정리)'!$B$68:$AF$68,0))*About!$B$93*'Cal-CAPEX (정리)'!$B$79/10,0)</f>
        <v>0</v>
      </c>
      <c r="Y8" s="39">
        <f>IFERROR(INDEX('Cal-CAPEX (정리)'!$B$69:$AF$73,MATCH(BSpUECB_세액공제액!$A8,'Cal-CAPEX (정리)'!$A$69:$A$73,0),MATCH(BSpUECB_세액공제액!Y$1,'Cal-CAPEX (정리)'!$B$68:$AF$68,0))*About!$B$93*'Cal-CAPEX (정리)'!$B$79/10,0)</f>
        <v>0</v>
      </c>
      <c r="Z8" s="39">
        <f>IFERROR(INDEX('Cal-CAPEX (정리)'!$B$69:$AF$73,MATCH(BSpUECB_세액공제액!$A8,'Cal-CAPEX (정리)'!$A$69:$A$73,0),MATCH(BSpUECB_세액공제액!Z$1,'Cal-CAPEX (정리)'!$B$68:$AF$68,0))*About!$B$93*'Cal-CAPEX (정리)'!$B$79/10,0)</f>
        <v>0</v>
      </c>
      <c r="AA8" s="39">
        <f>IFERROR(INDEX('Cal-CAPEX (정리)'!$B$69:$AF$73,MATCH(BSpUECB_세액공제액!$A8,'Cal-CAPEX (정리)'!$A$69:$A$73,0),MATCH(BSpUECB_세액공제액!AA$1,'Cal-CAPEX (정리)'!$B$68:$AF$68,0))*About!$B$93*'Cal-CAPEX (정리)'!$B$79/10,0)</f>
        <v>0</v>
      </c>
      <c r="AB8" s="39">
        <f>IFERROR(INDEX('Cal-CAPEX (정리)'!$B$69:$AF$73,MATCH(BSpUECB_세액공제액!$A8,'Cal-CAPEX (정리)'!$A$69:$A$73,0),MATCH(BSpUECB_세액공제액!AB$1,'Cal-CAPEX (정리)'!$B$68:$AF$68,0))*About!$B$93*'Cal-CAPEX (정리)'!$B$79/10,0)</f>
        <v>0</v>
      </c>
      <c r="AC8" s="39">
        <f>IFERROR(INDEX('Cal-CAPEX (정리)'!$B$69:$AF$73,MATCH(BSpUECB_세액공제액!$A8,'Cal-CAPEX (정리)'!$A$69:$A$73,0),MATCH(BSpUECB_세액공제액!AC$1,'Cal-CAPEX (정리)'!$B$68:$AF$68,0))*About!$B$93*'Cal-CAPEX (정리)'!$B$79/10,0)</f>
        <v>0</v>
      </c>
      <c r="AD8" s="39">
        <f>IFERROR(INDEX('Cal-CAPEX (정리)'!$B$69:$AF$73,MATCH(BSpUECB_세액공제액!$A8,'Cal-CAPEX (정리)'!$A$69:$A$73,0),MATCH(BSpUECB_세액공제액!AD$1,'Cal-CAPEX (정리)'!$B$68:$AF$68,0))*About!$B$93*'Cal-CAPEX (정리)'!$B$79/10,0)</f>
        <v>0</v>
      </c>
      <c r="AE8" s="39">
        <f>IFERROR(INDEX('Cal-CAPEX (정리)'!$B$69:$AF$73,MATCH(BSpUECB_세액공제액!$A8,'Cal-CAPEX (정리)'!$A$69:$A$73,0),MATCH(BSpUECB_세액공제액!AE$1,'Cal-CAPEX (정리)'!$B$68:$AF$68,0))*About!$B$93*'Cal-CAPEX (정리)'!$B$79/10,0)</f>
        <v>0</v>
      </c>
      <c r="AF8" s="39">
        <f>IFERROR(INDEX('Cal-CAPEX (정리)'!$B$69:$AF$73,MATCH(BSpUECB_세액공제액!$A8,'Cal-CAPEX (정리)'!$A$69:$A$73,0),MATCH(BSpUECB_세액공제액!AF$1,'Cal-CAPEX (정리)'!$B$68:$AF$68,0))*About!$B$93*'Cal-CAPEX (정리)'!$B$79/10,0)</f>
        <v>0</v>
      </c>
      <c r="AG8" s="39"/>
      <c r="AH8" s="39"/>
    </row>
    <row r="9" spans="1:34" ht="16.5" customHeight="1">
      <c r="A9" s="17" t="s">
        <v>186</v>
      </c>
      <c r="B9" s="39">
        <f>IFERROR(INDEX('Cal-CAPEX (정리)'!$B$69:$AF$73,MATCH(BSpUECB_세액공제액!$A9,'Cal-CAPEX (정리)'!$A$69:$A$73,0),MATCH(BSpUECB_세액공제액!B$1,'Cal-CAPEX (정리)'!$B$68:$AF$68,0))*About!$B$93*'Cal-CAPEX (정리)'!$B$79/10,0)</f>
        <v>6868.0316999999995</v>
      </c>
      <c r="C9" s="39">
        <f>IFERROR(INDEX('Cal-CAPEX (정리)'!$B$69:$AF$73,MATCH(BSpUECB_세액공제액!$A9,'Cal-CAPEX (정리)'!$A$69:$A$73,0),MATCH(BSpUECB_세액공제액!C$1,'Cal-CAPEX (정리)'!$B$68:$AF$68,0))*About!$B$93*'Cal-CAPEX (정리)'!$B$79/10,0)</f>
        <v>6868.0316999999995</v>
      </c>
      <c r="D9" s="39">
        <f>IFERROR(INDEX('Cal-CAPEX (정리)'!$B$69:$AF$73,MATCH(BSpUECB_세액공제액!$A9,'Cal-CAPEX (정리)'!$A$69:$A$73,0),MATCH(BSpUECB_세액공제액!D$1,'Cal-CAPEX (정리)'!$B$68:$AF$68,0))*About!$B$93*'Cal-CAPEX (정리)'!$B$79/10,0)</f>
        <v>6868.0316999999995</v>
      </c>
      <c r="E9" s="39">
        <f>IFERROR(INDEX('Cal-CAPEX (정리)'!$B$69:$AF$73,MATCH(BSpUECB_세액공제액!$A9,'Cal-CAPEX (정리)'!$A$69:$A$73,0),MATCH(BSpUECB_세액공제액!E$1,'Cal-CAPEX (정리)'!$B$68:$AF$68,0))*About!$B$93*'Cal-CAPEX (정리)'!$B$79/10,0)</f>
        <v>6868.0316999999995</v>
      </c>
      <c r="F9" s="39">
        <f>IFERROR(INDEX('Cal-CAPEX (정리)'!$B$69:$AF$73,MATCH(BSpUECB_세액공제액!$A9,'Cal-CAPEX (정리)'!$A$69:$A$73,0),MATCH(BSpUECB_세액공제액!F$1,'Cal-CAPEX (정리)'!$B$68:$AF$68,0))*About!$B$93*'Cal-CAPEX (정리)'!$B$79/10,0)</f>
        <v>6868.0316999999995</v>
      </c>
      <c r="G9" s="39">
        <f>IFERROR(INDEX('Cal-CAPEX (정리)'!$B$69:$AF$73,MATCH(BSpUECB_세액공제액!$A9,'Cal-CAPEX (정리)'!$A$69:$A$73,0),MATCH(BSpUECB_세액공제액!G$1,'Cal-CAPEX (정리)'!$B$68:$AF$68,0))*About!$B$93*'Cal-CAPEX (정리)'!$B$79/10,0)</f>
        <v>6868.0316999999995</v>
      </c>
      <c r="H9" s="39">
        <f>IFERROR(INDEX('Cal-CAPEX (정리)'!$B$69:$AF$73,MATCH(BSpUECB_세액공제액!$A9,'Cal-CAPEX (정리)'!$A$69:$A$73,0),MATCH(BSpUECB_세액공제액!H$1,'Cal-CAPEX (정리)'!$B$68:$AF$68,0))*About!$B$93*'Cal-CAPEX (정리)'!$B$79/10,0)</f>
        <v>6868.0316999999995</v>
      </c>
      <c r="I9" s="39">
        <f>IFERROR(INDEX('Cal-CAPEX (정리)'!$B$69:$AF$73,MATCH(BSpUECB_세액공제액!$A9,'Cal-CAPEX (정리)'!$A$69:$A$73,0),MATCH(BSpUECB_세액공제액!I$1,'Cal-CAPEX (정리)'!$B$68:$AF$68,0))*About!$B$93*'Cal-CAPEX (정리)'!$B$79/10,0)</f>
        <v>6868.0316999999995</v>
      </c>
      <c r="J9" s="39">
        <f>IFERROR(INDEX('Cal-CAPEX (정리)'!$B$69:$AF$73,MATCH(BSpUECB_세액공제액!$A9,'Cal-CAPEX (정리)'!$A$69:$A$73,0),MATCH(BSpUECB_세액공제액!J$1,'Cal-CAPEX (정리)'!$B$68:$AF$68,0))*About!$B$93*'Cal-CAPEX (정리)'!$B$79/10,0)</f>
        <v>6868.0316999999995</v>
      </c>
      <c r="K9" s="39">
        <f>IFERROR(INDEX('Cal-CAPEX (정리)'!$B$69:$AF$73,MATCH(BSpUECB_세액공제액!$A9,'Cal-CAPEX (정리)'!$A$69:$A$73,0),MATCH(BSpUECB_세액공제액!K$1,'Cal-CAPEX (정리)'!$B$68:$AF$68,0))*About!$B$93*'Cal-CAPEX (정리)'!$B$79/10,0)</f>
        <v>6868.0316999999995</v>
      </c>
      <c r="L9" s="39">
        <f>IFERROR(INDEX('Cal-CAPEX (정리)'!$B$69:$AF$73,MATCH(BSpUECB_세액공제액!$A9,'Cal-CAPEX (정리)'!$A$69:$A$73,0),MATCH(BSpUECB_세액공제액!L$1,'Cal-CAPEX (정리)'!$B$68:$AF$68,0))*About!$B$93*'Cal-CAPEX (정리)'!$B$79/10,0)</f>
        <v>6868.0316999999995</v>
      </c>
      <c r="M9" s="39">
        <f>IFERROR(INDEX('Cal-CAPEX (정리)'!$B$69:$AF$73,MATCH(BSpUECB_세액공제액!$A9,'Cal-CAPEX (정리)'!$A$69:$A$73,0),MATCH(BSpUECB_세액공제액!M$1,'Cal-CAPEX (정리)'!$B$68:$AF$68,0))*About!$B$93*'Cal-CAPEX (정리)'!$B$79/10,0)</f>
        <v>6868.0316999999995</v>
      </c>
      <c r="N9" s="39">
        <f>IFERROR(INDEX('Cal-CAPEX (정리)'!$B$69:$AF$73,MATCH(BSpUECB_세액공제액!$A9,'Cal-CAPEX (정리)'!$A$69:$A$73,0),MATCH(BSpUECB_세액공제액!N$1,'Cal-CAPEX (정리)'!$B$68:$AF$68,0))*About!$B$93*'Cal-CAPEX (정리)'!$B$79/10,0)</f>
        <v>6868.0316999999995</v>
      </c>
      <c r="O9" s="39">
        <f>IFERROR(INDEX('Cal-CAPEX (정리)'!$B$69:$AF$73,MATCH(BSpUECB_세액공제액!$A9,'Cal-CAPEX (정리)'!$A$69:$A$73,0),MATCH(BSpUECB_세액공제액!O$1,'Cal-CAPEX (정리)'!$B$68:$AF$68,0))*About!$B$93*'Cal-CAPEX (정리)'!$B$79/10,0)</f>
        <v>6868.0316999999995</v>
      </c>
      <c r="P9" s="39">
        <f>IFERROR(INDEX('Cal-CAPEX (정리)'!$B$69:$AF$73,MATCH(BSpUECB_세액공제액!$A9,'Cal-CAPEX (정리)'!$A$69:$A$73,0),MATCH(BSpUECB_세액공제액!P$1,'Cal-CAPEX (정리)'!$B$68:$AF$68,0))*About!$B$93*'Cal-CAPEX (정리)'!$B$79/10,0)</f>
        <v>6868.0316999999995</v>
      </c>
      <c r="Q9" s="39">
        <f>IFERROR(INDEX('Cal-CAPEX (정리)'!$B$69:$AF$73,MATCH(BSpUECB_세액공제액!$A9,'Cal-CAPEX (정리)'!$A$69:$A$73,0),MATCH(BSpUECB_세액공제액!Q$1,'Cal-CAPEX (정리)'!$B$68:$AF$68,0))*About!$B$93*'Cal-CAPEX (정리)'!$B$79/10,0)</f>
        <v>6868.0316999999995</v>
      </c>
      <c r="R9" s="39">
        <f>IFERROR(INDEX('Cal-CAPEX (정리)'!$B$69:$AF$73,MATCH(BSpUECB_세액공제액!$A9,'Cal-CAPEX (정리)'!$A$69:$A$73,0),MATCH(BSpUECB_세액공제액!R$1,'Cal-CAPEX (정리)'!$B$68:$AF$68,0))*About!$B$93*'Cal-CAPEX (정리)'!$B$79/10,0)</f>
        <v>6868.0316999999995</v>
      </c>
      <c r="S9" s="39">
        <f>IFERROR(INDEX('Cal-CAPEX (정리)'!$B$69:$AF$73,MATCH(BSpUECB_세액공제액!$A9,'Cal-CAPEX (정리)'!$A$69:$A$73,0),MATCH(BSpUECB_세액공제액!S$1,'Cal-CAPEX (정리)'!$B$68:$AF$68,0))*About!$B$93*'Cal-CAPEX (정리)'!$B$79/10,0)</f>
        <v>6868.0316999999995</v>
      </c>
      <c r="T9" s="39">
        <f>IFERROR(INDEX('Cal-CAPEX (정리)'!$B$69:$AF$73,MATCH(BSpUECB_세액공제액!$A9,'Cal-CAPEX (정리)'!$A$69:$A$73,0),MATCH(BSpUECB_세액공제액!T$1,'Cal-CAPEX (정리)'!$B$68:$AF$68,0))*About!$B$93*'Cal-CAPEX (정리)'!$B$79/10,0)</f>
        <v>6868.0316999999995</v>
      </c>
      <c r="U9" s="39">
        <f>IFERROR(INDEX('Cal-CAPEX (정리)'!$B$69:$AF$73,MATCH(BSpUECB_세액공제액!$A9,'Cal-CAPEX (정리)'!$A$69:$A$73,0),MATCH(BSpUECB_세액공제액!U$1,'Cal-CAPEX (정리)'!$B$68:$AF$68,0))*About!$B$93*'Cal-CAPEX (정리)'!$B$79/10,0)</f>
        <v>6868.0316999999995</v>
      </c>
      <c r="V9" s="39">
        <f>IFERROR(INDEX('Cal-CAPEX (정리)'!$B$69:$AF$73,MATCH(BSpUECB_세액공제액!$A9,'Cal-CAPEX (정리)'!$A$69:$A$73,0),MATCH(BSpUECB_세액공제액!V$1,'Cal-CAPEX (정리)'!$B$68:$AF$68,0))*About!$B$93*'Cal-CAPEX (정리)'!$B$79/10,0)</f>
        <v>6868.0316999999995</v>
      </c>
      <c r="W9" s="39">
        <f>IFERROR(INDEX('Cal-CAPEX (정리)'!$B$69:$AF$73,MATCH(BSpUECB_세액공제액!$A9,'Cal-CAPEX (정리)'!$A$69:$A$73,0),MATCH(BSpUECB_세액공제액!W$1,'Cal-CAPEX (정리)'!$B$68:$AF$68,0))*About!$B$93*'Cal-CAPEX (정리)'!$B$79/10,0)</f>
        <v>6868.0316999999995</v>
      </c>
      <c r="X9" s="39">
        <f>IFERROR(INDEX('Cal-CAPEX (정리)'!$B$69:$AF$73,MATCH(BSpUECB_세액공제액!$A9,'Cal-CAPEX (정리)'!$A$69:$A$73,0),MATCH(BSpUECB_세액공제액!X$1,'Cal-CAPEX (정리)'!$B$68:$AF$68,0))*About!$B$93*'Cal-CAPEX (정리)'!$B$79/10,0)</f>
        <v>6868.0316999999995</v>
      </c>
      <c r="Y9" s="39">
        <f>IFERROR(INDEX('Cal-CAPEX (정리)'!$B$69:$AF$73,MATCH(BSpUECB_세액공제액!$A9,'Cal-CAPEX (정리)'!$A$69:$A$73,0),MATCH(BSpUECB_세액공제액!Y$1,'Cal-CAPEX (정리)'!$B$68:$AF$68,0))*About!$B$93*'Cal-CAPEX (정리)'!$B$79/10,0)</f>
        <v>6868.0316999999995</v>
      </c>
      <c r="Z9" s="39">
        <f>IFERROR(INDEX('Cal-CAPEX (정리)'!$B$69:$AF$73,MATCH(BSpUECB_세액공제액!$A9,'Cal-CAPEX (정리)'!$A$69:$A$73,0),MATCH(BSpUECB_세액공제액!Z$1,'Cal-CAPEX (정리)'!$B$68:$AF$68,0))*About!$B$93*'Cal-CAPEX (정리)'!$B$79/10,0)</f>
        <v>6868.0316999999995</v>
      </c>
      <c r="AA9" s="39">
        <f>IFERROR(INDEX('Cal-CAPEX (정리)'!$B$69:$AF$73,MATCH(BSpUECB_세액공제액!$A9,'Cal-CAPEX (정리)'!$A$69:$A$73,0),MATCH(BSpUECB_세액공제액!AA$1,'Cal-CAPEX (정리)'!$B$68:$AF$68,0))*About!$B$93*'Cal-CAPEX (정리)'!$B$79/10,0)</f>
        <v>6868.0316999999995</v>
      </c>
      <c r="AB9" s="39">
        <f>IFERROR(INDEX('Cal-CAPEX (정리)'!$B$69:$AF$73,MATCH(BSpUECB_세액공제액!$A9,'Cal-CAPEX (정리)'!$A$69:$A$73,0),MATCH(BSpUECB_세액공제액!AB$1,'Cal-CAPEX (정리)'!$B$68:$AF$68,0))*About!$B$93*'Cal-CAPEX (정리)'!$B$79/10,0)</f>
        <v>6868.0316999999995</v>
      </c>
      <c r="AC9" s="39">
        <f>IFERROR(INDEX('Cal-CAPEX (정리)'!$B$69:$AF$73,MATCH(BSpUECB_세액공제액!$A9,'Cal-CAPEX (정리)'!$A$69:$A$73,0),MATCH(BSpUECB_세액공제액!AC$1,'Cal-CAPEX (정리)'!$B$68:$AF$68,0))*About!$B$93*'Cal-CAPEX (정리)'!$B$79/10,0)</f>
        <v>6868.0316999999995</v>
      </c>
      <c r="AD9" s="39">
        <f>IFERROR(INDEX('Cal-CAPEX (정리)'!$B$69:$AF$73,MATCH(BSpUECB_세액공제액!$A9,'Cal-CAPEX (정리)'!$A$69:$A$73,0),MATCH(BSpUECB_세액공제액!AD$1,'Cal-CAPEX (정리)'!$B$68:$AF$68,0))*About!$B$93*'Cal-CAPEX (정리)'!$B$79/10,0)</f>
        <v>6868.0316999999995</v>
      </c>
      <c r="AE9" s="39">
        <f>IFERROR(INDEX('Cal-CAPEX (정리)'!$B$69:$AF$73,MATCH(BSpUECB_세액공제액!$A9,'Cal-CAPEX (정리)'!$A$69:$A$73,0),MATCH(BSpUECB_세액공제액!AE$1,'Cal-CAPEX (정리)'!$B$68:$AF$68,0))*About!$B$93*'Cal-CAPEX (정리)'!$B$79/10,0)</f>
        <v>6868.0316999999995</v>
      </c>
      <c r="AF9" s="39">
        <f>IFERROR(INDEX('Cal-CAPEX (정리)'!$B$69:$AF$73,MATCH(BSpUECB_세액공제액!$A9,'Cal-CAPEX (정리)'!$A$69:$A$73,0),MATCH(BSpUECB_세액공제액!AF$1,'Cal-CAPEX (정리)'!$B$68:$AF$68,0))*About!$B$93*'Cal-CAPEX (정리)'!$B$79/10,0)</f>
        <v>6868.0316999999995</v>
      </c>
      <c r="AG9" s="39"/>
      <c r="AH9" s="39"/>
    </row>
    <row r="10" spans="1:34" ht="16.5" customHeight="1">
      <c r="A10" s="17" t="s">
        <v>187</v>
      </c>
      <c r="B10" s="39">
        <f>IFERROR(INDEX('Cal-CAPEX (정리)'!$B$69:$AF$73,MATCH(BSpUECB_세액공제액!$A10,'Cal-CAPEX (정리)'!$A$69:$A$73,0),MATCH(BSpUECB_세액공제액!B$1,'Cal-CAPEX (정리)'!$B$68:$AF$68,0))*About!$B$93*'Cal-CAPEX (정리)'!$B$79/10,0)</f>
        <v>0</v>
      </c>
      <c r="C10" s="39">
        <f>IFERROR(INDEX('Cal-CAPEX (정리)'!$B$69:$AF$73,MATCH(BSpUECB_세액공제액!$A10,'Cal-CAPEX (정리)'!$A$69:$A$73,0),MATCH(BSpUECB_세액공제액!C$1,'Cal-CAPEX (정리)'!$B$68:$AF$68,0))*About!$B$93*'Cal-CAPEX (정리)'!$B$79/10,0)</f>
        <v>0</v>
      </c>
      <c r="D10" s="39">
        <f>IFERROR(INDEX('Cal-CAPEX (정리)'!$B$69:$AF$73,MATCH(BSpUECB_세액공제액!$A10,'Cal-CAPEX (정리)'!$A$69:$A$73,0),MATCH(BSpUECB_세액공제액!D$1,'Cal-CAPEX (정리)'!$B$68:$AF$68,0))*About!$B$93*'Cal-CAPEX (정리)'!$B$79/10,0)</f>
        <v>0</v>
      </c>
      <c r="E10" s="39">
        <f>IFERROR(INDEX('Cal-CAPEX (정리)'!$B$69:$AF$73,MATCH(BSpUECB_세액공제액!$A10,'Cal-CAPEX (정리)'!$A$69:$A$73,0),MATCH(BSpUECB_세액공제액!E$1,'Cal-CAPEX (정리)'!$B$68:$AF$68,0))*About!$B$93*'Cal-CAPEX (정리)'!$B$79/10,0)</f>
        <v>0</v>
      </c>
      <c r="F10" s="39">
        <f>IFERROR(INDEX('Cal-CAPEX (정리)'!$B$69:$AF$73,MATCH(BSpUECB_세액공제액!$A10,'Cal-CAPEX (정리)'!$A$69:$A$73,0),MATCH(BSpUECB_세액공제액!F$1,'Cal-CAPEX (정리)'!$B$68:$AF$68,0))*About!$B$93*'Cal-CAPEX (정리)'!$B$79/10,0)</f>
        <v>0</v>
      </c>
      <c r="G10" s="39">
        <f>IFERROR(INDEX('Cal-CAPEX (정리)'!$B$69:$AF$73,MATCH(BSpUECB_세액공제액!$A10,'Cal-CAPEX (정리)'!$A$69:$A$73,0),MATCH(BSpUECB_세액공제액!G$1,'Cal-CAPEX (정리)'!$B$68:$AF$68,0))*About!$B$93*'Cal-CAPEX (정리)'!$B$79/10,0)</f>
        <v>0</v>
      </c>
      <c r="H10" s="39">
        <f>IFERROR(INDEX('Cal-CAPEX (정리)'!$B$69:$AF$73,MATCH(BSpUECB_세액공제액!$A10,'Cal-CAPEX (정리)'!$A$69:$A$73,0),MATCH(BSpUECB_세액공제액!H$1,'Cal-CAPEX (정리)'!$B$68:$AF$68,0))*About!$B$93*'Cal-CAPEX (정리)'!$B$79/10,0)</f>
        <v>0</v>
      </c>
      <c r="I10" s="39">
        <f>IFERROR(INDEX('Cal-CAPEX (정리)'!$B$69:$AF$73,MATCH(BSpUECB_세액공제액!$A10,'Cal-CAPEX (정리)'!$A$69:$A$73,0),MATCH(BSpUECB_세액공제액!I$1,'Cal-CAPEX (정리)'!$B$68:$AF$68,0))*About!$B$93*'Cal-CAPEX (정리)'!$B$79/10,0)</f>
        <v>0</v>
      </c>
      <c r="J10" s="39">
        <f>IFERROR(INDEX('Cal-CAPEX (정리)'!$B$69:$AF$73,MATCH(BSpUECB_세액공제액!$A10,'Cal-CAPEX (정리)'!$A$69:$A$73,0),MATCH(BSpUECB_세액공제액!J$1,'Cal-CAPEX (정리)'!$B$68:$AF$68,0))*About!$B$93*'Cal-CAPEX (정리)'!$B$79/10,0)</f>
        <v>0</v>
      </c>
      <c r="K10" s="39">
        <f>IFERROR(INDEX('Cal-CAPEX (정리)'!$B$69:$AF$73,MATCH(BSpUECB_세액공제액!$A10,'Cal-CAPEX (정리)'!$A$69:$A$73,0),MATCH(BSpUECB_세액공제액!K$1,'Cal-CAPEX (정리)'!$B$68:$AF$68,0))*About!$B$93*'Cal-CAPEX (정리)'!$B$79/10,0)</f>
        <v>0</v>
      </c>
      <c r="L10" s="39">
        <f>IFERROR(INDEX('Cal-CAPEX (정리)'!$B$69:$AF$73,MATCH(BSpUECB_세액공제액!$A10,'Cal-CAPEX (정리)'!$A$69:$A$73,0),MATCH(BSpUECB_세액공제액!L$1,'Cal-CAPEX (정리)'!$B$68:$AF$68,0))*About!$B$93*'Cal-CAPEX (정리)'!$B$79/10,0)</f>
        <v>0</v>
      </c>
      <c r="M10" s="39">
        <f>IFERROR(INDEX('Cal-CAPEX (정리)'!$B$69:$AF$73,MATCH(BSpUECB_세액공제액!$A10,'Cal-CAPEX (정리)'!$A$69:$A$73,0),MATCH(BSpUECB_세액공제액!M$1,'Cal-CAPEX (정리)'!$B$68:$AF$68,0))*About!$B$93*'Cal-CAPEX (정리)'!$B$79/10,0)</f>
        <v>0</v>
      </c>
      <c r="N10" s="39">
        <f>IFERROR(INDEX('Cal-CAPEX (정리)'!$B$69:$AF$73,MATCH(BSpUECB_세액공제액!$A10,'Cal-CAPEX (정리)'!$A$69:$A$73,0),MATCH(BSpUECB_세액공제액!N$1,'Cal-CAPEX (정리)'!$B$68:$AF$68,0))*About!$B$93*'Cal-CAPEX (정리)'!$B$79/10,0)</f>
        <v>0</v>
      </c>
      <c r="O10" s="39">
        <f>IFERROR(INDEX('Cal-CAPEX (정리)'!$B$69:$AF$73,MATCH(BSpUECB_세액공제액!$A10,'Cal-CAPEX (정리)'!$A$69:$A$73,0),MATCH(BSpUECB_세액공제액!O$1,'Cal-CAPEX (정리)'!$B$68:$AF$68,0))*About!$B$93*'Cal-CAPEX (정리)'!$B$79/10,0)</f>
        <v>0</v>
      </c>
      <c r="P10" s="39">
        <f>IFERROR(INDEX('Cal-CAPEX (정리)'!$B$69:$AF$73,MATCH(BSpUECB_세액공제액!$A10,'Cal-CAPEX (정리)'!$A$69:$A$73,0),MATCH(BSpUECB_세액공제액!P$1,'Cal-CAPEX (정리)'!$B$68:$AF$68,0))*About!$B$93*'Cal-CAPEX (정리)'!$B$79/10,0)</f>
        <v>0</v>
      </c>
      <c r="Q10" s="39">
        <f>IFERROR(INDEX('Cal-CAPEX (정리)'!$B$69:$AF$73,MATCH(BSpUECB_세액공제액!$A10,'Cal-CAPEX (정리)'!$A$69:$A$73,0),MATCH(BSpUECB_세액공제액!Q$1,'Cal-CAPEX (정리)'!$B$68:$AF$68,0))*About!$B$93*'Cal-CAPEX (정리)'!$B$79/10,0)</f>
        <v>0</v>
      </c>
      <c r="R10" s="39">
        <f>IFERROR(INDEX('Cal-CAPEX (정리)'!$B$69:$AF$73,MATCH(BSpUECB_세액공제액!$A10,'Cal-CAPEX (정리)'!$A$69:$A$73,0),MATCH(BSpUECB_세액공제액!R$1,'Cal-CAPEX (정리)'!$B$68:$AF$68,0))*About!$B$93*'Cal-CAPEX (정리)'!$B$79/10,0)</f>
        <v>0</v>
      </c>
      <c r="S10" s="39">
        <f>IFERROR(INDEX('Cal-CAPEX (정리)'!$B$69:$AF$73,MATCH(BSpUECB_세액공제액!$A10,'Cal-CAPEX (정리)'!$A$69:$A$73,0),MATCH(BSpUECB_세액공제액!S$1,'Cal-CAPEX (정리)'!$B$68:$AF$68,0))*About!$B$93*'Cal-CAPEX (정리)'!$B$79/10,0)</f>
        <v>0</v>
      </c>
      <c r="T10" s="39">
        <f>IFERROR(INDEX('Cal-CAPEX (정리)'!$B$69:$AF$73,MATCH(BSpUECB_세액공제액!$A10,'Cal-CAPEX (정리)'!$A$69:$A$73,0),MATCH(BSpUECB_세액공제액!T$1,'Cal-CAPEX (정리)'!$B$68:$AF$68,0))*About!$B$93*'Cal-CAPEX (정리)'!$B$79/10,0)</f>
        <v>0</v>
      </c>
      <c r="U10" s="39">
        <f>IFERROR(INDEX('Cal-CAPEX (정리)'!$B$69:$AF$73,MATCH(BSpUECB_세액공제액!$A10,'Cal-CAPEX (정리)'!$A$69:$A$73,0),MATCH(BSpUECB_세액공제액!U$1,'Cal-CAPEX (정리)'!$B$68:$AF$68,0))*About!$B$93*'Cal-CAPEX (정리)'!$B$79/10,0)</f>
        <v>0</v>
      </c>
      <c r="V10" s="39">
        <f>IFERROR(INDEX('Cal-CAPEX (정리)'!$B$69:$AF$73,MATCH(BSpUECB_세액공제액!$A10,'Cal-CAPEX (정리)'!$A$69:$A$73,0),MATCH(BSpUECB_세액공제액!V$1,'Cal-CAPEX (정리)'!$B$68:$AF$68,0))*About!$B$93*'Cal-CAPEX (정리)'!$B$79/10,0)</f>
        <v>0</v>
      </c>
      <c r="W10" s="39">
        <f>IFERROR(INDEX('Cal-CAPEX (정리)'!$B$69:$AF$73,MATCH(BSpUECB_세액공제액!$A10,'Cal-CAPEX (정리)'!$A$69:$A$73,0),MATCH(BSpUECB_세액공제액!W$1,'Cal-CAPEX (정리)'!$B$68:$AF$68,0))*About!$B$93*'Cal-CAPEX (정리)'!$B$79/10,0)</f>
        <v>0</v>
      </c>
      <c r="X10" s="39">
        <f>IFERROR(INDEX('Cal-CAPEX (정리)'!$B$69:$AF$73,MATCH(BSpUECB_세액공제액!$A10,'Cal-CAPEX (정리)'!$A$69:$A$73,0),MATCH(BSpUECB_세액공제액!X$1,'Cal-CAPEX (정리)'!$B$68:$AF$68,0))*About!$B$93*'Cal-CAPEX (정리)'!$B$79/10,0)</f>
        <v>0</v>
      </c>
      <c r="Y10" s="39">
        <f>IFERROR(INDEX('Cal-CAPEX (정리)'!$B$69:$AF$73,MATCH(BSpUECB_세액공제액!$A10,'Cal-CAPEX (정리)'!$A$69:$A$73,0),MATCH(BSpUECB_세액공제액!Y$1,'Cal-CAPEX (정리)'!$B$68:$AF$68,0))*About!$B$93*'Cal-CAPEX (정리)'!$B$79/10,0)</f>
        <v>0</v>
      </c>
      <c r="Z10" s="39">
        <f>IFERROR(INDEX('Cal-CAPEX (정리)'!$B$69:$AF$73,MATCH(BSpUECB_세액공제액!$A10,'Cal-CAPEX (정리)'!$A$69:$A$73,0),MATCH(BSpUECB_세액공제액!Z$1,'Cal-CAPEX (정리)'!$B$68:$AF$68,0))*About!$B$93*'Cal-CAPEX (정리)'!$B$79/10,0)</f>
        <v>0</v>
      </c>
      <c r="AA10" s="39">
        <f>IFERROR(INDEX('Cal-CAPEX (정리)'!$B$69:$AF$73,MATCH(BSpUECB_세액공제액!$A10,'Cal-CAPEX (정리)'!$A$69:$A$73,0),MATCH(BSpUECB_세액공제액!AA$1,'Cal-CAPEX (정리)'!$B$68:$AF$68,0))*About!$B$93*'Cal-CAPEX (정리)'!$B$79/10,0)</f>
        <v>0</v>
      </c>
      <c r="AB10" s="39">
        <f>IFERROR(INDEX('Cal-CAPEX (정리)'!$B$69:$AF$73,MATCH(BSpUECB_세액공제액!$A10,'Cal-CAPEX (정리)'!$A$69:$A$73,0),MATCH(BSpUECB_세액공제액!AB$1,'Cal-CAPEX (정리)'!$B$68:$AF$68,0))*About!$B$93*'Cal-CAPEX (정리)'!$B$79/10,0)</f>
        <v>0</v>
      </c>
      <c r="AC10" s="39">
        <f>IFERROR(INDEX('Cal-CAPEX (정리)'!$B$69:$AF$73,MATCH(BSpUECB_세액공제액!$A10,'Cal-CAPEX (정리)'!$A$69:$A$73,0),MATCH(BSpUECB_세액공제액!AC$1,'Cal-CAPEX (정리)'!$B$68:$AF$68,0))*About!$B$93*'Cal-CAPEX (정리)'!$B$79/10,0)</f>
        <v>0</v>
      </c>
      <c r="AD10" s="39">
        <f>IFERROR(INDEX('Cal-CAPEX (정리)'!$B$69:$AF$73,MATCH(BSpUECB_세액공제액!$A10,'Cal-CAPEX (정리)'!$A$69:$A$73,0),MATCH(BSpUECB_세액공제액!AD$1,'Cal-CAPEX (정리)'!$B$68:$AF$68,0))*About!$B$93*'Cal-CAPEX (정리)'!$B$79/10,0)</f>
        <v>0</v>
      </c>
      <c r="AE10" s="39">
        <f>IFERROR(INDEX('Cal-CAPEX (정리)'!$B$69:$AF$73,MATCH(BSpUECB_세액공제액!$A10,'Cal-CAPEX (정리)'!$A$69:$A$73,0),MATCH(BSpUECB_세액공제액!AE$1,'Cal-CAPEX (정리)'!$B$68:$AF$68,0))*About!$B$93*'Cal-CAPEX (정리)'!$B$79/10,0)</f>
        <v>0</v>
      </c>
      <c r="AF10" s="39">
        <f>IFERROR(INDEX('Cal-CAPEX (정리)'!$B$69:$AF$73,MATCH(BSpUECB_세액공제액!$A10,'Cal-CAPEX (정리)'!$A$69:$A$73,0),MATCH(BSpUECB_세액공제액!AF$1,'Cal-CAPEX (정리)'!$B$68:$AF$68,0))*About!$B$93*'Cal-CAPEX (정리)'!$B$79/10,0)</f>
        <v>0</v>
      </c>
      <c r="AG10" s="39"/>
      <c r="AH10" s="39"/>
    </row>
    <row r="11" spans="1:34" ht="16.5" customHeight="1">
      <c r="A11" s="17" t="s">
        <v>188</v>
      </c>
      <c r="B11" s="39">
        <f>IFERROR(INDEX('Cal-CAPEX (정리)'!$B$69:$AF$73,MATCH(BSpUECB_세액공제액!$A11,'Cal-CAPEX (정리)'!$A$69:$A$73,0),MATCH(BSpUECB_세액공제액!B$1,'Cal-CAPEX (정리)'!$B$68:$AF$68,0))*About!$B$93*'Cal-CAPEX (정리)'!$B$79/10,0)</f>
        <v>0</v>
      </c>
      <c r="C11" s="39">
        <f>IFERROR(INDEX('Cal-CAPEX (정리)'!$B$69:$AF$73,MATCH(BSpUECB_세액공제액!$A11,'Cal-CAPEX (정리)'!$A$69:$A$73,0),MATCH(BSpUECB_세액공제액!C$1,'Cal-CAPEX (정리)'!$B$68:$AF$68,0))*About!$B$93*'Cal-CAPEX (정리)'!$B$79/10,0)</f>
        <v>0</v>
      </c>
      <c r="D11" s="39">
        <f>IFERROR(INDEX('Cal-CAPEX (정리)'!$B$69:$AF$73,MATCH(BSpUECB_세액공제액!$A11,'Cal-CAPEX (정리)'!$A$69:$A$73,0),MATCH(BSpUECB_세액공제액!D$1,'Cal-CAPEX (정리)'!$B$68:$AF$68,0))*About!$B$93*'Cal-CAPEX (정리)'!$B$79/10,0)</f>
        <v>0</v>
      </c>
      <c r="E11" s="39">
        <f>IFERROR(INDEX('Cal-CAPEX (정리)'!$B$69:$AF$73,MATCH(BSpUECB_세액공제액!$A11,'Cal-CAPEX (정리)'!$A$69:$A$73,0),MATCH(BSpUECB_세액공제액!E$1,'Cal-CAPEX (정리)'!$B$68:$AF$68,0))*About!$B$93*'Cal-CAPEX (정리)'!$B$79/10,0)</f>
        <v>0</v>
      </c>
      <c r="F11" s="39">
        <f>IFERROR(INDEX('Cal-CAPEX (정리)'!$B$69:$AF$73,MATCH(BSpUECB_세액공제액!$A11,'Cal-CAPEX (정리)'!$A$69:$A$73,0),MATCH(BSpUECB_세액공제액!F$1,'Cal-CAPEX (정리)'!$B$68:$AF$68,0))*About!$B$93*'Cal-CAPEX (정리)'!$B$79/10,0)</f>
        <v>0</v>
      </c>
      <c r="G11" s="39">
        <f>IFERROR(INDEX('Cal-CAPEX (정리)'!$B$69:$AF$73,MATCH(BSpUECB_세액공제액!$A11,'Cal-CAPEX (정리)'!$A$69:$A$73,0),MATCH(BSpUECB_세액공제액!G$1,'Cal-CAPEX (정리)'!$B$68:$AF$68,0))*About!$B$93*'Cal-CAPEX (정리)'!$B$79/10,0)</f>
        <v>0</v>
      </c>
      <c r="H11" s="39">
        <f>IFERROR(INDEX('Cal-CAPEX (정리)'!$B$69:$AF$73,MATCH(BSpUECB_세액공제액!$A11,'Cal-CAPEX (정리)'!$A$69:$A$73,0),MATCH(BSpUECB_세액공제액!H$1,'Cal-CAPEX (정리)'!$B$68:$AF$68,0))*About!$B$93*'Cal-CAPEX (정리)'!$B$79/10,0)</f>
        <v>0</v>
      </c>
      <c r="I11" s="39">
        <f>IFERROR(INDEX('Cal-CAPEX (정리)'!$B$69:$AF$73,MATCH(BSpUECB_세액공제액!$A11,'Cal-CAPEX (정리)'!$A$69:$A$73,0),MATCH(BSpUECB_세액공제액!I$1,'Cal-CAPEX (정리)'!$B$68:$AF$68,0))*About!$B$93*'Cal-CAPEX (정리)'!$B$79/10,0)</f>
        <v>0</v>
      </c>
      <c r="J11" s="39">
        <f>IFERROR(INDEX('Cal-CAPEX (정리)'!$B$69:$AF$73,MATCH(BSpUECB_세액공제액!$A11,'Cal-CAPEX (정리)'!$A$69:$A$73,0),MATCH(BSpUECB_세액공제액!J$1,'Cal-CAPEX (정리)'!$B$68:$AF$68,0))*About!$B$93*'Cal-CAPEX (정리)'!$B$79/10,0)</f>
        <v>0</v>
      </c>
      <c r="K11" s="39">
        <f>IFERROR(INDEX('Cal-CAPEX (정리)'!$B$69:$AF$73,MATCH(BSpUECB_세액공제액!$A11,'Cal-CAPEX (정리)'!$A$69:$A$73,0),MATCH(BSpUECB_세액공제액!K$1,'Cal-CAPEX (정리)'!$B$68:$AF$68,0))*About!$B$93*'Cal-CAPEX (정리)'!$B$79/10,0)</f>
        <v>0</v>
      </c>
      <c r="L11" s="39">
        <f>IFERROR(INDEX('Cal-CAPEX (정리)'!$B$69:$AF$73,MATCH(BSpUECB_세액공제액!$A11,'Cal-CAPEX (정리)'!$A$69:$A$73,0),MATCH(BSpUECB_세액공제액!L$1,'Cal-CAPEX (정리)'!$B$68:$AF$68,0))*About!$B$93*'Cal-CAPEX (정리)'!$B$79/10,0)</f>
        <v>0</v>
      </c>
      <c r="M11" s="39">
        <f>IFERROR(INDEX('Cal-CAPEX (정리)'!$B$69:$AF$73,MATCH(BSpUECB_세액공제액!$A11,'Cal-CAPEX (정리)'!$A$69:$A$73,0),MATCH(BSpUECB_세액공제액!M$1,'Cal-CAPEX (정리)'!$B$68:$AF$68,0))*About!$B$93*'Cal-CAPEX (정리)'!$B$79/10,0)</f>
        <v>0</v>
      </c>
      <c r="N11" s="39">
        <f>IFERROR(INDEX('Cal-CAPEX (정리)'!$B$69:$AF$73,MATCH(BSpUECB_세액공제액!$A11,'Cal-CAPEX (정리)'!$A$69:$A$73,0),MATCH(BSpUECB_세액공제액!N$1,'Cal-CAPEX (정리)'!$B$68:$AF$68,0))*About!$B$93*'Cal-CAPEX (정리)'!$B$79/10,0)</f>
        <v>0</v>
      </c>
      <c r="O11" s="39">
        <f>IFERROR(INDEX('Cal-CAPEX (정리)'!$B$69:$AF$73,MATCH(BSpUECB_세액공제액!$A11,'Cal-CAPEX (정리)'!$A$69:$A$73,0),MATCH(BSpUECB_세액공제액!O$1,'Cal-CAPEX (정리)'!$B$68:$AF$68,0))*About!$B$93*'Cal-CAPEX (정리)'!$B$79/10,0)</f>
        <v>0</v>
      </c>
      <c r="P11" s="39">
        <f>IFERROR(INDEX('Cal-CAPEX (정리)'!$B$69:$AF$73,MATCH(BSpUECB_세액공제액!$A11,'Cal-CAPEX (정리)'!$A$69:$A$73,0),MATCH(BSpUECB_세액공제액!P$1,'Cal-CAPEX (정리)'!$B$68:$AF$68,0))*About!$B$93*'Cal-CAPEX (정리)'!$B$79/10,0)</f>
        <v>0</v>
      </c>
      <c r="Q11" s="39">
        <f>IFERROR(INDEX('Cal-CAPEX (정리)'!$B$69:$AF$73,MATCH(BSpUECB_세액공제액!$A11,'Cal-CAPEX (정리)'!$A$69:$A$73,0),MATCH(BSpUECB_세액공제액!Q$1,'Cal-CAPEX (정리)'!$B$68:$AF$68,0))*About!$B$93*'Cal-CAPEX (정리)'!$B$79/10,0)</f>
        <v>0</v>
      </c>
      <c r="R11" s="39">
        <f>IFERROR(INDEX('Cal-CAPEX (정리)'!$B$69:$AF$73,MATCH(BSpUECB_세액공제액!$A11,'Cal-CAPEX (정리)'!$A$69:$A$73,0),MATCH(BSpUECB_세액공제액!R$1,'Cal-CAPEX (정리)'!$B$68:$AF$68,0))*About!$B$93*'Cal-CAPEX (정리)'!$B$79/10,0)</f>
        <v>0</v>
      </c>
      <c r="S11" s="39">
        <f>IFERROR(INDEX('Cal-CAPEX (정리)'!$B$69:$AF$73,MATCH(BSpUECB_세액공제액!$A11,'Cal-CAPEX (정리)'!$A$69:$A$73,0),MATCH(BSpUECB_세액공제액!S$1,'Cal-CAPEX (정리)'!$B$68:$AF$68,0))*About!$B$93*'Cal-CAPEX (정리)'!$B$79/10,0)</f>
        <v>0</v>
      </c>
      <c r="T11" s="39">
        <f>IFERROR(INDEX('Cal-CAPEX (정리)'!$B$69:$AF$73,MATCH(BSpUECB_세액공제액!$A11,'Cal-CAPEX (정리)'!$A$69:$A$73,0),MATCH(BSpUECB_세액공제액!T$1,'Cal-CAPEX (정리)'!$B$68:$AF$68,0))*About!$B$93*'Cal-CAPEX (정리)'!$B$79/10,0)</f>
        <v>0</v>
      </c>
      <c r="U11" s="39">
        <f>IFERROR(INDEX('Cal-CAPEX (정리)'!$B$69:$AF$73,MATCH(BSpUECB_세액공제액!$A11,'Cal-CAPEX (정리)'!$A$69:$A$73,0),MATCH(BSpUECB_세액공제액!U$1,'Cal-CAPEX (정리)'!$B$68:$AF$68,0))*About!$B$93*'Cal-CAPEX (정리)'!$B$79/10,0)</f>
        <v>0</v>
      </c>
      <c r="V11" s="39">
        <f>IFERROR(INDEX('Cal-CAPEX (정리)'!$B$69:$AF$73,MATCH(BSpUECB_세액공제액!$A11,'Cal-CAPEX (정리)'!$A$69:$A$73,0),MATCH(BSpUECB_세액공제액!V$1,'Cal-CAPEX (정리)'!$B$68:$AF$68,0))*About!$B$93*'Cal-CAPEX (정리)'!$B$79/10,0)</f>
        <v>0</v>
      </c>
      <c r="W11" s="39">
        <f>IFERROR(INDEX('Cal-CAPEX (정리)'!$B$69:$AF$73,MATCH(BSpUECB_세액공제액!$A11,'Cal-CAPEX (정리)'!$A$69:$A$73,0),MATCH(BSpUECB_세액공제액!W$1,'Cal-CAPEX (정리)'!$B$68:$AF$68,0))*About!$B$93*'Cal-CAPEX (정리)'!$B$79/10,0)</f>
        <v>0</v>
      </c>
      <c r="X11" s="39">
        <f>IFERROR(INDEX('Cal-CAPEX (정리)'!$B$69:$AF$73,MATCH(BSpUECB_세액공제액!$A11,'Cal-CAPEX (정리)'!$A$69:$A$73,0),MATCH(BSpUECB_세액공제액!X$1,'Cal-CAPEX (정리)'!$B$68:$AF$68,0))*About!$B$93*'Cal-CAPEX (정리)'!$B$79/10,0)</f>
        <v>0</v>
      </c>
      <c r="Y11" s="39">
        <f>IFERROR(INDEX('Cal-CAPEX (정리)'!$B$69:$AF$73,MATCH(BSpUECB_세액공제액!$A11,'Cal-CAPEX (정리)'!$A$69:$A$73,0),MATCH(BSpUECB_세액공제액!Y$1,'Cal-CAPEX (정리)'!$B$68:$AF$68,0))*About!$B$93*'Cal-CAPEX (정리)'!$B$79/10,0)</f>
        <v>0</v>
      </c>
      <c r="Z11" s="39">
        <f>IFERROR(INDEX('Cal-CAPEX (정리)'!$B$69:$AF$73,MATCH(BSpUECB_세액공제액!$A11,'Cal-CAPEX (정리)'!$A$69:$A$73,0),MATCH(BSpUECB_세액공제액!Z$1,'Cal-CAPEX (정리)'!$B$68:$AF$68,0))*About!$B$93*'Cal-CAPEX (정리)'!$B$79/10,0)</f>
        <v>0</v>
      </c>
      <c r="AA11" s="39">
        <f>IFERROR(INDEX('Cal-CAPEX (정리)'!$B$69:$AF$73,MATCH(BSpUECB_세액공제액!$A11,'Cal-CAPEX (정리)'!$A$69:$A$73,0),MATCH(BSpUECB_세액공제액!AA$1,'Cal-CAPEX (정리)'!$B$68:$AF$68,0))*About!$B$93*'Cal-CAPEX (정리)'!$B$79/10,0)</f>
        <v>0</v>
      </c>
      <c r="AB11" s="39">
        <f>IFERROR(INDEX('Cal-CAPEX (정리)'!$B$69:$AF$73,MATCH(BSpUECB_세액공제액!$A11,'Cal-CAPEX (정리)'!$A$69:$A$73,0),MATCH(BSpUECB_세액공제액!AB$1,'Cal-CAPEX (정리)'!$B$68:$AF$68,0))*About!$B$93*'Cal-CAPEX (정리)'!$B$79/10,0)</f>
        <v>0</v>
      </c>
      <c r="AC11" s="39">
        <f>IFERROR(INDEX('Cal-CAPEX (정리)'!$B$69:$AF$73,MATCH(BSpUECB_세액공제액!$A11,'Cal-CAPEX (정리)'!$A$69:$A$73,0),MATCH(BSpUECB_세액공제액!AC$1,'Cal-CAPEX (정리)'!$B$68:$AF$68,0))*About!$B$93*'Cal-CAPEX (정리)'!$B$79/10,0)</f>
        <v>0</v>
      </c>
      <c r="AD11" s="39">
        <f>IFERROR(INDEX('Cal-CAPEX (정리)'!$B$69:$AF$73,MATCH(BSpUECB_세액공제액!$A11,'Cal-CAPEX (정리)'!$A$69:$A$73,0),MATCH(BSpUECB_세액공제액!AD$1,'Cal-CAPEX (정리)'!$B$68:$AF$68,0))*About!$B$93*'Cal-CAPEX (정리)'!$B$79/10,0)</f>
        <v>0</v>
      </c>
      <c r="AE11" s="39">
        <f>IFERROR(INDEX('Cal-CAPEX (정리)'!$B$69:$AF$73,MATCH(BSpUECB_세액공제액!$A11,'Cal-CAPEX (정리)'!$A$69:$A$73,0),MATCH(BSpUECB_세액공제액!AE$1,'Cal-CAPEX (정리)'!$B$68:$AF$68,0))*About!$B$93*'Cal-CAPEX (정리)'!$B$79/10,0)</f>
        <v>0</v>
      </c>
      <c r="AF11" s="39">
        <f>IFERROR(INDEX('Cal-CAPEX (정리)'!$B$69:$AF$73,MATCH(BSpUECB_세액공제액!$A11,'Cal-CAPEX (정리)'!$A$69:$A$73,0),MATCH(BSpUECB_세액공제액!AF$1,'Cal-CAPEX (정리)'!$B$68:$AF$68,0))*About!$B$93*'Cal-CAPEX (정리)'!$B$79/10,0)</f>
        <v>0</v>
      </c>
      <c r="AG11" s="39"/>
      <c r="AH11" s="39"/>
    </row>
    <row r="12" spans="1:34" ht="16.5" customHeight="1">
      <c r="A12" s="17" t="s">
        <v>189</v>
      </c>
      <c r="B12" s="39">
        <f>IFERROR(INDEX('Cal-CAPEX (정리)'!$B$69:$AF$73,MATCH(BSpUECB_세액공제액!$A12,'Cal-CAPEX (정리)'!$A$69:$A$73,0),MATCH(BSpUECB_세액공제액!B$1,'Cal-CAPEX (정리)'!$B$68:$AF$68,0))*About!$B$93*'Cal-CAPEX (정리)'!$B$79/10,0)</f>
        <v>0</v>
      </c>
      <c r="C12" s="39">
        <f>IFERROR(INDEX('Cal-CAPEX (정리)'!$B$69:$AF$73,MATCH(BSpUECB_세액공제액!$A12,'Cal-CAPEX (정리)'!$A$69:$A$73,0),MATCH(BSpUECB_세액공제액!C$1,'Cal-CAPEX (정리)'!$B$68:$AF$68,0))*About!$B$93*'Cal-CAPEX (정리)'!$B$79/10,0)</f>
        <v>0</v>
      </c>
      <c r="D12" s="39">
        <f>IFERROR(INDEX('Cal-CAPEX (정리)'!$B$69:$AF$73,MATCH(BSpUECB_세액공제액!$A12,'Cal-CAPEX (정리)'!$A$69:$A$73,0),MATCH(BSpUECB_세액공제액!D$1,'Cal-CAPEX (정리)'!$B$68:$AF$68,0))*About!$B$93*'Cal-CAPEX (정리)'!$B$79/10,0)</f>
        <v>0</v>
      </c>
      <c r="E12" s="39">
        <f>IFERROR(INDEX('Cal-CAPEX (정리)'!$B$69:$AF$73,MATCH(BSpUECB_세액공제액!$A12,'Cal-CAPEX (정리)'!$A$69:$A$73,0),MATCH(BSpUECB_세액공제액!E$1,'Cal-CAPEX (정리)'!$B$68:$AF$68,0))*About!$B$93*'Cal-CAPEX (정리)'!$B$79/10,0)</f>
        <v>0</v>
      </c>
      <c r="F12" s="39">
        <f>IFERROR(INDEX('Cal-CAPEX (정리)'!$B$69:$AF$73,MATCH(BSpUECB_세액공제액!$A12,'Cal-CAPEX (정리)'!$A$69:$A$73,0),MATCH(BSpUECB_세액공제액!F$1,'Cal-CAPEX (정리)'!$B$68:$AF$68,0))*About!$B$93*'Cal-CAPEX (정리)'!$B$79/10,0)</f>
        <v>0</v>
      </c>
      <c r="G12" s="39">
        <f>IFERROR(INDEX('Cal-CAPEX (정리)'!$B$69:$AF$73,MATCH(BSpUECB_세액공제액!$A12,'Cal-CAPEX (정리)'!$A$69:$A$73,0),MATCH(BSpUECB_세액공제액!G$1,'Cal-CAPEX (정리)'!$B$68:$AF$68,0))*About!$B$93*'Cal-CAPEX (정리)'!$B$79/10,0)</f>
        <v>0</v>
      </c>
      <c r="H12" s="39">
        <f>IFERROR(INDEX('Cal-CAPEX (정리)'!$B$69:$AF$73,MATCH(BSpUECB_세액공제액!$A12,'Cal-CAPEX (정리)'!$A$69:$A$73,0),MATCH(BSpUECB_세액공제액!H$1,'Cal-CAPEX (정리)'!$B$68:$AF$68,0))*About!$B$93*'Cal-CAPEX (정리)'!$B$79/10,0)</f>
        <v>0</v>
      </c>
      <c r="I12" s="39">
        <f>IFERROR(INDEX('Cal-CAPEX (정리)'!$B$69:$AF$73,MATCH(BSpUECB_세액공제액!$A12,'Cal-CAPEX (정리)'!$A$69:$A$73,0),MATCH(BSpUECB_세액공제액!I$1,'Cal-CAPEX (정리)'!$B$68:$AF$68,0))*About!$B$93*'Cal-CAPEX (정리)'!$B$79/10,0)</f>
        <v>0</v>
      </c>
      <c r="J12" s="39">
        <f>IFERROR(INDEX('Cal-CAPEX (정리)'!$B$69:$AF$73,MATCH(BSpUECB_세액공제액!$A12,'Cal-CAPEX (정리)'!$A$69:$A$73,0),MATCH(BSpUECB_세액공제액!J$1,'Cal-CAPEX (정리)'!$B$68:$AF$68,0))*About!$B$93*'Cal-CAPEX (정리)'!$B$79/10,0)</f>
        <v>0</v>
      </c>
      <c r="K12" s="39">
        <f>IFERROR(INDEX('Cal-CAPEX (정리)'!$B$69:$AF$73,MATCH(BSpUECB_세액공제액!$A12,'Cal-CAPEX (정리)'!$A$69:$A$73,0),MATCH(BSpUECB_세액공제액!K$1,'Cal-CAPEX (정리)'!$B$68:$AF$68,0))*About!$B$93*'Cal-CAPEX (정리)'!$B$79/10,0)</f>
        <v>0</v>
      </c>
      <c r="L12" s="39">
        <f>IFERROR(INDEX('Cal-CAPEX (정리)'!$B$69:$AF$73,MATCH(BSpUECB_세액공제액!$A12,'Cal-CAPEX (정리)'!$A$69:$A$73,0),MATCH(BSpUECB_세액공제액!L$1,'Cal-CAPEX (정리)'!$B$68:$AF$68,0))*About!$B$93*'Cal-CAPEX (정리)'!$B$79/10,0)</f>
        <v>0</v>
      </c>
      <c r="M12" s="39">
        <f>IFERROR(INDEX('Cal-CAPEX (정리)'!$B$69:$AF$73,MATCH(BSpUECB_세액공제액!$A12,'Cal-CAPEX (정리)'!$A$69:$A$73,0),MATCH(BSpUECB_세액공제액!M$1,'Cal-CAPEX (정리)'!$B$68:$AF$68,0))*About!$B$93*'Cal-CAPEX (정리)'!$B$79/10,0)</f>
        <v>0</v>
      </c>
      <c r="N12" s="39">
        <f>IFERROR(INDEX('Cal-CAPEX (정리)'!$B$69:$AF$73,MATCH(BSpUECB_세액공제액!$A12,'Cal-CAPEX (정리)'!$A$69:$A$73,0),MATCH(BSpUECB_세액공제액!N$1,'Cal-CAPEX (정리)'!$B$68:$AF$68,0))*About!$B$93*'Cal-CAPEX (정리)'!$B$79/10,0)</f>
        <v>0</v>
      </c>
      <c r="O12" s="39">
        <f>IFERROR(INDEX('Cal-CAPEX (정리)'!$B$69:$AF$73,MATCH(BSpUECB_세액공제액!$A12,'Cal-CAPEX (정리)'!$A$69:$A$73,0),MATCH(BSpUECB_세액공제액!O$1,'Cal-CAPEX (정리)'!$B$68:$AF$68,0))*About!$B$93*'Cal-CAPEX (정리)'!$B$79/10,0)</f>
        <v>0</v>
      </c>
      <c r="P12" s="39">
        <f>IFERROR(INDEX('Cal-CAPEX (정리)'!$B$69:$AF$73,MATCH(BSpUECB_세액공제액!$A12,'Cal-CAPEX (정리)'!$A$69:$A$73,0),MATCH(BSpUECB_세액공제액!P$1,'Cal-CAPEX (정리)'!$B$68:$AF$68,0))*About!$B$93*'Cal-CAPEX (정리)'!$B$79/10,0)</f>
        <v>0</v>
      </c>
      <c r="Q12" s="39">
        <f>IFERROR(INDEX('Cal-CAPEX (정리)'!$B$69:$AF$73,MATCH(BSpUECB_세액공제액!$A12,'Cal-CAPEX (정리)'!$A$69:$A$73,0),MATCH(BSpUECB_세액공제액!Q$1,'Cal-CAPEX (정리)'!$B$68:$AF$68,0))*About!$B$93*'Cal-CAPEX (정리)'!$B$79/10,0)</f>
        <v>0</v>
      </c>
      <c r="R12" s="39">
        <f>IFERROR(INDEX('Cal-CAPEX (정리)'!$B$69:$AF$73,MATCH(BSpUECB_세액공제액!$A12,'Cal-CAPEX (정리)'!$A$69:$A$73,0),MATCH(BSpUECB_세액공제액!R$1,'Cal-CAPEX (정리)'!$B$68:$AF$68,0))*About!$B$93*'Cal-CAPEX (정리)'!$B$79/10,0)</f>
        <v>0</v>
      </c>
      <c r="S12" s="39">
        <f>IFERROR(INDEX('Cal-CAPEX (정리)'!$B$69:$AF$73,MATCH(BSpUECB_세액공제액!$A12,'Cal-CAPEX (정리)'!$A$69:$A$73,0),MATCH(BSpUECB_세액공제액!S$1,'Cal-CAPEX (정리)'!$B$68:$AF$68,0))*About!$B$93*'Cal-CAPEX (정리)'!$B$79/10,0)</f>
        <v>0</v>
      </c>
      <c r="T12" s="39">
        <f>IFERROR(INDEX('Cal-CAPEX (정리)'!$B$69:$AF$73,MATCH(BSpUECB_세액공제액!$A12,'Cal-CAPEX (정리)'!$A$69:$A$73,0),MATCH(BSpUECB_세액공제액!T$1,'Cal-CAPEX (정리)'!$B$68:$AF$68,0))*About!$B$93*'Cal-CAPEX (정리)'!$B$79/10,0)</f>
        <v>0</v>
      </c>
      <c r="U12" s="39">
        <f>IFERROR(INDEX('Cal-CAPEX (정리)'!$B$69:$AF$73,MATCH(BSpUECB_세액공제액!$A12,'Cal-CAPEX (정리)'!$A$69:$A$73,0),MATCH(BSpUECB_세액공제액!U$1,'Cal-CAPEX (정리)'!$B$68:$AF$68,0))*About!$B$93*'Cal-CAPEX (정리)'!$B$79/10,0)</f>
        <v>0</v>
      </c>
      <c r="V12" s="39">
        <f>IFERROR(INDEX('Cal-CAPEX (정리)'!$B$69:$AF$73,MATCH(BSpUECB_세액공제액!$A12,'Cal-CAPEX (정리)'!$A$69:$A$73,0),MATCH(BSpUECB_세액공제액!V$1,'Cal-CAPEX (정리)'!$B$68:$AF$68,0))*About!$B$93*'Cal-CAPEX (정리)'!$B$79/10,0)</f>
        <v>0</v>
      </c>
      <c r="W12" s="39">
        <f>IFERROR(INDEX('Cal-CAPEX (정리)'!$B$69:$AF$73,MATCH(BSpUECB_세액공제액!$A12,'Cal-CAPEX (정리)'!$A$69:$A$73,0),MATCH(BSpUECB_세액공제액!W$1,'Cal-CAPEX (정리)'!$B$68:$AF$68,0))*About!$B$93*'Cal-CAPEX (정리)'!$B$79/10,0)</f>
        <v>0</v>
      </c>
      <c r="X12" s="39">
        <f>IFERROR(INDEX('Cal-CAPEX (정리)'!$B$69:$AF$73,MATCH(BSpUECB_세액공제액!$A12,'Cal-CAPEX (정리)'!$A$69:$A$73,0),MATCH(BSpUECB_세액공제액!X$1,'Cal-CAPEX (정리)'!$B$68:$AF$68,0))*About!$B$93*'Cal-CAPEX (정리)'!$B$79/10,0)</f>
        <v>0</v>
      </c>
      <c r="Y12" s="39">
        <f>IFERROR(INDEX('Cal-CAPEX (정리)'!$B$69:$AF$73,MATCH(BSpUECB_세액공제액!$A12,'Cal-CAPEX (정리)'!$A$69:$A$73,0),MATCH(BSpUECB_세액공제액!Y$1,'Cal-CAPEX (정리)'!$B$68:$AF$68,0))*About!$B$93*'Cal-CAPEX (정리)'!$B$79/10,0)</f>
        <v>0</v>
      </c>
      <c r="Z12" s="39">
        <f>IFERROR(INDEX('Cal-CAPEX (정리)'!$B$69:$AF$73,MATCH(BSpUECB_세액공제액!$A12,'Cal-CAPEX (정리)'!$A$69:$A$73,0),MATCH(BSpUECB_세액공제액!Z$1,'Cal-CAPEX (정리)'!$B$68:$AF$68,0))*About!$B$93*'Cal-CAPEX (정리)'!$B$79/10,0)</f>
        <v>0</v>
      </c>
      <c r="AA12" s="39">
        <f>IFERROR(INDEX('Cal-CAPEX (정리)'!$B$69:$AF$73,MATCH(BSpUECB_세액공제액!$A12,'Cal-CAPEX (정리)'!$A$69:$A$73,0),MATCH(BSpUECB_세액공제액!AA$1,'Cal-CAPEX (정리)'!$B$68:$AF$68,0))*About!$B$93*'Cal-CAPEX (정리)'!$B$79/10,0)</f>
        <v>0</v>
      </c>
      <c r="AB12" s="39">
        <f>IFERROR(INDEX('Cal-CAPEX (정리)'!$B$69:$AF$73,MATCH(BSpUECB_세액공제액!$A12,'Cal-CAPEX (정리)'!$A$69:$A$73,0),MATCH(BSpUECB_세액공제액!AB$1,'Cal-CAPEX (정리)'!$B$68:$AF$68,0))*About!$B$93*'Cal-CAPEX (정리)'!$B$79/10,0)</f>
        <v>0</v>
      </c>
      <c r="AC12" s="39">
        <f>IFERROR(INDEX('Cal-CAPEX (정리)'!$B$69:$AF$73,MATCH(BSpUECB_세액공제액!$A12,'Cal-CAPEX (정리)'!$A$69:$A$73,0),MATCH(BSpUECB_세액공제액!AC$1,'Cal-CAPEX (정리)'!$B$68:$AF$68,0))*About!$B$93*'Cal-CAPEX (정리)'!$B$79/10,0)</f>
        <v>0</v>
      </c>
      <c r="AD12" s="39">
        <f>IFERROR(INDEX('Cal-CAPEX (정리)'!$B$69:$AF$73,MATCH(BSpUECB_세액공제액!$A12,'Cal-CAPEX (정리)'!$A$69:$A$73,0),MATCH(BSpUECB_세액공제액!AD$1,'Cal-CAPEX (정리)'!$B$68:$AF$68,0))*About!$B$93*'Cal-CAPEX (정리)'!$B$79/10,0)</f>
        <v>0</v>
      </c>
      <c r="AE12" s="39">
        <f>IFERROR(INDEX('Cal-CAPEX (정리)'!$B$69:$AF$73,MATCH(BSpUECB_세액공제액!$A12,'Cal-CAPEX (정리)'!$A$69:$A$73,0),MATCH(BSpUECB_세액공제액!AE$1,'Cal-CAPEX (정리)'!$B$68:$AF$68,0))*About!$B$93*'Cal-CAPEX (정리)'!$B$79/10,0)</f>
        <v>0</v>
      </c>
      <c r="AF12" s="39">
        <f>IFERROR(INDEX('Cal-CAPEX (정리)'!$B$69:$AF$73,MATCH(BSpUECB_세액공제액!$A12,'Cal-CAPEX (정리)'!$A$69:$A$73,0),MATCH(BSpUECB_세액공제액!AF$1,'Cal-CAPEX (정리)'!$B$68:$AF$68,0))*About!$B$93*'Cal-CAPEX (정리)'!$B$79/10,0)</f>
        <v>0</v>
      </c>
      <c r="AG12" s="39"/>
      <c r="AH12" s="39"/>
    </row>
    <row r="13" spans="1:34" ht="16.5" customHeight="1">
      <c r="A13" s="17" t="s">
        <v>190</v>
      </c>
      <c r="B13" s="39">
        <f>IFERROR(INDEX('Cal-CAPEX (정리)'!$B$69:$AF$73,MATCH(BSpUECB_세액공제액!$A13,'Cal-CAPEX (정리)'!$A$69:$A$73,0),MATCH(BSpUECB_세액공제액!B$1,'Cal-CAPEX (정리)'!$B$68:$AF$68,0))*About!$B$93*'Cal-CAPEX (정리)'!$B$79/10,0)</f>
        <v>0</v>
      </c>
      <c r="C13" s="39">
        <f>IFERROR(INDEX('Cal-CAPEX (정리)'!$B$69:$AF$73,MATCH(BSpUECB_세액공제액!$A13,'Cal-CAPEX (정리)'!$A$69:$A$73,0),MATCH(BSpUECB_세액공제액!C$1,'Cal-CAPEX (정리)'!$B$68:$AF$68,0))*About!$B$93*'Cal-CAPEX (정리)'!$B$79/10,0)</f>
        <v>0</v>
      </c>
      <c r="D13" s="39">
        <f>IFERROR(INDEX('Cal-CAPEX (정리)'!$B$69:$AF$73,MATCH(BSpUECB_세액공제액!$A13,'Cal-CAPEX (정리)'!$A$69:$A$73,0),MATCH(BSpUECB_세액공제액!D$1,'Cal-CAPEX (정리)'!$B$68:$AF$68,0))*About!$B$93*'Cal-CAPEX (정리)'!$B$79/10,0)</f>
        <v>0</v>
      </c>
      <c r="E13" s="39">
        <f>IFERROR(INDEX('Cal-CAPEX (정리)'!$B$69:$AF$73,MATCH(BSpUECB_세액공제액!$A13,'Cal-CAPEX (정리)'!$A$69:$A$73,0),MATCH(BSpUECB_세액공제액!E$1,'Cal-CAPEX (정리)'!$B$68:$AF$68,0))*About!$B$93*'Cal-CAPEX (정리)'!$B$79/10,0)</f>
        <v>0</v>
      </c>
      <c r="F13" s="39">
        <f>IFERROR(INDEX('Cal-CAPEX (정리)'!$B$69:$AF$73,MATCH(BSpUECB_세액공제액!$A13,'Cal-CAPEX (정리)'!$A$69:$A$73,0),MATCH(BSpUECB_세액공제액!F$1,'Cal-CAPEX (정리)'!$B$68:$AF$68,0))*About!$B$93*'Cal-CAPEX (정리)'!$B$79/10,0)</f>
        <v>0</v>
      </c>
      <c r="G13" s="39">
        <f>IFERROR(INDEX('Cal-CAPEX (정리)'!$B$69:$AF$73,MATCH(BSpUECB_세액공제액!$A13,'Cal-CAPEX (정리)'!$A$69:$A$73,0),MATCH(BSpUECB_세액공제액!G$1,'Cal-CAPEX (정리)'!$B$68:$AF$68,0))*About!$B$93*'Cal-CAPEX (정리)'!$B$79/10,0)</f>
        <v>0</v>
      </c>
      <c r="H13" s="39">
        <f>IFERROR(INDEX('Cal-CAPEX (정리)'!$B$69:$AF$73,MATCH(BSpUECB_세액공제액!$A13,'Cal-CAPEX (정리)'!$A$69:$A$73,0),MATCH(BSpUECB_세액공제액!H$1,'Cal-CAPEX (정리)'!$B$68:$AF$68,0))*About!$B$93*'Cal-CAPEX (정리)'!$B$79/10,0)</f>
        <v>0</v>
      </c>
      <c r="I13" s="39">
        <f>IFERROR(INDEX('Cal-CAPEX (정리)'!$B$69:$AF$73,MATCH(BSpUECB_세액공제액!$A13,'Cal-CAPEX (정리)'!$A$69:$A$73,0),MATCH(BSpUECB_세액공제액!I$1,'Cal-CAPEX (정리)'!$B$68:$AF$68,0))*About!$B$93*'Cal-CAPEX (정리)'!$B$79/10,0)</f>
        <v>0</v>
      </c>
      <c r="J13" s="39">
        <f>IFERROR(INDEX('Cal-CAPEX (정리)'!$B$69:$AF$73,MATCH(BSpUECB_세액공제액!$A13,'Cal-CAPEX (정리)'!$A$69:$A$73,0),MATCH(BSpUECB_세액공제액!J$1,'Cal-CAPEX (정리)'!$B$68:$AF$68,0))*About!$B$93*'Cal-CAPEX (정리)'!$B$79/10,0)</f>
        <v>0</v>
      </c>
      <c r="K13" s="39">
        <f>IFERROR(INDEX('Cal-CAPEX (정리)'!$B$69:$AF$73,MATCH(BSpUECB_세액공제액!$A13,'Cal-CAPEX (정리)'!$A$69:$A$73,0),MATCH(BSpUECB_세액공제액!K$1,'Cal-CAPEX (정리)'!$B$68:$AF$68,0))*About!$B$93*'Cal-CAPEX (정리)'!$B$79/10,0)</f>
        <v>0</v>
      </c>
      <c r="L13" s="39">
        <f>IFERROR(INDEX('Cal-CAPEX (정리)'!$B$69:$AF$73,MATCH(BSpUECB_세액공제액!$A13,'Cal-CAPEX (정리)'!$A$69:$A$73,0),MATCH(BSpUECB_세액공제액!L$1,'Cal-CAPEX (정리)'!$B$68:$AF$68,0))*About!$B$93*'Cal-CAPEX (정리)'!$B$79/10,0)</f>
        <v>0</v>
      </c>
      <c r="M13" s="39">
        <f>IFERROR(INDEX('Cal-CAPEX (정리)'!$B$69:$AF$73,MATCH(BSpUECB_세액공제액!$A13,'Cal-CAPEX (정리)'!$A$69:$A$73,0),MATCH(BSpUECB_세액공제액!M$1,'Cal-CAPEX (정리)'!$B$68:$AF$68,0))*About!$B$93*'Cal-CAPEX (정리)'!$B$79/10,0)</f>
        <v>0</v>
      </c>
      <c r="N13" s="39">
        <f>IFERROR(INDEX('Cal-CAPEX (정리)'!$B$69:$AF$73,MATCH(BSpUECB_세액공제액!$A13,'Cal-CAPEX (정리)'!$A$69:$A$73,0),MATCH(BSpUECB_세액공제액!N$1,'Cal-CAPEX (정리)'!$B$68:$AF$68,0))*About!$B$93*'Cal-CAPEX (정리)'!$B$79/10,0)</f>
        <v>0</v>
      </c>
      <c r="O13" s="39">
        <f>IFERROR(INDEX('Cal-CAPEX (정리)'!$B$69:$AF$73,MATCH(BSpUECB_세액공제액!$A13,'Cal-CAPEX (정리)'!$A$69:$A$73,0),MATCH(BSpUECB_세액공제액!O$1,'Cal-CAPEX (정리)'!$B$68:$AF$68,0))*About!$B$93*'Cal-CAPEX (정리)'!$B$79/10,0)</f>
        <v>0</v>
      </c>
      <c r="P13" s="39">
        <f>IFERROR(INDEX('Cal-CAPEX (정리)'!$B$69:$AF$73,MATCH(BSpUECB_세액공제액!$A13,'Cal-CAPEX (정리)'!$A$69:$A$73,0),MATCH(BSpUECB_세액공제액!P$1,'Cal-CAPEX (정리)'!$B$68:$AF$68,0))*About!$B$93*'Cal-CAPEX (정리)'!$B$79/10,0)</f>
        <v>0</v>
      </c>
      <c r="Q13" s="39">
        <f>IFERROR(INDEX('Cal-CAPEX (정리)'!$B$69:$AF$73,MATCH(BSpUECB_세액공제액!$A13,'Cal-CAPEX (정리)'!$A$69:$A$73,0),MATCH(BSpUECB_세액공제액!Q$1,'Cal-CAPEX (정리)'!$B$68:$AF$68,0))*About!$B$93*'Cal-CAPEX (정리)'!$B$79/10,0)</f>
        <v>0</v>
      </c>
      <c r="R13" s="39">
        <f>IFERROR(INDEX('Cal-CAPEX (정리)'!$B$69:$AF$73,MATCH(BSpUECB_세액공제액!$A13,'Cal-CAPEX (정리)'!$A$69:$A$73,0),MATCH(BSpUECB_세액공제액!R$1,'Cal-CAPEX (정리)'!$B$68:$AF$68,0))*About!$B$93*'Cal-CAPEX (정리)'!$B$79/10,0)</f>
        <v>0</v>
      </c>
      <c r="S13" s="39">
        <f>IFERROR(INDEX('Cal-CAPEX (정리)'!$B$69:$AF$73,MATCH(BSpUECB_세액공제액!$A13,'Cal-CAPEX (정리)'!$A$69:$A$73,0),MATCH(BSpUECB_세액공제액!S$1,'Cal-CAPEX (정리)'!$B$68:$AF$68,0))*About!$B$93*'Cal-CAPEX (정리)'!$B$79/10,0)</f>
        <v>0</v>
      </c>
      <c r="T13" s="39">
        <f>IFERROR(INDEX('Cal-CAPEX (정리)'!$B$69:$AF$73,MATCH(BSpUECB_세액공제액!$A13,'Cal-CAPEX (정리)'!$A$69:$A$73,0),MATCH(BSpUECB_세액공제액!T$1,'Cal-CAPEX (정리)'!$B$68:$AF$68,0))*About!$B$93*'Cal-CAPEX (정리)'!$B$79/10,0)</f>
        <v>0</v>
      </c>
      <c r="U13" s="39">
        <f>IFERROR(INDEX('Cal-CAPEX (정리)'!$B$69:$AF$73,MATCH(BSpUECB_세액공제액!$A13,'Cal-CAPEX (정리)'!$A$69:$A$73,0),MATCH(BSpUECB_세액공제액!U$1,'Cal-CAPEX (정리)'!$B$68:$AF$68,0))*About!$B$93*'Cal-CAPEX (정리)'!$B$79/10,0)</f>
        <v>0</v>
      </c>
      <c r="V13" s="39">
        <f>IFERROR(INDEX('Cal-CAPEX (정리)'!$B$69:$AF$73,MATCH(BSpUECB_세액공제액!$A13,'Cal-CAPEX (정리)'!$A$69:$A$73,0),MATCH(BSpUECB_세액공제액!V$1,'Cal-CAPEX (정리)'!$B$68:$AF$68,0))*About!$B$93*'Cal-CAPEX (정리)'!$B$79/10,0)</f>
        <v>0</v>
      </c>
      <c r="W13" s="39">
        <f>IFERROR(INDEX('Cal-CAPEX (정리)'!$B$69:$AF$73,MATCH(BSpUECB_세액공제액!$A13,'Cal-CAPEX (정리)'!$A$69:$A$73,0),MATCH(BSpUECB_세액공제액!W$1,'Cal-CAPEX (정리)'!$B$68:$AF$68,0))*About!$B$93*'Cal-CAPEX (정리)'!$B$79/10,0)</f>
        <v>0</v>
      </c>
      <c r="X13" s="39">
        <f>IFERROR(INDEX('Cal-CAPEX (정리)'!$B$69:$AF$73,MATCH(BSpUECB_세액공제액!$A13,'Cal-CAPEX (정리)'!$A$69:$A$73,0),MATCH(BSpUECB_세액공제액!X$1,'Cal-CAPEX (정리)'!$B$68:$AF$68,0))*About!$B$93*'Cal-CAPEX (정리)'!$B$79/10,0)</f>
        <v>0</v>
      </c>
      <c r="Y13" s="39">
        <f>IFERROR(INDEX('Cal-CAPEX (정리)'!$B$69:$AF$73,MATCH(BSpUECB_세액공제액!$A13,'Cal-CAPEX (정리)'!$A$69:$A$73,0),MATCH(BSpUECB_세액공제액!Y$1,'Cal-CAPEX (정리)'!$B$68:$AF$68,0))*About!$B$93*'Cal-CAPEX (정리)'!$B$79/10,0)</f>
        <v>0</v>
      </c>
      <c r="Z13" s="39">
        <f>IFERROR(INDEX('Cal-CAPEX (정리)'!$B$69:$AF$73,MATCH(BSpUECB_세액공제액!$A13,'Cal-CAPEX (정리)'!$A$69:$A$73,0),MATCH(BSpUECB_세액공제액!Z$1,'Cal-CAPEX (정리)'!$B$68:$AF$68,0))*About!$B$93*'Cal-CAPEX (정리)'!$B$79/10,0)</f>
        <v>0</v>
      </c>
      <c r="AA13" s="39">
        <f>IFERROR(INDEX('Cal-CAPEX (정리)'!$B$69:$AF$73,MATCH(BSpUECB_세액공제액!$A13,'Cal-CAPEX (정리)'!$A$69:$A$73,0),MATCH(BSpUECB_세액공제액!AA$1,'Cal-CAPEX (정리)'!$B$68:$AF$68,0))*About!$B$93*'Cal-CAPEX (정리)'!$B$79/10,0)</f>
        <v>0</v>
      </c>
      <c r="AB13" s="39">
        <f>IFERROR(INDEX('Cal-CAPEX (정리)'!$B$69:$AF$73,MATCH(BSpUECB_세액공제액!$A13,'Cal-CAPEX (정리)'!$A$69:$A$73,0),MATCH(BSpUECB_세액공제액!AB$1,'Cal-CAPEX (정리)'!$B$68:$AF$68,0))*About!$B$93*'Cal-CAPEX (정리)'!$B$79/10,0)</f>
        <v>0</v>
      </c>
      <c r="AC13" s="39">
        <f>IFERROR(INDEX('Cal-CAPEX (정리)'!$B$69:$AF$73,MATCH(BSpUECB_세액공제액!$A13,'Cal-CAPEX (정리)'!$A$69:$A$73,0),MATCH(BSpUECB_세액공제액!AC$1,'Cal-CAPEX (정리)'!$B$68:$AF$68,0))*About!$B$93*'Cal-CAPEX (정리)'!$B$79/10,0)</f>
        <v>0</v>
      </c>
      <c r="AD13" s="39">
        <f>IFERROR(INDEX('Cal-CAPEX (정리)'!$B$69:$AF$73,MATCH(BSpUECB_세액공제액!$A13,'Cal-CAPEX (정리)'!$A$69:$A$73,0),MATCH(BSpUECB_세액공제액!AD$1,'Cal-CAPEX (정리)'!$B$68:$AF$68,0))*About!$B$93*'Cal-CAPEX (정리)'!$B$79/10,0)</f>
        <v>0</v>
      </c>
      <c r="AE13" s="39">
        <f>IFERROR(INDEX('Cal-CAPEX (정리)'!$B$69:$AF$73,MATCH(BSpUECB_세액공제액!$A13,'Cal-CAPEX (정리)'!$A$69:$A$73,0),MATCH(BSpUECB_세액공제액!AE$1,'Cal-CAPEX (정리)'!$B$68:$AF$68,0))*About!$B$93*'Cal-CAPEX (정리)'!$B$79/10,0)</f>
        <v>0</v>
      </c>
      <c r="AF13" s="39">
        <f>IFERROR(INDEX('Cal-CAPEX (정리)'!$B$69:$AF$73,MATCH(BSpUECB_세액공제액!$A13,'Cal-CAPEX (정리)'!$A$69:$A$73,0),MATCH(BSpUECB_세액공제액!AF$1,'Cal-CAPEX (정리)'!$B$68:$AF$68,0))*About!$B$93*'Cal-CAPEX (정리)'!$B$79/10,0)</f>
        <v>0</v>
      </c>
      <c r="AG13" s="39"/>
      <c r="AH13" s="39"/>
    </row>
    <row r="14" spans="1:34" ht="16.5" customHeight="1">
      <c r="A14" s="17" t="s">
        <v>191</v>
      </c>
      <c r="B14" s="39">
        <f>IFERROR(INDEX('Cal-CAPEX (정리)'!$B$69:$AF$73,MATCH(BSpUECB_세액공제액!$A14,'Cal-CAPEX (정리)'!$A$69:$A$73,0),MATCH(BSpUECB_세액공제액!B$1,'Cal-CAPEX (정리)'!$B$68:$AF$68,0))*About!$B$93*'Cal-CAPEX (정리)'!$B$79/10,0)</f>
        <v>13817.923417916511</v>
      </c>
      <c r="C14" s="39">
        <f>IFERROR(INDEX('Cal-CAPEX (정리)'!$B$69:$AF$73,MATCH(BSpUECB_세액공제액!$A14,'Cal-CAPEX (정리)'!$A$69:$A$73,0),MATCH(BSpUECB_세액공제액!C$1,'Cal-CAPEX (정리)'!$B$68:$AF$68,0))*About!$B$93*'Cal-CAPEX (정리)'!$B$79/10,0)</f>
        <v>13457.01803085627</v>
      </c>
      <c r="D14" s="39">
        <f>IFERROR(INDEX('Cal-CAPEX (정리)'!$B$69:$AF$73,MATCH(BSpUECB_세액공제액!$A14,'Cal-CAPEX (정리)'!$A$69:$A$73,0),MATCH(BSpUECB_세액공제액!D$1,'Cal-CAPEX (정리)'!$B$68:$AF$68,0))*About!$B$93*'Cal-CAPEX (정리)'!$B$79/10,0)</f>
        <v>13105.539002190822</v>
      </c>
      <c r="E14" s="39">
        <f>IFERROR(INDEX('Cal-CAPEX (정리)'!$B$69:$AF$73,MATCH(BSpUECB_세액공제액!$A14,'Cal-CAPEX (정리)'!$A$69:$A$73,0),MATCH(BSpUECB_세액공제액!E$1,'Cal-CAPEX (정리)'!$B$68:$AF$68,0))*About!$B$93*'Cal-CAPEX (정리)'!$B$79/10,0)</f>
        <v>12763.240128245263</v>
      </c>
      <c r="F14" s="39">
        <f>IFERROR(INDEX('Cal-CAPEX (정리)'!$B$69:$AF$73,MATCH(BSpUECB_세액공제액!$A14,'Cal-CAPEX (정리)'!$A$69:$A$73,0),MATCH(BSpUECB_세액공제액!F$1,'Cal-CAPEX (정리)'!$B$68:$AF$68,0))*About!$B$93*'Cal-CAPEX (정리)'!$B$79/10,0)</f>
        <v>12429.881635850195</v>
      </c>
      <c r="G14" s="39">
        <f>IFERROR(INDEX('Cal-CAPEX (정리)'!$B$69:$AF$73,MATCH(BSpUECB_세액공제액!$A14,'Cal-CAPEX (정리)'!$A$69:$A$73,0),MATCH(BSpUECB_세액공제액!G$1,'Cal-CAPEX (정리)'!$B$68:$AF$68,0))*About!$B$93*'Cal-CAPEX (정리)'!$B$79/10,0)</f>
        <v>12105.230014385646</v>
      </c>
      <c r="H14" s="39">
        <f>IFERROR(INDEX('Cal-CAPEX (정리)'!$B$69:$AF$73,MATCH(BSpUECB_세액공제액!$A14,'Cal-CAPEX (정리)'!$A$69:$A$73,0),MATCH(BSpUECB_세액공제액!H$1,'Cal-CAPEX (정리)'!$B$68:$AF$68,0))*About!$B$93*'Cal-CAPEX (정리)'!$B$79/10,0)</f>
        <v>11789.057852211812</v>
      </c>
      <c r="I14" s="39">
        <f>IFERROR(INDEX('Cal-CAPEX (정리)'!$B$69:$AF$73,MATCH(BSpUECB_세액공제액!$A14,'Cal-CAPEX (정리)'!$A$69:$A$73,0),MATCH(BSpUECB_세액공제액!I$1,'Cal-CAPEX (정리)'!$B$68:$AF$68,0))*About!$B$93*'Cal-CAPEX (정리)'!$B$79/10,0)</f>
        <v>11481.143677371956</v>
      </c>
      <c r="J14" s="39">
        <f>IFERROR(INDEX('Cal-CAPEX (정리)'!$B$69:$AF$73,MATCH(BSpUECB_세액공제액!$A14,'Cal-CAPEX (정리)'!$A$69:$A$73,0),MATCH(BSpUECB_세액공제액!J$1,'Cal-CAPEX (정리)'!$B$68:$AF$68,0))*About!$B$93*'Cal-CAPEX (정리)'!$B$79/10,0)</f>
        <v>11181.271802455967</v>
      </c>
      <c r="K14" s="39">
        <f>IFERROR(INDEX('Cal-CAPEX (정리)'!$B$69:$AF$73,MATCH(BSpUECB_세액공제액!$A14,'Cal-CAPEX (정리)'!$A$69:$A$73,0),MATCH(BSpUECB_세액공제액!K$1,'Cal-CAPEX (정리)'!$B$68:$AF$68,0))*About!$B$93*'Cal-CAPEX (정리)'!$B$79/10,0)</f>
        <v>10889.232173515862</v>
      </c>
      <c r="L14" s="39">
        <f>IFERROR(INDEX('Cal-CAPEX (정리)'!$B$69:$AF$73,MATCH(BSpUECB_세액공제액!$A14,'Cal-CAPEX (정리)'!$A$69:$A$73,0),MATCH(BSpUECB_세액공제액!L$1,'Cal-CAPEX (정리)'!$B$68:$AF$68,0))*About!$B$93*'Cal-CAPEX (정리)'!$B$79/10,0)</f>
        <v>10604.820222927401</v>
      </c>
      <c r="M14" s="39">
        <f>IFERROR(INDEX('Cal-CAPEX (정리)'!$B$69:$AF$73,MATCH(BSpUECB_세액공제액!$A14,'Cal-CAPEX (정리)'!$A$69:$A$73,0),MATCH(BSpUECB_세액공제액!M$1,'Cal-CAPEX (정리)'!$B$68:$AF$68,0))*About!$B$93*'Cal-CAPEX (정리)'!$B$79/10,0)</f>
        <v>10327.836726094778</v>
      </c>
      <c r="N14" s="39">
        <f>IFERROR(INDEX('Cal-CAPEX (정리)'!$B$69:$AF$73,MATCH(BSpUECB_세액공제액!$A14,'Cal-CAPEX (정리)'!$A$69:$A$73,0),MATCH(BSpUECB_세액공제액!N$1,'Cal-CAPEX (정리)'!$B$68:$AF$68,0))*About!$B$93*'Cal-CAPEX (정리)'!$B$79/10,0)</f>
        <v>10058.087661897964</v>
      </c>
      <c r="O14" s="39">
        <f>IFERROR(INDEX('Cal-CAPEX (정리)'!$B$69:$AF$73,MATCH(BSpUECB_세액공제액!$A14,'Cal-CAPEX (정리)'!$A$69:$A$73,0),MATCH(BSpUECB_세액공제액!O$1,'Cal-CAPEX (정리)'!$B$68:$AF$68,0))*About!$B$93*'Cal-CAPEX (정리)'!$B$79/10,0)</f>
        <v>9795.3840767849924</v>
      </c>
      <c r="P14" s="39">
        <f>IFERROR(INDEX('Cal-CAPEX (정리)'!$B$69:$AF$73,MATCH(BSpUECB_세액공제액!$A14,'Cal-CAPEX (정리)'!$A$69:$A$73,0),MATCH(BSpUECB_세액공제액!P$1,'Cal-CAPEX (정리)'!$B$68:$AF$68,0))*About!$B$93*'Cal-CAPEX (정리)'!$B$79/10,0)</f>
        <v>9539.5419524139725</v>
      </c>
      <c r="Q14" s="39">
        <f>IFERROR(INDEX('Cal-CAPEX (정리)'!$B$69:$AF$73,MATCH(BSpUECB_세액공제액!$A14,'Cal-CAPEX (정리)'!$A$69:$A$73,0),MATCH(BSpUECB_세액공제액!Q$1,'Cal-CAPEX (정리)'!$B$68:$AF$68,0))*About!$B$93*'Cal-CAPEX (정리)'!$B$79/10,0)</f>
        <v>9290.3820767520992</v>
      </c>
      <c r="R14" s="39">
        <f>IFERROR(INDEX('Cal-CAPEX (정리)'!$B$69:$AF$73,MATCH(BSpUECB_세액공제액!$A14,'Cal-CAPEX (정리)'!$A$69:$A$73,0),MATCH(BSpUECB_세액공제액!R$1,'Cal-CAPEX (정리)'!$B$68:$AF$68,0))*About!$B$93*'Cal-CAPEX (정리)'!$B$79/10,0)</f>
        <v>9047.7299185413885</v>
      </c>
      <c r="S14" s="39">
        <f>IFERROR(INDEX('Cal-CAPEX (정리)'!$B$69:$AF$73,MATCH(BSpUECB_세액공제액!$A14,'Cal-CAPEX (정리)'!$A$69:$A$73,0),MATCH(BSpUECB_세액공제액!S$1,'Cal-CAPEX (정리)'!$B$68:$AF$68,0))*About!$B$93*'Cal-CAPEX (정리)'!$B$79/10,0)</f>
        <v>8811.4155050432073</v>
      </c>
      <c r="T14" s="39">
        <f>IFERROR(INDEX('Cal-CAPEX (정리)'!$B$69:$AF$73,MATCH(BSpUECB_세액공제액!$A14,'Cal-CAPEX (정리)'!$A$69:$A$73,0),MATCH(BSpUECB_세액공제액!T$1,'Cal-CAPEX (정리)'!$B$68:$AF$68,0))*About!$B$93*'Cal-CAPEX (정리)'!$B$79/10,0)</f>
        <v>8581.2733029759365</v>
      </c>
      <c r="U14" s="39">
        <f>IFERROR(INDEX('Cal-CAPEX (정리)'!$B$69:$AF$73,MATCH(BSpUECB_세액공제액!$A14,'Cal-CAPEX (정리)'!$A$69:$A$73,0),MATCH(BSpUECB_세액공제액!U$1,'Cal-CAPEX (정리)'!$B$68:$AF$68,0))*About!$B$93*'Cal-CAPEX (정리)'!$B$79/10,0)</f>
        <v>8357.1421025623767</v>
      </c>
      <c r="V14" s="39">
        <f>IFERROR(INDEX('Cal-CAPEX (정리)'!$B$69:$AF$73,MATCH(BSpUECB_세액공제액!$A14,'Cal-CAPEX (정리)'!$A$69:$A$73,0),MATCH(BSpUECB_세액공제액!V$1,'Cal-CAPEX (정리)'!$B$68:$AF$68,0))*About!$B$93*'Cal-CAPEX (정리)'!$B$79/10,0)</f>
        <v>8138.8649046057008</v>
      </c>
      <c r="W14" s="39">
        <f>IFERROR(INDEX('Cal-CAPEX (정리)'!$B$69:$AF$73,MATCH(BSpUECB_세액공제액!$A14,'Cal-CAPEX (정리)'!$A$69:$A$73,0),MATCH(BSpUECB_세액공제액!W$1,'Cal-CAPEX (정리)'!$B$68:$AF$68,0))*About!$B$93*'Cal-CAPEX (정리)'!$B$79/10,0)</f>
        <v>7926.2888105148113</v>
      </c>
      <c r="X14" s="39">
        <f>IFERROR(INDEX('Cal-CAPEX (정리)'!$B$69:$AF$73,MATCH(BSpUECB_세액공제액!$A14,'Cal-CAPEX (정리)'!$A$69:$A$73,0),MATCH(BSpUECB_세액공제액!X$1,'Cal-CAPEX (정리)'!$B$68:$AF$68,0))*About!$B$93*'Cal-CAPEX (정리)'!$B$79/10,0)</f>
        <v>7719.2649152020767</v>
      </c>
      <c r="Y14" s="39">
        <f>IFERROR(INDEX('Cal-CAPEX (정리)'!$B$69:$AF$73,MATCH(BSpUECB_세액공제액!$A14,'Cal-CAPEX (정리)'!$A$69:$A$73,0),MATCH(BSpUECB_세액공제액!Y$1,'Cal-CAPEX (정리)'!$B$68:$AF$68,0))*About!$B$93*'Cal-CAPEX (정리)'!$B$79/10,0)</f>
        <v>7517.6482027784659</v>
      </c>
      <c r="Z14" s="39">
        <f>IFERROR(INDEX('Cal-CAPEX (정리)'!$B$69:$AF$73,MATCH(BSpUECB_세액공제액!$A14,'Cal-CAPEX (정리)'!$A$69:$A$73,0),MATCH(BSpUECB_세액공제액!Z$1,'Cal-CAPEX (정리)'!$B$68:$AF$68,0))*About!$B$93*'Cal-CAPEX (정리)'!$B$79/10,0)</f>
        <v>7321.2974449729472</v>
      </c>
      <c r="AA14" s="39">
        <f>IFERROR(INDEX('Cal-CAPEX (정리)'!$B$69:$AF$73,MATCH(BSpUECB_세액공제액!$A14,'Cal-CAPEX (정리)'!$A$69:$A$73,0),MATCH(BSpUECB_세액공제액!AA$1,'Cal-CAPEX (정리)'!$B$68:$AF$68,0))*About!$B$93*'Cal-CAPEX (정리)'!$B$79/10,0)</f>
        <v>7130.0751022050699</v>
      </c>
      <c r="AB14" s="39">
        <f>IFERROR(INDEX('Cal-CAPEX (정리)'!$B$69:$AF$73,MATCH(BSpUECB_세액공제액!$A14,'Cal-CAPEX (정리)'!$A$69:$A$73,0),MATCH(BSpUECB_세액공제액!AB$1,'Cal-CAPEX (정리)'!$B$68:$AF$68,0))*About!$B$93*'Cal-CAPEX (정리)'!$B$79/10,0)</f>
        <v>6943.8472272413546</v>
      </c>
      <c r="AC14" s="39">
        <f>IFERROR(INDEX('Cal-CAPEX (정리)'!$B$69:$AF$73,MATCH(BSpUECB_세액공제액!$A14,'Cal-CAPEX (정리)'!$A$69:$A$73,0),MATCH(BSpUECB_세액공제액!AC$1,'Cal-CAPEX (정리)'!$B$68:$AF$68,0))*About!$B$93*'Cal-CAPEX (정리)'!$B$79/10,0)</f>
        <v>6762.4833713680982</v>
      </c>
      <c r="AD14" s="39">
        <f>IFERROR(INDEX('Cal-CAPEX (정리)'!$B$69:$AF$73,MATCH(BSpUECB_세액공제액!$A14,'Cal-CAPEX (정리)'!$A$69:$A$73,0),MATCH(BSpUECB_세액공제액!AD$1,'Cal-CAPEX (정리)'!$B$68:$AF$68,0))*About!$B$93*'Cal-CAPEX (정리)'!$B$79/10,0)</f>
        <v>6585.8564930147604</v>
      </c>
      <c r="AE14" s="39">
        <f>IFERROR(INDEX('Cal-CAPEX (정리)'!$B$69:$AF$73,MATCH(BSpUECB_세액공제액!$A14,'Cal-CAPEX (정리)'!$A$69:$A$73,0),MATCH(BSpUECB_세액공제액!AE$1,'Cal-CAPEX (정리)'!$B$68:$AF$68,0))*About!$B$93*'Cal-CAPEX (정리)'!$B$79/10,0)</f>
        <v>6413.8428687640417</v>
      </c>
      <c r="AF14" s="39">
        <f>IFERROR(INDEX('Cal-CAPEX (정리)'!$B$69:$AF$73,MATCH(BSpUECB_세액공제액!$A14,'Cal-CAPEX (정리)'!$A$69:$A$73,0),MATCH(BSpUECB_세액공제액!AF$1,'Cal-CAPEX (정리)'!$B$68:$AF$68,0))*About!$B$93*'Cal-CAPEX (정리)'!$B$79/10,0)</f>
        <v>6246.3220066862068</v>
      </c>
      <c r="AG14" s="39"/>
      <c r="AH14" s="39"/>
    </row>
    <row r="15" spans="1:34" ht="16.5" customHeight="1">
      <c r="A15" s="17" t="s">
        <v>192</v>
      </c>
      <c r="B15" s="39">
        <v>0</v>
      </c>
      <c r="C15" s="39">
        <f t="shared" ref="C15:AF15" si="0">C11</f>
        <v>0</v>
      </c>
      <c r="D15" s="39">
        <f t="shared" si="0"/>
        <v>0</v>
      </c>
      <c r="E15" s="39">
        <f t="shared" si="0"/>
        <v>0</v>
      </c>
      <c r="F15" s="39">
        <f t="shared" si="0"/>
        <v>0</v>
      </c>
      <c r="G15" s="39">
        <f t="shared" si="0"/>
        <v>0</v>
      </c>
      <c r="H15" s="39">
        <f t="shared" si="0"/>
        <v>0</v>
      </c>
      <c r="I15" s="39">
        <f t="shared" si="0"/>
        <v>0</v>
      </c>
      <c r="J15" s="39">
        <f t="shared" si="0"/>
        <v>0</v>
      </c>
      <c r="K15" s="39">
        <f t="shared" si="0"/>
        <v>0</v>
      </c>
      <c r="L15" s="39">
        <f t="shared" si="0"/>
        <v>0</v>
      </c>
      <c r="M15" s="39">
        <f t="shared" si="0"/>
        <v>0</v>
      </c>
      <c r="N15" s="39">
        <f t="shared" si="0"/>
        <v>0</v>
      </c>
      <c r="O15" s="39">
        <f t="shared" si="0"/>
        <v>0</v>
      </c>
      <c r="P15" s="39">
        <f t="shared" si="0"/>
        <v>0</v>
      </c>
      <c r="Q15" s="39">
        <f t="shared" si="0"/>
        <v>0</v>
      </c>
      <c r="R15" s="39">
        <f t="shared" si="0"/>
        <v>0</v>
      </c>
      <c r="S15" s="39">
        <f t="shared" si="0"/>
        <v>0</v>
      </c>
      <c r="T15" s="39">
        <f t="shared" si="0"/>
        <v>0</v>
      </c>
      <c r="U15" s="39">
        <f t="shared" si="0"/>
        <v>0</v>
      </c>
      <c r="V15" s="39">
        <f t="shared" si="0"/>
        <v>0</v>
      </c>
      <c r="W15" s="39">
        <f t="shared" si="0"/>
        <v>0</v>
      </c>
      <c r="X15" s="39">
        <f t="shared" si="0"/>
        <v>0</v>
      </c>
      <c r="Y15" s="39">
        <f t="shared" si="0"/>
        <v>0</v>
      </c>
      <c r="Z15" s="39">
        <f t="shared" si="0"/>
        <v>0</v>
      </c>
      <c r="AA15" s="39">
        <f t="shared" si="0"/>
        <v>0</v>
      </c>
      <c r="AB15" s="39">
        <f t="shared" si="0"/>
        <v>0</v>
      </c>
      <c r="AC15" s="39">
        <f t="shared" si="0"/>
        <v>0</v>
      </c>
      <c r="AD15" s="39">
        <f t="shared" si="0"/>
        <v>0</v>
      </c>
      <c r="AE15" s="39">
        <f t="shared" si="0"/>
        <v>0</v>
      </c>
      <c r="AF15" s="39">
        <f t="shared" si="0"/>
        <v>0</v>
      </c>
      <c r="AG15" s="39"/>
      <c r="AH15" s="39"/>
    </row>
    <row r="16" spans="1:34" ht="16.5" customHeight="1">
      <c r="A16" s="17" t="s">
        <v>193</v>
      </c>
      <c r="B16" s="39">
        <v>0</v>
      </c>
      <c r="C16" s="39">
        <f t="shared" ref="C16:AF16" si="1">C11</f>
        <v>0</v>
      </c>
      <c r="D16" s="39">
        <f t="shared" si="1"/>
        <v>0</v>
      </c>
      <c r="E16" s="39">
        <f t="shared" si="1"/>
        <v>0</v>
      </c>
      <c r="F16" s="39">
        <f t="shared" si="1"/>
        <v>0</v>
      </c>
      <c r="G16" s="39">
        <f t="shared" si="1"/>
        <v>0</v>
      </c>
      <c r="H16" s="39">
        <f t="shared" si="1"/>
        <v>0</v>
      </c>
      <c r="I16" s="39">
        <f t="shared" si="1"/>
        <v>0</v>
      </c>
      <c r="J16" s="39">
        <f t="shared" si="1"/>
        <v>0</v>
      </c>
      <c r="K16" s="39">
        <f t="shared" si="1"/>
        <v>0</v>
      </c>
      <c r="L16" s="39">
        <f t="shared" si="1"/>
        <v>0</v>
      </c>
      <c r="M16" s="39">
        <f t="shared" si="1"/>
        <v>0</v>
      </c>
      <c r="N16" s="39">
        <f t="shared" si="1"/>
        <v>0</v>
      </c>
      <c r="O16" s="39">
        <f t="shared" si="1"/>
        <v>0</v>
      </c>
      <c r="P16" s="39">
        <f t="shared" si="1"/>
        <v>0</v>
      </c>
      <c r="Q16" s="39">
        <f t="shared" si="1"/>
        <v>0</v>
      </c>
      <c r="R16" s="39">
        <f t="shared" si="1"/>
        <v>0</v>
      </c>
      <c r="S16" s="39">
        <f t="shared" si="1"/>
        <v>0</v>
      </c>
      <c r="T16" s="39">
        <f t="shared" si="1"/>
        <v>0</v>
      </c>
      <c r="U16" s="39">
        <f t="shared" si="1"/>
        <v>0</v>
      </c>
      <c r="V16" s="39">
        <f t="shared" si="1"/>
        <v>0</v>
      </c>
      <c r="W16" s="39">
        <f t="shared" si="1"/>
        <v>0</v>
      </c>
      <c r="X16" s="39">
        <f t="shared" si="1"/>
        <v>0</v>
      </c>
      <c r="Y16" s="39">
        <f t="shared" si="1"/>
        <v>0</v>
      </c>
      <c r="Z16" s="39">
        <f t="shared" si="1"/>
        <v>0</v>
      </c>
      <c r="AA16" s="39">
        <f t="shared" si="1"/>
        <v>0</v>
      </c>
      <c r="AB16" s="39">
        <f t="shared" si="1"/>
        <v>0</v>
      </c>
      <c r="AC16" s="39">
        <f t="shared" si="1"/>
        <v>0</v>
      </c>
      <c r="AD16" s="39">
        <f t="shared" si="1"/>
        <v>0</v>
      </c>
      <c r="AE16" s="39">
        <f t="shared" si="1"/>
        <v>0</v>
      </c>
      <c r="AF16" s="39">
        <f t="shared" si="1"/>
        <v>0</v>
      </c>
      <c r="AG16" s="39"/>
      <c r="AH16" s="39"/>
    </row>
    <row r="17" spans="1:34" ht="16.5" customHeight="1">
      <c r="A17" s="17" t="s">
        <v>194</v>
      </c>
      <c r="B17" s="39">
        <v>0</v>
      </c>
      <c r="C17" s="39">
        <v>0</v>
      </c>
      <c r="D17" s="39">
        <v>0</v>
      </c>
      <c r="E17" s="39">
        <v>0</v>
      </c>
      <c r="F17" s="39">
        <v>0</v>
      </c>
      <c r="G17" s="39">
        <v>0</v>
      </c>
      <c r="H17" s="39">
        <v>0</v>
      </c>
      <c r="I17" s="39">
        <v>0</v>
      </c>
      <c r="J17" s="39">
        <v>0</v>
      </c>
      <c r="K17" s="39">
        <v>0</v>
      </c>
      <c r="L17" s="39">
        <v>0</v>
      </c>
      <c r="M17" s="39">
        <v>0</v>
      </c>
      <c r="N17" s="39">
        <v>0</v>
      </c>
      <c r="O17" s="39">
        <v>0</v>
      </c>
      <c r="P17" s="39">
        <v>0</v>
      </c>
      <c r="Q17" s="39">
        <v>0</v>
      </c>
      <c r="R17" s="39">
        <v>0</v>
      </c>
      <c r="S17" s="39">
        <v>0</v>
      </c>
      <c r="T17" s="39">
        <v>0</v>
      </c>
      <c r="U17" s="39">
        <v>0</v>
      </c>
      <c r="V17" s="39">
        <v>0</v>
      </c>
      <c r="W17" s="39">
        <v>0</v>
      </c>
      <c r="X17" s="39">
        <v>0</v>
      </c>
      <c r="Y17" s="39">
        <v>0</v>
      </c>
      <c r="Z17" s="39">
        <v>0</v>
      </c>
      <c r="AA17" s="39">
        <v>0</v>
      </c>
      <c r="AB17" s="39">
        <v>0</v>
      </c>
      <c r="AC17" s="39">
        <v>0</v>
      </c>
      <c r="AD17" s="39">
        <v>0</v>
      </c>
      <c r="AE17" s="39">
        <v>0</v>
      </c>
      <c r="AF17" s="39">
        <v>0</v>
      </c>
      <c r="AG17" s="39"/>
      <c r="AH17" s="39"/>
    </row>
    <row r="18" spans="1:34" ht="16.5" customHeight="1"/>
    <row r="19" spans="1:34" ht="16.5" customHeight="1">
      <c r="A19" s="1" t="s">
        <v>45</v>
      </c>
    </row>
    <row r="20" spans="1:34" ht="16.5" customHeight="1">
      <c r="A20" s="17" t="s">
        <v>195</v>
      </c>
    </row>
    <row r="21" spans="1:34" ht="16.5" customHeight="1"/>
    <row r="22" spans="1:34" ht="16.5" customHeight="1"/>
    <row r="23" spans="1:34" ht="16.5" customHeight="1">
      <c r="A23" s="17" t="s">
        <v>196</v>
      </c>
    </row>
    <row r="24" spans="1:34" ht="16.5" customHeight="1"/>
    <row r="25" spans="1:34" ht="16.5" customHeight="1">
      <c r="A25" s="17" t="s">
        <v>178</v>
      </c>
      <c r="B25" s="17">
        <v>2020</v>
      </c>
      <c r="C25" s="17">
        <v>2021</v>
      </c>
      <c r="D25" s="17">
        <v>2022</v>
      </c>
      <c r="E25" s="17">
        <v>2023</v>
      </c>
      <c r="F25" s="17">
        <v>2024</v>
      </c>
      <c r="G25" s="17">
        <v>2025</v>
      </c>
      <c r="H25" s="17">
        <v>2026</v>
      </c>
      <c r="I25" s="17">
        <v>2027</v>
      </c>
      <c r="J25" s="17">
        <v>2028</v>
      </c>
      <c r="K25" s="17">
        <v>2029</v>
      </c>
      <c r="L25" s="17">
        <v>2030</v>
      </c>
      <c r="M25" s="17">
        <v>2031</v>
      </c>
      <c r="N25" s="17">
        <v>2032</v>
      </c>
      <c r="O25" s="17">
        <v>2033</v>
      </c>
      <c r="P25" s="17">
        <v>2034</v>
      </c>
      <c r="Q25" s="17">
        <v>2035</v>
      </c>
      <c r="R25" s="17">
        <v>2036</v>
      </c>
      <c r="S25" s="17">
        <v>2037</v>
      </c>
      <c r="T25" s="17">
        <v>2038</v>
      </c>
      <c r="U25" s="17">
        <v>2039</v>
      </c>
      <c r="V25" s="17">
        <v>2040</v>
      </c>
      <c r="W25" s="17">
        <v>2041</v>
      </c>
      <c r="X25" s="17">
        <v>2042</v>
      </c>
      <c r="Y25" s="17">
        <v>2043</v>
      </c>
      <c r="Z25" s="17">
        <v>2044</v>
      </c>
      <c r="AA25" s="17">
        <v>2045</v>
      </c>
      <c r="AB25" s="17">
        <v>2046</v>
      </c>
      <c r="AC25" s="17">
        <v>2047</v>
      </c>
      <c r="AD25" s="17">
        <v>2048</v>
      </c>
      <c r="AE25" s="17">
        <v>2049</v>
      </c>
      <c r="AF25" s="17">
        <v>2050</v>
      </c>
    </row>
    <row r="26" spans="1:34" ht="16.5" customHeight="1">
      <c r="A26" s="17" t="s">
        <v>179</v>
      </c>
      <c r="B26" s="39"/>
      <c r="C26" s="39"/>
      <c r="D26" s="39"/>
      <c r="E26" s="39"/>
      <c r="F26" s="39"/>
      <c r="G26" s="39"/>
      <c r="H26" s="39"/>
      <c r="I26" s="39"/>
      <c r="J26" s="39"/>
      <c r="K26" s="39"/>
      <c r="L26" s="39"/>
      <c r="M26" s="39"/>
      <c r="N26" s="39"/>
      <c r="O26" s="39"/>
      <c r="P26" s="39"/>
      <c r="Q26" s="39"/>
      <c r="R26" s="39"/>
      <c r="S26" s="39"/>
      <c r="T26" s="39"/>
      <c r="U26" s="39"/>
      <c r="V26" s="39"/>
      <c r="W26" s="39"/>
      <c r="X26" s="39"/>
      <c r="Y26" s="39"/>
      <c r="Z26" s="39"/>
      <c r="AA26" s="39"/>
      <c r="AB26" s="39"/>
      <c r="AC26" s="39"/>
      <c r="AD26" s="39"/>
      <c r="AE26" s="39"/>
      <c r="AF26" s="39"/>
    </row>
    <row r="27" spans="1:34" ht="16.5" customHeight="1">
      <c r="A27" s="17" t="s">
        <v>180</v>
      </c>
      <c r="B27" s="39"/>
      <c r="C27" s="39"/>
      <c r="D27" s="39"/>
      <c r="E27" s="39"/>
      <c r="F27" s="39"/>
      <c r="G27" s="39"/>
      <c r="H27" s="39"/>
      <c r="I27" s="39"/>
      <c r="J27" s="39"/>
      <c r="K27" s="39"/>
      <c r="L27" s="39"/>
      <c r="M27" s="39"/>
      <c r="N27" s="39"/>
      <c r="O27" s="39"/>
      <c r="P27" s="39"/>
      <c r="Q27" s="39"/>
      <c r="R27" s="39"/>
      <c r="S27" s="39"/>
      <c r="T27" s="39"/>
      <c r="U27" s="39"/>
      <c r="V27" s="39"/>
      <c r="W27" s="39"/>
      <c r="X27" s="39"/>
      <c r="Y27" s="39"/>
      <c r="Z27" s="39"/>
      <c r="AA27" s="39"/>
      <c r="AB27" s="39"/>
      <c r="AC27" s="39"/>
      <c r="AD27" s="39"/>
      <c r="AE27" s="39"/>
      <c r="AF27" s="39"/>
    </row>
    <row r="28" spans="1:34" ht="16.5" customHeight="1">
      <c r="A28" s="17" t="s">
        <v>181</v>
      </c>
      <c r="B28" s="39"/>
      <c r="C28" s="39"/>
      <c r="D28" s="39"/>
      <c r="E28" s="39"/>
      <c r="F28" s="39"/>
      <c r="G28" s="39"/>
      <c r="H28" s="39"/>
      <c r="I28" s="39"/>
      <c r="J28" s="39"/>
      <c r="K28" s="39"/>
      <c r="L28" s="39"/>
      <c r="M28" s="39"/>
      <c r="N28" s="39"/>
      <c r="O28" s="39"/>
      <c r="P28" s="39"/>
      <c r="Q28" s="39"/>
      <c r="R28" s="39"/>
      <c r="S28" s="39"/>
      <c r="T28" s="39"/>
      <c r="U28" s="39"/>
      <c r="V28" s="39"/>
      <c r="W28" s="39"/>
      <c r="X28" s="39"/>
      <c r="Y28" s="39"/>
      <c r="Z28" s="39"/>
      <c r="AA28" s="39"/>
      <c r="AB28" s="39"/>
      <c r="AC28" s="39"/>
      <c r="AD28" s="39"/>
      <c r="AE28" s="39"/>
      <c r="AF28" s="39"/>
    </row>
    <row r="29" spans="1:34" ht="16.5" customHeight="1">
      <c r="A29" s="30" t="s">
        <v>182</v>
      </c>
      <c r="B29" s="39">
        <f>IFERROR(INDEX('Cal-CAPEX (정리)'!$B$69:$AF$73,MATCH(BSpUECB_세액공제액!$A29,'Cal-CAPEX (정리)'!$A$69:$A$73,0),MATCH(BSpUECB_세액공제액!B$25,'Cal-CAPEX (정리)'!$B$68:$AF$68,0))*About!$B$93,0)</f>
        <v>1709289</v>
      </c>
      <c r="C29" s="39">
        <f>IFERROR(INDEX('Cal-CAPEX (정리)'!$B$69:$AF$73,MATCH(BSpUECB_세액공제액!$A29,'Cal-CAPEX (정리)'!$A$69:$A$73,0),MATCH(BSpUECB_세액공제액!C$25,'Cal-CAPEX (정리)'!$B$68:$AF$68,0))*About!$B$93,0)</f>
        <v>1709289</v>
      </c>
      <c r="D29" s="39">
        <f>IFERROR(INDEX('Cal-CAPEX (정리)'!$B$69:$AF$73,MATCH(BSpUECB_세액공제액!$A29,'Cal-CAPEX (정리)'!$A$69:$A$73,0),MATCH(BSpUECB_세액공제액!D$25,'Cal-CAPEX (정리)'!$B$68:$AF$68,0))*About!$B$93,0)</f>
        <v>1709289</v>
      </c>
      <c r="E29" s="39">
        <f>IFERROR(INDEX('Cal-CAPEX (정리)'!$B$69:$AF$73,MATCH(BSpUECB_세액공제액!$A29,'Cal-CAPEX (정리)'!$A$69:$A$73,0),MATCH(BSpUECB_세액공제액!E$25,'Cal-CAPEX (정리)'!$B$68:$AF$68,0))*About!$B$93,0)</f>
        <v>1709289</v>
      </c>
      <c r="F29" s="39">
        <f>IFERROR(INDEX('Cal-CAPEX (정리)'!$B$69:$AF$73,MATCH(BSpUECB_세액공제액!$A29,'Cal-CAPEX (정리)'!$A$69:$A$73,0),MATCH(BSpUECB_세액공제액!F$25,'Cal-CAPEX (정리)'!$B$68:$AF$68,0))*About!$B$93,0)</f>
        <v>1709289</v>
      </c>
      <c r="G29" s="39">
        <f>IFERROR(INDEX('Cal-CAPEX (정리)'!$B$69:$AF$73,MATCH(BSpUECB_세액공제액!$A29,'Cal-CAPEX (정리)'!$A$69:$A$73,0),MATCH(BSpUECB_세액공제액!G$25,'Cal-CAPEX (정리)'!$B$68:$AF$68,0))*About!$B$93,0)</f>
        <v>1709289</v>
      </c>
      <c r="H29" s="39">
        <f>IFERROR(INDEX('Cal-CAPEX (정리)'!$B$69:$AF$73,MATCH(BSpUECB_세액공제액!$A29,'Cal-CAPEX (정리)'!$A$69:$A$73,0),MATCH(BSpUECB_세액공제액!H$25,'Cal-CAPEX (정리)'!$B$68:$AF$68,0))*About!$B$93,0)</f>
        <v>1709289</v>
      </c>
      <c r="I29" s="39">
        <f>IFERROR(INDEX('Cal-CAPEX (정리)'!$B$69:$AF$73,MATCH(BSpUECB_세액공제액!$A29,'Cal-CAPEX (정리)'!$A$69:$A$73,0),MATCH(BSpUECB_세액공제액!I$25,'Cal-CAPEX (정리)'!$B$68:$AF$68,0))*About!$B$93,0)</f>
        <v>1709289</v>
      </c>
      <c r="J29" s="39">
        <f>IFERROR(INDEX('Cal-CAPEX (정리)'!$B$69:$AF$73,MATCH(BSpUECB_세액공제액!$A29,'Cal-CAPEX (정리)'!$A$69:$A$73,0),MATCH(BSpUECB_세액공제액!J$25,'Cal-CAPEX (정리)'!$B$68:$AF$68,0))*About!$B$93,0)</f>
        <v>1709289</v>
      </c>
      <c r="K29" s="39">
        <f>IFERROR(INDEX('Cal-CAPEX (정리)'!$B$69:$AF$73,MATCH(BSpUECB_세액공제액!$A29,'Cal-CAPEX (정리)'!$A$69:$A$73,0),MATCH(BSpUECB_세액공제액!K$25,'Cal-CAPEX (정리)'!$B$68:$AF$68,0))*About!$B$93,0)</f>
        <v>1709289</v>
      </c>
      <c r="L29" s="39">
        <f>IFERROR(INDEX('Cal-CAPEX (정리)'!$B$69:$AF$73,MATCH(BSpUECB_세액공제액!$A29,'Cal-CAPEX (정리)'!$A$69:$A$73,0),MATCH(BSpUECB_세액공제액!L$25,'Cal-CAPEX (정리)'!$B$68:$AF$68,0))*About!$B$93,0)</f>
        <v>1709289</v>
      </c>
      <c r="M29" s="39">
        <f>IFERROR(INDEX('Cal-CAPEX (정리)'!$B$69:$AF$73,MATCH(BSpUECB_세액공제액!$A29,'Cal-CAPEX (정리)'!$A$69:$A$73,0),MATCH(BSpUECB_세액공제액!M$25,'Cal-CAPEX (정리)'!$B$68:$AF$68,0))*About!$B$93,0)</f>
        <v>1709289</v>
      </c>
      <c r="N29" s="39">
        <f>IFERROR(INDEX('Cal-CAPEX (정리)'!$B$69:$AF$73,MATCH(BSpUECB_세액공제액!$A29,'Cal-CAPEX (정리)'!$A$69:$A$73,0),MATCH(BSpUECB_세액공제액!N$25,'Cal-CAPEX (정리)'!$B$68:$AF$68,0))*About!$B$93,0)</f>
        <v>1709289</v>
      </c>
      <c r="O29" s="39">
        <f>IFERROR(INDEX('Cal-CAPEX (정리)'!$B$69:$AF$73,MATCH(BSpUECB_세액공제액!$A29,'Cal-CAPEX (정리)'!$A$69:$A$73,0),MATCH(BSpUECB_세액공제액!O$25,'Cal-CAPEX (정리)'!$B$68:$AF$68,0))*About!$B$93,0)</f>
        <v>1709289</v>
      </c>
      <c r="P29" s="39">
        <f>IFERROR(INDEX('Cal-CAPEX (정리)'!$B$69:$AF$73,MATCH(BSpUECB_세액공제액!$A29,'Cal-CAPEX (정리)'!$A$69:$A$73,0),MATCH(BSpUECB_세액공제액!P$25,'Cal-CAPEX (정리)'!$B$68:$AF$68,0))*About!$B$93,0)</f>
        <v>1709289</v>
      </c>
      <c r="Q29" s="39">
        <f>IFERROR(INDEX('Cal-CAPEX (정리)'!$B$69:$AF$73,MATCH(BSpUECB_세액공제액!$A29,'Cal-CAPEX (정리)'!$A$69:$A$73,0),MATCH(BSpUECB_세액공제액!Q$25,'Cal-CAPEX (정리)'!$B$68:$AF$68,0))*About!$B$93,0)</f>
        <v>1709289</v>
      </c>
      <c r="R29" s="39">
        <f>IFERROR(INDEX('Cal-CAPEX (정리)'!$B$69:$AF$73,MATCH(BSpUECB_세액공제액!$A29,'Cal-CAPEX (정리)'!$A$69:$A$73,0),MATCH(BSpUECB_세액공제액!R$25,'Cal-CAPEX (정리)'!$B$68:$AF$68,0))*About!$B$93,0)</f>
        <v>1709289</v>
      </c>
      <c r="S29" s="39">
        <f>IFERROR(INDEX('Cal-CAPEX (정리)'!$B$69:$AF$73,MATCH(BSpUECB_세액공제액!$A29,'Cal-CAPEX (정리)'!$A$69:$A$73,0),MATCH(BSpUECB_세액공제액!S$25,'Cal-CAPEX (정리)'!$B$68:$AF$68,0))*About!$B$93,0)</f>
        <v>1709289</v>
      </c>
      <c r="T29" s="39">
        <f>IFERROR(INDEX('Cal-CAPEX (정리)'!$B$69:$AF$73,MATCH(BSpUECB_세액공제액!$A29,'Cal-CAPEX (정리)'!$A$69:$A$73,0),MATCH(BSpUECB_세액공제액!T$25,'Cal-CAPEX (정리)'!$B$68:$AF$68,0))*About!$B$93,0)</f>
        <v>1709289</v>
      </c>
      <c r="U29" s="39">
        <f>IFERROR(INDEX('Cal-CAPEX (정리)'!$B$69:$AF$73,MATCH(BSpUECB_세액공제액!$A29,'Cal-CAPEX (정리)'!$A$69:$A$73,0),MATCH(BSpUECB_세액공제액!U$25,'Cal-CAPEX (정리)'!$B$68:$AF$68,0))*About!$B$93,0)</f>
        <v>1709289</v>
      </c>
      <c r="V29" s="39">
        <f>IFERROR(INDEX('Cal-CAPEX (정리)'!$B$69:$AF$73,MATCH(BSpUECB_세액공제액!$A29,'Cal-CAPEX (정리)'!$A$69:$A$73,0),MATCH(BSpUECB_세액공제액!V$25,'Cal-CAPEX (정리)'!$B$68:$AF$68,0))*About!$B$93,0)</f>
        <v>1709289</v>
      </c>
      <c r="W29" s="39">
        <f>IFERROR(INDEX('Cal-CAPEX (정리)'!$B$69:$AF$73,MATCH(BSpUECB_세액공제액!$A29,'Cal-CAPEX (정리)'!$A$69:$A$73,0),MATCH(BSpUECB_세액공제액!W$25,'Cal-CAPEX (정리)'!$B$68:$AF$68,0))*About!$B$93,0)</f>
        <v>1709289</v>
      </c>
      <c r="X29" s="39">
        <f>IFERROR(INDEX('Cal-CAPEX (정리)'!$B$69:$AF$73,MATCH(BSpUECB_세액공제액!$A29,'Cal-CAPEX (정리)'!$A$69:$A$73,0),MATCH(BSpUECB_세액공제액!X$25,'Cal-CAPEX (정리)'!$B$68:$AF$68,0))*About!$B$93,0)</f>
        <v>1709289</v>
      </c>
      <c r="Y29" s="39">
        <f>IFERROR(INDEX('Cal-CAPEX (정리)'!$B$69:$AF$73,MATCH(BSpUECB_세액공제액!$A29,'Cal-CAPEX (정리)'!$A$69:$A$73,0),MATCH(BSpUECB_세액공제액!Y$25,'Cal-CAPEX (정리)'!$B$68:$AF$68,0))*About!$B$93,0)</f>
        <v>1709289</v>
      </c>
      <c r="Z29" s="39">
        <f>IFERROR(INDEX('Cal-CAPEX (정리)'!$B$69:$AF$73,MATCH(BSpUECB_세액공제액!$A29,'Cal-CAPEX (정리)'!$A$69:$A$73,0),MATCH(BSpUECB_세액공제액!Z$25,'Cal-CAPEX (정리)'!$B$68:$AF$68,0))*About!$B$93,0)</f>
        <v>1709289</v>
      </c>
      <c r="AA29" s="39">
        <f>IFERROR(INDEX('Cal-CAPEX (정리)'!$B$69:$AF$73,MATCH(BSpUECB_세액공제액!$A29,'Cal-CAPEX (정리)'!$A$69:$A$73,0),MATCH(BSpUECB_세액공제액!AA$25,'Cal-CAPEX (정리)'!$B$68:$AF$68,0))*About!$B$93,0)</f>
        <v>1709289</v>
      </c>
      <c r="AB29" s="39">
        <f>IFERROR(INDEX('Cal-CAPEX (정리)'!$B$69:$AF$73,MATCH(BSpUECB_세액공제액!$A29,'Cal-CAPEX (정리)'!$A$69:$A$73,0),MATCH(BSpUECB_세액공제액!AB$25,'Cal-CAPEX (정리)'!$B$68:$AF$68,0))*About!$B$93,0)</f>
        <v>1709289</v>
      </c>
      <c r="AC29" s="39">
        <f>IFERROR(INDEX('Cal-CAPEX (정리)'!$B$69:$AF$73,MATCH(BSpUECB_세액공제액!$A29,'Cal-CAPEX (정리)'!$A$69:$A$73,0),MATCH(BSpUECB_세액공제액!AC$25,'Cal-CAPEX (정리)'!$B$68:$AF$68,0))*About!$B$93,0)</f>
        <v>1709289</v>
      </c>
      <c r="AD29" s="39">
        <f>IFERROR(INDEX('Cal-CAPEX (정리)'!$B$69:$AF$73,MATCH(BSpUECB_세액공제액!$A29,'Cal-CAPEX (정리)'!$A$69:$A$73,0),MATCH(BSpUECB_세액공제액!AD$25,'Cal-CAPEX (정리)'!$B$68:$AF$68,0))*About!$B$93,0)</f>
        <v>1709289</v>
      </c>
      <c r="AE29" s="39">
        <f>IFERROR(INDEX('Cal-CAPEX (정리)'!$B$69:$AF$73,MATCH(BSpUECB_세액공제액!$A29,'Cal-CAPEX (정리)'!$A$69:$A$73,0),MATCH(BSpUECB_세액공제액!AE$25,'Cal-CAPEX (정리)'!$B$68:$AF$68,0))*About!$B$93,0)</f>
        <v>1709289</v>
      </c>
      <c r="AF29" s="39">
        <f>IFERROR(INDEX('Cal-CAPEX (정리)'!$B$69:$AF$73,MATCH(BSpUECB_세액공제액!$A29,'Cal-CAPEX (정리)'!$A$69:$A$73,0),MATCH(BSpUECB_세액공제액!AF$25,'Cal-CAPEX (정리)'!$B$68:$AF$68,0))*About!$B$93,0)</f>
        <v>1709289</v>
      </c>
    </row>
    <row r="30" spans="1:34" ht="16.5" customHeight="1">
      <c r="A30" s="30" t="s">
        <v>183</v>
      </c>
      <c r="B30" s="39">
        <f>IFERROR(INDEX('Cal-CAPEX (정리)'!$B$69:$AF$73,MATCH(BSpUECB_세액공제액!$A30,'Cal-CAPEX (정리)'!$A$69:$A$73,0),MATCH(BSpUECB_세액공제액!B$25,'Cal-CAPEX (정리)'!$B$68:$AF$68,0))*About!$B$93,0)</f>
        <v>2137808.2888380373</v>
      </c>
      <c r="C30" s="39">
        <f>IFERROR(INDEX('Cal-CAPEX (정리)'!$B$69:$AF$73,MATCH(BSpUECB_세액공제액!$A30,'Cal-CAPEX (정리)'!$A$69:$A$73,0),MATCH(BSpUECB_세액공제액!C$25,'Cal-CAPEX (정리)'!$B$68:$AF$68,0))*About!$B$93,0)</f>
        <v>2103483.3460462699</v>
      </c>
      <c r="D30" s="39">
        <f>IFERROR(INDEX('Cal-CAPEX (정리)'!$B$69:$AF$73,MATCH(BSpUECB_세액공제액!$A30,'Cal-CAPEX (정리)'!$A$69:$A$73,0),MATCH(BSpUECB_세액공제액!D$25,'Cal-CAPEX (정리)'!$B$68:$AF$68,0))*About!$B$93,0)</f>
        <v>2069158.4032545078</v>
      </c>
      <c r="E30" s="39">
        <f>IFERROR(INDEX('Cal-CAPEX (정리)'!$B$69:$AF$73,MATCH(BSpUECB_세액공제액!$A30,'Cal-CAPEX (정리)'!$A$69:$A$73,0),MATCH(BSpUECB_세액공제액!E$25,'Cal-CAPEX (정리)'!$B$68:$AF$68,0))*About!$B$93,0)</f>
        <v>2034833.460462746</v>
      </c>
      <c r="F30" s="39">
        <f>IFERROR(INDEX('Cal-CAPEX (정리)'!$B$69:$AF$73,MATCH(BSpUECB_세액공제액!$A30,'Cal-CAPEX (정리)'!$A$69:$A$73,0),MATCH(BSpUECB_세액공제액!F$25,'Cal-CAPEX (정리)'!$B$68:$AF$68,0))*About!$B$93,0)</f>
        <v>2000508.5176709837</v>
      </c>
      <c r="G30" s="39">
        <f>IFERROR(INDEX('Cal-CAPEX (정리)'!$B$69:$AF$73,MATCH(BSpUECB_세액공제액!$A30,'Cal-CAPEX (정리)'!$A$69:$A$73,0),MATCH(BSpUECB_세액공제액!G$25,'Cal-CAPEX (정리)'!$B$68:$AF$68,0))*About!$B$93,0)</f>
        <v>1966183.5748792267</v>
      </c>
      <c r="H30" s="39">
        <f>IFERROR(INDEX('Cal-CAPEX (정리)'!$B$69:$AF$73,MATCH(BSpUECB_세액공제액!$A30,'Cal-CAPEX (정리)'!$A$69:$A$73,0),MATCH(BSpUECB_세액공제액!H$25,'Cal-CAPEX (정리)'!$B$68:$AF$68,0))*About!$B$93,0)</f>
        <v>1946266.6327654896</v>
      </c>
      <c r="I30" s="39">
        <f>IFERROR(INDEX('Cal-CAPEX (정리)'!$B$69:$AF$73,MATCH(BSpUECB_세액공제액!$A30,'Cal-CAPEX (정리)'!$A$69:$A$73,0),MATCH(BSpUECB_세액공제액!I$25,'Cal-CAPEX (정리)'!$B$68:$AF$68,0))*About!$B$93,0)</f>
        <v>1926349.6906517511</v>
      </c>
      <c r="J30" s="39">
        <f>IFERROR(INDEX('Cal-CAPEX (정리)'!$B$69:$AF$73,MATCH(BSpUECB_세액공제액!$A30,'Cal-CAPEX (정리)'!$A$69:$A$73,0),MATCH(BSpUECB_세액공제액!J$25,'Cal-CAPEX (정리)'!$B$68:$AF$68,0))*About!$B$93,0)</f>
        <v>1906432.7485380128</v>
      </c>
      <c r="K30" s="39">
        <f>IFERROR(INDEX('Cal-CAPEX (정리)'!$B$69:$AF$73,MATCH(BSpUECB_세액공제액!$A30,'Cal-CAPEX (정리)'!$A$69:$A$73,0),MATCH(BSpUECB_세액공제액!K$25,'Cal-CAPEX (정리)'!$B$68:$AF$68,0))*About!$B$93,0)</f>
        <v>1886515.8064242743</v>
      </c>
      <c r="L30" s="39">
        <f>IFERROR(INDEX('Cal-CAPEX (정리)'!$B$69:$AF$73,MATCH(BSpUECB_세액공제액!$A30,'Cal-CAPEX (정리)'!$A$69:$A$73,0),MATCH(BSpUECB_세액공제액!L$25,'Cal-CAPEX (정리)'!$B$68:$AF$68,0))*About!$B$93,0)</f>
        <v>1866598.8643105347</v>
      </c>
      <c r="M30" s="39">
        <f>IFERROR(INDEX('Cal-CAPEX (정리)'!$B$69:$AF$73,MATCH(BSpUECB_세액공제액!$A30,'Cal-CAPEX (정리)'!$A$69:$A$73,0),MATCH(BSpUECB_세액공제액!M$25,'Cal-CAPEX (정리)'!$B$68:$AF$68,0))*About!$B$93,0)</f>
        <v>1843834.6798729675</v>
      </c>
      <c r="N30" s="39">
        <f>IFERROR(INDEX('Cal-CAPEX (정리)'!$B$69:$AF$73,MATCH(BSpUECB_세액공제액!$A30,'Cal-CAPEX (정리)'!$A$69:$A$73,0),MATCH(BSpUECB_세액공제액!N$25,'Cal-CAPEX (정리)'!$B$68:$AF$68,0))*About!$B$93,0)</f>
        <v>1821348.1169978133</v>
      </c>
      <c r="O30" s="39">
        <f>IFERROR(INDEX('Cal-CAPEX (정리)'!$B$69:$AF$73,MATCH(BSpUECB_세액공제액!$A30,'Cal-CAPEX (정리)'!$A$69:$A$73,0),MATCH(BSpUECB_세액공제액!O$25,'Cal-CAPEX (정리)'!$B$68:$AF$68,0))*About!$B$93,0)</f>
        <v>1799135.7899397083</v>
      </c>
      <c r="P30" s="39">
        <f>IFERROR(INDEX('Cal-CAPEX (정리)'!$B$69:$AF$73,MATCH(BSpUECB_세액공제액!$A30,'Cal-CAPEX (정리)'!$A$69:$A$73,0),MATCH(BSpUECB_세액공제액!P$25,'Cal-CAPEX (정리)'!$B$68:$AF$68,0))*About!$B$93,0)</f>
        <v>1777194.3542442874</v>
      </c>
      <c r="Q30" s="39">
        <f>IFERROR(INDEX('Cal-CAPEX (정리)'!$B$69:$AF$73,MATCH(BSpUECB_세액공제액!$A30,'Cal-CAPEX (정리)'!$A$69:$A$73,0),MATCH(BSpUECB_세액공제액!Q$25,'Cal-CAPEX (정리)'!$B$68:$AF$68,0))*About!$B$93,0)</f>
        <v>1755520.5062446194</v>
      </c>
      <c r="R30" s="39">
        <f>IFERROR(INDEX('Cal-CAPEX (정리)'!$B$69:$AF$73,MATCH(BSpUECB_세액공제액!$A30,'Cal-CAPEX (정리)'!$A$69:$A$73,0),MATCH(BSpUECB_세액공제액!R$25,'Cal-CAPEX (정리)'!$B$68:$AF$68,0))*About!$B$93,0)</f>
        <v>1734110.9825637804</v>
      </c>
      <c r="S30" s="39">
        <f>IFERROR(INDEX('Cal-CAPEX (정리)'!$B$69:$AF$73,MATCH(BSpUECB_세액공제액!$A30,'Cal-CAPEX (정리)'!$A$69:$A$73,0),MATCH(BSpUECB_세액공제액!S$25,'Cal-CAPEX (정리)'!$B$68:$AF$68,0))*About!$B$93,0)</f>
        <v>1712962.5596234968</v>
      </c>
      <c r="T30" s="39">
        <f>IFERROR(INDEX('Cal-CAPEX (정리)'!$B$69:$AF$73,MATCH(BSpUECB_세액공제액!$A30,'Cal-CAPEX (정리)'!$A$69:$A$73,0),MATCH(BSpUECB_세액공제액!T$25,'Cal-CAPEX (정리)'!$B$68:$AF$68,0))*About!$B$93,0)</f>
        <v>1692072.053158778</v>
      </c>
      <c r="U30" s="39">
        <f>IFERROR(INDEX('Cal-CAPEX (정리)'!$B$69:$AF$73,MATCH(BSpUECB_세액공제액!$A30,'Cal-CAPEX (정리)'!$A$69:$A$73,0),MATCH(BSpUECB_세액공제액!U$25,'Cal-CAPEX (정리)'!$B$68:$AF$68,0))*About!$B$93,0)</f>
        <v>1671436.3177384706</v>
      </c>
      <c r="V30" s="39">
        <f>IFERROR(INDEX('Cal-CAPEX (정리)'!$B$69:$AF$73,MATCH(BSpUECB_세액공제액!$A30,'Cal-CAPEX (정리)'!$A$69:$A$73,0),MATCH(BSpUECB_세액공제액!V$25,'Cal-CAPEX (정리)'!$B$68:$AF$68,0))*About!$B$93,0)</f>
        <v>1651052.2462916574</v>
      </c>
      <c r="W30" s="39">
        <f>IFERROR(INDEX('Cal-CAPEX (정리)'!$B$69:$AF$73,MATCH(BSpUECB_세액공제액!$A30,'Cal-CAPEX (정리)'!$A$69:$A$73,0),MATCH(BSpUECB_세액공제액!W$25,'Cal-CAPEX (정리)'!$B$68:$AF$68,0))*About!$B$93,0)</f>
        <v>1630916.7696398352</v>
      </c>
      <c r="X30" s="39">
        <f>IFERROR(INDEX('Cal-CAPEX (정리)'!$B$69:$AF$73,MATCH(BSpUECB_세액공제액!$A30,'Cal-CAPEX (정리)'!$A$69:$A$73,0),MATCH(BSpUECB_세액공제액!X$25,'Cal-CAPEX (정리)'!$B$68:$AF$68,0))*About!$B$93,0)</f>
        <v>1611026.8560347953</v>
      </c>
      <c r="Y30" s="39">
        <f>IFERROR(INDEX('Cal-CAPEX (정리)'!$B$69:$AF$73,MATCH(BSpUECB_세액공제액!$A30,'Cal-CAPEX (정리)'!$A$69:$A$73,0),MATCH(BSpUECB_세액공제액!Y$25,'Cal-CAPEX (정리)'!$B$68:$AF$68,0))*About!$B$93,0)</f>
        <v>1591379.5107021411</v>
      </c>
      <c r="Z30" s="39">
        <f>IFERROR(INDEX('Cal-CAPEX (정리)'!$B$69:$AF$73,MATCH(BSpUECB_세액공제액!$A30,'Cal-CAPEX (정리)'!$A$69:$A$73,0),MATCH(BSpUECB_세액공제액!Z$25,'Cal-CAPEX (정리)'!$B$68:$AF$68,0))*About!$B$93,0)</f>
        <v>1571971.7753903714</v>
      </c>
      <c r="AA30" s="39">
        <f>IFERROR(INDEX('Cal-CAPEX (정리)'!$B$69:$AF$73,MATCH(BSpUECB_세액공제액!$A30,'Cal-CAPEX (정리)'!$A$69:$A$73,0),MATCH(BSpUECB_세액공제액!AA$25,'Cal-CAPEX (정리)'!$B$68:$AF$68,0))*About!$B$93,0)</f>
        <v>1552800.7279254661</v>
      </c>
      <c r="AB30" s="39">
        <f>IFERROR(INDEX('Cal-CAPEX (정리)'!$B$69:$AF$73,MATCH(BSpUECB_세액공제액!$A30,'Cal-CAPEX (정리)'!$A$69:$A$73,0),MATCH(BSpUECB_세액공제액!AB$25,'Cal-CAPEX (정리)'!$B$68:$AF$68,0))*About!$B$93,0)</f>
        <v>1533863.4817708994</v>
      </c>
      <c r="AC30" s="39">
        <f>IFERROR(INDEX('Cal-CAPEX (정리)'!$B$69:$AF$73,MATCH(BSpUECB_세액공제액!$A30,'Cal-CAPEX (정리)'!$A$69:$A$73,0),MATCH(BSpUECB_세액공제액!AC$25,'Cal-CAPEX (정리)'!$B$68:$AF$68,0))*About!$B$93,0)</f>
        <v>1515157.1855930227</v>
      </c>
      <c r="AD30" s="39">
        <f>IFERROR(INDEX('Cal-CAPEX (정리)'!$B$69:$AF$73,MATCH(BSpUECB_세액공제액!$A30,'Cal-CAPEX (정리)'!$A$69:$A$73,0),MATCH(BSpUECB_세액공제액!AD$25,'Cal-CAPEX (정리)'!$B$68:$AF$68,0))*About!$B$93,0)</f>
        <v>1496679.0228317457</v>
      </c>
      <c r="AE30" s="39">
        <f>IFERROR(INDEX('Cal-CAPEX (정리)'!$B$69:$AF$73,MATCH(BSpUECB_세액공제액!$A30,'Cal-CAPEX (정리)'!$A$69:$A$73,0),MATCH(BSpUECB_세액공제액!AE$25,'Cal-CAPEX (정리)'!$B$68:$AF$68,0))*About!$B$93,0)</f>
        <v>1478426.2112764553</v>
      </c>
      <c r="AF30" s="39">
        <f>IFERROR(INDEX('Cal-CAPEX (정리)'!$B$69:$AF$73,MATCH(BSpUECB_세액공제액!$A30,'Cal-CAPEX (정리)'!$A$69:$A$73,0),MATCH(BSpUECB_세액공제액!AF$25,'Cal-CAPEX (정리)'!$B$68:$AF$68,0))*About!$B$93,0)</f>
        <v>1460396.0026471033</v>
      </c>
    </row>
    <row r="31" spans="1:34" ht="16.5" customHeight="1">
      <c r="A31" s="30" t="s">
        <v>184</v>
      </c>
      <c r="B31" s="39">
        <f>IFERROR(INDEX('Cal-CAPEX (정리)'!$B$69:$AF$73,MATCH(BSpUECB_세액공제액!$A31,'Cal-CAPEX (정리)'!$A$69:$A$73,0),MATCH(BSpUECB_세액공제액!B$25,'Cal-CAPEX (정리)'!$B$68:$AF$68,0))*About!$B$93,0)</f>
        <v>1282566.3191795913</v>
      </c>
      <c r="C31" s="39">
        <f>IFERROR(INDEX('Cal-CAPEX (정리)'!$B$69:$AF$73,MATCH(BSpUECB_세액공제액!$A31,'Cal-CAPEX (정리)'!$A$69:$A$73,0),MATCH(BSpUECB_세액공제액!C$25,'Cal-CAPEX (정리)'!$B$68:$AF$68,0))*About!$B$93,0)</f>
        <v>1234358.8439698264</v>
      </c>
      <c r="D31" s="39">
        <f>IFERROR(INDEX('Cal-CAPEX (정리)'!$B$69:$AF$73,MATCH(BSpUECB_세액공제액!$A31,'Cal-CAPEX (정리)'!$A$69:$A$73,0),MATCH(BSpUECB_세액공제액!D$25,'Cal-CAPEX (정리)'!$B$68:$AF$68,0))*About!$B$93,0)</f>
        <v>1186151.3687600715</v>
      </c>
      <c r="E31" s="39">
        <f>IFERROR(INDEX('Cal-CAPEX (정리)'!$B$69:$AF$73,MATCH(BSpUECB_세액공제액!$A31,'Cal-CAPEX (정리)'!$A$69:$A$73,0),MATCH(BSpUECB_세액공제액!E$25,'Cal-CAPEX (정리)'!$B$68:$AF$68,0))*About!$B$93,0)</f>
        <v>1137943.8935503038</v>
      </c>
      <c r="F31" s="39">
        <f>IFERROR(INDEX('Cal-CAPEX (정리)'!$B$69:$AF$73,MATCH(BSpUECB_세액공제액!$A31,'Cal-CAPEX (정리)'!$A$69:$A$73,0),MATCH(BSpUECB_세액공제액!F$25,'Cal-CAPEX (정리)'!$B$68:$AF$68,0))*About!$B$93,0)</f>
        <v>1089736.4183405361</v>
      </c>
      <c r="G31" s="39">
        <f>IFERROR(INDEX('Cal-CAPEX (정리)'!$B$69:$AF$73,MATCH(BSpUECB_세액공제액!$A31,'Cal-CAPEX (정리)'!$A$69:$A$73,0),MATCH(BSpUECB_세액공제액!G$25,'Cal-CAPEX (정리)'!$B$68:$AF$68,0))*About!$B$93,0)</f>
        <v>1041528.9431307737</v>
      </c>
      <c r="H31" s="39">
        <f>IFERROR(INDEX('Cal-CAPEX (정리)'!$B$69:$AF$73,MATCH(BSpUECB_세액공제액!$A31,'Cal-CAPEX (정리)'!$A$69:$A$73,0),MATCH(BSpUECB_세액공제액!H$25,'Cal-CAPEX (정리)'!$B$68:$AF$68,0))*About!$B$93,0)</f>
        <v>1012068.8193914733</v>
      </c>
      <c r="I31" s="39">
        <f>IFERROR(INDEX('Cal-CAPEX (정리)'!$B$69:$AF$73,MATCH(BSpUECB_세액공제액!$A31,'Cal-CAPEX (정리)'!$A$69:$A$73,0),MATCH(BSpUECB_세액공제액!I$25,'Cal-CAPEX (정리)'!$B$68:$AF$68,0))*About!$B$93,0)</f>
        <v>982608.69565217779</v>
      </c>
      <c r="J31" s="39">
        <f>IFERROR(INDEX('Cal-CAPEX (정리)'!$B$69:$AF$73,MATCH(BSpUECB_세액공제액!$A31,'Cal-CAPEX (정리)'!$A$69:$A$73,0),MATCH(BSpUECB_세액공제액!J$25,'Cal-CAPEX (정리)'!$B$68:$AF$68,0))*About!$B$93,0)</f>
        <v>953148.57191286993</v>
      </c>
      <c r="K31" s="39">
        <f>IFERROR(INDEX('Cal-CAPEX (정리)'!$B$69:$AF$73,MATCH(BSpUECB_세액공제액!$A31,'Cal-CAPEX (정리)'!$A$69:$A$73,0),MATCH(BSpUECB_세액공제액!K$25,'Cal-CAPEX (정리)'!$B$68:$AF$68,0))*About!$B$93,0)</f>
        <v>923688.4481735744</v>
      </c>
      <c r="L31" s="39">
        <f>IFERROR(INDEX('Cal-CAPEX (정리)'!$B$69:$AF$73,MATCH(BSpUECB_세액공제액!$A31,'Cal-CAPEX (정리)'!$A$69:$A$73,0),MATCH(BSpUECB_세액공제액!L$25,'Cal-CAPEX (정리)'!$B$68:$AF$68,0))*About!$B$93,0)</f>
        <v>894228.32443427388</v>
      </c>
      <c r="M31" s="39">
        <f>IFERROR(INDEX('Cal-CAPEX (정리)'!$B$69:$AF$73,MATCH(BSpUECB_세액공제액!$A31,'Cal-CAPEX (정리)'!$A$69:$A$73,0),MATCH(BSpUECB_세액공제액!M$25,'Cal-CAPEX (정리)'!$B$68:$AF$68,0))*About!$B$93,0)</f>
        <v>866463.93457924062</v>
      </c>
      <c r="N31" s="39">
        <f>IFERROR(INDEX('Cal-CAPEX (정리)'!$B$69:$AF$73,MATCH(BSpUECB_세액공제액!$A31,'Cal-CAPEX (정리)'!$A$69:$A$73,0),MATCH(BSpUECB_세액공제액!N$25,'Cal-CAPEX (정리)'!$B$68:$AF$68,0))*About!$B$93,0)</f>
        <v>839561.58557323751</v>
      </c>
      <c r="O31" s="39">
        <f>IFERROR(INDEX('Cal-CAPEX (정리)'!$B$69:$AF$73,MATCH(BSpUECB_세액공제액!$A31,'Cal-CAPEX (정리)'!$A$69:$A$73,0),MATCH(BSpUECB_세액공제액!O$25,'Cal-CAPEX (정리)'!$B$68:$AF$68,0))*About!$B$93,0)</f>
        <v>813494.51239714213</v>
      </c>
      <c r="P31" s="39">
        <f>IFERROR(INDEX('Cal-CAPEX (정리)'!$B$69:$AF$73,MATCH(BSpUECB_세액공제액!$A31,'Cal-CAPEX (정리)'!$A$69:$A$73,0),MATCH(BSpUECB_세액공제액!P$25,'Cal-CAPEX (정리)'!$B$68:$AF$68,0))*About!$B$93,0)</f>
        <v>788236.78104378388</v>
      </c>
      <c r="Q31" s="39">
        <f>IFERROR(INDEX('Cal-CAPEX (정리)'!$B$69:$AF$73,MATCH(BSpUECB_세액공제액!$A31,'Cal-CAPEX (정리)'!$A$69:$A$73,0),MATCH(BSpUECB_세액공제액!Q$25,'Cal-CAPEX (정리)'!$B$68:$AF$68,0))*About!$B$93,0)</f>
        <v>763763.26271632372</v>
      </c>
      <c r="R31" s="39">
        <f>IFERROR(INDEX('Cal-CAPEX (정리)'!$B$69:$AF$73,MATCH(BSpUECB_세액공제액!$A31,'Cal-CAPEX (정리)'!$A$69:$A$73,0),MATCH(BSpUECB_세액공제액!R$25,'Cal-CAPEX (정리)'!$B$68:$AF$68,0))*About!$B$93,0)</f>
        <v>740049.60882773367</v>
      </c>
      <c r="S31" s="39">
        <f>IFERROR(INDEX('Cal-CAPEX (정리)'!$B$69:$AF$73,MATCH(BSpUECB_세액공제액!$A31,'Cal-CAPEX (정리)'!$A$69:$A$73,0),MATCH(BSpUECB_세액공제액!S$25,'Cal-CAPEX (정리)'!$B$68:$AF$68,0))*About!$B$93,0)</f>
        <v>717072.22677650291</v>
      </c>
      <c r="T31" s="39">
        <f>IFERROR(INDEX('Cal-CAPEX (정리)'!$B$69:$AF$73,MATCH(BSpUECB_세액공제액!$A31,'Cal-CAPEX (정리)'!$A$69:$A$73,0),MATCH(BSpUECB_세액공제액!T$25,'Cal-CAPEX (정리)'!$B$68:$AF$68,0))*About!$B$93,0)</f>
        <v>694808.25647447165</v>
      </c>
      <c r="U31" s="39">
        <f>IFERROR(INDEX('Cal-CAPEX (정리)'!$B$69:$AF$73,MATCH(BSpUECB_세액공제액!$A31,'Cal-CAPEX (정리)'!$A$69:$A$73,0),MATCH(BSpUECB_세액공제액!U$25,'Cal-CAPEX (정리)'!$B$68:$AF$68,0))*About!$B$93,0)</f>
        <v>673235.54760343756</v>
      </c>
      <c r="V31" s="39">
        <f>IFERROR(INDEX('Cal-CAPEX (정리)'!$B$69:$AF$73,MATCH(BSpUECB_세액공제액!$A31,'Cal-CAPEX (정리)'!$A$69:$A$73,0),MATCH(BSpUECB_세액공제액!V$25,'Cal-CAPEX (정리)'!$B$68:$AF$68,0))*About!$B$93,0)</f>
        <v>652332.63757790916</v>
      </c>
      <c r="W31" s="39">
        <f>IFERROR(INDEX('Cal-CAPEX (정리)'!$B$69:$AF$73,MATCH(BSpUECB_세액공제액!$A31,'Cal-CAPEX (정리)'!$A$69:$A$73,0),MATCH(BSpUECB_세액공제액!W$25,'Cal-CAPEX (정리)'!$B$68:$AF$68,0))*About!$B$93,0)</f>
        <v>632078.73019208189</v>
      </c>
      <c r="X31" s="39">
        <f>IFERROR(INDEX('Cal-CAPEX (정리)'!$B$69:$AF$73,MATCH(BSpUECB_세액공제액!$A31,'Cal-CAPEX (정리)'!$A$69:$A$73,0),MATCH(BSpUECB_세액공제액!X$25,'Cal-CAPEX (정리)'!$B$68:$AF$68,0))*About!$B$93,0)</f>
        <v>612453.67492979218</v>
      </c>
      <c r="Y31" s="39">
        <f>IFERROR(INDEX('Cal-CAPEX (정리)'!$B$69:$AF$73,MATCH(BSpUECB_세액공제액!$A31,'Cal-CAPEX (정리)'!$A$69:$A$73,0),MATCH(BSpUECB_세액공제액!Y$25,'Cal-CAPEX (정리)'!$B$68:$AF$68,0))*About!$B$93,0)</f>
        <v>593437.94691686402</v>
      </c>
      <c r="Z31" s="39">
        <f>IFERROR(INDEX('Cal-CAPEX (정리)'!$B$69:$AF$73,MATCH(BSpUECB_세액공제액!$A31,'Cal-CAPEX (정리)'!$A$69:$A$73,0),MATCH(BSpUECB_세액공제액!Z$25,'Cal-CAPEX (정리)'!$B$68:$AF$68,0))*About!$B$93,0)</f>
        <v>575012.62749590504</v>
      </c>
      <c r="AA31" s="39">
        <f>IFERROR(INDEX('Cal-CAPEX (정리)'!$B$69:$AF$73,MATCH(BSpUECB_세액공제액!$A31,'Cal-CAPEX (정리)'!$A$69:$A$73,0),MATCH(BSpUECB_세액공제액!AA$25,'Cal-CAPEX (정리)'!$B$68:$AF$68,0))*About!$B$93,0)</f>
        <v>557159.38540422393</v>
      </c>
      <c r="AB31" s="39">
        <f>IFERROR(INDEX('Cal-CAPEX (정리)'!$B$69:$AF$73,MATCH(BSpUECB_세액공제액!$A31,'Cal-CAPEX (정리)'!$A$69:$A$73,0),MATCH(BSpUECB_세액공제액!AB$25,'Cal-CAPEX (정리)'!$B$68:$AF$68,0))*About!$B$93,0)</f>
        <v>539860.45853614458</v>
      </c>
      <c r="AC31" s="39">
        <f>IFERROR(INDEX('Cal-CAPEX (정리)'!$B$69:$AF$73,MATCH(BSpUECB_세액공제액!$A31,'Cal-CAPEX (정리)'!$A$69:$A$73,0),MATCH(BSpUECB_세액공제액!AC$25,'Cal-CAPEX (정리)'!$B$68:$AF$68,0))*About!$B$93,0)</f>
        <v>523098.63627157122</v>
      </c>
      <c r="AD31" s="39">
        <f>IFERROR(INDEX('Cal-CAPEX (정리)'!$B$69:$AF$73,MATCH(BSpUECB_세액공제액!$A31,'Cal-CAPEX (정리)'!$A$69:$A$73,0),MATCH(BSpUECB_세액공제액!AD$25,'Cal-CAPEX (정리)'!$B$68:$AF$68,0))*About!$B$93,0)</f>
        <v>506857.24235322437</v>
      </c>
      <c r="AE31" s="39">
        <f>IFERROR(INDEX('Cal-CAPEX (정리)'!$B$69:$AF$73,MATCH(BSpUECB_세액공제액!$A31,'Cal-CAPEX (정리)'!$A$69:$A$73,0),MATCH(BSpUECB_세액공제액!AE$25,'Cal-CAPEX (정리)'!$B$68:$AF$68,0))*About!$B$93,0)</f>
        <v>491120.11829551245</v>
      </c>
      <c r="AF31" s="39">
        <f>IFERROR(INDEX('Cal-CAPEX (정리)'!$B$69:$AF$73,MATCH(BSpUECB_세액공제액!$A31,'Cal-CAPEX (정리)'!$A$69:$A$73,0),MATCH(BSpUECB_세액공제액!AF$25,'Cal-CAPEX (정리)'!$B$68:$AF$68,0))*About!$B$93,0)</f>
        <v>475871.60730853031</v>
      </c>
    </row>
    <row r="32" spans="1:34" ht="16.5" customHeight="1">
      <c r="A32" s="17" t="s">
        <v>185</v>
      </c>
      <c r="B32" s="39">
        <f>IFERROR(INDEX('Cal-CAPEX (정리)'!$B$69:$AF$73,MATCH(BSpUECB_세액공제액!$A32,'Cal-CAPEX (정리)'!$A$69:$A$73,0),MATCH(BSpUECB_세액공제액!B$25,'Cal-CAPEX (정리)'!$B$68:$AF$68,0))*About!$B$93,0)</f>
        <v>0</v>
      </c>
      <c r="C32" s="39">
        <f>IFERROR(INDEX('Cal-CAPEX (정리)'!$B$69:$AF$73,MATCH(BSpUECB_세액공제액!$A32,'Cal-CAPEX (정리)'!$A$69:$A$73,0),MATCH(BSpUECB_세액공제액!C$25,'Cal-CAPEX (정리)'!$B$68:$AF$68,0))*About!$B$93,0)</f>
        <v>0</v>
      </c>
      <c r="D32" s="39">
        <f>IFERROR(INDEX('Cal-CAPEX (정리)'!$B$69:$AF$73,MATCH(BSpUECB_세액공제액!$A32,'Cal-CAPEX (정리)'!$A$69:$A$73,0),MATCH(BSpUECB_세액공제액!D$25,'Cal-CAPEX (정리)'!$B$68:$AF$68,0))*About!$B$93,0)</f>
        <v>0</v>
      </c>
      <c r="E32" s="39">
        <f>IFERROR(INDEX('Cal-CAPEX (정리)'!$B$69:$AF$73,MATCH(BSpUECB_세액공제액!$A32,'Cal-CAPEX (정리)'!$A$69:$A$73,0),MATCH(BSpUECB_세액공제액!E$25,'Cal-CAPEX (정리)'!$B$68:$AF$68,0))*About!$B$93,0)</f>
        <v>0</v>
      </c>
      <c r="F32" s="39">
        <f>IFERROR(INDEX('Cal-CAPEX (정리)'!$B$69:$AF$73,MATCH(BSpUECB_세액공제액!$A32,'Cal-CAPEX (정리)'!$A$69:$A$73,0),MATCH(BSpUECB_세액공제액!F$25,'Cal-CAPEX (정리)'!$B$68:$AF$68,0))*About!$B$93,0)</f>
        <v>0</v>
      </c>
      <c r="G32" s="39">
        <f>IFERROR(INDEX('Cal-CAPEX (정리)'!$B$69:$AF$73,MATCH(BSpUECB_세액공제액!$A32,'Cal-CAPEX (정리)'!$A$69:$A$73,0),MATCH(BSpUECB_세액공제액!G$25,'Cal-CAPEX (정리)'!$B$68:$AF$68,0))*About!$B$93,0)</f>
        <v>0</v>
      </c>
      <c r="H32" s="39">
        <f>IFERROR(INDEX('Cal-CAPEX (정리)'!$B$69:$AF$73,MATCH(BSpUECB_세액공제액!$A32,'Cal-CAPEX (정리)'!$A$69:$A$73,0),MATCH(BSpUECB_세액공제액!H$25,'Cal-CAPEX (정리)'!$B$68:$AF$68,0))*About!$B$93,0)</f>
        <v>0</v>
      </c>
      <c r="I32" s="39">
        <f>IFERROR(INDEX('Cal-CAPEX (정리)'!$B$69:$AF$73,MATCH(BSpUECB_세액공제액!$A32,'Cal-CAPEX (정리)'!$A$69:$A$73,0),MATCH(BSpUECB_세액공제액!I$25,'Cal-CAPEX (정리)'!$B$68:$AF$68,0))*About!$B$93,0)</f>
        <v>0</v>
      </c>
      <c r="J32" s="39">
        <f>IFERROR(INDEX('Cal-CAPEX (정리)'!$B$69:$AF$73,MATCH(BSpUECB_세액공제액!$A32,'Cal-CAPEX (정리)'!$A$69:$A$73,0),MATCH(BSpUECB_세액공제액!J$25,'Cal-CAPEX (정리)'!$B$68:$AF$68,0))*About!$B$93,0)</f>
        <v>0</v>
      </c>
      <c r="K32" s="39">
        <f>IFERROR(INDEX('Cal-CAPEX (정리)'!$B$69:$AF$73,MATCH(BSpUECB_세액공제액!$A32,'Cal-CAPEX (정리)'!$A$69:$A$73,0),MATCH(BSpUECB_세액공제액!K$25,'Cal-CAPEX (정리)'!$B$68:$AF$68,0))*About!$B$93,0)</f>
        <v>0</v>
      </c>
      <c r="L32" s="39">
        <f>IFERROR(INDEX('Cal-CAPEX (정리)'!$B$69:$AF$73,MATCH(BSpUECB_세액공제액!$A32,'Cal-CAPEX (정리)'!$A$69:$A$73,0),MATCH(BSpUECB_세액공제액!L$25,'Cal-CAPEX (정리)'!$B$68:$AF$68,0))*About!$B$93,0)</f>
        <v>0</v>
      </c>
      <c r="M32" s="39">
        <f>IFERROR(INDEX('Cal-CAPEX (정리)'!$B$69:$AF$73,MATCH(BSpUECB_세액공제액!$A32,'Cal-CAPEX (정리)'!$A$69:$A$73,0),MATCH(BSpUECB_세액공제액!M$25,'Cal-CAPEX (정리)'!$B$68:$AF$68,0))*About!$B$93,0)</f>
        <v>0</v>
      </c>
      <c r="N32" s="39">
        <f>IFERROR(INDEX('Cal-CAPEX (정리)'!$B$69:$AF$73,MATCH(BSpUECB_세액공제액!$A32,'Cal-CAPEX (정리)'!$A$69:$A$73,0),MATCH(BSpUECB_세액공제액!N$25,'Cal-CAPEX (정리)'!$B$68:$AF$68,0))*About!$B$93,0)</f>
        <v>0</v>
      </c>
      <c r="O32" s="39">
        <f>IFERROR(INDEX('Cal-CAPEX (정리)'!$B$69:$AF$73,MATCH(BSpUECB_세액공제액!$A32,'Cal-CAPEX (정리)'!$A$69:$A$73,0),MATCH(BSpUECB_세액공제액!O$25,'Cal-CAPEX (정리)'!$B$68:$AF$68,0))*About!$B$93,0)</f>
        <v>0</v>
      </c>
      <c r="P32" s="39">
        <f>IFERROR(INDEX('Cal-CAPEX (정리)'!$B$69:$AF$73,MATCH(BSpUECB_세액공제액!$A32,'Cal-CAPEX (정리)'!$A$69:$A$73,0),MATCH(BSpUECB_세액공제액!P$25,'Cal-CAPEX (정리)'!$B$68:$AF$68,0))*About!$B$93,0)</f>
        <v>0</v>
      </c>
      <c r="Q32" s="39">
        <f>IFERROR(INDEX('Cal-CAPEX (정리)'!$B$69:$AF$73,MATCH(BSpUECB_세액공제액!$A32,'Cal-CAPEX (정리)'!$A$69:$A$73,0),MATCH(BSpUECB_세액공제액!Q$25,'Cal-CAPEX (정리)'!$B$68:$AF$68,0))*About!$B$93,0)</f>
        <v>0</v>
      </c>
      <c r="R32" s="39">
        <f>IFERROR(INDEX('Cal-CAPEX (정리)'!$B$69:$AF$73,MATCH(BSpUECB_세액공제액!$A32,'Cal-CAPEX (정리)'!$A$69:$A$73,0),MATCH(BSpUECB_세액공제액!R$25,'Cal-CAPEX (정리)'!$B$68:$AF$68,0))*About!$B$93,0)</f>
        <v>0</v>
      </c>
      <c r="S32" s="39">
        <f>IFERROR(INDEX('Cal-CAPEX (정리)'!$B$69:$AF$73,MATCH(BSpUECB_세액공제액!$A32,'Cal-CAPEX (정리)'!$A$69:$A$73,0),MATCH(BSpUECB_세액공제액!S$25,'Cal-CAPEX (정리)'!$B$68:$AF$68,0))*About!$B$93,0)</f>
        <v>0</v>
      </c>
      <c r="T32" s="39">
        <f>IFERROR(INDEX('Cal-CAPEX (정리)'!$B$69:$AF$73,MATCH(BSpUECB_세액공제액!$A32,'Cal-CAPEX (정리)'!$A$69:$A$73,0),MATCH(BSpUECB_세액공제액!T$25,'Cal-CAPEX (정리)'!$B$68:$AF$68,0))*About!$B$93,0)</f>
        <v>0</v>
      </c>
      <c r="U32" s="39">
        <f>IFERROR(INDEX('Cal-CAPEX (정리)'!$B$69:$AF$73,MATCH(BSpUECB_세액공제액!$A32,'Cal-CAPEX (정리)'!$A$69:$A$73,0),MATCH(BSpUECB_세액공제액!U$25,'Cal-CAPEX (정리)'!$B$68:$AF$68,0))*About!$B$93,0)</f>
        <v>0</v>
      </c>
      <c r="V32" s="39">
        <f>IFERROR(INDEX('Cal-CAPEX (정리)'!$B$69:$AF$73,MATCH(BSpUECB_세액공제액!$A32,'Cal-CAPEX (정리)'!$A$69:$A$73,0),MATCH(BSpUECB_세액공제액!V$25,'Cal-CAPEX (정리)'!$B$68:$AF$68,0))*About!$B$93,0)</f>
        <v>0</v>
      </c>
      <c r="W32" s="39">
        <f>IFERROR(INDEX('Cal-CAPEX (정리)'!$B$69:$AF$73,MATCH(BSpUECB_세액공제액!$A32,'Cal-CAPEX (정리)'!$A$69:$A$73,0),MATCH(BSpUECB_세액공제액!W$25,'Cal-CAPEX (정리)'!$B$68:$AF$68,0))*About!$B$93,0)</f>
        <v>0</v>
      </c>
      <c r="X32" s="39">
        <f>IFERROR(INDEX('Cal-CAPEX (정리)'!$B$69:$AF$73,MATCH(BSpUECB_세액공제액!$A32,'Cal-CAPEX (정리)'!$A$69:$A$73,0),MATCH(BSpUECB_세액공제액!X$25,'Cal-CAPEX (정리)'!$B$68:$AF$68,0))*About!$B$93,0)</f>
        <v>0</v>
      </c>
      <c r="Y32" s="39">
        <f>IFERROR(INDEX('Cal-CAPEX (정리)'!$B$69:$AF$73,MATCH(BSpUECB_세액공제액!$A32,'Cal-CAPEX (정리)'!$A$69:$A$73,0),MATCH(BSpUECB_세액공제액!Y$25,'Cal-CAPEX (정리)'!$B$68:$AF$68,0))*About!$B$93,0)</f>
        <v>0</v>
      </c>
      <c r="Z32" s="39">
        <f>IFERROR(INDEX('Cal-CAPEX (정리)'!$B$69:$AF$73,MATCH(BSpUECB_세액공제액!$A32,'Cal-CAPEX (정리)'!$A$69:$A$73,0),MATCH(BSpUECB_세액공제액!Z$25,'Cal-CAPEX (정리)'!$B$68:$AF$68,0))*About!$B$93,0)</f>
        <v>0</v>
      </c>
      <c r="AA32" s="39">
        <f>IFERROR(INDEX('Cal-CAPEX (정리)'!$B$69:$AF$73,MATCH(BSpUECB_세액공제액!$A32,'Cal-CAPEX (정리)'!$A$69:$A$73,0),MATCH(BSpUECB_세액공제액!AA$25,'Cal-CAPEX (정리)'!$B$68:$AF$68,0))*About!$B$93,0)</f>
        <v>0</v>
      </c>
      <c r="AB32" s="39">
        <f>IFERROR(INDEX('Cal-CAPEX (정리)'!$B$69:$AF$73,MATCH(BSpUECB_세액공제액!$A32,'Cal-CAPEX (정리)'!$A$69:$A$73,0),MATCH(BSpUECB_세액공제액!AB$25,'Cal-CAPEX (정리)'!$B$68:$AF$68,0))*About!$B$93,0)</f>
        <v>0</v>
      </c>
      <c r="AC32" s="39">
        <f>IFERROR(INDEX('Cal-CAPEX (정리)'!$B$69:$AF$73,MATCH(BSpUECB_세액공제액!$A32,'Cal-CAPEX (정리)'!$A$69:$A$73,0),MATCH(BSpUECB_세액공제액!AC$25,'Cal-CAPEX (정리)'!$B$68:$AF$68,0))*About!$B$93,0)</f>
        <v>0</v>
      </c>
      <c r="AD32" s="39">
        <f>IFERROR(INDEX('Cal-CAPEX (정리)'!$B$69:$AF$73,MATCH(BSpUECB_세액공제액!$A32,'Cal-CAPEX (정리)'!$A$69:$A$73,0),MATCH(BSpUECB_세액공제액!AD$25,'Cal-CAPEX (정리)'!$B$68:$AF$68,0))*About!$B$93,0)</f>
        <v>0</v>
      </c>
      <c r="AE32" s="39">
        <f>IFERROR(INDEX('Cal-CAPEX (정리)'!$B$69:$AF$73,MATCH(BSpUECB_세액공제액!$A32,'Cal-CAPEX (정리)'!$A$69:$A$73,0),MATCH(BSpUECB_세액공제액!AE$25,'Cal-CAPEX (정리)'!$B$68:$AF$68,0))*About!$B$93,0)</f>
        <v>0</v>
      </c>
      <c r="AF32" s="39">
        <f>IFERROR(INDEX('Cal-CAPEX (정리)'!$B$69:$AF$73,MATCH(BSpUECB_세액공제액!$A32,'Cal-CAPEX (정리)'!$A$69:$A$73,0),MATCH(BSpUECB_세액공제액!AF$25,'Cal-CAPEX (정리)'!$B$68:$AF$68,0))*About!$B$93,0)</f>
        <v>0</v>
      </c>
    </row>
    <row r="33" spans="1:32" ht="16.5" customHeight="1">
      <c r="A33" s="30" t="s">
        <v>186</v>
      </c>
      <c r="B33" s="39">
        <f>IFERROR(INDEX('Cal-CAPEX (정리)'!$B$69:$AF$73,MATCH(BSpUECB_세액공제액!$A33,'Cal-CAPEX (정리)'!$A$69:$A$73,0),MATCH(BSpUECB_세액공제액!B$25,'Cal-CAPEX (정리)'!$B$68:$AF$68,0))*About!$B$93,0)</f>
        <v>2289343.9</v>
      </c>
      <c r="C33" s="39">
        <f>IFERROR(INDEX('Cal-CAPEX (정리)'!$B$69:$AF$73,MATCH(BSpUECB_세액공제액!$A33,'Cal-CAPEX (정리)'!$A$69:$A$73,0),MATCH(BSpUECB_세액공제액!C$25,'Cal-CAPEX (정리)'!$B$68:$AF$68,0))*About!$B$93,0)</f>
        <v>2289343.9</v>
      </c>
      <c r="D33" s="39">
        <f>IFERROR(INDEX('Cal-CAPEX (정리)'!$B$69:$AF$73,MATCH(BSpUECB_세액공제액!$A33,'Cal-CAPEX (정리)'!$A$69:$A$73,0),MATCH(BSpUECB_세액공제액!D$25,'Cal-CAPEX (정리)'!$B$68:$AF$68,0))*About!$B$93,0)</f>
        <v>2289343.9</v>
      </c>
      <c r="E33" s="39">
        <f>IFERROR(INDEX('Cal-CAPEX (정리)'!$B$69:$AF$73,MATCH(BSpUECB_세액공제액!$A33,'Cal-CAPEX (정리)'!$A$69:$A$73,0),MATCH(BSpUECB_세액공제액!E$25,'Cal-CAPEX (정리)'!$B$68:$AF$68,0))*About!$B$93,0)</f>
        <v>2289343.9</v>
      </c>
      <c r="F33" s="39">
        <f>IFERROR(INDEX('Cal-CAPEX (정리)'!$B$69:$AF$73,MATCH(BSpUECB_세액공제액!$A33,'Cal-CAPEX (정리)'!$A$69:$A$73,0),MATCH(BSpUECB_세액공제액!F$25,'Cal-CAPEX (정리)'!$B$68:$AF$68,0))*About!$B$93,0)</f>
        <v>2289343.9</v>
      </c>
      <c r="G33" s="39">
        <f>IFERROR(INDEX('Cal-CAPEX (정리)'!$B$69:$AF$73,MATCH(BSpUECB_세액공제액!$A33,'Cal-CAPEX (정리)'!$A$69:$A$73,0),MATCH(BSpUECB_세액공제액!G$25,'Cal-CAPEX (정리)'!$B$68:$AF$68,0))*About!$B$93,0)</f>
        <v>2289343.9</v>
      </c>
      <c r="H33" s="39">
        <f>IFERROR(INDEX('Cal-CAPEX (정리)'!$B$69:$AF$73,MATCH(BSpUECB_세액공제액!$A33,'Cal-CAPEX (정리)'!$A$69:$A$73,0),MATCH(BSpUECB_세액공제액!H$25,'Cal-CAPEX (정리)'!$B$68:$AF$68,0))*About!$B$93,0)</f>
        <v>2289343.9</v>
      </c>
      <c r="I33" s="39">
        <f>IFERROR(INDEX('Cal-CAPEX (정리)'!$B$69:$AF$73,MATCH(BSpUECB_세액공제액!$A33,'Cal-CAPEX (정리)'!$A$69:$A$73,0),MATCH(BSpUECB_세액공제액!I$25,'Cal-CAPEX (정리)'!$B$68:$AF$68,0))*About!$B$93,0)</f>
        <v>2289343.9</v>
      </c>
      <c r="J33" s="39">
        <f>IFERROR(INDEX('Cal-CAPEX (정리)'!$B$69:$AF$73,MATCH(BSpUECB_세액공제액!$A33,'Cal-CAPEX (정리)'!$A$69:$A$73,0),MATCH(BSpUECB_세액공제액!J$25,'Cal-CAPEX (정리)'!$B$68:$AF$68,0))*About!$B$93,0)</f>
        <v>2289343.9</v>
      </c>
      <c r="K33" s="39">
        <f>IFERROR(INDEX('Cal-CAPEX (정리)'!$B$69:$AF$73,MATCH(BSpUECB_세액공제액!$A33,'Cal-CAPEX (정리)'!$A$69:$A$73,0),MATCH(BSpUECB_세액공제액!K$25,'Cal-CAPEX (정리)'!$B$68:$AF$68,0))*About!$B$93,0)</f>
        <v>2289343.9</v>
      </c>
      <c r="L33" s="39">
        <f>IFERROR(INDEX('Cal-CAPEX (정리)'!$B$69:$AF$73,MATCH(BSpUECB_세액공제액!$A33,'Cal-CAPEX (정리)'!$A$69:$A$73,0),MATCH(BSpUECB_세액공제액!L$25,'Cal-CAPEX (정리)'!$B$68:$AF$68,0))*About!$B$93,0)</f>
        <v>2289343.9</v>
      </c>
      <c r="M33" s="39">
        <f>IFERROR(INDEX('Cal-CAPEX (정리)'!$B$69:$AF$73,MATCH(BSpUECB_세액공제액!$A33,'Cal-CAPEX (정리)'!$A$69:$A$73,0),MATCH(BSpUECB_세액공제액!M$25,'Cal-CAPEX (정리)'!$B$68:$AF$68,0))*About!$B$93,0)</f>
        <v>2289343.9</v>
      </c>
      <c r="N33" s="39">
        <f>IFERROR(INDEX('Cal-CAPEX (정리)'!$B$69:$AF$73,MATCH(BSpUECB_세액공제액!$A33,'Cal-CAPEX (정리)'!$A$69:$A$73,0),MATCH(BSpUECB_세액공제액!N$25,'Cal-CAPEX (정리)'!$B$68:$AF$68,0))*About!$B$93,0)</f>
        <v>2289343.9</v>
      </c>
      <c r="O33" s="39">
        <f>IFERROR(INDEX('Cal-CAPEX (정리)'!$B$69:$AF$73,MATCH(BSpUECB_세액공제액!$A33,'Cal-CAPEX (정리)'!$A$69:$A$73,0),MATCH(BSpUECB_세액공제액!O$25,'Cal-CAPEX (정리)'!$B$68:$AF$68,0))*About!$B$93,0)</f>
        <v>2289343.9</v>
      </c>
      <c r="P33" s="39">
        <f>IFERROR(INDEX('Cal-CAPEX (정리)'!$B$69:$AF$73,MATCH(BSpUECB_세액공제액!$A33,'Cal-CAPEX (정리)'!$A$69:$A$73,0),MATCH(BSpUECB_세액공제액!P$25,'Cal-CAPEX (정리)'!$B$68:$AF$68,0))*About!$B$93,0)</f>
        <v>2289343.9</v>
      </c>
      <c r="Q33" s="39">
        <f>IFERROR(INDEX('Cal-CAPEX (정리)'!$B$69:$AF$73,MATCH(BSpUECB_세액공제액!$A33,'Cal-CAPEX (정리)'!$A$69:$A$73,0),MATCH(BSpUECB_세액공제액!Q$25,'Cal-CAPEX (정리)'!$B$68:$AF$68,0))*About!$B$93,0)</f>
        <v>2289343.9</v>
      </c>
      <c r="R33" s="39">
        <f>IFERROR(INDEX('Cal-CAPEX (정리)'!$B$69:$AF$73,MATCH(BSpUECB_세액공제액!$A33,'Cal-CAPEX (정리)'!$A$69:$A$73,0),MATCH(BSpUECB_세액공제액!R$25,'Cal-CAPEX (정리)'!$B$68:$AF$68,0))*About!$B$93,0)</f>
        <v>2289343.9</v>
      </c>
      <c r="S33" s="39">
        <f>IFERROR(INDEX('Cal-CAPEX (정리)'!$B$69:$AF$73,MATCH(BSpUECB_세액공제액!$A33,'Cal-CAPEX (정리)'!$A$69:$A$73,0),MATCH(BSpUECB_세액공제액!S$25,'Cal-CAPEX (정리)'!$B$68:$AF$68,0))*About!$B$93,0)</f>
        <v>2289343.9</v>
      </c>
      <c r="T33" s="39">
        <f>IFERROR(INDEX('Cal-CAPEX (정리)'!$B$69:$AF$73,MATCH(BSpUECB_세액공제액!$A33,'Cal-CAPEX (정리)'!$A$69:$A$73,0),MATCH(BSpUECB_세액공제액!T$25,'Cal-CAPEX (정리)'!$B$68:$AF$68,0))*About!$B$93,0)</f>
        <v>2289343.9</v>
      </c>
      <c r="U33" s="39">
        <f>IFERROR(INDEX('Cal-CAPEX (정리)'!$B$69:$AF$73,MATCH(BSpUECB_세액공제액!$A33,'Cal-CAPEX (정리)'!$A$69:$A$73,0),MATCH(BSpUECB_세액공제액!U$25,'Cal-CAPEX (정리)'!$B$68:$AF$68,0))*About!$B$93,0)</f>
        <v>2289343.9</v>
      </c>
      <c r="V33" s="39">
        <f>IFERROR(INDEX('Cal-CAPEX (정리)'!$B$69:$AF$73,MATCH(BSpUECB_세액공제액!$A33,'Cal-CAPEX (정리)'!$A$69:$A$73,0),MATCH(BSpUECB_세액공제액!V$25,'Cal-CAPEX (정리)'!$B$68:$AF$68,0))*About!$B$93,0)</f>
        <v>2289343.9</v>
      </c>
      <c r="W33" s="39">
        <f>IFERROR(INDEX('Cal-CAPEX (정리)'!$B$69:$AF$73,MATCH(BSpUECB_세액공제액!$A33,'Cal-CAPEX (정리)'!$A$69:$A$73,0),MATCH(BSpUECB_세액공제액!W$25,'Cal-CAPEX (정리)'!$B$68:$AF$68,0))*About!$B$93,0)</f>
        <v>2289343.9</v>
      </c>
      <c r="X33" s="39">
        <f>IFERROR(INDEX('Cal-CAPEX (정리)'!$B$69:$AF$73,MATCH(BSpUECB_세액공제액!$A33,'Cal-CAPEX (정리)'!$A$69:$A$73,0),MATCH(BSpUECB_세액공제액!X$25,'Cal-CAPEX (정리)'!$B$68:$AF$68,0))*About!$B$93,0)</f>
        <v>2289343.9</v>
      </c>
      <c r="Y33" s="39">
        <f>IFERROR(INDEX('Cal-CAPEX (정리)'!$B$69:$AF$73,MATCH(BSpUECB_세액공제액!$A33,'Cal-CAPEX (정리)'!$A$69:$A$73,0),MATCH(BSpUECB_세액공제액!Y$25,'Cal-CAPEX (정리)'!$B$68:$AF$68,0))*About!$B$93,0)</f>
        <v>2289343.9</v>
      </c>
      <c r="Z33" s="39">
        <f>IFERROR(INDEX('Cal-CAPEX (정리)'!$B$69:$AF$73,MATCH(BSpUECB_세액공제액!$A33,'Cal-CAPEX (정리)'!$A$69:$A$73,0),MATCH(BSpUECB_세액공제액!Z$25,'Cal-CAPEX (정리)'!$B$68:$AF$68,0))*About!$B$93,0)</f>
        <v>2289343.9</v>
      </c>
      <c r="AA33" s="39">
        <f>IFERROR(INDEX('Cal-CAPEX (정리)'!$B$69:$AF$73,MATCH(BSpUECB_세액공제액!$A33,'Cal-CAPEX (정리)'!$A$69:$A$73,0),MATCH(BSpUECB_세액공제액!AA$25,'Cal-CAPEX (정리)'!$B$68:$AF$68,0))*About!$B$93,0)</f>
        <v>2289343.9</v>
      </c>
      <c r="AB33" s="39">
        <f>IFERROR(INDEX('Cal-CAPEX (정리)'!$B$69:$AF$73,MATCH(BSpUECB_세액공제액!$A33,'Cal-CAPEX (정리)'!$A$69:$A$73,0),MATCH(BSpUECB_세액공제액!AB$25,'Cal-CAPEX (정리)'!$B$68:$AF$68,0))*About!$B$93,0)</f>
        <v>2289343.9</v>
      </c>
      <c r="AC33" s="39">
        <f>IFERROR(INDEX('Cal-CAPEX (정리)'!$B$69:$AF$73,MATCH(BSpUECB_세액공제액!$A33,'Cal-CAPEX (정리)'!$A$69:$A$73,0),MATCH(BSpUECB_세액공제액!AC$25,'Cal-CAPEX (정리)'!$B$68:$AF$68,0))*About!$B$93,0)</f>
        <v>2289343.9</v>
      </c>
      <c r="AD33" s="39">
        <f>IFERROR(INDEX('Cal-CAPEX (정리)'!$B$69:$AF$73,MATCH(BSpUECB_세액공제액!$A33,'Cal-CAPEX (정리)'!$A$69:$A$73,0),MATCH(BSpUECB_세액공제액!AD$25,'Cal-CAPEX (정리)'!$B$68:$AF$68,0))*About!$B$93,0)</f>
        <v>2289343.9</v>
      </c>
      <c r="AE33" s="39">
        <f>IFERROR(INDEX('Cal-CAPEX (정리)'!$B$69:$AF$73,MATCH(BSpUECB_세액공제액!$A33,'Cal-CAPEX (정리)'!$A$69:$A$73,0),MATCH(BSpUECB_세액공제액!AE$25,'Cal-CAPEX (정리)'!$B$68:$AF$68,0))*About!$B$93,0)</f>
        <v>2289343.9</v>
      </c>
      <c r="AF33" s="39">
        <f>IFERROR(INDEX('Cal-CAPEX (정리)'!$B$69:$AF$73,MATCH(BSpUECB_세액공제액!$A33,'Cal-CAPEX (정리)'!$A$69:$A$73,0),MATCH(BSpUECB_세액공제액!AF$25,'Cal-CAPEX (정리)'!$B$68:$AF$68,0))*About!$B$93,0)</f>
        <v>2289343.9</v>
      </c>
    </row>
    <row r="34" spans="1:32" ht="16.5" customHeight="1">
      <c r="A34" s="17" t="s">
        <v>187</v>
      </c>
      <c r="B34" s="39">
        <f>IFERROR(INDEX('Cal-CAPEX (정리)'!$B$69:$AF$73,MATCH(BSpUECB_세액공제액!$A34,'Cal-CAPEX (정리)'!$A$69:$A$73,0),MATCH(BSpUECB_세액공제액!B$25,'Cal-CAPEX (정리)'!$B$68:$AF$68,0))*About!$B$93,0)</f>
        <v>0</v>
      </c>
      <c r="C34" s="39">
        <f>IFERROR(INDEX('Cal-CAPEX (정리)'!$B$69:$AF$73,MATCH(BSpUECB_세액공제액!$A34,'Cal-CAPEX (정리)'!$A$69:$A$73,0),MATCH(BSpUECB_세액공제액!C$25,'Cal-CAPEX (정리)'!$B$68:$AF$68,0))*About!$B$93,0)</f>
        <v>0</v>
      </c>
      <c r="D34" s="39">
        <f>IFERROR(INDEX('Cal-CAPEX (정리)'!$B$69:$AF$73,MATCH(BSpUECB_세액공제액!$A34,'Cal-CAPEX (정리)'!$A$69:$A$73,0),MATCH(BSpUECB_세액공제액!D$25,'Cal-CAPEX (정리)'!$B$68:$AF$68,0))*About!$B$93,0)</f>
        <v>0</v>
      </c>
      <c r="E34" s="39">
        <f>IFERROR(INDEX('Cal-CAPEX (정리)'!$B$69:$AF$73,MATCH(BSpUECB_세액공제액!$A34,'Cal-CAPEX (정리)'!$A$69:$A$73,0),MATCH(BSpUECB_세액공제액!E$25,'Cal-CAPEX (정리)'!$B$68:$AF$68,0))*About!$B$93,0)</f>
        <v>0</v>
      </c>
      <c r="F34" s="39">
        <f>IFERROR(INDEX('Cal-CAPEX (정리)'!$B$69:$AF$73,MATCH(BSpUECB_세액공제액!$A34,'Cal-CAPEX (정리)'!$A$69:$A$73,0),MATCH(BSpUECB_세액공제액!F$25,'Cal-CAPEX (정리)'!$B$68:$AF$68,0))*About!$B$93,0)</f>
        <v>0</v>
      </c>
      <c r="G34" s="39">
        <f>IFERROR(INDEX('Cal-CAPEX (정리)'!$B$69:$AF$73,MATCH(BSpUECB_세액공제액!$A34,'Cal-CAPEX (정리)'!$A$69:$A$73,0),MATCH(BSpUECB_세액공제액!G$25,'Cal-CAPEX (정리)'!$B$68:$AF$68,0))*About!$B$93,0)</f>
        <v>0</v>
      </c>
      <c r="H34" s="39">
        <f>IFERROR(INDEX('Cal-CAPEX (정리)'!$B$69:$AF$73,MATCH(BSpUECB_세액공제액!$A34,'Cal-CAPEX (정리)'!$A$69:$A$73,0),MATCH(BSpUECB_세액공제액!H$25,'Cal-CAPEX (정리)'!$B$68:$AF$68,0))*About!$B$93,0)</f>
        <v>0</v>
      </c>
      <c r="I34" s="39">
        <f>IFERROR(INDEX('Cal-CAPEX (정리)'!$B$69:$AF$73,MATCH(BSpUECB_세액공제액!$A34,'Cal-CAPEX (정리)'!$A$69:$A$73,0),MATCH(BSpUECB_세액공제액!I$25,'Cal-CAPEX (정리)'!$B$68:$AF$68,0))*About!$B$93,0)</f>
        <v>0</v>
      </c>
      <c r="J34" s="39">
        <f>IFERROR(INDEX('Cal-CAPEX (정리)'!$B$69:$AF$73,MATCH(BSpUECB_세액공제액!$A34,'Cal-CAPEX (정리)'!$A$69:$A$73,0),MATCH(BSpUECB_세액공제액!J$25,'Cal-CAPEX (정리)'!$B$68:$AF$68,0))*About!$B$93,0)</f>
        <v>0</v>
      </c>
      <c r="K34" s="39">
        <f>IFERROR(INDEX('Cal-CAPEX (정리)'!$B$69:$AF$73,MATCH(BSpUECB_세액공제액!$A34,'Cal-CAPEX (정리)'!$A$69:$A$73,0),MATCH(BSpUECB_세액공제액!K$25,'Cal-CAPEX (정리)'!$B$68:$AF$68,0))*About!$B$93,0)</f>
        <v>0</v>
      </c>
      <c r="L34" s="39">
        <f>IFERROR(INDEX('Cal-CAPEX (정리)'!$B$69:$AF$73,MATCH(BSpUECB_세액공제액!$A34,'Cal-CAPEX (정리)'!$A$69:$A$73,0),MATCH(BSpUECB_세액공제액!L$25,'Cal-CAPEX (정리)'!$B$68:$AF$68,0))*About!$B$93,0)</f>
        <v>0</v>
      </c>
      <c r="M34" s="39">
        <f>IFERROR(INDEX('Cal-CAPEX (정리)'!$B$69:$AF$73,MATCH(BSpUECB_세액공제액!$A34,'Cal-CAPEX (정리)'!$A$69:$A$73,0),MATCH(BSpUECB_세액공제액!M$25,'Cal-CAPEX (정리)'!$B$68:$AF$68,0))*About!$B$93,0)</f>
        <v>0</v>
      </c>
      <c r="N34" s="39">
        <f>IFERROR(INDEX('Cal-CAPEX (정리)'!$B$69:$AF$73,MATCH(BSpUECB_세액공제액!$A34,'Cal-CAPEX (정리)'!$A$69:$A$73,0),MATCH(BSpUECB_세액공제액!N$25,'Cal-CAPEX (정리)'!$B$68:$AF$68,0))*About!$B$93,0)</f>
        <v>0</v>
      </c>
      <c r="O34" s="39">
        <f>IFERROR(INDEX('Cal-CAPEX (정리)'!$B$69:$AF$73,MATCH(BSpUECB_세액공제액!$A34,'Cal-CAPEX (정리)'!$A$69:$A$73,0),MATCH(BSpUECB_세액공제액!O$25,'Cal-CAPEX (정리)'!$B$68:$AF$68,0))*About!$B$93,0)</f>
        <v>0</v>
      </c>
      <c r="P34" s="39">
        <f>IFERROR(INDEX('Cal-CAPEX (정리)'!$B$69:$AF$73,MATCH(BSpUECB_세액공제액!$A34,'Cal-CAPEX (정리)'!$A$69:$A$73,0),MATCH(BSpUECB_세액공제액!P$25,'Cal-CAPEX (정리)'!$B$68:$AF$68,0))*About!$B$93,0)</f>
        <v>0</v>
      </c>
      <c r="Q34" s="39">
        <f>IFERROR(INDEX('Cal-CAPEX (정리)'!$B$69:$AF$73,MATCH(BSpUECB_세액공제액!$A34,'Cal-CAPEX (정리)'!$A$69:$A$73,0),MATCH(BSpUECB_세액공제액!Q$25,'Cal-CAPEX (정리)'!$B$68:$AF$68,0))*About!$B$93,0)</f>
        <v>0</v>
      </c>
      <c r="R34" s="39">
        <f>IFERROR(INDEX('Cal-CAPEX (정리)'!$B$69:$AF$73,MATCH(BSpUECB_세액공제액!$A34,'Cal-CAPEX (정리)'!$A$69:$A$73,0),MATCH(BSpUECB_세액공제액!R$25,'Cal-CAPEX (정리)'!$B$68:$AF$68,0))*About!$B$93,0)</f>
        <v>0</v>
      </c>
      <c r="S34" s="39">
        <f>IFERROR(INDEX('Cal-CAPEX (정리)'!$B$69:$AF$73,MATCH(BSpUECB_세액공제액!$A34,'Cal-CAPEX (정리)'!$A$69:$A$73,0),MATCH(BSpUECB_세액공제액!S$25,'Cal-CAPEX (정리)'!$B$68:$AF$68,0))*About!$B$93,0)</f>
        <v>0</v>
      </c>
      <c r="T34" s="39">
        <f>IFERROR(INDEX('Cal-CAPEX (정리)'!$B$69:$AF$73,MATCH(BSpUECB_세액공제액!$A34,'Cal-CAPEX (정리)'!$A$69:$A$73,0),MATCH(BSpUECB_세액공제액!T$25,'Cal-CAPEX (정리)'!$B$68:$AF$68,0))*About!$B$93,0)</f>
        <v>0</v>
      </c>
      <c r="U34" s="39">
        <f>IFERROR(INDEX('Cal-CAPEX (정리)'!$B$69:$AF$73,MATCH(BSpUECB_세액공제액!$A34,'Cal-CAPEX (정리)'!$A$69:$A$73,0),MATCH(BSpUECB_세액공제액!U$25,'Cal-CAPEX (정리)'!$B$68:$AF$68,0))*About!$B$93,0)</f>
        <v>0</v>
      </c>
      <c r="V34" s="39">
        <f>IFERROR(INDEX('Cal-CAPEX (정리)'!$B$69:$AF$73,MATCH(BSpUECB_세액공제액!$A34,'Cal-CAPEX (정리)'!$A$69:$A$73,0),MATCH(BSpUECB_세액공제액!V$25,'Cal-CAPEX (정리)'!$B$68:$AF$68,0))*About!$B$93,0)</f>
        <v>0</v>
      </c>
      <c r="W34" s="39">
        <f>IFERROR(INDEX('Cal-CAPEX (정리)'!$B$69:$AF$73,MATCH(BSpUECB_세액공제액!$A34,'Cal-CAPEX (정리)'!$A$69:$A$73,0),MATCH(BSpUECB_세액공제액!W$25,'Cal-CAPEX (정리)'!$B$68:$AF$68,0))*About!$B$93,0)</f>
        <v>0</v>
      </c>
      <c r="X34" s="39">
        <f>IFERROR(INDEX('Cal-CAPEX (정리)'!$B$69:$AF$73,MATCH(BSpUECB_세액공제액!$A34,'Cal-CAPEX (정리)'!$A$69:$A$73,0),MATCH(BSpUECB_세액공제액!X$25,'Cal-CAPEX (정리)'!$B$68:$AF$68,0))*About!$B$93,0)</f>
        <v>0</v>
      </c>
      <c r="Y34" s="39">
        <f>IFERROR(INDEX('Cal-CAPEX (정리)'!$B$69:$AF$73,MATCH(BSpUECB_세액공제액!$A34,'Cal-CAPEX (정리)'!$A$69:$A$73,0),MATCH(BSpUECB_세액공제액!Y$25,'Cal-CAPEX (정리)'!$B$68:$AF$68,0))*About!$B$93,0)</f>
        <v>0</v>
      </c>
      <c r="Z34" s="39">
        <f>IFERROR(INDEX('Cal-CAPEX (정리)'!$B$69:$AF$73,MATCH(BSpUECB_세액공제액!$A34,'Cal-CAPEX (정리)'!$A$69:$A$73,0),MATCH(BSpUECB_세액공제액!Z$25,'Cal-CAPEX (정리)'!$B$68:$AF$68,0))*About!$B$93,0)</f>
        <v>0</v>
      </c>
      <c r="AA34" s="39">
        <f>IFERROR(INDEX('Cal-CAPEX (정리)'!$B$69:$AF$73,MATCH(BSpUECB_세액공제액!$A34,'Cal-CAPEX (정리)'!$A$69:$A$73,0),MATCH(BSpUECB_세액공제액!AA$25,'Cal-CAPEX (정리)'!$B$68:$AF$68,0))*About!$B$93,0)</f>
        <v>0</v>
      </c>
      <c r="AB34" s="39">
        <f>IFERROR(INDEX('Cal-CAPEX (정리)'!$B$69:$AF$73,MATCH(BSpUECB_세액공제액!$A34,'Cal-CAPEX (정리)'!$A$69:$A$73,0),MATCH(BSpUECB_세액공제액!AB$25,'Cal-CAPEX (정리)'!$B$68:$AF$68,0))*About!$B$93,0)</f>
        <v>0</v>
      </c>
      <c r="AC34" s="39">
        <f>IFERROR(INDEX('Cal-CAPEX (정리)'!$B$69:$AF$73,MATCH(BSpUECB_세액공제액!$A34,'Cal-CAPEX (정리)'!$A$69:$A$73,0),MATCH(BSpUECB_세액공제액!AC$25,'Cal-CAPEX (정리)'!$B$68:$AF$68,0))*About!$B$93,0)</f>
        <v>0</v>
      </c>
      <c r="AD34" s="39">
        <f>IFERROR(INDEX('Cal-CAPEX (정리)'!$B$69:$AF$73,MATCH(BSpUECB_세액공제액!$A34,'Cal-CAPEX (정리)'!$A$69:$A$73,0),MATCH(BSpUECB_세액공제액!AD$25,'Cal-CAPEX (정리)'!$B$68:$AF$68,0))*About!$B$93,0)</f>
        <v>0</v>
      </c>
      <c r="AE34" s="39">
        <f>IFERROR(INDEX('Cal-CAPEX (정리)'!$B$69:$AF$73,MATCH(BSpUECB_세액공제액!$A34,'Cal-CAPEX (정리)'!$A$69:$A$73,0),MATCH(BSpUECB_세액공제액!AE$25,'Cal-CAPEX (정리)'!$B$68:$AF$68,0))*About!$B$93,0)</f>
        <v>0</v>
      </c>
      <c r="AF34" s="39">
        <f>IFERROR(INDEX('Cal-CAPEX (정리)'!$B$69:$AF$73,MATCH(BSpUECB_세액공제액!$A34,'Cal-CAPEX (정리)'!$A$69:$A$73,0),MATCH(BSpUECB_세액공제액!AF$25,'Cal-CAPEX (정리)'!$B$68:$AF$68,0))*About!$B$93,0)</f>
        <v>0</v>
      </c>
    </row>
    <row r="35" spans="1:32" ht="16.5" customHeight="1">
      <c r="A35" s="17" t="s">
        <v>188</v>
      </c>
      <c r="B35" s="39">
        <f>IFERROR(INDEX('Cal-CAPEX (정리)'!$B$69:$AF$73,MATCH(BSpUECB_세액공제액!$A35,'Cal-CAPEX (정리)'!$A$69:$A$73,0),MATCH(BSpUECB_세액공제액!B$25,'Cal-CAPEX (정리)'!$B$68:$AF$68,0))*About!$B$93,0)</f>
        <v>0</v>
      </c>
      <c r="C35" s="39">
        <f>IFERROR(INDEX('Cal-CAPEX (정리)'!$B$69:$AF$73,MATCH(BSpUECB_세액공제액!$A35,'Cal-CAPEX (정리)'!$A$69:$A$73,0),MATCH(BSpUECB_세액공제액!C$25,'Cal-CAPEX (정리)'!$B$68:$AF$68,0))*About!$B$93,0)</f>
        <v>0</v>
      </c>
      <c r="D35" s="39">
        <f>IFERROR(INDEX('Cal-CAPEX (정리)'!$B$69:$AF$73,MATCH(BSpUECB_세액공제액!$A35,'Cal-CAPEX (정리)'!$A$69:$A$73,0),MATCH(BSpUECB_세액공제액!D$25,'Cal-CAPEX (정리)'!$B$68:$AF$68,0))*About!$B$93,0)</f>
        <v>0</v>
      </c>
      <c r="E35" s="39">
        <f>IFERROR(INDEX('Cal-CAPEX (정리)'!$B$69:$AF$73,MATCH(BSpUECB_세액공제액!$A35,'Cal-CAPEX (정리)'!$A$69:$A$73,0),MATCH(BSpUECB_세액공제액!E$25,'Cal-CAPEX (정리)'!$B$68:$AF$68,0))*About!$B$93,0)</f>
        <v>0</v>
      </c>
      <c r="F35" s="39">
        <f>IFERROR(INDEX('Cal-CAPEX (정리)'!$B$69:$AF$73,MATCH(BSpUECB_세액공제액!$A35,'Cal-CAPEX (정리)'!$A$69:$A$73,0),MATCH(BSpUECB_세액공제액!F$25,'Cal-CAPEX (정리)'!$B$68:$AF$68,0))*About!$B$93,0)</f>
        <v>0</v>
      </c>
      <c r="G35" s="39">
        <f>IFERROR(INDEX('Cal-CAPEX (정리)'!$B$69:$AF$73,MATCH(BSpUECB_세액공제액!$A35,'Cal-CAPEX (정리)'!$A$69:$A$73,0),MATCH(BSpUECB_세액공제액!G$25,'Cal-CAPEX (정리)'!$B$68:$AF$68,0))*About!$B$93,0)</f>
        <v>0</v>
      </c>
      <c r="H35" s="39">
        <f>IFERROR(INDEX('Cal-CAPEX (정리)'!$B$69:$AF$73,MATCH(BSpUECB_세액공제액!$A35,'Cal-CAPEX (정리)'!$A$69:$A$73,0),MATCH(BSpUECB_세액공제액!H$25,'Cal-CAPEX (정리)'!$B$68:$AF$68,0))*About!$B$93,0)</f>
        <v>0</v>
      </c>
      <c r="I35" s="39">
        <f>IFERROR(INDEX('Cal-CAPEX (정리)'!$B$69:$AF$73,MATCH(BSpUECB_세액공제액!$A35,'Cal-CAPEX (정리)'!$A$69:$A$73,0),MATCH(BSpUECB_세액공제액!I$25,'Cal-CAPEX (정리)'!$B$68:$AF$68,0))*About!$B$93,0)</f>
        <v>0</v>
      </c>
      <c r="J35" s="39">
        <f>IFERROR(INDEX('Cal-CAPEX (정리)'!$B$69:$AF$73,MATCH(BSpUECB_세액공제액!$A35,'Cal-CAPEX (정리)'!$A$69:$A$73,0),MATCH(BSpUECB_세액공제액!J$25,'Cal-CAPEX (정리)'!$B$68:$AF$68,0))*About!$B$93,0)</f>
        <v>0</v>
      </c>
      <c r="K35" s="39">
        <f>IFERROR(INDEX('Cal-CAPEX (정리)'!$B$69:$AF$73,MATCH(BSpUECB_세액공제액!$A35,'Cal-CAPEX (정리)'!$A$69:$A$73,0),MATCH(BSpUECB_세액공제액!K$25,'Cal-CAPEX (정리)'!$B$68:$AF$68,0))*About!$B$93,0)</f>
        <v>0</v>
      </c>
      <c r="L35" s="39">
        <f>IFERROR(INDEX('Cal-CAPEX (정리)'!$B$69:$AF$73,MATCH(BSpUECB_세액공제액!$A35,'Cal-CAPEX (정리)'!$A$69:$A$73,0),MATCH(BSpUECB_세액공제액!L$25,'Cal-CAPEX (정리)'!$B$68:$AF$68,0))*About!$B$93,0)</f>
        <v>0</v>
      </c>
      <c r="M35" s="39">
        <f>IFERROR(INDEX('Cal-CAPEX (정리)'!$B$69:$AF$73,MATCH(BSpUECB_세액공제액!$A35,'Cal-CAPEX (정리)'!$A$69:$A$73,0),MATCH(BSpUECB_세액공제액!M$25,'Cal-CAPEX (정리)'!$B$68:$AF$68,0))*About!$B$93,0)</f>
        <v>0</v>
      </c>
      <c r="N35" s="39">
        <f>IFERROR(INDEX('Cal-CAPEX (정리)'!$B$69:$AF$73,MATCH(BSpUECB_세액공제액!$A35,'Cal-CAPEX (정리)'!$A$69:$A$73,0),MATCH(BSpUECB_세액공제액!N$25,'Cal-CAPEX (정리)'!$B$68:$AF$68,0))*About!$B$93,0)</f>
        <v>0</v>
      </c>
      <c r="O35" s="39">
        <f>IFERROR(INDEX('Cal-CAPEX (정리)'!$B$69:$AF$73,MATCH(BSpUECB_세액공제액!$A35,'Cal-CAPEX (정리)'!$A$69:$A$73,0),MATCH(BSpUECB_세액공제액!O$25,'Cal-CAPEX (정리)'!$B$68:$AF$68,0))*About!$B$93,0)</f>
        <v>0</v>
      </c>
      <c r="P35" s="39">
        <f>IFERROR(INDEX('Cal-CAPEX (정리)'!$B$69:$AF$73,MATCH(BSpUECB_세액공제액!$A35,'Cal-CAPEX (정리)'!$A$69:$A$73,0),MATCH(BSpUECB_세액공제액!P$25,'Cal-CAPEX (정리)'!$B$68:$AF$68,0))*About!$B$93,0)</f>
        <v>0</v>
      </c>
      <c r="Q35" s="39">
        <f>IFERROR(INDEX('Cal-CAPEX (정리)'!$B$69:$AF$73,MATCH(BSpUECB_세액공제액!$A35,'Cal-CAPEX (정리)'!$A$69:$A$73,0),MATCH(BSpUECB_세액공제액!Q$25,'Cal-CAPEX (정리)'!$B$68:$AF$68,0))*About!$B$93,0)</f>
        <v>0</v>
      </c>
      <c r="R35" s="39">
        <f>IFERROR(INDEX('Cal-CAPEX (정리)'!$B$69:$AF$73,MATCH(BSpUECB_세액공제액!$A35,'Cal-CAPEX (정리)'!$A$69:$A$73,0),MATCH(BSpUECB_세액공제액!R$25,'Cal-CAPEX (정리)'!$B$68:$AF$68,0))*About!$B$93,0)</f>
        <v>0</v>
      </c>
      <c r="S35" s="39">
        <f>IFERROR(INDEX('Cal-CAPEX (정리)'!$B$69:$AF$73,MATCH(BSpUECB_세액공제액!$A35,'Cal-CAPEX (정리)'!$A$69:$A$73,0),MATCH(BSpUECB_세액공제액!S$25,'Cal-CAPEX (정리)'!$B$68:$AF$68,0))*About!$B$93,0)</f>
        <v>0</v>
      </c>
      <c r="T35" s="39">
        <f>IFERROR(INDEX('Cal-CAPEX (정리)'!$B$69:$AF$73,MATCH(BSpUECB_세액공제액!$A35,'Cal-CAPEX (정리)'!$A$69:$A$73,0),MATCH(BSpUECB_세액공제액!T$25,'Cal-CAPEX (정리)'!$B$68:$AF$68,0))*About!$B$93,0)</f>
        <v>0</v>
      </c>
      <c r="U35" s="39">
        <f>IFERROR(INDEX('Cal-CAPEX (정리)'!$B$69:$AF$73,MATCH(BSpUECB_세액공제액!$A35,'Cal-CAPEX (정리)'!$A$69:$A$73,0),MATCH(BSpUECB_세액공제액!U$25,'Cal-CAPEX (정리)'!$B$68:$AF$68,0))*About!$B$93,0)</f>
        <v>0</v>
      </c>
      <c r="V35" s="39">
        <f>IFERROR(INDEX('Cal-CAPEX (정리)'!$B$69:$AF$73,MATCH(BSpUECB_세액공제액!$A35,'Cal-CAPEX (정리)'!$A$69:$A$73,0),MATCH(BSpUECB_세액공제액!V$25,'Cal-CAPEX (정리)'!$B$68:$AF$68,0))*About!$B$93,0)</f>
        <v>0</v>
      </c>
      <c r="W35" s="39">
        <f>IFERROR(INDEX('Cal-CAPEX (정리)'!$B$69:$AF$73,MATCH(BSpUECB_세액공제액!$A35,'Cal-CAPEX (정리)'!$A$69:$A$73,0),MATCH(BSpUECB_세액공제액!W$25,'Cal-CAPEX (정리)'!$B$68:$AF$68,0))*About!$B$93,0)</f>
        <v>0</v>
      </c>
      <c r="X35" s="39">
        <f>IFERROR(INDEX('Cal-CAPEX (정리)'!$B$69:$AF$73,MATCH(BSpUECB_세액공제액!$A35,'Cal-CAPEX (정리)'!$A$69:$A$73,0),MATCH(BSpUECB_세액공제액!X$25,'Cal-CAPEX (정리)'!$B$68:$AF$68,0))*About!$B$93,0)</f>
        <v>0</v>
      </c>
      <c r="Y35" s="39">
        <f>IFERROR(INDEX('Cal-CAPEX (정리)'!$B$69:$AF$73,MATCH(BSpUECB_세액공제액!$A35,'Cal-CAPEX (정리)'!$A$69:$A$73,0),MATCH(BSpUECB_세액공제액!Y$25,'Cal-CAPEX (정리)'!$B$68:$AF$68,0))*About!$B$93,0)</f>
        <v>0</v>
      </c>
      <c r="Z35" s="39">
        <f>IFERROR(INDEX('Cal-CAPEX (정리)'!$B$69:$AF$73,MATCH(BSpUECB_세액공제액!$A35,'Cal-CAPEX (정리)'!$A$69:$A$73,0),MATCH(BSpUECB_세액공제액!Z$25,'Cal-CAPEX (정리)'!$B$68:$AF$68,0))*About!$B$93,0)</f>
        <v>0</v>
      </c>
      <c r="AA35" s="39">
        <f>IFERROR(INDEX('Cal-CAPEX (정리)'!$B$69:$AF$73,MATCH(BSpUECB_세액공제액!$A35,'Cal-CAPEX (정리)'!$A$69:$A$73,0),MATCH(BSpUECB_세액공제액!AA$25,'Cal-CAPEX (정리)'!$B$68:$AF$68,0))*About!$B$93,0)</f>
        <v>0</v>
      </c>
      <c r="AB35" s="39">
        <f>IFERROR(INDEX('Cal-CAPEX (정리)'!$B$69:$AF$73,MATCH(BSpUECB_세액공제액!$A35,'Cal-CAPEX (정리)'!$A$69:$A$73,0),MATCH(BSpUECB_세액공제액!AB$25,'Cal-CAPEX (정리)'!$B$68:$AF$68,0))*About!$B$93,0)</f>
        <v>0</v>
      </c>
      <c r="AC35" s="39">
        <f>IFERROR(INDEX('Cal-CAPEX (정리)'!$B$69:$AF$73,MATCH(BSpUECB_세액공제액!$A35,'Cal-CAPEX (정리)'!$A$69:$A$73,0),MATCH(BSpUECB_세액공제액!AC$25,'Cal-CAPEX (정리)'!$B$68:$AF$68,0))*About!$B$93,0)</f>
        <v>0</v>
      </c>
      <c r="AD35" s="39">
        <f>IFERROR(INDEX('Cal-CAPEX (정리)'!$B$69:$AF$73,MATCH(BSpUECB_세액공제액!$A35,'Cal-CAPEX (정리)'!$A$69:$A$73,0),MATCH(BSpUECB_세액공제액!AD$25,'Cal-CAPEX (정리)'!$B$68:$AF$68,0))*About!$B$93,0)</f>
        <v>0</v>
      </c>
      <c r="AE35" s="39">
        <f>IFERROR(INDEX('Cal-CAPEX (정리)'!$B$69:$AF$73,MATCH(BSpUECB_세액공제액!$A35,'Cal-CAPEX (정리)'!$A$69:$A$73,0),MATCH(BSpUECB_세액공제액!AE$25,'Cal-CAPEX (정리)'!$B$68:$AF$68,0))*About!$B$93,0)</f>
        <v>0</v>
      </c>
      <c r="AF35" s="39">
        <f>IFERROR(INDEX('Cal-CAPEX (정리)'!$B$69:$AF$73,MATCH(BSpUECB_세액공제액!$A35,'Cal-CAPEX (정리)'!$A$69:$A$73,0),MATCH(BSpUECB_세액공제액!AF$25,'Cal-CAPEX (정리)'!$B$68:$AF$68,0))*About!$B$93,0)</f>
        <v>0</v>
      </c>
    </row>
    <row r="36" spans="1:32" ht="16.5" customHeight="1">
      <c r="A36" s="17" t="s">
        <v>189</v>
      </c>
      <c r="B36" s="39">
        <f>IFERROR(INDEX('Cal-CAPEX (정리)'!$B$69:$AF$73,MATCH(BSpUECB_세액공제액!$A36,'Cal-CAPEX (정리)'!$A$69:$A$73,0),MATCH(BSpUECB_세액공제액!B$25,'Cal-CAPEX (정리)'!$B$68:$AF$68,0))*About!$B$93,0)</f>
        <v>0</v>
      </c>
      <c r="C36" s="39">
        <f>IFERROR(INDEX('Cal-CAPEX (정리)'!$B$69:$AF$73,MATCH(BSpUECB_세액공제액!$A36,'Cal-CAPEX (정리)'!$A$69:$A$73,0),MATCH(BSpUECB_세액공제액!C$25,'Cal-CAPEX (정리)'!$B$68:$AF$68,0))*About!$B$93,0)</f>
        <v>0</v>
      </c>
      <c r="D36" s="39">
        <f>IFERROR(INDEX('Cal-CAPEX (정리)'!$B$69:$AF$73,MATCH(BSpUECB_세액공제액!$A36,'Cal-CAPEX (정리)'!$A$69:$A$73,0),MATCH(BSpUECB_세액공제액!D$25,'Cal-CAPEX (정리)'!$B$68:$AF$68,0))*About!$B$93,0)</f>
        <v>0</v>
      </c>
      <c r="E36" s="39">
        <f>IFERROR(INDEX('Cal-CAPEX (정리)'!$B$69:$AF$73,MATCH(BSpUECB_세액공제액!$A36,'Cal-CAPEX (정리)'!$A$69:$A$73,0),MATCH(BSpUECB_세액공제액!E$25,'Cal-CAPEX (정리)'!$B$68:$AF$68,0))*About!$B$93,0)</f>
        <v>0</v>
      </c>
      <c r="F36" s="39">
        <f>IFERROR(INDEX('Cal-CAPEX (정리)'!$B$69:$AF$73,MATCH(BSpUECB_세액공제액!$A36,'Cal-CAPEX (정리)'!$A$69:$A$73,0),MATCH(BSpUECB_세액공제액!F$25,'Cal-CAPEX (정리)'!$B$68:$AF$68,0))*About!$B$93,0)</f>
        <v>0</v>
      </c>
      <c r="G36" s="39">
        <f>IFERROR(INDEX('Cal-CAPEX (정리)'!$B$69:$AF$73,MATCH(BSpUECB_세액공제액!$A36,'Cal-CAPEX (정리)'!$A$69:$A$73,0),MATCH(BSpUECB_세액공제액!G$25,'Cal-CAPEX (정리)'!$B$68:$AF$68,0))*About!$B$93,0)</f>
        <v>0</v>
      </c>
      <c r="H36" s="39">
        <f>IFERROR(INDEX('Cal-CAPEX (정리)'!$B$69:$AF$73,MATCH(BSpUECB_세액공제액!$A36,'Cal-CAPEX (정리)'!$A$69:$A$73,0),MATCH(BSpUECB_세액공제액!H$25,'Cal-CAPEX (정리)'!$B$68:$AF$68,0))*About!$B$93,0)</f>
        <v>0</v>
      </c>
      <c r="I36" s="39">
        <f>IFERROR(INDEX('Cal-CAPEX (정리)'!$B$69:$AF$73,MATCH(BSpUECB_세액공제액!$A36,'Cal-CAPEX (정리)'!$A$69:$A$73,0),MATCH(BSpUECB_세액공제액!I$25,'Cal-CAPEX (정리)'!$B$68:$AF$68,0))*About!$B$93,0)</f>
        <v>0</v>
      </c>
      <c r="J36" s="39">
        <f>IFERROR(INDEX('Cal-CAPEX (정리)'!$B$69:$AF$73,MATCH(BSpUECB_세액공제액!$A36,'Cal-CAPEX (정리)'!$A$69:$A$73,0),MATCH(BSpUECB_세액공제액!J$25,'Cal-CAPEX (정리)'!$B$68:$AF$68,0))*About!$B$93,0)</f>
        <v>0</v>
      </c>
      <c r="K36" s="39">
        <f>IFERROR(INDEX('Cal-CAPEX (정리)'!$B$69:$AF$73,MATCH(BSpUECB_세액공제액!$A36,'Cal-CAPEX (정리)'!$A$69:$A$73,0),MATCH(BSpUECB_세액공제액!K$25,'Cal-CAPEX (정리)'!$B$68:$AF$68,0))*About!$B$93,0)</f>
        <v>0</v>
      </c>
      <c r="L36" s="39">
        <f>IFERROR(INDEX('Cal-CAPEX (정리)'!$B$69:$AF$73,MATCH(BSpUECB_세액공제액!$A36,'Cal-CAPEX (정리)'!$A$69:$A$73,0),MATCH(BSpUECB_세액공제액!L$25,'Cal-CAPEX (정리)'!$B$68:$AF$68,0))*About!$B$93,0)</f>
        <v>0</v>
      </c>
      <c r="M36" s="39">
        <f>IFERROR(INDEX('Cal-CAPEX (정리)'!$B$69:$AF$73,MATCH(BSpUECB_세액공제액!$A36,'Cal-CAPEX (정리)'!$A$69:$A$73,0),MATCH(BSpUECB_세액공제액!M$25,'Cal-CAPEX (정리)'!$B$68:$AF$68,0))*About!$B$93,0)</f>
        <v>0</v>
      </c>
      <c r="N36" s="39">
        <f>IFERROR(INDEX('Cal-CAPEX (정리)'!$B$69:$AF$73,MATCH(BSpUECB_세액공제액!$A36,'Cal-CAPEX (정리)'!$A$69:$A$73,0),MATCH(BSpUECB_세액공제액!N$25,'Cal-CAPEX (정리)'!$B$68:$AF$68,0))*About!$B$93,0)</f>
        <v>0</v>
      </c>
      <c r="O36" s="39">
        <f>IFERROR(INDEX('Cal-CAPEX (정리)'!$B$69:$AF$73,MATCH(BSpUECB_세액공제액!$A36,'Cal-CAPEX (정리)'!$A$69:$A$73,0),MATCH(BSpUECB_세액공제액!O$25,'Cal-CAPEX (정리)'!$B$68:$AF$68,0))*About!$B$93,0)</f>
        <v>0</v>
      </c>
      <c r="P36" s="39">
        <f>IFERROR(INDEX('Cal-CAPEX (정리)'!$B$69:$AF$73,MATCH(BSpUECB_세액공제액!$A36,'Cal-CAPEX (정리)'!$A$69:$A$73,0),MATCH(BSpUECB_세액공제액!P$25,'Cal-CAPEX (정리)'!$B$68:$AF$68,0))*About!$B$93,0)</f>
        <v>0</v>
      </c>
      <c r="Q36" s="39">
        <f>IFERROR(INDEX('Cal-CAPEX (정리)'!$B$69:$AF$73,MATCH(BSpUECB_세액공제액!$A36,'Cal-CAPEX (정리)'!$A$69:$A$73,0),MATCH(BSpUECB_세액공제액!Q$25,'Cal-CAPEX (정리)'!$B$68:$AF$68,0))*About!$B$93,0)</f>
        <v>0</v>
      </c>
      <c r="R36" s="39">
        <f>IFERROR(INDEX('Cal-CAPEX (정리)'!$B$69:$AF$73,MATCH(BSpUECB_세액공제액!$A36,'Cal-CAPEX (정리)'!$A$69:$A$73,0),MATCH(BSpUECB_세액공제액!R$25,'Cal-CAPEX (정리)'!$B$68:$AF$68,0))*About!$B$93,0)</f>
        <v>0</v>
      </c>
      <c r="S36" s="39">
        <f>IFERROR(INDEX('Cal-CAPEX (정리)'!$B$69:$AF$73,MATCH(BSpUECB_세액공제액!$A36,'Cal-CAPEX (정리)'!$A$69:$A$73,0),MATCH(BSpUECB_세액공제액!S$25,'Cal-CAPEX (정리)'!$B$68:$AF$68,0))*About!$B$93,0)</f>
        <v>0</v>
      </c>
      <c r="T36" s="39">
        <f>IFERROR(INDEX('Cal-CAPEX (정리)'!$B$69:$AF$73,MATCH(BSpUECB_세액공제액!$A36,'Cal-CAPEX (정리)'!$A$69:$A$73,0),MATCH(BSpUECB_세액공제액!T$25,'Cal-CAPEX (정리)'!$B$68:$AF$68,0))*About!$B$93,0)</f>
        <v>0</v>
      </c>
      <c r="U36" s="39">
        <f>IFERROR(INDEX('Cal-CAPEX (정리)'!$B$69:$AF$73,MATCH(BSpUECB_세액공제액!$A36,'Cal-CAPEX (정리)'!$A$69:$A$73,0),MATCH(BSpUECB_세액공제액!U$25,'Cal-CAPEX (정리)'!$B$68:$AF$68,0))*About!$B$93,0)</f>
        <v>0</v>
      </c>
      <c r="V36" s="39">
        <f>IFERROR(INDEX('Cal-CAPEX (정리)'!$B$69:$AF$73,MATCH(BSpUECB_세액공제액!$A36,'Cal-CAPEX (정리)'!$A$69:$A$73,0),MATCH(BSpUECB_세액공제액!V$25,'Cal-CAPEX (정리)'!$B$68:$AF$68,0))*About!$B$93,0)</f>
        <v>0</v>
      </c>
      <c r="W36" s="39">
        <f>IFERROR(INDEX('Cal-CAPEX (정리)'!$B$69:$AF$73,MATCH(BSpUECB_세액공제액!$A36,'Cal-CAPEX (정리)'!$A$69:$A$73,0),MATCH(BSpUECB_세액공제액!W$25,'Cal-CAPEX (정리)'!$B$68:$AF$68,0))*About!$B$93,0)</f>
        <v>0</v>
      </c>
      <c r="X36" s="39">
        <f>IFERROR(INDEX('Cal-CAPEX (정리)'!$B$69:$AF$73,MATCH(BSpUECB_세액공제액!$A36,'Cal-CAPEX (정리)'!$A$69:$A$73,0),MATCH(BSpUECB_세액공제액!X$25,'Cal-CAPEX (정리)'!$B$68:$AF$68,0))*About!$B$93,0)</f>
        <v>0</v>
      </c>
      <c r="Y36" s="39">
        <f>IFERROR(INDEX('Cal-CAPEX (정리)'!$B$69:$AF$73,MATCH(BSpUECB_세액공제액!$A36,'Cal-CAPEX (정리)'!$A$69:$A$73,0),MATCH(BSpUECB_세액공제액!Y$25,'Cal-CAPEX (정리)'!$B$68:$AF$68,0))*About!$B$93,0)</f>
        <v>0</v>
      </c>
      <c r="Z36" s="39">
        <f>IFERROR(INDEX('Cal-CAPEX (정리)'!$B$69:$AF$73,MATCH(BSpUECB_세액공제액!$A36,'Cal-CAPEX (정리)'!$A$69:$A$73,0),MATCH(BSpUECB_세액공제액!Z$25,'Cal-CAPEX (정리)'!$B$68:$AF$68,0))*About!$B$93,0)</f>
        <v>0</v>
      </c>
      <c r="AA36" s="39">
        <f>IFERROR(INDEX('Cal-CAPEX (정리)'!$B$69:$AF$73,MATCH(BSpUECB_세액공제액!$A36,'Cal-CAPEX (정리)'!$A$69:$A$73,0),MATCH(BSpUECB_세액공제액!AA$25,'Cal-CAPEX (정리)'!$B$68:$AF$68,0))*About!$B$93,0)</f>
        <v>0</v>
      </c>
      <c r="AB36" s="39">
        <f>IFERROR(INDEX('Cal-CAPEX (정리)'!$B$69:$AF$73,MATCH(BSpUECB_세액공제액!$A36,'Cal-CAPEX (정리)'!$A$69:$A$73,0),MATCH(BSpUECB_세액공제액!AB$25,'Cal-CAPEX (정리)'!$B$68:$AF$68,0))*About!$B$93,0)</f>
        <v>0</v>
      </c>
      <c r="AC36" s="39">
        <f>IFERROR(INDEX('Cal-CAPEX (정리)'!$B$69:$AF$73,MATCH(BSpUECB_세액공제액!$A36,'Cal-CAPEX (정리)'!$A$69:$A$73,0),MATCH(BSpUECB_세액공제액!AC$25,'Cal-CAPEX (정리)'!$B$68:$AF$68,0))*About!$B$93,0)</f>
        <v>0</v>
      </c>
      <c r="AD36" s="39">
        <f>IFERROR(INDEX('Cal-CAPEX (정리)'!$B$69:$AF$73,MATCH(BSpUECB_세액공제액!$A36,'Cal-CAPEX (정리)'!$A$69:$A$73,0),MATCH(BSpUECB_세액공제액!AD$25,'Cal-CAPEX (정리)'!$B$68:$AF$68,0))*About!$B$93,0)</f>
        <v>0</v>
      </c>
      <c r="AE36" s="39">
        <f>IFERROR(INDEX('Cal-CAPEX (정리)'!$B$69:$AF$73,MATCH(BSpUECB_세액공제액!$A36,'Cal-CAPEX (정리)'!$A$69:$A$73,0),MATCH(BSpUECB_세액공제액!AE$25,'Cal-CAPEX (정리)'!$B$68:$AF$68,0))*About!$B$93,0)</f>
        <v>0</v>
      </c>
      <c r="AF36" s="39">
        <f>IFERROR(INDEX('Cal-CAPEX (정리)'!$B$69:$AF$73,MATCH(BSpUECB_세액공제액!$A36,'Cal-CAPEX (정리)'!$A$69:$A$73,0),MATCH(BSpUECB_세액공제액!AF$25,'Cal-CAPEX (정리)'!$B$68:$AF$68,0))*About!$B$93,0)</f>
        <v>0</v>
      </c>
    </row>
    <row r="37" spans="1:32" ht="16.5" customHeight="1">
      <c r="A37" s="17" t="s">
        <v>190</v>
      </c>
      <c r="B37" s="39">
        <f>IFERROR(INDEX('Cal-CAPEX (정리)'!$B$69:$AF$73,MATCH(BSpUECB_세액공제액!$A37,'Cal-CAPEX (정리)'!$A$69:$A$73,0),MATCH(BSpUECB_세액공제액!B$25,'Cal-CAPEX (정리)'!$B$68:$AF$68,0))*About!$B$93,0)</f>
        <v>0</v>
      </c>
      <c r="C37" s="39">
        <f>IFERROR(INDEX('Cal-CAPEX (정리)'!$B$69:$AF$73,MATCH(BSpUECB_세액공제액!$A37,'Cal-CAPEX (정리)'!$A$69:$A$73,0),MATCH(BSpUECB_세액공제액!C$25,'Cal-CAPEX (정리)'!$B$68:$AF$68,0))*About!$B$93,0)</f>
        <v>0</v>
      </c>
      <c r="D37" s="39">
        <f>IFERROR(INDEX('Cal-CAPEX (정리)'!$B$69:$AF$73,MATCH(BSpUECB_세액공제액!$A37,'Cal-CAPEX (정리)'!$A$69:$A$73,0),MATCH(BSpUECB_세액공제액!D$25,'Cal-CAPEX (정리)'!$B$68:$AF$68,0))*About!$B$93,0)</f>
        <v>0</v>
      </c>
      <c r="E37" s="39">
        <f>IFERROR(INDEX('Cal-CAPEX (정리)'!$B$69:$AF$73,MATCH(BSpUECB_세액공제액!$A37,'Cal-CAPEX (정리)'!$A$69:$A$73,0),MATCH(BSpUECB_세액공제액!E$25,'Cal-CAPEX (정리)'!$B$68:$AF$68,0))*About!$B$93,0)</f>
        <v>0</v>
      </c>
      <c r="F37" s="39">
        <f>IFERROR(INDEX('Cal-CAPEX (정리)'!$B$69:$AF$73,MATCH(BSpUECB_세액공제액!$A37,'Cal-CAPEX (정리)'!$A$69:$A$73,0),MATCH(BSpUECB_세액공제액!F$25,'Cal-CAPEX (정리)'!$B$68:$AF$68,0))*About!$B$93,0)</f>
        <v>0</v>
      </c>
      <c r="G37" s="39">
        <f>IFERROR(INDEX('Cal-CAPEX (정리)'!$B$69:$AF$73,MATCH(BSpUECB_세액공제액!$A37,'Cal-CAPEX (정리)'!$A$69:$A$73,0),MATCH(BSpUECB_세액공제액!G$25,'Cal-CAPEX (정리)'!$B$68:$AF$68,0))*About!$B$93,0)</f>
        <v>0</v>
      </c>
      <c r="H37" s="39">
        <f>IFERROR(INDEX('Cal-CAPEX (정리)'!$B$69:$AF$73,MATCH(BSpUECB_세액공제액!$A37,'Cal-CAPEX (정리)'!$A$69:$A$73,0),MATCH(BSpUECB_세액공제액!H$25,'Cal-CAPEX (정리)'!$B$68:$AF$68,0))*About!$B$93,0)</f>
        <v>0</v>
      </c>
      <c r="I37" s="39">
        <f>IFERROR(INDEX('Cal-CAPEX (정리)'!$B$69:$AF$73,MATCH(BSpUECB_세액공제액!$A37,'Cal-CAPEX (정리)'!$A$69:$A$73,0),MATCH(BSpUECB_세액공제액!I$25,'Cal-CAPEX (정리)'!$B$68:$AF$68,0))*About!$B$93,0)</f>
        <v>0</v>
      </c>
      <c r="J37" s="39">
        <f>IFERROR(INDEX('Cal-CAPEX (정리)'!$B$69:$AF$73,MATCH(BSpUECB_세액공제액!$A37,'Cal-CAPEX (정리)'!$A$69:$A$73,0),MATCH(BSpUECB_세액공제액!J$25,'Cal-CAPEX (정리)'!$B$68:$AF$68,0))*About!$B$93,0)</f>
        <v>0</v>
      </c>
      <c r="K37" s="39">
        <f>IFERROR(INDEX('Cal-CAPEX (정리)'!$B$69:$AF$73,MATCH(BSpUECB_세액공제액!$A37,'Cal-CAPEX (정리)'!$A$69:$A$73,0),MATCH(BSpUECB_세액공제액!K$25,'Cal-CAPEX (정리)'!$B$68:$AF$68,0))*About!$B$93,0)</f>
        <v>0</v>
      </c>
      <c r="L37" s="39">
        <f>IFERROR(INDEX('Cal-CAPEX (정리)'!$B$69:$AF$73,MATCH(BSpUECB_세액공제액!$A37,'Cal-CAPEX (정리)'!$A$69:$A$73,0),MATCH(BSpUECB_세액공제액!L$25,'Cal-CAPEX (정리)'!$B$68:$AF$68,0))*About!$B$93,0)</f>
        <v>0</v>
      </c>
      <c r="M37" s="39">
        <f>IFERROR(INDEX('Cal-CAPEX (정리)'!$B$69:$AF$73,MATCH(BSpUECB_세액공제액!$A37,'Cal-CAPEX (정리)'!$A$69:$A$73,0),MATCH(BSpUECB_세액공제액!M$25,'Cal-CAPEX (정리)'!$B$68:$AF$68,0))*About!$B$93,0)</f>
        <v>0</v>
      </c>
      <c r="N37" s="39">
        <f>IFERROR(INDEX('Cal-CAPEX (정리)'!$B$69:$AF$73,MATCH(BSpUECB_세액공제액!$A37,'Cal-CAPEX (정리)'!$A$69:$A$73,0),MATCH(BSpUECB_세액공제액!N$25,'Cal-CAPEX (정리)'!$B$68:$AF$68,0))*About!$B$93,0)</f>
        <v>0</v>
      </c>
      <c r="O37" s="39">
        <f>IFERROR(INDEX('Cal-CAPEX (정리)'!$B$69:$AF$73,MATCH(BSpUECB_세액공제액!$A37,'Cal-CAPEX (정리)'!$A$69:$A$73,0),MATCH(BSpUECB_세액공제액!O$25,'Cal-CAPEX (정리)'!$B$68:$AF$68,0))*About!$B$93,0)</f>
        <v>0</v>
      </c>
      <c r="P37" s="39">
        <f>IFERROR(INDEX('Cal-CAPEX (정리)'!$B$69:$AF$73,MATCH(BSpUECB_세액공제액!$A37,'Cal-CAPEX (정리)'!$A$69:$A$73,0),MATCH(BSpUECB_세액공제액!P$25,'Cal-CAPEX (정리)'!$B$68:$AF$68,0))*About!$B$93,0)</f>
        <v>0</v>
      </c>
      <c r="Q37" s="39">
        <f>IFERROR(INDEX('Cal-CAPEX (정리)'!$B$69:$AF$73,MATCH(BSpUECB_세액공제액!$A37,'Cal-CAPEX (정리)'!$A$69:$A$73,0),MATCH(BSpUECB_세액공제액!Q$25,'Cal-CAPEX (정리)'!$B$68:$AF$68,0))*About!$B$93,0)</f>
        <v>0</v>
      </c>
      <c r="R37" s="39">
        <f>IFERROR(INDEX('Cal-CAPEX (정리)'!$B$69:$AF$73,MATCH(BSpUECB_세액공제액!$A37,'Cal-CAPEX (정리)'!$A$69:$A$73,0),MATCH(BSpUECB_세액공제액!R$25,'Cal-CAPEX (정리)'!$B$68:$AF$68,0))*About!$B$93,0)</f>
        <v>0</v>
      </c>
      <c r="S37" s="39">
        <f>IFERROR(INDEX('Cal-CAPEX (정리)'!$B$69:$AF$73,MATCH(BSpUECB_세액공제액!$A37,'Cal-CAPEX (정리)'!$A$69:$A$73,0),MATCH(BSpUECB_세액공제액!S$25,'Cal-CAPEX (정리)'!$B$68:$AF$68,0))*About!$B$93,0)</f>
        <v>0</v>
      </c>
      <c r="T37" s="39">
        <f>IFERROR(INDEX('Cal-CAPEX (정리)'!$B$69:$AF$73,MATCH(BSpUECB_세액공제액!$A37,'Cal-CAPEX (정리)'!$A$69:$A$73,0),MATCH(BSpUECB_세액공제액!T$25,'Cal-CAPEX (정리)'!$B$68:$AF$68,0))*About!$B$93,0)</f>
        <v>0</v>
      </c>
      <c r="U37" s="39">
        <f>IFERROR(INDEX('Cal-CAPEX (정리)'!$B$69:$AF$73,MATCH(BSpUECB_세액공제액!$A37,'Cal-CAPEX (정리)'!$A$69:$A$73,0),MATCH(BSpUECB_세액공제액!U$25,'Cal-CAPEX (정리)'!$B$68:$AF$68,0))*About!$B$93,0)</f>
        <v>0</v>
      </c>
      <c r="V37" s="39">
        <f>IFERROR(INDEX('Cal-CAPEX (정리)'!$B$69:$AF$73,MATCH(BSpUECB_세액공제액!$A37,'Cal-CAPEX (정리)'!$A$69:$A$73,0),MATCH(BSpUECB_세액공제액!V$25,'Cal-CAPEX (정리)'!$B$68:$AF$68,0))*About!$B$93,0)</f>
        <v>0</v>
      </c>
      <c r="W37" s="39">
        <f>IFERROR(INDEX('Cal-CAPEX (정리)'!$B$69:$AF$73,MATCH(BSpUECB_세액공제액!$A37,'Cal-CAPEX (정리)'!$A$69:$A$73,0),MATCH(BSpUECB_세액공제액!W$25,'Cal-CAPEX (정리)'!$B$68:$AF$68,0))*About!$B$93,0)</f>
        <v>0</v>
      </c>
      <c r="X37" s="39">
        <f>IFERROR(INDEX('Cal-CAPEX (정리)'!$B$69:$AF$73,MATCH(BSpUECB_세액공제액!$A37,'Cal-CAPEX (정리)'!$A$69:$A$73,0),MATCH(BSpUECB_세액공제액!X$25,'Cal-CAPEX (정리)'!$B$68:$AF$68,0))*About!$B$93,0)</f>
        <v>0</v>
      </c>
      <c r="Y37" s="39">
        <f>IFERROR(INDEX('Cal-CAPEX (정리)'!$B$69:$AF$73,MATCH(BSpUECB_세액공제액!$A37,'Cal-CAPEX (정리)'!$A$69:$A$73,0),MATCH(BSpUECB_세액공제액!Y$25,'Cal-CAPEX (정리)'!$B$68:$AF$68,0))*About!$B$93,0)</f>
        <v>0</v>
      </c>
      <c r="Z37" s="39">
        <f>IFERROR(INDEX('Cal-CAPEX (정리)'!$B$69:$AF$73,MATCH(BSpUECB_세액공제액!$A37,'Cal-CAPEX (정리)'!$A$69:$A$73,0),MATCH(BSpUECB_세액공제액!Z$25,'Cal-CAPEX (정리)'!$B$68:$AF$68,0))*About!$B$93,0)</f>
        <v>0</v>
      </c>
      <c r="AA37" s="39">
        <f>IFERROR(INDEX('Cal-CAPEX (정리)'!$B$69:$AF$73,MATCH(BSpUECB_세액공제액!$A37,'Cal-CAPEX (정리)'!$A$69:$A$73,0),MATCH(BSpUECB_세액공제액!AA$25,'Cal-CAPEX (정리)'!$B$68:$AF$68,0))*About!$B$93,0)</f>
        <v>0</v>
      </c>
      <c r="AB37" s="39">
        <f>IFERROR(INDEX('Cal-CAPEX (정리)'!$B$69:$AF$73,MATCH(BSpUECB_세액공제액!$A37,'Cal-CAPEX (정리)'!$A$69:$A$73,0),MATCH(BSpUECB_세액공제액!AB$25,'Cal-CAPEX (정리)'!$B$68:$AF$68,0))*About!$B$93,0)</f>
        <v>0</v>
      </c>
      <c r="AC37" s="39">
        <f>IFERROR(INDEX('Cal-CAPEX (정리)'!$B$69:$AF$73,MATCH(BSpUECB_세액공제액!$A37,'Cal-CAPEX (정리)'!$A$69:$A$73,0),MATCH(BSpUECB_세액공제액!AC$25,'Cal-CAPEX (정리)'!$B$68:$AF$68,0))*About!$B$93,0)</f>
        <v>0</v>
      </c>
      <c r="AD37" s="39">
        <f>IFERROR(INDEX('Cal-CAPEX (정리)'!$B$69:$AF$73,MATCH(BSpUECB_세액공제액!$A37,'Cal-CAPEX (정리)'!$A$69:$A$73,0),MATCH(BSpUECB_세액공제액!AD$25,'Cal-CAPEX (정리)'!$B$68:$AF$68,0))*About!$B$93,0)</f>
        <v>0</v>
      </c>
      <c r="AE37" s="39">
        <f>IFERROR(INDEX('Cal-CAPEX (정리)'!$B$69:$AF$73,MATCH(BSpUECB_세액공제액!$A37,'Cal-CAPEX (정리)'!$A$69:$A$73,0),MATCH(BSpUECB_세액공제액!AE$25,'Cal-CAPEX (정리)'!$B$68:$AF$68,0))*About!$B$93,0)</f>
        <v>0</v>
      </c>
      <c r="AF37" s="39">
        <f>IFERROR(INDEX('Cal-CAPEX (정리)'!$B$69:$AF$73,MATCH(BSpUECB_세액공제액!$A37,'Cal-CAPEX (정리)'!$A$69:$A$73,0),MATCH(BSpUECB_세액공제액!AF$25,'Cal-CAPEX (정리)'!$B$68:$AF$68,0))*About!$B$93,0)</f>
        <v>0</v>
      </c>
    </row>
    <row r="38" spans="1:32" ht="16.5" customHeight="1">
      <c r="A38" s="30" t="s">
        <v>191</v>
      </c>
      <c r="B38" s="39">
        <f>IFERROR(INDEX('Cal-CAPEX (정리)'!$B$69:$AF$73,MATCH(BSpUECB_세액공제액!$A38,'Cal-CAPEX (정리)'!$A$69:$A$73,0),MATCH(BSpUECB_세액공제액!B$25,'Cal-CAPEX (정리)'!$B$68:$AF$68,0))*About!$B$93,0)</f>
        <v>4605974.4726388371</v>
      </c>
      <c r="C38" s="39">
        <f>IFERROR(INDEX('Cal-CAPEX (정리)'!$B$69:$AF$73,MATCH(BSpUECB_세액공제액!$A38,'Cal-CAPEX (정리)'!$A$69:$A$73,0),MATCH(BSpUECB_세액공제액!C$25,'Cal-CAPEX (정리)'!$B$68:$AF$68,0))*About!$B$93,0)</f>
        <v>4485672.6769520901</v>
      </c>
      <c r="D38" s="39">
        <f>IFERROR(INDEX('Cal-CAPEX (정리)'!$B$69:$AF$73,MATCH(BSpUECB_세액공제액!$A38,'Cal-CAPEX (정리)'!$A$69:$A$73,0),MATCH(BSpUECB_세액공제액!D$25,'Cal-CAPEX (정리)'!$B$68:$AF$68,0))*About!$B$93,0)</f>
        <v>4368513.0007302742</v>
      </c>
      <c r="E38" s="39">
        <f>IFERROR(INDEX('Cal-CAPEX (정리)'!$B$69:$AF$73,MATCH(BSpUECB_세액공제액!$A38,'Cal-CAPEX (정리)'!$A$69:$A$73,0),MATCH(BSpUECB_세액공제액!E$25,'Cal-CAPEX (정리)'!$B$68:$AF$68,0))*About!$B$93,0)</f>
        <v>4254413.3760817545</v>
      </c>
      <c r="F38" s="39">
        <f>IFERROR(INDEX('Cal-CAPEX (정리)'!$B$69:$AF$73,MATCH(BSpUECB_세액공제액!$A38,'Cal-CAPEX (정리)'!$A$69:$A$73,0),MATCH(BSpUECB_세액공제액!F$25,'Cal-CAPEX (정리)'!$B$68:$AF$68,0))*About!$B$93,0)</f>
        <v>4143293.8786167316</v>
      </c>
      <c r="G38" s="39">
        <f>IFERROR(INDEX('Cal-CAPEX (정리)'!$B$69:$AF$73,MATCH(BSpUECB_세액공제액!$A38,'Cal-CAPEX (정리)'!$A$69:$A$73,0),MATCH(BSpUECB_세액공제액!G$25,'Cal-CAPEX (정리)'!$B$68:$AF$68,0))*About!$B$93,0)</f>
        <v>4035076.6714618825</v>
      </c>
      <c r="H38" s="39">
        <f>IFERROR(INDEX('Cal-CAPEX (정리)'!$B$69:$AF$73,MATCH(BSpUECB_세액공제액!$A38,'Cal-CAPEX (정리)'!$A$69:$A$73,0),MATCH(BSpUECB_세액공제액!H$25,'Cal-CAPEX (정리)'!$B$68:$AF$68,0))*About!$B$93,0)</f>
        <v>3929685.950737271</v>
      </c>
      <c r="I38" s="39">
        <f>IFERROR(INDEX('Cal-CAPEX (정리)'!$B$69:$AF$73,MATCH(BSpUECB_세액공제액!$A38,'Cal-CAPEX (정리)'!$A$69:$A$73,0),MATCH(BSpUECB_세액공제액!I$25,'Cal-CAPEX (정리)'!$B$68:$AF$68,0))*About!$B$93,0)</f>
        <v>3827047.8924573185</v>
      </c>
      <c r="J38" s="39">
        <f>IFERROR(INDEX('Cal-CAPEX (정리)'!$B$69:$AF$73,MATCH(BSpUECB_세액공제액!$A38,'Cal-CAPEX (정리)'!$A$69:$A$73,0),MATCH(BSpUECB_세액공제액!J$25,'Cal-CAPEX (정리)'!$B$68:$AF$68,0))*About!$B$93,0)</f>
        <v>3727090.6008186559</v>
      </c>
      <c r="K38" s="39">
        <f>IFERROR(INDEX('Cal-CAPEX (정리)'!$B$69:$AF$73,MATCH(BSpUECB_세액공제액!$A38,'Cal-CAPEX (정리)'!$A$69:$A$73,0),MATCH(BSpUECB_세액공제액!K$25,'Cal-CAPEX (정리)'!$B$68:$AF$68,0))*About!$B$93,0)</f>
        <v>3629744.0578386206</v>
      </c>
      <c r="L38" s="39">
        <f>IFERROR(INDEX('Cal-CAPEX (정리)'!$B$69:$AF$73,MATCH(BSpUECB_세액공제액!$A38,'Cal-CAPEX (정리)'!$A$69:$A$73,0),MATCH(BSpUECB_세액공제액!L$25,'Cal-CAPEX (정리)'!$B$68:$AF$68,0))*About!$B$93,0)</f>
        <v>3534940.0743091339</v>
      </c>
      <c r="M38" s="39">
        <f>IFERROR(INDEX('Cal-CAPEX (정리)'!$B$69:$AF$73,MATCH(BSpUECB_세액공제액!$A38,'Cal-CAPEX (정리)'!$A$69:$A$73,0),MATCH(BSpUECB_세액공제액!M$25,'Cal-CAPEX (정리)'!$B$68:$AF$68,0))*About!$B$93,0)</f>
        <v>3442612.2420315929</v>
      </c>
      <c r="N38" s="39">
        <f>IFERROR(INDEX('Cal-CAPEX (정리)'!$B$69:$AF$73,MATCH(BSpUECB_세액공제액!$A38,'Cal-CAPEX (정리)'!$A$69:$A$73,0),MATCH(BSpUECB_세액공제액!N$25,'Cal-CAPEX (정리)'!$B$68:$AF$68,0))*About!$B$93,0)</f>
        <v>3352695.8872993216</v>
      </c>
      <c r="O38" s="39">
        <f>IFERROR(INDEX('Cal-CAPEX (정리)'!$B$69:$AF$73,MATCH(BSpUECB_세액공제액!$A38,'Cal-CAPEX (정리)'!$A$69:$A$73,0),MATCH(BSpUECB_세액공제액!O$25,'Cal-CAPEX (정리)'!$B$68:$AF$68,0))*About!$B$93,0)</f>
        <v>3265128.0255949977</v>
      </c>
      <c r="P38" s="39">
        <f>IFERROR(INDEX('Cal-CAPEX (정리)'!$B$69:$AF$73,MATCH(BSpUECB_세액공제액!$A38,'Cal-CAPEX (정리)'!$A$69:$A$73,0),MATCH(BSpUECB_세액공제액!P$25,'Cal-CAPEX (정리)'!$B$68:$AF$68,0))*About!$B$93,0)</f>
        <v>3179847.3174713245</v>
      </c>
      <c r="Q38" s="39">
        <f>IFERROR(INDEX('Cal-CAPEX (정리)'!$B$69:$AF$73,MATCH(BSpUECB_세액공제액!$A38,'Cal-CAPEX (정리)'!$A$69:$A$73,0),MATCH(BSpUECB_세액공제액!Q$25,'Cal-CAPEX (정리)'!$B$68:$AF$68,0))*About!$B$93,0)</f>
        <v>3096794.0255840332</v>
      </c>
      <c r="R38" s="39">
        <f>IFERROR(INDEX('Cal-CAPEX (정리)'!$B$69:$AF$73,MATCH(BSpUECB_세액공제액!$A38,'Cal-CAPEX (정리)'!$A$69:$A$73,0),MATCH(BSpUECB_세액공제액!R$25,'Cal-CAPEX (정리)'!$B$68:$AF$68,0))*About!$B$93,0)</f>
        <v>3015909.9728471297</v>
      </c>
      <c r="S38" s="39">
        <f>IFERROR(INDEX('Cal-CAPEX (정리)'!$B$69:$AF$73,MATCH(BSpUECB_세액공제액!$A38,'Cal-CAPEX (정리)'!$A$69:$A$73,0),MATCH(BSpUECB_세액공제액!S$25,'Cal-CAPEX (정리)'!$B$68:$AF$68,0))*About!$B$93,0)</f>
        <v>2937138.5016810694</v>
      </c>
      <c r="T38" s="39">
        <f>IFERROR(INDEX('Cal-CAPEX (정리)'!$B$69:$AF$73,MATCH(BSpUECB_세액공제액!$A38,'Cal-CAPEX (정리)'!$A$69:$A$73,0),MATCH(BSpUECB_세액공제액!T$25,'Cal-CAPEX (정리)'!$B$68:$AF$68,0))*About!$B$93,0)</f>
        <v>2860424.4343253118</v>
      </c>
      <c r="U38" s="39">
        <f>IFERROR(INDEX('Cal-CAPEX (정리)'!$B$69:$AF$73,MATCH(BSpUECB_세액공제액!$A38,'Cal-CAPEX (정리)'!$A$69:$A$73,0),MATCH(BSpUECB_세액공제액!U$25,'Cal-CAPEX (정리)'!$B$68:$AF$68,0))*About!$B$93,0)</f>
        <v>2785714.0341874589</v>
      </c>
      <c r="V38" s="39">
        <f>IFERROR(INDEX('Cal-CAPEX (정리)'!$B$69:$AF$73,MATCH(BSpUECB_세액공제액!$A38,'Cal-CAPEX (정리)'!$A$69:$A$73,0),MATCH(BSpUECB_세액공제액!V$25,'Cal-CAPEX (정리)'!$B$68:$AF$68,0))*About!$B$93,0)</f>
        <v>2712954.9682019004</v>
      </c>
      <c r="W38" s="39">
        <f>IFERROR(INDEX('Cal-CAPEX (정리)'!$B$69:$AF$73,MATCH(BSpUECB_세액공제액!$A38,'Cal-CAPEX (정리)'!$A$69:$A$73,0),MATCH(BSpUECB_세액공제액!W$25,'Cal-CAPEX (정리)'!$B$68:$AF$68,0))*About!$B$93,0)</f>
        <v>2642096.2701716041</v>
      </c>
      <c r="X38" s="39">
        <f>IFERROR(INDEX('Cal-CAPEX (정리)'!$B$69:$AF$73,MATCH(BSpUECB_세액공제액!$A38,'Cal-CAPEX (정리)'!$A$69:$A$73,0),MATCH(BSpUECB_세액공제액!X$25,'Cal-CAPEX (정리)'!$B$68:$AF$68,0))*About!$B$93,0)</f>
        <v>2573088.305067359</v>
      </c>
      <c r="Y38" s="39">
        <f>IFERROR(INDEX('Cal-CAPEX (정리)'!$B$69:$AF$73,MATCH(BSpUECB_세액공제액!$A38,'Cal-CAPEX (정리)'!$A$69:$A$73,0),MATCH(BSpUECB_세액공제액!Y$25,'Cal-CAPEX (정리)'!$B$68:$AF$68,0))*About!$B$93,0)</f>
        <v>2505882.7342594885</v>
      </c>
      <c r="Z38" s="39">
        <f>IFERROR(INDEX('Cal-CAPEX (정리)'!$B$69:$AF$73,MATCH(BSpUECB_세액공제액!$A38,'Cal-CAPEX (정리)'!$A$69:$A$73,0),MATCH(BSpUECB_세액공제액!Z$25,'Cal-CAPEX (정리)'!$B$68:$AF$68,0))*About!$B$93,0)</f>
        <v>2440432.4816576494</v>
      </c>
      <c r="AA38" s="39">
        <f>IFERROR(INDEX('Cal-CAPEX (정리)'!$B$69:$AF$73,MATCH(BSpUECB_세액공제액!$A38,'Cal-CAPEX (정리)'!$A$69:$A$73,0),MATCH(BSpUECB_세액공제액!AA$25,'Cal-CAPEX (정리)'!$B$68:$AF$68,0))*About!$B$93,0)</f>
        <v>2376691.7007350232</v>
      </c>
      <c r="AB38" s="39">
        <f>IFERROR(INDEX('Cal-CAPEX (정리)'!$B$69:$AF$73,MATCH(BSpUECB_세액공제액!$A38,'Cal-CAPEX (정리)'!$A$69:$A$73,0),MATCH(BSpUECB_세액공제액!AB$25,'Cal-CAPEX (정리)'!$B$68:$AF$68,0))*About!$B$93,0)</f>
        <v>2314615.7424137853</v>
      </c>
      <c r="AC38" s="39">
        <f>IFERROR(INDEX('Cal-CAPEX (정리)'!$B$69:$AF$73,MATCH(BSpUECB_세액공제액!$A38,'Cal-CAPEX (정리)'!$A$69:$A$73,0),MATCH(BSpUECB_세액공제액!AC$25,'Cal-CAPEX (정리)'!$B$68:$AF$68,0))*About!$B$93,0)</f>
        <v>2254161.1237893663</v>
      </c>
      <c r="AD38" s="39">
        <f>IFERROR(INDEX('Cal-CAPEX (정리)'!$B$69:$AF$73,MATCH(BSpUECB_세액공제액!$A38,'Cal-CAPEX (정리)'!$A$69:$A$73,0),MATCH(BSpUECB_세액공제액!AD$25,'Cal-CAPEX (정리)'!$B$68:$AF$68,0))*About!$B$93,0)</f>
        <v>2195285.4976715869</v>
      </c>
      <c r="AE38" s="39">
        <f>IFERROR(INDEX('Cal-CAPEX (정리)'!$B$69:$AF$73,MATCH(BSpUECB_세액공제액!$A38,'Cal-CAPEX (정리)'!$A$69:$A$73,0),MATCH(BSpUECB_세액공제액!AE$25,'Cal-CAPEX (정리)'!$B$68:$AF$68,0))*About!$B$93,0)</f>
        <v>2137947.6229213472</v>
      </c>
      <c r="AF38" s="39">
        <f>IFERROR(INDEX('Cal-CAPEX (정리)'!$B$69:$AF$73,MATCH(BSpUECB_세액공제액!$A38,'Cal-CAPEX (정리)'!$A$69:$A$73,0),MATCH(BSpUECB_세액공제액!AF$25,'Cal-CAPEX (정리)'!$B$68:$AF$68,0))*About!$B$93,0)</f>
        <v>2082107.3355620692</v>
      </c>
    </row>
    <row r="39" spans="1:32" ht="16.5" customHeight="1">
      <c r="A39" s="17" t="s">
        <v>192</v>
      </c>
      <c r="B39" s="39"/>
      <c r="C39" s="39"/>
      <c r="D39" s="39"/>
      <c r="E39" s="39"/>
      <c r="F39" s="39"/>
      <c r="G39" s="39"/>
      <c r="H39" s="39"/>
      <c r="I39" s="39"/>
      <c r="J39" s="39"/>
      <c r="K39" s="39"/>
      <c r="L39" s="39"/>
      <c r="M39" s="39"/>
      <c r="N39" s="39"/>
      <c r="O39" s="39"/>
      <c r="P39" s="39"/>
      <c r="Q39" s="39"/>
      <c r="R39" s="39"/>
      <c r="S39" s="39"/>
      <c r="T39" s="39"/>
      <c r="U39" s="39"/>
      <c r="V39" s="39"/>
      <c r="W39" s="39"/>
      <c r="X39" s="39"/>
      <c r="Y39" s="39"/>
      <c r="Z39" s="39"/>
      <c r="AA39" s="39"/>
      <c r="AB39" s="39"/>
      <c r="AC39" s="39"/>
      <c r="AD39" s="39"/>
      <c r="AE39" s="39"/>
      <c r="AF39" s="39"/>
    </row>
    <row r="40" spans="1:32" ht="16.5" customHeight="1">
      <c r="A40" s="17" t="s">
        <v>193</v>
      </c>
      <c r="B40" s="39"/>
      <c r="C40" s="39"/>
      <c r="D40" s="39"/>
      <c r="E40" s="39"/>
      <c r="F40" s="39"/>
      <c r="G40" s="39"/>
      <c r="H40" s="39"/>
      <c r="I40" s="39"/>
      <c r="J40" s="39"/>
      <c r="K40" s="39"/>
      <c r="L40" s="39"/>
      <c r="M40" s="39"/>
      <c r="N40" s="39"/>
      <c r="O40" s="39"/>
      <c r="P40" s="39"/>
      <c r="Q40" s="39"/>
      <c r="R40" s="39"/>
      <c r="S40" s="39"/>
      <c r="T40" s="39"/>
      <c r="U40" s="39"/>
      <c r="V40" s="39"/>
      <c r="W40" s="39"/>
      <c r="X40" s="39"/>
      <c r="Y40" s="39"/>
      <c r="Z40" s="39"/>
      <c r="AA40" s="39"/>
      <c r="AB40" s="39"/>
      <c r="AC40" s="39"/>
      <c r="AD40" s="39"/>
      <c r="AE40" s="39"/>
      <c r="AF40" s="39"/>
    </row>
    <row r="41" spans="1:32" ht="16.5" customHeight="1">
      <c r="A41" s="17" t="s">
        <v>194</v>
      </c>
      <c r="B41" s="39"/>
      <c r="C41" s="39"/>
      <c r="D41" s="39"/>
      <c r="E41" s="39"/>
      <c r="F41" s="39"/>
      <c r="G41" s="39"/>
      <c r="H41" s="39"/>
      <c r="I41" s="39"/>
      <c r="J41" s="39"/>
      <c r="K41" s="39"/>
      <c r="L41" s="39"/>
      <c r="M41" s="39"/>
      <c r="N41" s="39"/>
      <c r="O41" s="39"/>
      <c r="P41" s="39"/>
      <c r="Q41" s="39"/>
      <c r="R41" s="39"/>
      <c r="S41" s="39"/>
      <c r="T41" s="39"/>
      <c r="U41" s="39"/>
      <c r="V41" s="39"/>
      <c r="W41" s="39"/>
      <c r="X41" s="39"/>
      <c r="Y41" s="39"/>
      <c r="Z41" s="39"/>
      <c r="AA41" s="39"/>
      <c r="AB41" s="39"/>
      <c r="AC41" s="39"/>
      <c r="AD41" s="39"/>
      <c r="AE41" s="39"/>
      <c r="AF41" s="39"/>
    </row>
    <row r="42" spans="1:32" ht="16.5" customHeight="1"/>
    <row r="43" spans="1:32" ht="16.5" customHeight="1"/>
    <row r="44" spans="1:32" ht="16.5" customHeight="1">
      <c r="A44" s="17" t="s">
        <v>197</v>
      </c>
    </row>
    <row r="45" spans="1:32" ht="16.5" customHeight="1"/>
    <row r="46" spans="1:32" ht="16.5" customHeight="1">
      <c r="A46" s="17" t="s">
        <v>178</v>
      </c>
      <c r="B46" s="17">
        <v>2020</v>
      </c>
      <c r="C46" s="17">
        <v>2021</v>
      </c>
      <c r="D46" s="17">
        <v>2022</v>
      </c>
      <c r="E46" s="17">
        <v>2023</v>
      </c>
      <c r="F46" s="17">
        <v>2024</v>
      </c>
      <c r="G46" s="17">
        <v>2025</v>
      </c>
      <c r="H46" s="17">
        <v>2026</v>
      </c>
      <c r="I46" s="17">
        <v>2027</v>
      </c>
      <c r="J46" s="17">
        <v>2028</v>
      </c>
      <c r="K46" s="17">
        <v>2029</v>
      </c>
      <c r="L46" s="17">
        <v>2030</v>
      </c>
      <c r="M46" s="17">
        <v>2031</v>
      </c>
      <c r="N46" s="17">
        <v>2032</v>
      </c>
      <c r="O46" s="17">
        <v>2033</v>
      </c>
      <c r="P46" s="17">
        <v>2034</v>
      </c>
      <c r="Q46" s="17">
        <v>2035</v>
      </c>
      <c r="R46" s="17">
        <v>2036</v>
      </c>
      <c r="S46" s="17">
        <v>2037</v>
      </c>
      <c r="T46" s="17">
        <v>2038</v>
      </c>
      <c r="U46" s="17">
        <v>2039</v>
      </c>
      <c r="V46" s="17">
        <v>2040</v>
      </c>
      <c r="W46" s="17">
        <v>2041</v>
      </c>
      <c r="X46" s="30">
        <v>2042</v>
      </c>
      <c r="Y46" s="17">
        <v>2043</v>
      </c>
      <c r="Z46" s="17">
        <v>2044</v>
      </c>
      <c r="AA46" s="17">
        <v>2045</v>
      </c>
      <c r="AB46" s="17">
        <v>2046</v>
      </c>
      <c r="AC46" s="17">
        <v>2047</v>
      </c>
      <c r="AD46" s="17">
        <v>2048</v>
      </c>
      <c r="AE46" s="17">
        <v>2049</v>
      </c>
      <c r="AF46" s="17">
        <v>2050</v>
      </c>
    </row>
    <row r="47" spans="1:32" ht="16.5" customHeight="1">
      <c r="A47" s="17" t="s">
        <v>179</v>
      </c>
      <c r="B47" s="17">
        <f t="shared" ref="B47:W47" si="2">IFERROR(SUM(B2:K2)/B26,0)</f>
        <v>0</v>
      </c>
      <c r="C47" s="17">
        <f t="shared" si="2"/>
        <v>0</v>
      </c>
      <c r="D47" s="17">
        <f t="shared" si="2"/>
        <v>0</v>
      </c>
      <c r="E47" s="17">
        <f t="shared" si="2"/>
        <v>0</v>
      </c>
      <c r="F47" s="17">
        <f t="shared" si="2"/>
        <v>0</v>
      </c>
      <c r="G47" s="17">
        <f t="shared" si="2"/>
        <v>0</v>
      </c>
      <c r="H47" s="17">
        <f t="shared" si="2"/>
        <v>0</v>
      </c>
      <c r="I47" s="17">
        <f t="shared" si="2"/>
        <v>0</v>
      </c>
      <c r="J47" s="17">
        <f t="shared" si="2"/>
        <v>0</v>
      </c>
      <c r="K47" s="17">
        <f t="shared" si="2"/>
        <v>0</v>
      </c>
      <c r="L47" s="17">
        <f t="shared" si="2"/>
        <v>0</v>
      </c>
      <c r="M47" s="17">
        <f t="shared" si="2"/>
        <v>0</v>
      </c>
      <c r="N47" s="17">
        <f t="shared" si="2"/>
        <v>0</v>
      </c>
      <c r="O47" s="17">
        <f t="shared" si="2"/>
        <v>0</v>
      </c>
      <c r="P47" s="17">
        <f t="shared" si="2"/>
        <v>0</v>
      </c>
      <c r="Q47" s="17">
        <f t="shared" si="2"/>
        <v>0</v>
      </c>
      <c r="R47" s="17">
        <f t="shared" si="2"/>
        <v>0</v>
      </c>
      <c r="S47" s="17">
        <f t="shared" si="2"/>
        <v>0</v>
      </c>
      <c r="T47" s="17">
        <f t="shared" si="2"/>
        <v>0</v>
      </c>
      <c r="U47" s="17">
        <f t="shared" si="2"/>
        <v>0</v>
      </c>
      <c r="V47" s="17">
        <f t="shared" si="2"/>
        <v>0</v>
      </c>
      <c r="W47" s="17">
        <f t="shared" si="2"/>
        <v>0</v>
      </c>
      <c r="X47" s="17">
        <f t="shared" ref="X47:AF47" si="3">W47</f>
        <v>0</v>
      </c>
      <c r="Y47" s="17">
        <f t="shared" si="3"/>
        <v>0</v>
      </c>
      <c r="Z47" s="17">
        <f t="shared" si="3"/>
        <v>0</v>
      </c>
      <c r="AA47" s="17">
        <f t="shared" si="3"/>
        <v>0</v>
      </c>
      <c r="AB47" s="17">
        <f t="shared" si="3"/>
        <v>0</v>
      </c>
      <c r="AC47" s="17">
        <f t="shared" si="3"/>
        <v>0</v>
      </c>
      <c r="AD47" s="17">
        <f t="shared" si="3"/>
        <v>0</v>
      </c>
      <c r="AE47" s="17">
        <f t="shared" si="3"/>
        <v>0</v>
      </c>
      <c r="AF47" s="17">
        <f t="shared" si="3"/>
        <v>0</v>
      </c>
    </row>
    <row r="48" spans="1:32" ht="16.5" customHeight="1">
      <c r="A48" s="17" t="s">
        <v>180</v>
      </c>
      <c r="B48" s="17">
        <f t="shared" ref="B48:W48" si="4">IFERROR(SUM(B3:K3)/B27,0)</f>
        <v>0</v>
      </c>
      <c r="C48" s="17">
        <f t="shared" si="4"/>
        <v>0</v>
      </c>
      <c r="D48" s="17">
        <f t="shared" si="4"/>
        <v>0</v>
      </c>
      <c r="E48" s="17">
        <f t="shared" si="4"/>
        <v>0</v>
      </c>
      <c r="F48" s="17">
        <f t="shared" si="4"/>
        <v>0</v>
      </c>
      <c r="G48" s="17">
        <f t="shared" si="4"/>
        <v>0</v>
      </c>
      <c r="H48" s="17">
        <f t="shared" si="4"/>
        <v>0</v>
      </c>
      <c r="I48" s="17">
        <f t="shared" si="4"/>
        <v>0</v>
      </c>
      <c r="J48" s="17">
        <f t="shared" si="4"/>
        <v>0</v>
      </c>
      <c r="K48" s="17">
        <f t="shared" si="4"/>
        <v>0</v>
      </c>
      <c r="L48" s="17">
        <f t="shared" si="4"/>
        <v>0</v>
      </c>
      <c r="M48" s="17">
        <f t="shared" si="4"/>
        <v>0</v>
      </c>
      <c r="N48" s="17">
        <f t="shared" si="4"/>
        <v>0</v>
      </c>
      <c r="O48" s="17">
        <f t="shared" si="4"/>
        <v>0</v>
      </c>
      <c r="P48" s="17">
        <f t="shared" si="4"/>
        <v>0</v>
      </c>
      <c r="Q48" s="17">
        <f t="shared" si="4"/>
        <v>0</v>
      </c>
      <c r="R48" s="17">
        <f t="shared" si="4"/>
        <v>0</v>
      </c>
      <c r="S48" s="17">
        <f t="shared" si="4"/>
        <v>0</v>
      </c>
      <c r="T48" s="17">
        <f t="shared" si="4"/>
        <v>0</v>
      </c>
      <c r="U48" s="17">
        <f t="shared" si="4"/>
        <v>0</v>
      </c>
      <c r="V48" s="17">
        <f t="shared" si="4"/>
        <v>0</v>
      </c>
      <c r="W48" s="17">
        <f t="shared" si="4"/>
        <v>0</v>
      </c>
      <c r="X48" s="17">
        <f t="shared" ref="X48:AF48" si="5">W48</f>
        <v>0</v>
      </c>
      <c r="Y48" s="17">
        <f t="shared" si="5"/>
        <v>0</v>
      </c>
      <c r="Z48" s="17">
        <f t="shared" si="5"/>
        <v>0</v>
      </c>
      <c r="AA48" s="17">
        <f t="shared" si="5"/>
        <v>0</v>
      </c>
      <c r="AB48" s="17">
        <f t="shared" si="5"/>
        <v>0</v>
      </c>
      <c r="AC48" s="17">
        <f t="shared" si="5"/>
        <v>0</v>
      </c>
      <c r="AD48" s="17">
        <f t="shared" si="5"/>
        <v>0</v>
      </c>
      <c r="AE48" s="17">
        <f t="shared" si="5"/>
        <v>0</v>
      </c>
      <c r="AF48" s="17">
        <f t="shared" si="5"/>
        <v>0</v>
      </c>
    </row>
    <row r="49" spans="1:32" ht="16.5" customHeight="1">
      <c r="A49" s="17" t="s">
        <v>181</v>
      </c>
      <c r="B49" s="17">
        <f t="shared" ref="B49:W49" si="6">IFERROR(SUM(B4:K4)/B28,0)</f>
        <v>0</v>
      </c>
      <c r="C49" s="17">
        <f t="shared" si="6"/>
        <v>0</v>
      </c>
      <c r="D49" s="17">
        <f t="shared" si="6"/>
        <v>0</v>
      </c>
      <c r="E49" s="17">
        <f t="shared" si="6"/>
        <v>0</v>
      </c>
      <c r="F49" s="17">
        <f t="shared" si="6"/>
        <v>0</v>
      </c>
      <c r="G49" s="17">
        <f t="shared" si="6"/>
        <v>0</v>
      </c>
      <c r="H49" s="17">
        <f t="shared" si="6"/>
        <v>0</v>
      </c>
      <c r="I49" s="17">
        <f t="shared" si="6"/>
        <v>0</v>
      </c>
      <c r="J49" s="17">
        <f t="shared" si="6"/>
        <v>0</v>
      </c>
      <c r="K49" s="17">
        <f t="shared" si="6"/>
        <v>0</v>
      </c>
      <c r="L49" s="17">
        <f t="shared" si="6"/>
        <v>0</v>
      </c>
      <c r="M49" s="17">
        <f t="shared" si="6"/>
        <v>0</v>
      </c>
      <c r="N49" s="17">
        <f t="shared" si="6"/>
        <v>0</v>
      </c>
      <c r="O49" s="17">
        <f t="shared" si="6"/>
        <v>0</v>
      </c>
      <c r="P49" s="17">
        <f t="shared" si="6"/>
        <v>0</v>
      </c>
      <c r="Q49" s="17">
        <f t="shared" si="6"/>
        <v>0</v>
      </c>
      <c r="R49" s="17">
        <f t="shared" si="6"/>
        <v>0</v>
      </c>
      <c r="S49" s="17">
        <f t="shared" si="6"/>
        <v>0</v>
      </c>
      <c r="T49" s="17">
        <f t="shared" si="6"/>
        <v>0</v>
      </c>
      <c r="U49" s="17">
        <f t="shared" si="6"/>
        <v>0</v>
      </c>
      <c r="V49" s="17">
        <f t="shared" si="6"/>
        <v>0</v>
      </c>
      <c r="W49" s="17">
        <f t="shared" si="6"/>
        <v>0</v>
      </c>
      <c r="X49" s="17">
        <f t="shared" ref="X49:AF49" si="7">W49</f>
        <v>0</v>
      </c>
      <c r="Y49" s="17">
        <f t="shared" si="7"/>
        <v>0</v>
      </c>
      <c r="Z49" s="17">
        <f t="shared" si="7"/>
        <v>0</v>
      </c>
      <c r="AA49" s="17">
        <f t="shared" si="7"/>
        <v>0</v>
      </c>
      <c r="AB49" s="17">
        <f t="shared" si="7"/>
        <v>0</v>
      </c>
      <c r="AC49" s="17">
        <f t="shared" si="7"/>
        <v>0</v>
      </c>
      <c r="AD49" s="17">
        <f t="shared" si="7"/>
        <v>0</v>
      </c>
      <c r="AE49" s="17">
        <f t="shared" si="7"/>
        <v>0</v>
      </c>
      <c r="AF49" s="17">
        <f t="shared" si="7"/>
        <v>0</v>
      </c>
    </row>
    <row r="50" spans="1:32" ht="16.5" customHeight="1">
      <c r="A50" s="30" t="s">
        <v>182</v>
      </c>
      <c r="B50" s="17">
        <f t="shared" ref="B50:W50" si="8">IFERROR(SUM(B5:K5)/B29,0)</f>
        <v>2.9999999999999995E-2</v>
      </c>
      <c r="C50" s="17">
        <f t="shared" si="8"/>
        <v>2.9999999999999995E-2</v>
      </c>
      <c r="D50" s="17">
        <f t="shared" si="8"/>
        <v>2.9999999999999995E-2</v>
      </c>
      <c r="E50" s="17">
        <f t="shared" si="8"/>
        <v>2.9999999999999995E-2</v>
      </c>
      <c r="F50" s="17">
        <f t="shared" si="8"/>
        <v>2.9999999999999995E-2</v>
      </c>
      <c r="G50" s="17">
        <f t="shared" si="8"/>
        <v>2.9999999999999995E-2</v>
      </c>
      <c r="H50" s="17">
        <f t="shared" si="8"/>
        <v>2.9999999999999995E-2</v>
      </c>
      <c r="I50" s="17">
        <f t="shared" si="8"/>
        <v>2.9999999999999995E-2</v>
      </c>
      <c r="J50" s="17">
        <f t="shared" si="8"/>
        <v>2.9999999999999995E-2</v>
      </c>
      <c r="K50" s="17">
        <f t="shared" si="8"/>
        <v>2.9999999999999995E-2</v>
      </c>
      <c r="L50" s="17">
        <f t="shared" si="8"/>
        <v>2.9999999999999995E-2</v>
      </c>
      <c r="M50" s="17">
        <f t="shared" si="8"/>
        <v>2.9999999999999995E-2</v>
      </c>
      <c r="N50" s="17">
        <f t="shared" si="8"/>
        <v>2.9999999999999995E-2</v>
      </c>
      <c r="O50" s="17">
        <f t="shared" si="8"/>
        <v>2.9999999999999995E-2</v>
      </c>
      <c r="P50" s="17">
        <f t="shared" si="8"/>
        <v>2.9999999999999995E-2</v>
      </c>
      <c r="Q50" s="17">
        <f t="shared" si="8"/>
        <v>2.9999999999999995E-2</v>
      </c>
      <c r="R50" s="17">
        <f t="shared" si="8"/>
        <v>2.9999999999999995E-2</v>
      </c>
      <c r="S50" s="17">
        <f t="shared" si="8"/>
        <v>2.9999999999999995E-2</v>
      </c>
      <c r="T50" s="17">
        <f t="shared" si="8"/>
        <v>2.9999999999999995E-2</v>
      </c>
      <c r="U50" s="17">
        <f t="shared" si="8"/>
        <v>2.9999999999999995E-2</v>
      </c>
      <c r="V50" s="17">
        <f t="shared" si="8"/>
        <v>2.9999999999999995E-2</v>
      </c>
      <c r="W50" s="17">
        <f t="shared" si="8"/>
        <v>2.9999999999999995E-2</v>
      </c>
      <c r="X50" s="17">
        <f t="shared" ref="X50:AF50" si="9">W50</f>
        <v>2.9999999999999995E-2</v>
      </c>
      <c r="Y50" s="17">
        <f t="shared" si="9"/>
        <v>2.9999999999999995E-2</v>
      </c>
      <c r="Z50" s="17">
        <f t="shared" si="9"/>
        <v>2.9999999999999995E-2</v>
      </c>
      <c r="AA50" s="17">
        <f t="shared" si="9"/>
        <v>2.9999999999999995E-2</v>
      </c>
      <c r="AB50" s="17">
        <f t="shared" si="9"/>
        <v>2.9999999999999995E-2</v>
      </c>
      <c r="AC50" s="17">
        <f t="shared" si="9"/>
        <v>2.9999999999999995E-2</v>
      </c>
      <c r="AD50" s="17">
        <f t="shared" si="9"/>
        <v>2.9999999999999995E-2</v>
      </c>
      <c r="AE50" s="17">
        <f t="shared" si="9"/>
        <v>2.9999999999999995E-2</v>
      </c>
      <c r="AF50" s="17">
        <f t="shared" si="9"/>
        <v>2.9999999999999995E-2</v>
      </c>
    </row>
    <row r="51" spans="1:32" ht="16.5" customHeight="1">
      <c r="A51" s="30" t="s">
        <v>183</v>
      </c>
      <c r="B51" s="17">
        <f t="shared" ref="B51:W51" si="10">IFERROR(SUM(B6:K6)/B30,0)</f>
        <v>2.8034609895337743E-2</v>
      </c>
      <c r="C51" s="17">
        <f t="shared" si="10"/>
        <v>2.810528224344257E-2</v>
      </c>
      <c r="D51" s="17">
        <f t="shared" si="10"/>
        <v>2.8195060873411351E-2</v>
      </c>
      <c r="E51" s="17">
        <f t="shared" si="10"/>
        <v>2.8305321981791681E-2</v>
      </c>
      <c r="F51" s="17">
        <f t="shared" si="10"/>
        <v>2.8437531139524345E-2</v>
      </c>
      <c r="G51" s="17">
        <f t="shared" si="10"/>
        <v>2.8593251156278986E-2</v>
      </c>
      <c r="H51" s="17">
        <f t="shared" si="10"/>
        <v>2.8561138866663321E-2</v>
      </c>
      <c r="I51" s="17">
        <f t="shared" si="10"/>
        <v>2.8526038073996507E-2</v>
      </c>
      <c r="J51" s="17">
        <f t="shared" si="10"/>
        <v>2.8488265986790228E-2</v>
      </c>
      <c r="K51" s="17">
        <f t="shared" si="10"/>
        <v>2.844814814558249E-2</v>
      </c>
      <c r="L51" s="17">
        <f t="shared" si="10"/>
        <v>2.8406018929872396E-2</v>
      </c>
      <c r="M51" s="17">
        <f t="shared" si="10"/>
        <v>2.8406018929872399E-2</v>
      </c>
      <c r="N51" s="17">
        <f t="shared" si="10"/>
        <v>2.8406018929872406E-2</v>
      </c>
      <c r="O51" s="17">
        <f t="shared" si="10"/>
        <v>2.8406018929872403E-2</v>
      </c>
      <c r="P51" s="17">
        <f t="shared" si="10"/>
        <v>2.8406018929872399E-2</v>
      </c>
      <c r="Q51" s="17">
        <f t="shared" si="10"/>
        <v>2.8406018929872399E-2</v>
      </c>
      <c r="R51" s="17">
        <f t="shared" si="10"/>
        <v>2.8406018929872399E-2</v>
      </c>
      <c r="S51" s="17">
        <f t="shared" si="10"/>
        <v>2.8406018929872403E-2</v>
      </c>
      <c r="T51" s="17">
        <f t="shared" si="10"/>
        <v>2.8406018929872406E-2</v>
      </c>
      <c r="U51" s="17">
        <f t="shared" si="10"/>
        <v>2.8406018929872399E-2</v>
      </c>
      <c r="V51" s="17">
        <f t="shared" si="10"/>
        <v>2.8406018929872399E-2</v>
      </c>
      <c r="W51" s="17">
        <f t="shared" si="10"/>
        <v>2.8406018929872399E-2</v>
      </c>
      <c r="X51" s="17">
        <f t="shared" ref="X51:AF51" si="11">W51</f>
        <v>2.8406018929872399E-2</v>
      </c>
      <c r="Y51" s="17">
        <f t="shared" si="11"/>
        <v>2.8406018929872399E-2</v>
      </c>
      <c r="Z51" s="17">
        <f t="shared" si="11"/>
        <v>2.8406018929872399E-2</v>
      </c>
      <c r="AA51" s="17">
        <f t="shared" si="11"/>
        <v>2.8406018929872399E-2</v>
      </c>
      <c r="AB51" s="17">
        <f t="shared" si="11"/>
        <v>2.8406018929872399E-2</v>
      </c>
      <c r="AC51" s="17">
        <f t="shared" si="11"/>
        <v>2.8406018929872399E-2</v>
      </c>
      <c r="AD51" s="17">
        <f t="shared" si="11"/>
        <v>2.8406018929872399E-2</v>
      </c>
      <c r="AE51" s="17">
        <f t="shared" si="11"/>
        <v>2.8406018929872399E-2</v>
      </c>
      <c r="AF51" s="17">
        <f t="shared" si="11"/>
        <v>2.8406018929872399E-2</v>
      </c>
    </row>
    <row r="52" spans="1:32" ht="16.5" customHeight="1">
      <c r="A52" s="30" t="s">
        <v>184</v>
      </c>
      <c r="B52" s="17">
        <f t="shared" ref="B52:W52" si="12">IFERROR(SUM(B7:K7)/B31,0)</f>
        <v>2.5364303178484125E-2</v>
      </c>
      <c r="C52" s="17">
        <f t="shared" si="12"/>
        <v>2.5411076475192643E-2</v>
      </c>
      <c r="D52" s="17">
        <f t="shared" si="12"/>
        <v>2.5513356095024052E-2</v>
      </c>
      <c r="E52" s="17">
        <f t="shared" si="12"/>
        <v>2.5680469019471526E-2</v>
      </c>
      <c r="F52" s="17">
        <f t="shared" si="12"/>
        <v>2.5923318965309711E-2</v>
      </c>
      <c r="G52" s="17">
        <f t="shared" si="12"/>
        <v>2.6254753676520932E-2</v>
      </c>
      <c r="H52" s="17">
        <f t="shared" si="12"/>
        <v>2.6195638379179622E-2</v>
      </c>
      <c r="I52" s="17">
        <f t="shared" si="12"/>
        <v>2.6150522878159835E-2</v>
      </c>
      <c r="J52" s="17">
        <f t="shared" si="12"/>
        <v>2.6123022688198647E-2</v>
      </c>
      <c r="K52" s="17">
        <f t="shared" si="12"/>
        <v>2.6117140330909047E-2</v>
      </c>
      <c r="L52" s="17">
        <f t="shared" si="12"/>
        <v>2.6137331465165801E-2</v>
      </c>
      <c r="M52" s="17">
        <f t="shared" si="12"/>
        <v>2.6137331465165798E-2</v>
      </c>
      <c r="N52" s="17">
        <f t="shared" si="12"/>
        <v>2.6137331465165798E-2</v>
      </c>
      <c r="O52" s="17">
        <f t="shared" si="12"/>
        <v>2.6137331465165801E-2</v>
      </c>
      <c r="P52" s="17">
        <f t="shared" si="12"/>
        <v>2.6137331465165812E-2</v>
      </c>
      <c r="Q52" s="17">
        <f t="shared" si="12"/>
        <v>2.6137331465165812E-2</v>
      </c>
      <c r="R52" s="17">
        <f t="shared" si="12"/>
        <v>2.6137331465165805E-2</v>
      </c>
      <c r="S52" s="17">
        <f t="shared" si="12"/>
        <v>2.6137331465165808E-2</v>
      </c>
      <c r="T52" s="17">
        <f t="shared" si="12"/>
        <v>2.6137331465165808E-2</v>
      </c>
      <c r="U52" s="17">
        <f t="shared" si="12"/>
        <v>2.6137331465165808E-2</v>
      </c>
      <c r="V52" s="17">
        <f t="shared" si="12"/>
        <v>2.6137331465165801E-2</v>
      </c>
      <c r="W52" s="17">
        <f t="shared" si="12"/>
        <v>2.6137331465165801E-2</v>
      </c>
      <c r="X52" s="17">
        <f t="shared" ref="X52:AF52" si="13">W52</f>
        <v>2.6137331465165801E-2</v>
      </c>
      <c r="Y52" s="17">
        <f t="shared" si="13"/>
        <v>2.6137331465165801E-2</v>
      </c>
      <c r="Z52" s="17">
        <f t="shared" si="13"/>
        <v>2.6137331465165801E-2</v>
      </c>
      <c r="AA52" s="17">
        <f t="shared" si="13"/>
        <v>2.6137331465165801E-2</v>
      </c>
      <c r="AB52" s="17">
        <f t="shared" si="13"/>
        <v>2.6137331465165801E-2</v>
      </c>
      <c r="AC52" s="17">
        <f t="shared" si="13"/>
        <v>2.6137331465165801E-2</v>
      </c>
      <c r="AD52" s="17">
        <f t="shared" si="13"/>
        <v>2.6137331465165801E-2</v>
      </c>
      <c r="AE52" s="17">
        <f t="shared" si="13"/>
        <v>2.6137331465165801E-2</v>
      </c>
      <c r="AF52" s="17">
        <f t="shared" si="13"/>
        <v>2.6137331465165801E-2</v>
      </c>
    </row>
    <row r="53" spans="1:32" ht="16.5" customHeight="1">
      <c r="A53" s="17" t="s">
        <v>185</v>
      </c>
      <c r="B53" s="17">
        <f t="shared" ref="B53:W53" si="14">IFERROR(SUM(B8:K8)/B32,0)</f>
        <v>0</v>
      </c>
      <c r="C53" s="17">
        <f t="shared" si="14"/>
        <v>0</v>
      </c>
      <c r="D53" s="17">
        <f t="shared" si="14"/>
        <v>0</v>
      </c>
      <c r="E53" s="17">
        <f t="shared" si="14"/>
        <v>0</v>
      </c>
      <c r="F53" s="17">
        <f t="shared" si="14"/>
        <v>0</v>
      </c>
      <c r="G53" s="17">
        <f t="shared" si="14"/>
        <v>0</v>
      </c>
      <c r="H53" s="17">
        <f t="shared" si="14"/>
        <v>0</v>
      </c>
      <c r="I53" s="17">
        <f t="shared" si="14"/>
        <v>0</v>
      </c>
      <c r="J53" s="17">
        <f t="shared" si="14"/>
        <v>0</v>
      </c>
      <c r="K53" s="17">
        <f t="shared" si="14"/>
        <v>0</v>
      </c>
      <c r="L53" s="17">
        <f t="shared" si="14"/>
        <v>0</v>
      </c>
      <c r="M53" s="17">
        <f t="shared" si="14"/>
        <v>0</v>
      </c>
      <c r="N53" s="17">
        <f t="shared" si="14"/>
        <v>0</v>
      </c>
      <c r="O53" s="17">
        <f t="shared" si="14"/>
        <v>0</v>
      </c>
      <c r="P53" s="17">
        <f t="shared" si="14"/>
        <v>0</v>
      </c>
      <c r="Q53" s="17">
        <f t="shared" si="14"/>
        <v>0</v>
      </c>
      <c r="R53" s="17">
        <f t="shared" si="14"/>
        <v>0</v>
      </c>
      <c r="S53" s="17">
        <f t="shared" si="14"/>
        <v>0</v>
      </c>
      <c r="T53" s="17">
        <f t="shared" si="14"/>
        <v>0</v>
      </c>
      <c r="U53" s="17">
        <f t="shared" si="14"/>
        <v>0</v>
      </c>
      <c r="V53" s="17">
        <f t="shared" si="14"/>
        <v>0</v>
      </c>
      <c r="W53" s="17">
        <f t="shared" si="14"/>
        <v>0</v>
      </c>
      <c r="X53" s="17">
        <f t="shared" ref="X53:AF53" si="15">W53</f>
        <v>0</v>
      </c>
      <c r="Y53" s="17">
        <f t="shared" si="15"/>
        <v>0</v>
      </c>
      <c r="Z53" s="17">
        <f t="shared" si="15"/>
        <v>0</v>
      </c>
      <c r="AA53" s="17">
        <f t="shared" si="15"/>
        <v>0</v>
      </c>
      <c r="AB53" s="17">
        <f t="shared" si="15"/>
        <v>0</v>
      </c>
      <c r="AC53" s="17">
        <f t="shared" si="15"/>
        <v>0</v>
      </c>
      <c r="AD53" s="17">
        <f t="shared" si="15"/>
        <v>0</v>
      </c>
      <c r="AE53" s="17">
        <f t="shared" si="15"/>
        <v>0</v>
      </c>
      <c r="AF53" s="17">
        <f t="shared" si="15"/>
        <v>0</v>
      </c>
    </row>
    <row r="54" spans="1:32" ht="16.5" customHeight="1">
      <c r="A54" s="30" t="s">
        <v>186</v>
      </c>
      <c r="B54" s="17">
        <f t="shared" ref="B54:W54" si="16">IFERROR(SUM(B9:K9)/B33,0)</f>
        <v>0.03</v>
      </c>
      <c r="C54" s="17">
        <f t="shared" si="16"/>
        <v>0.03</v>
      </c>
      <c r="D54" s="17">
        <f t="shared" si="16"/>
        <v>0.03</v>
      </c>
      <c r="E54" s="17">
        <f t="shared" si="16"/>
        <v>0.03</v>
      </c>
      <c r="F54" s="17">
        <f t="shared" si="16"/>
        <v>0.03</v>
      </c>
      <c r="G54" s="17">
        <f t="shared" si="16"/>
        <v>0.03</v>
      </c>
      <c r="H54" s="17">
        <f t="shared" si="16"/>
        <v>0.03</v>
      </c>
      <c r="I54" s="17">
        <f t="shared" si="16"/>
        <v>0.03</v>
      </c>
      <c r="J54" s="17">
        <f t="shared" si="16"/>
        <v>0.03</v>
      </c>
      <c r="K54" s="17">
        <f t="shared" si="16"/>
        <v>0.03</v>
      </c>
      <c r="L54" s="17">
        <f t="shared" si="16"/>
        <v>0.03</v>
      </c>
      <c r="M54" s="17">
        <f t="shared" si="16"/>
        <v>0.03</v>
      </c>
      <c r="N54" s="17">
        <f t="shared" si="16"/>
        <v>0.03</v>
      </c>
      <c r="O54" s="17">
        <f t="shared" si="16"/>
        <v>0.03</v>
      </c>
      <c r="P54" s="17">
        <f t="shared" si="16"/>
        <v>0.03</v>
      </c>
      <c r="Q54" s="17">
        <f t="shared" si="16"/>
        <v>0.03</v>
      </c>
      <c r="R54" s="17">
        <f t="shared" si="16"/>
        <v>0.03</v>
      </c>
      <c r="S54" s="17">
        <f t="shared" si="16"/>
        <v>0.03</v>
      </c>
      <c r="T54" s="17">
        <f t="shared" si="16"/>
        <v>0.03</v>
      </c>
      <c r="U54" s="17">
        <f t="shared" si="16"/>
        <v>0.03</v>
      </c>
      <c r="V54" s="17">
        <f t="shared" si="16"/>
        <v>0.03</v>
      </c>
      <c r="W54" s="17">
        <f t="shared" si="16"/>
        <v>0.03</v>
      </c>
      <c r="X54" s="17">
        <f t="shared" ref="X54:AF54" si="17">W54</f>
        <v>0.03</v>
      </c>
      <c r="Y54" s="17">
        <f t="shared" si="17"/>
        <v>0.03</v>
      </c>
      <c r="Z54" s="17">
        <f t="shared" si="17"/>
        <v>0.03</v>
      </c>
      <c r="AA54" s="17">
        <f t="shared" si="17"/>
        <v>0.03</v>
      </c>
      <c r="AB54" s="17">
        <f t="shared" si="17"/>
        <v>0.03</v>
      </c>
      <c r="AC54" s="17">
        <f t="shared" si="17"/>
        <v>0.03</v>
      </c>
      <c r="AD54" s="17">
        <f t="shared" si="17"/>
        <v>0.03</v>
      </c>
      <c r="AE54" s="17">
        <f t="shared" si="17"/>
        <v>0.03</v>
      </c>
      <c r="AF54" s="17">
        <f t="shared" si="17"/>
        <v>0.03</v>
      </c>
    </row>
    <row r="55" spans="1:32" ht="16.5" customHeight="1">
      <c r="A55" s="17" t="s">
        <v>187</v>
      </c>
      <c r="B55" s="17">
        <f t="shared" ref="B55:W55" si="18">IFERROR(SUM(B10:K10)/B34,0)</f>
        <v>0</v>
      </c>
      <c r="C55" s="17">
        <f t="shared" si="18"/>
        <v>0</v>
      </c>
      <c r="D55" s="17">
        <f t="shared" si="18"/>
        <v>0</v>
      </c>
      <c r="E55" s="17">
        <f t="shared" si="18"/>
        <v>0</v>
      </c>
      <c r="F55" s="17">
        <f t="shared" si="18"/>
        <v>0</v>
      </c>
      <c r="G55" s="17">
        <f t="shared" si="18"/>
        <v>0</v>
      </c>
      <c r="H55" s="17">
        <f t="shared" si="18"/>
        <v>0</v>
      </c>
      <c r="I55" s="17">
        <f t="shared" si="18"/>
        <v>0</v>
      </c>
      <c r="J55" s="17">
        <f t="shared" si="18"/>
        <v>0</v>
      </c>
      <c r="K55" s="17">
        <f t="shared" si="18"/>
        <v>0</v>
      </c>
      <c r="L55" s="17">
        <f t="shared" si="18"/>
        <v>0</v>
      </c>
      <c r="M55" s="17">
        <f t="shared" si="18"/>
        <v>0</v>
      </c>
      <c r="N55" s="17">
        <f t="shared" si="18"/>
        <v>0</v>
      </c>
      <c r="O55" s="17">
        <f t="shared" si="18"/>
        <v>0</v>
      </c>
      <c r="P55" s="17">
        <f t="shared" si="18"/>
        <v>0</v>
      </c>
      <c r="Q55" s="17">
        <f t="shared" si="18"/>
        <v>0</v>
      </c>
      <c r="R55" s="17">
        <f t="shared" si="18"/>
        <v>0</v>
      </c>
      <c r="S55" s="17">
        <f t="shared" si="18"/>
        <v>0</v>
      </c>
      <c r="T55" s="17">
        <f t="shared" si="18"/>
        <v>0</v>
      </c>
      <c r="U55" s="17">
        <f t="shared" si="18"/>
        <v>0</v>
      </c>
      <c r="V55" s="17">
        <f t="shared" si="18"/>
        <v>0</v>
      </c>
      <c r="W55" s="17">
        <f t="shared" si="18"/>
        <v>0</v>
      </c>
      <c r="X55" s="17">
        <f t="shared" ref="X55:AF55" si="19">W55</f>
        <v>0</v>
      </c>
      <c r="Y55" s="17">
        <f t="shared" si="19"/>
        <v>0</v>
      </c>
      <c r="Z55" s="17">
        <f t="shared" si="19"/>
        <v>0</v>
      </c>
      <c r="AA55" s="17">
        <f t="shared" si="19"/>
        <v>0</v>
      </c>
      <c r="AB55" s="17">
        <f t="shared" si="19"/>
        <v>0</v>
      </c>
      <c r="AC55" s="17">
        <f t="shared" si="19"/>
        <v>0</v>
      </c>
      <c r="AD55" s="17">
        <f t="shared" si="19"/>
        <v>0</v>
      </c>
      <c r="AE55" s="17">
        <f t="shared" si="19"/>
        <v>0</v>
      </c>
      <c r="AF55" s="17">
        <f t="shared" si="19"/>
        <v>0</v>
      </c>
    </row>
    <row r="56" spans="1:32" ht="16.5" customHeight="1">
      <c r="A56" s="17" t="s">
        <v>188</v>
      </c>
      <c r="B56" s="17">
        <f t="shared" ref="B56:W56" si="20">IFERROR(SUM(B11:K11)/B35,0)</f>
        <v>0</v>
      </c>
      <c r="C56" s="17">
        <f t="shared" si="20"/>
        <v>0</v>
      </c>
      <c r="D56" s="17">
        <f t="shared" si="20"/>
        <v>0</v>
      </c>
      <c r="E56" s="17">
        <f t="shared" si="20"/>
        <v>0</v>
      </c>
      <c r="F56" s="17">
        <f t="shared" si="20"/>
        <v>0</v>
      </c>
      <c r="G56" s="17">
        <f t="shared" si="20"/>
        <v>0</v>
      </c>
      <c r="H56" s="17">
        <f t="shared" si="20"/>
        <v>0</v>
      </c>
      <c r="I56" s="17">
        <f t="shared" si="20"/>
        <v>0</v>
      </c>
      <c r="J56" s="17">
        <f t="shared" si="20"/>
        <v>0</v>
      </c>
      <c r="K56" s="17">
        <f t="shared" si="20"/>
        <v>0</v>
      </c>
      <c r="L56" s="17">
        <f t="shared" si="20"/>
        <v>0</v>
      </c>
      <c r="M56" s="17">
        <f t="shared" si="20"/>
        <v>0</v>
      </c>
      <c r="N56" s="17">
        <f t="shared" si="20"/>
        <v>0</v>
      </c>
      <c r="O56" s="17">
        <f t="shared" si="20"/>
        <v>0</v>
      </c>
      <c r="P56" s="17">
        <f t="shared" si="20"/>
        <v>0</v>
      </c>
      <c r="Q56" s="17">
        <f t="shared" si="20"/>
        <v>0</v>
      </c>
      <c r="R56" s="17">
        <f t="shared" si="20"/>
        <v>0</v>
      </c>
      <c r="S56" s="17">
        <f t="shared" si="20"/>
        <v>0</v>
      </c>
      <c r="T56" s="17">
        <f t="shared" si="20"/>
        <v>0</v>
      </c>
      <c r="U56" s="17">
        <f t="shared" si="20"/>
        <v>0</v>
      </c>
      <c r="V56" s="17">
        <f t="shared" si="20"/>
        <v>0</v>
      </c>
      <c r="W56" s="17">
        <f t="shared" si="20"/>
        <v>0</v>
      </c>
      <c r="X56" s="17">
        <f t="shared" ref="X56:AF56" si="21">W56</f>
        <v>0</v>
      </c>
      <c r="Y56" s="17">
        <f t="shared" si="21"/>
        <v>0</v>
      </c>
      <c r="Z56" s="17">
        <f t="shared" si="21"/>
        <v>0</v>
      </c>
      <c r="AA56" s="17">
        <f t="shared" si="21"/>
        <v>0</v>
      </c>
      <c r="AB56" s="17">
        <f t="shared" si="21"/>
        <v>0</v>
      </c>
      <c r="AC56" s="17">
        <f t="shared" si="21"/>
        <v>0</v>
      </c>
      <c r="AD56" s="17">
        <f t="shared" si="21"/>
        <v>0</v>
      </c>
      <c r="AE56" s="17">
        <f t="shared" si="21"/>
        <v>0</v>
      </c>
      <c r="AF56" s="17">
        <f t="shared" si="21"/>
        <v>0</v>
      </c>
    </row>
    <row r="57" spans="1:32" ht="16.5" customHeight="1">
      <c r="A57" s="17" t="s">
        <v>189</v>
      </c>
      <c r="B57" s="17">
        <f t="shared" ref="B57:W57" si="22">IFERROR(SUM(B12:K12)/B36,0)</f>
        <v>0</v>
      </c>
      <c r="C57" s="17">
        <f t="shared" si="22"/>
        <v>0</v>
      </c>
      <c r="D57" s="17">
        <f t="shared" si="22"/>
        <v>0</v>
      </c>
      <c r="E57" s="17">
        <f t="shared" si="22"/>
        <v>0</v>
      </c>
      <c r="F57" s="17">
        <f t="shared" si="22"/>
        <v>0</v>
      </c>
      <c r="G57" s="17">
        <f t="shared" si="22"/>
        <v>0</v>
      </c>
      <c r="H57" s="17">
        <f t="shared" si="22"/>
        <v>0</v>
      </c>
      <c r="I57" s="17">
        <f t="shared" si="22"/>
        <v>0</v>
      </c>
      <c r="J57" s="17">
        <f t="shared" si="22"/>
        <v>0</v>
      </c>
      <c r="K57" s="17">
        <f t="shared" si="22"/>
        <v>0</v>
      </c>
      <c r="L57" s="17">
        <f t="shared" si="22"/>
        <v>0</v>
      </c>
      <c r="M57" s="17">
        <f t="shared" si="22"/>
        <v>0</v>
      </c>
      <c r="N57" s="17">
        <f t="shared" si="22"/>
        <v>0</v>
      </c>
      <c r="O57" s="17">
        <f t="shared" si="22"/>
        <v>0</v>
      </c>
      <c r="P57" s="17">
        <f t="shared" si="22"/>
        <v>0</v>
      </c>
      <c r="Q57" s="17">
        <f t="shared" si="22"/>
        <v>0</v>
      </c>
      <c r="R57" s="17">
        <f t="shared" si="22"/>
        <v>0</v>
      </c>
      <c r="S57" s="17">
        <f t="shared" si="22"/>
        <v>0</v>
      </c>
      <c r="T57" s="17">
        <f t="shared" si="22"/>
        <v>0</v>
      </c>
      <c r="U57" s="17">
        <f t="shared" si="22"/>
        <v>0</v>
      </c>
      <c r="V57" s="17">
        <f t="shared" si="22"/>
        <v>0</v>
      </c>
      <c r="W57" s="17">
        <f t="shared" si="22"/>
        <v>0</v>
      </c>
      <c r="X57" s="17">
        <f t="shared" ref="X57:AF57" si="23">W57</f>
        <v>0</v>
      </c>
      <c r="Y57" s="17">
        <f t="shared" si="23"/>
        <v>0</v>
      </c>
      <c r="Z57" s="17">
        <f t="shared" si="23"/>
        <v>0</v>
      </c>
      <c r="AA57" s="17">
        <f t="shared" si="23"/>
        <v>0</v>
      </c>
      <c r="AB57" s="17">
        <f t="shared" si="23"/>
        <v>0</v>
      </c>
      <c r="AC57" s="17">
        <f t="shared" si="23"/>
        <v>0</v>
      </c>
      <c r="AD57" s="17">
        <f t="shared" si="23"/>
        <v>0</v>
      </c>
      <c r="AE57" s="17">
        <f t="shared" si="23"/>
        <v>0</v>
      </c>
      <c r="AF57" s="17">
        <f t="shared" si="23"/>
        <v>0</v>
      </c>
    </row>
    <row r="58" spans="1:32" ht="16.5" customHeight="1">
      <c r="A58" s="17" t="s">
        <v>190</v>
      </c>
      <c r="B58" s="17">
        <f t="shared" ref="B58:W58" si="24">IFERROR(SUM(B13:K13)/B37,0)</f>
        <v>0</v>
      </c>
      <c r="C58" s="17">
        <f t="shared" si="24"/>
        <v>0</v>
      </c>
      <c r="D58" s="17">
        <f t="shared" si="24"/>
        <v>0</v>
      </c>
      <c r="E58" s="17">
        <f t="shared" si="24"/>
        <v>0</v>
      </c>
      <c r="F58" s="17">
        <f t="shared" si="24"/>
        <v>0</v>
      </c>
      <c r="G58" s="17">
        <f t="shared" si="24"/>
        <v>0</v>
      </c>
      <c r="H58" s="17">
        <f t="shared" si="24"/>
        <v>0</v>
      </c>
      <c r="I58" s="17">
        <f t="shared" si="24"/>
        <v>0</v>
      </c>
      <c r="J58" s="17">
        <f t="shared" si="24"/>
        <v>0</v>
      </c>
      <c r="K58" s="17">
        <f t="shared" si="24"/>
        <v>0</v>
      </c>
      <c r="L58" s="17">
        <f t="shared" si="24"/>
        <v>0</v>
      </c>
      <c r="M58" s="17">
        <f t="shared" si="24"/>
        <v>0</v>
      </c>
      <c r="N58" s="17">
        <f t="shared" si="24"/>
        <v>0</v>
      </c>
      <c r="O58" s="17">
        <f t="shared" si="24"/>
        <v>0</v>
      </c>
      <c r="P58" s="17">
        <f t="shared" si="24"/>
        <v>0</v>
      </c>
      <c r="Q58" s="17">
        <f t="shared" si="24"/>
        <v>0</v>
      </c>
      <c r="R58" s="17">
        <f t="shared" si="24"/>
        <v>0</v>
      </c>
      <c r="S58" s="17">
        <f t="shared" si="24"/>
        <v>0</v>
      </c>
      <c r="T58" s="17">
        <f t="shared" si="24"/>
        <v>0</v>
      </c>
      <c r="U58" s="17">
        <f t="shared" si="24"/>
        <v>0</v>
      </c>
      <c r="V58" s="17">
        <f t="shared" si="24"/>
        <v>0</v>
      </c>
      <c r="W58" s="17">
        <f t="shared" si="24"/>
        <v>0</v>
      </c>
      <c r="X58" s="17">
        <f t="shared" ref="X58:AF58" si="25">W58</f>
        <v>0</v>
      </c>
      <c r="Y58" s="17">
        <f t="shared" si="25"/>
        <v>0</v>
      </c>
      <c r="Z58" s="17">
        <f t="shared" si="25"/>
        <v>0</v>
      </c>
      <c r="AA58" s="17">
        <f t="shared" si="25"/>
        <v>0</v>
      </c>
      <c r="AB58" s="17">
        <f t="shared" si="25"/>
        <v>0</v>
      </c>
      <c r="AC58" s="17">
        <f t="shared" si="25"/>
        <v>0</v>
      </c>
      <c r="AD58" s="17">
        <f t="shared" si="25"/>
        <v>0</v>
      </c>
      <c r="AE58" s="17">
        <f t="shared" si="25"/>
        <v>0</v>
      </c>
      <c r="AF58" s="17">
        <f t="shared" si="25"/>
        <v>0</v>
      </c>
    </row>
    <row r="59" spans="1:32" ht="16.5" customHeight="1">
      <c r="A59" s="30" t="s">
        <v>191</v>
      </c>
      <c r="B59" s="17">
        <f t="shared" ref="B59:W59" si="26">IFERROR(SUM(B14:K14)/B38,0)</f>
        <v>2.6708688566508799E-2</v>
      </c>
      <c r="C59" s="17">
        <f t="shared" si="26"/>
        <v>2.6708688566508799E-2</v>
      </c>
      <c r="D59" s="17">
        <f t="shared" si="26"/>
        <v>2.6708688566508799E-2</v>
      </c>
      <c r="E59" s="17">
        <f t="shared" si="26"/>
        <v>2.6708688566508799E-2</v>
      </c>
      <c r="F59" s="17">
        <f t="shared" si="26"/>
        <v>2.6708688566508796E-2</v>
      </c>
      <c r="G59" s="17">
        <f t="shared" si="26"/>
        <v>2.6708688566508793E-2</v>
      </c>
      <c r="H59" s="17">
        <f t="shared" si="26"/>
        <v>2.6708688566508799E-2</v>
      </c>
      <c r="I59" s="17">
        <f t="shared" si="26"/>
        <v>2.6708688566508796E-2</v>
      </c>
      <c r="J59" s="17">
        <f t="shared" si="26"/>
        <v>2.6708688566508793E-2</v>
      </c>
      <c r="K59" s="17">
        <f t="shared" si="26"/>
        <v>2.6708688566508793E-2</v>
      </c>
      <c r="L59" s="17">
        <f t="shared" si="26"/>
        <v>2.6708688566508796E-2</v>
      </c>
      <c r="M59" s="17">
        <f t="shared" si="26"/>
        <v>2.6708688566508793E-2</v>
      </c>
      <c r="N59" s="17">
        <f t="shared" si="26"/>
        <v>2.6708688566508793E-2</v>
      </c>
      <c r="O59" s="17">
        <f t="shared" si="26"/>
        <v>2.6708688566508803E-2</v>
      </c>
      <c r="P59" s="17">
        <f t="shared" si="26"/>
        <v>2.6708688566508803E-2</v>
      </c>
      <c r="Q59" s="17">
        <f t="shared" si="26"/>
        <v>2.6708688566508799E-2</v>
      </c>
      <c r="R59" s="17">
        <f t="shared" si="26"/>
        <v>2.6708688566508796E-2</v>
      </c>
      <c r="S59" s="17">
        <f t="shared" si="26"/>
        <v>2.6708688566508789E-2</v>
      </c>
      <c r="T59" s="17">
        <f t="shared" si="26"/>
        <v>2.6708688566508793E-2</v>
      </c>
      <c r="U59" s="17">
        <f t="shared" si="26"/>
        <v>2.6708688566508786E-2</v>
      </c>
      <c r="V59" s="17">
        <f t="shared" si="26"/>
        <v>2.6708688566508793E-2</v>
      </c>
      <c r="W59" s="17">
        <f t="shared" si="26"/>
        <v>2.6708688566508786E-2</v>
      </c>
      <c r="X59" s="17">
        <f t="shared" ref="X59:AF59" si="27">W59</f>
        <v>2.6708688566508786E-2</v>
      </c>
      <c r="Y59" s="17">
        <f t="shared" si="27"/>
        <v>2.6708688566508786E-2</v>
      </c>
      <c r="Z59" s="17">
        <f t="shared" si="27"/>
        <v>2.6708688566508786E-2</v>
      </c>
      <c r="AA59" s="17">
        <f t="shared" si="27"/>
        <v>2.6708688566508786E-2</v>
      </c>
      <c r="AB59" s="17">
        <f t="shared" si="27"/>
        <v>2.6708688566508786E-2</v>
      </c>
      <c r="AC59" s="17">
        <f t="shared" si="27"/>
        <v>2.6708688566508786E-2</v>
      </c>
      <c r="AD59" s="17">
        <f t="shared" si="27"/>
        <v>2.6708688566508786E-2</v>
      </c>
      <c r="AE59" s="17">
        <f t="shared" si="27"/>
        <v>2.6708688566508786E-2</v>
      </c>
      <c r="AF59" s="17">
        <f t="shared" si="27"/>
        <v>2.6708688566508786E-2</v>
      </c>
    </row>
    <row r="60" spans="1:32" ht="16.5" customHeight="1">
      <c r="A60" s="17" t="s">
        <v>192</v>
      </c>
      <c r="B60" s="17">
        <f t="shared" ref="B60:W60" si="28">IFERROR(SUM(B15:K15)/B39,0)</f>
        <v>0</v>
      </c>
      <c r="C60" s="17">
        <f t="shared" si="28"/>
        <v>0</v>
      </c>
      <c r="D60" s="17">
        <f t="shared" si="28"/>
        <v>0</v>
      </c>
      <c r="E60" s="17">
        <f t="shared" si="28"/>
        <v>0</v>
      </c>
      <c r="F60" s="17">
        <f t="shared" si="28"/>
        <v>0</v>
      </c>
      <c r="G60" s="17">
        <f t="shared" si="28"/>
        <v>0</v>
      </c>
      <c r="H60" s="17">
        <f t="shared" si="28"/>
        <v>0</v>
      </c>
      <c r="I60" s="17">
        <f t="shared" si="28"/>
        <v>0</v>
      </c>
      <c r="J60" s="17">
        <f t="shared" si="28"/>
        <v>0</v>
      </c>
      <c r="K60" s="17">
        <f t="shared" si="28"/>
        <v>0</v>
      </c>
      <c r="L60" s="17">
        <f t="shared" si="28"/>
        <v>0</v>
      </c>
      <c r="M60" s="17">
        <f t="shared" si="28"/>
        <v>0</v>
      </c>
      <c r="N60" s="17">
        <f t="shared" si="28"/>
        <v>0</v>
      </c>
      <c r="O60" s="17">
        <f t="shared" si="28"/>
        <v>0</v>
      </c>
      <c r="P60" s="17">
        <f t="shared" si="28"/>
        <v>0</v>
      </c>
      <c r="Q60" s="17">
        <f t="shared" si="28"/>
        <v>0</v>
      </c>
      <c r="R60" s="17">
        <f t="shared" si="28"/>
        <v>0</v>
      </c>
      <c r="S60" s="17">
        <f t="shared" si="28"/>
        <v>0</v>
      </c>
      <c r="T60" s="17">
        <f t="shared" si="28"/>
        <v>0</v>
      </c>
      <c r="U60" s="17">
        <f t="shared" si="28"/>
        <v>0</v>
      </c>
      <c r="V60" s="17">
        <f t="shared" si="28"/>
        <v>0</v>
      </c>
      <c r="W60" s="17">
        <f t="shared" si="28"/>
        <v>0</v>
      </c>
      <c r="X60" s="17">
        <f t="shared" ref="X60:AF60" si="29">W60</f>
        <v>0</v>
      </c>
      <c r="Y60" s="17">
        <f t="shared" si="29"/>
        <v>0</v>
      </c>
      <c r="Z60" s="17">
        <f t="shared" si="29"/>
        <v>0</v>
      </c>
      <c r="AA60" s="17">
        <f t="shared" si="29"/>
        <v>0</v>
      </c>
      <c r="AB60" s="17">
        <f t="shared" si="29"/>
        <v>0</v>
      </c>
      <c r="AC60" s="17">
        <f t="shared" si="29"/>
        <v>0</v>
      </c>
      <c r="AD60" s="17">
        <f t="shared" si="29"/>
        <v>0</v>
      </c>
      <c r="AE60" s="17">
        <f t="shared" si="29"/>
        <v>0</v>
      </c>
      <c r="AF60" s="17">
        <f t="shared" si="29"/>
        <v>0</v>
      </c>
    </row>
    <row r="61" spans="1:32" ht="16.5" customHeight="1">
      <c r="A61" s="17" t="s">
        <v>193</v>
      </c>
      <c r="B61" s="17">
        <f t="shared" ref="B61:W61" si="30">IFERROR(SUM(B16:K16)/B40,0)</f>
        <v>0</v>
      </c>
      <c r="C61" s="17">
        <f t="shared" si="30"/>
        <v>0</v>
      </c>
      <c r="D61" s="17">
        <f t="shared" si="30"/>
        <v>0</v>
      </c>
      <c r="E61" s="17">
        <f t="shared" si="30"/>
        <v>0</v>
      </c>
      <c r="F61" s="17">
        <f t="shared" si="30"/>
        <v>0</v>
      </c>
      <c r="G61" s="17">
        <f t="shared" si="30"/>
        <v>0</v>
      </c>
      <c r="H61" s="17">
        <f t="shared" si="30"/>
        <v>0</v>
      </c>
      <c r="I61" s="17">
        <f t="shared" si="30"/>
        <v>0</v>
      </c>
      <c r="J61" s="17">
        <f t="shared" si="30"/>
        <v>0</v>
      </c>
      <c r="K61" s="17">
        <f t="shared" si="30"/>
        <v>0</v>
      </c>
      <c r="L61" s="17">
        <f t="shared" si="30"/>
        <v>0</v>
      </c>
      <c r="M61" s="17">
        <f t="shared" si="30"/>
        <v>0</v>
      </c>
      <c r="N61" s="17">
        <f t="shared" si="30"/>
        <v>0</v>
      </c>
      <c r="O61" s="17">
        <f t="shared" si="30"/>
        <v>0</v>
      </c>
      <c r="P61" s="17">
        <f t="shared" si="30"/>
        <v>0</v>
      </c>
      <c r="Q61" s="17">
        <f t="shared" si="30"/>
        <v>0</v>
      </c>
      <c r="R61" s="17">
        <f t="shared" si="30"/>
        <v>0</v>
      </c>
      <c r="S61" s="17">
        <f t="shared" si="30"/>
        <v>0</v>
      </c>
      <c r="T61" s="17">
        <f t="shared" si="30"/>
        <v>0</v>
      </c>
      <c r="U61" s="17">
        <f t="shared" si="30"/>
        <v>0</v>
      </c>
      <c r="V61" s="17">
        <f t="shared" si="30"/>
        <v>0</v>
      </c>
      <c r="W61" s="17">
        <f t="shared" si="30"/>
        <v>0</v>
      </c>
      <c r="X61" s="17">
        <f t="shared" ref="X61:AF61" si="31">W61</f>
        <v>0</v>
      </c>
      <c r="Y61" s="17">
        <f t="shared" si="31"/>
        <v>0</v>
      </c>
      <c r="Z61" s="17">
        <f t="shared" si="31"/>
        <v>0</v>
      </c>
      <c r="AA61" s="17">
        <f t="shared" si="31"/>
        <v>0</v>
      </c>
      <c r="AB61" s="17">
        <f t="shared" si="31"/>
        <v>0</v>
      </c>
      <c r="AC61" s="17">
        <f t="shared" si="31"/>
        <v>0</v>
      </c>
      <c r="AD61" s="17">
        <f t="shared" si="31"/>
        <v>0</v>
      </c>
      <c r="AE61" s="17">
        <f t="shared" si="31"/>
        <v>0</v>
      </c>
      <c r="AF61" s="17">
        <f t="shared" si="31"/>
        <v>0</v>
      </c>
    </row>
    <row r="62" spans="1:32" ht="16.5" customHeight="1">
      <c r="A62" s="17" t="s">
        <v>194</v>
      </c>
      <c r="B62" s="17">
        <f t="shared" ref="B62:W62" si="32">IFERROR(SUM(B17:K17)/B41,0)</f>
        <v>0</v>
      </c>
      <c r="C62" s="17">
        <f t="shared" si="32"/>
        <v>0</v>
      </c>
      <c r="D62" s="17">
        <f t="shared" si="32"/>
        <v>0</v>
      </c>
      <c r="E62" s="17">
        <f t="shared" si="32"/>
        <v>0</v>
      </c>
      <c r="F62" s="17">
        <f t="shared" si="32"/>
        <v>0</v>
      </c>
      <c r="G62" s="17">
        <f t="shared" si="32"/>
        <v>0</v>
      </c>
      <c r="H62" s="17">
        <f t="shared" si="32"/>
        <v>0</v>
      </c>
      <c r="I62" s="17">
        <f t="shared" si="32"/>
        <v>0</v>
      </c>
      <c r="J62" s="17">
        <f t="shared" si="32"/>
        <v>0</v>
      </c>
      <c r="K62" s="17">
        <f t="shared" si="32"/>
        <v>0</v>
      </c>
      <c r="L62" s="17">
        <f t="shared" si="32"/>
        <v>0</v>
      </c>
      <c r="M62" s="17">
        <f t="shared" si="32"/>
        <v>0</v>
      </c>
      <c r="N62" s="17">
        <f t="shared" si="32"/>
        <v>0</v>
      </c>
      <c r="O62" s="17">
        <f t="shared" si="32"/>
        <v>0</v>
      </c>
      <c r="P62" s="17">
        <f t="shared" si="32"/>
        <v>0</v>
      </c>
      <c r="Q62" s="17">
        <f t="shared" si="32"/>
        <v>0</v>
      </c>
      <c r="R62" s="17">
        <f t="shared" si="32"/>
        <v>0</v>
      </c>
      <c r="S62" s="17">
        <f t="shared" si="32"/>
        <v>0</v>
      </c>
      <c r="T62" s="17">
        <f t="shared" si="32"/>
        <v>0</v>
      </c>
      <c r="U62" s="17">
        <f t="shared" si="32"/>
        <v>0</v>
      </c>
      <c r="V62" s="17">
        <f t="shared" si="32"/>
        <v>0</v>
      </c>
      <c r="W62" s="17">
        <f t="shared" si="32"/>
        <v>0</v>
      </c>
      <c r="X62" s="17">
        <f t="shared" ref="X62:AF62" si="33">W62</f>
        <v>0</v>
      </c>
      <c r="Y62" s="17">
        <f t="shared" si="33"/>
        <v>0</v>
      </c>
      <c r="Z62" s="17">
        <f t="shared" si="33"/>
        <v>0</v>
      </c>
      <c r="AA62" s="17">
        <f t="shared" si="33"/>
        <v>0</v>
      </c>
      <c r="AB62" s="17">
        <f t="shared" si="33"/>
        <v>0</v>
      </c>
      <c r="AC62" s="17">
        <f t="shared" si="33"/>
        <v>0</v>
      </c>
      <c r="AD62" s="17">
        <f t="shared" si="33"/>
        <v>0</v>
      </c>
      <c r="AE62" s="17">
        <f t="shared" si="33"/>
        <v>0</v>
      </c>
      <c r="AF62" s="17">
        <f t="shared" si="33"/>
        <v>0</v>
      </c>
    </row>
    <row r="63" spans="1:32" ht="16.5" customHeight="1"/>
    <row r="64" spans="1:32" ht="16.5" customHeight="1"/>
    <row r="65" spans="2:2" ht="16.5" customHeight="1"/>
    <row r="66" spans="2:2" ht="16.5" customHeight="1">
      <c r="B66" s="17" t="s">
        <v>198</v>
      </c>
    </row>
    <row r="67" spans="2:2" ht="16.5" customHeight="1"/>
    <row r="68" spans="2:2" ht="16.5" customHeight="1"/>
    <row r="69" spans="2:2" ht="16.5" customHeight="1"/>
    <row r="70" spans="2:2" ht="16.5" customHeight="1"/>
    <row r="71" spans="2:2" ht="16.5" customHeight="1"/>
    <row r="72" spans="2:2" ht="16.5" customHeight="1"/>
    <row r="73" spans="2:2" ht="16.5" customHeight="1"/>
    <row r="74" spans="2:2" ht="16.5" customHeight="1"/>
    <row r="75" spans="2:2" ht="16.5" customHeight="1"/>
    <row r="76" spans="2:2" ht="16.5" customHeight="1"/>
    <row r="77" spans="2:2" ht="16.5" customHeight="1"/>
    <row r="78" spans="2:2" ht="16.5" customHeight="1"/>
    <row r="79" spans="2:2" ht="16.5" customHeight="1"/>
    <row r="80" spans="2:2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phoneticPr fontId="12" type="noConversion"/>
  <pageMargins left="0.7" right="0.7" top="0.75" bottom="0.75" header="0" footer="0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1F497D"/>
  </sheetPr>
  <dimension ref="A1:AH1000"/>
  <sheetViews>
    <sheetView workbookViewId="0">
      <selection sqref="A1:XFD1048576"/>
    </sheetView>
  </sheetViews>
  <sheetFormatPr defaultColWidth="14.453125" defaultRowHeight="15" customHeight="1"/>
  <cols>
    <col min="1" max="1" width="26.54296875" style="90" customWidth="1"/>
    <col min="2" max="34" width="9.1796875" style="90" customWidth="1"/>
    <col min="35" max="16384" width="14.453125" style="90"/>
  </cols>
  <sheetData>
    <row r="1" spans="1:34" ht="16.5" customHeight="1">
      <c r="A1" s="89" t="s">
        <v>178</v>
      </c>
      <c r="B1" s="89">
        <v>2020</v>
      </c>
      <c r="C1" s="89">
        <v>2021</v>
      </c>
      <c r="D1" s="89">
        <v>2022</v>
      </c>
      <c r="E1" s="89">
        <v>2023</v>
      </c>
      <c r="F1" s="89">
        <v>2024</v>
      </c>
      <c r="G1" s="89">
        <v>2025</v>
      </c>
      <c r="H1" s="89">
        <v>2026</v>
      </c>
      <c r="I1" s="89">
        <v>2027</v>
      </c>
      <c r="J1" s="89">
        <v>2028</v>
      </c>
      <c r="K1" s="89">
        <v>2029</v>
      </c>
      <c r="L1" s="89">
        <v>2030</v>
      </c>
      <c r="M1" s="89">
        <v>2031</v>
      </c>
      <c r="N1" s="89">
        <v>2032</v>
      </c>
      <c r="O1" s="89">
        <v>2033</v>
      </c>
      <c r="P1" s="89">
        <v>2034</v>
      </c>
      <c r="Q1" s="89">
        <v>2035</v>
      </c>
      <c r="R1" s="89">
        <v>2036</v>
      </c>
      <c r="S1" s="89">
        <v>2037</v>
      </c>
      <c r="T1" s="89">
        <v>2038</v>
      </c>
      <c r="U1" s="89">
        <v>2039</v>
      </c>
      <c r="V1" s="89">
        <v>2040</v>
      </c>
      <c r="W1" s="89">
        <v>2041</v>
      </c>
      <c r="X1" s="89">
        <v>2042</v>
      </c>
      <c r="Y1" s="89">
        <v>2043</v>
      </c>
      <c r="Z1" s="89">
        <v>2044</v>
      </c>
      <c r="AA1" s="89">
        <v>2045</v>
      </c>
      <c r="AB1" s="89">
        <v>2046</v>
      </c>
      <c r="AC1" s="89">
        <v>2047</v>
      </c>
      <c r="AD1" s="89">
        <v>2048</v>
      </c>
      <c r="AE1" s="89">
        <v>2049</v>
      </c>
      <c r="AF1" s="89">
        <v>2050</v>
      </c>
    </row>
    <row r="2" spans="1:34" ht="16.5" customHeight="1">
      <c r="A2" s="91" t="s">
        <v>199</v>
      </c>
      <c r="B2" s="89">
        <v>0</v>
      </c>
      <c r="C2" s="89">
        <v>0</v>
      </c>
      <c r="D2" s="89">
        <v>0</v>
      </c>
      <c r="E2" s="89">
        <v>0</v>
      </c>
      <c r="F2" s="89">
        <v>0</v>
      </c>
      <c r="G2" s="89">
        <v>0</v>
      </c>
      <c r="H2" s="89">
        <v>0</v>
      </c>
      <c r="I2" s="89">
        <v>0</v>
      </c>
      <c r="J2" s="89">
        <v>0</v>
      </c>
      <c r="K2" s="89">
        <v>0</v>
      </c>
      <c r="L2" s="89">
        <v>0</v>
      </c>
      <c r="M2" s="89">
        <v>0</v>
      </c>
      <c r="N2" s="89">
        <v>0</v>
      </c>
      <c r="O2" s="89">
        <v>0</v>
      </c>
      <c r="P2" s="89">
        <v>0</v>
      </c>
      <c r="Q2" s="89">
        <v>0</v>
      </c>
      <c r="R2" s="89">
        <v>0</v>
      </c>
      <c r="S2" s="89">
        <v>0</v>
      </c>
      <c r="T2" s="89">
        <v>0</v>
      </c>
      <c r="U2" s="89">
        <v>0</v>
      </c>
      <c r="V2" s="89">
        <v>0</v>
      </c>
      <c r="W2" s="89">
        <v>0</v>
      </c>
      <c r="X2" s="89">
        <v>0</v>
      </c>
      <c r="Y2" s="89">
        <v>0</v>
      </c>
      <c r="Z2" s="89">
        <v>0</v>
      </c>
      <c r="AA2" s="89">
        <v>0</v>
      </c>
      <c r="AB2" s="89">
        <v>0</v>
      </c>
      <c r="AC2" s="89">
        <v>0</v>
      </c>
      <c r="AD2" s="89">
        <v>0</v>
      </c>
      <c r="AE2" s="89">
        <v>0</v>
      </c>
      <c r="AF2" s="89">
        <v>0</v>
      </c>
    </row>
    <row r="3" spans="1:34" ht="16.5" customHeight="1">
      <c r="A3" s="91" t="s">
        <v>200</v>
      </c>
      <c r="B3" s="89">
        <v>0</v>
      </c>
      <c r="C3" s="89">
        <v>0</v>
      </c>
      <c r="D3" s="89">
        <v>0</v>
      </c>
      <c r="E3" s="89">
        <v>0</v>
      </c>
      <c r="F3" s="89">
        <v>0</v>
      </c>
      <c r="G3" s="89">
        <v>0</v>
      </c>
      <c r="H3" s="89">
        <v>0</v>
      </c>
      <c r="I3" s="89">
        <v>0</v>
      </c>
      <c r="J3" s="89">
        <v>0</v>
      </c>
      <c r="K3" s="89">
        <v>0</v>
      </c>
      <c r="L3" s="89">
        <v>0</v>
      </c>
      <c r="M3" s="89">
        <v>0</v>
      </c>
      <c r="N3" s="89">
        <v>0</v>
      </c>
      <c r="O3" s="89">
        <v>0</v>
      </c>
      <c r="P3" s="89">
        <v>0</v>
      </c>
      <c r="Q3" s="89">
        <v>0</v>
      </c>
      <c r="R3" s="89">
        <v>0</v>
      </c>
      <c r="S3" s="89">
        <v>0</v>
      </c>
      <c r="T3" s="89">
        <v>0</v>
      </c>
      <c r="U3" s="89">
        <v>0</v>
      </c>
      <c r="V3" s="89">
        <v>0</v>
      </c>
      <c r="W3" s="89">
        <v>0</v>
      </c>
      <c r="X3" s="89">
        <v>0</v>
      </c>
      <c r="Y3" s="89">
        <v>0</v>
      </c>
      <c r="Z3" s="89">
        <v>0</v>
      </c>
      <c r="AA3" s="89">
        <v>0</v>
      </c>
      <c r="AB3" s="89">
        <v>0</v>
      </c>
      <c r="AC3" s="89">
        <v>0</v>
      </c>
      <c r="AD3" s="89">
        <v>0</v>
      </c>
      <c r="AE3" s="89">
        <v>0</v>
      </c>
      <c r="AF3" s="89">
        <v>0</v>
      </c>
      <c r="AG3" s="91"/>
      <c r="AH3" s="91"/>
    </row>
    <row r="4" spans="1:34" ht="16.5" customHeight="1">
      <c r="A4" s="91" t="s">
        <v>201</v>
      </c>
      <c r="B4" s="89">
        <v>0</v>
      </c>
      <c r="C4" s="89">
        <v>0</v>
      </c>
      <c r="D4" s="89">
        <v>0</v>
      </c>
      <c r="E4" s="89">
        <v>0</v>
      </c>
      <c r="F4" s="89">
        <v>0</v>
      </c>
      <c r="G4" s="89">
        <v>0</v>
      </c>
      <c r="H4" s="89">
        <v>0</v>
      </c>
      <c r="I4" s="89">
        <v>0</v>
      </c>
      <c r="J4" s="89">
        <v>0</v>
      </c>
      <c r="K4" s="89">
        <v>0</v>
      </c>
      <c r="L4" s="89">
        <v>0</v>
      </c>
      <c r="M4" s="89">
        <v>0</v>
      </c>
      <c r="N4" s="89">
        <v>0</v>
      </c>
      <c r="O4" s="89">
        <v>0</v>
      </c>
      <c r="P4" s="89">
        <v>0</v>
      </c>
      <c r="Q4" s="89">
        <v>0</v>
      </c>
      <c r="R4" s="89">
        <v>0</v>
      </c>
      <c r="S4" s="89">
        <v>0</v>
      </c>
      <c r="T4" s="89">
        <v>0</v>
      </c>
      <c r="U4" s="89">
        <v>0</v>
      </c>
      <c r="V4" s="89">
        <v>0</v>
      </c>
      <c r="W4" s="89">
        <v>0</v>
      </c>
      <c r="X4" s="89">
        <v>0</v>
      </c>
      <c r="Y4" s="89">
        <v>0</v>
      </c>
      <c r="Z4" s="89">
        <v>0</v>
      </c>
      <c r="AA4" s="89">
        <v>0</v>
      </c>
      <c r="AB4" s="89">
        <v>0</v>
      </c>
      <c r="AC4" s="89">
        <v>0</v>
      </c>
      <c r="AD4" s="89">
        <v>0</v>
      </c>
      <c r="AE4" s="89">
        <v>0</v>
      </c>
      <c r="AF4" s="89">
        <v>0</v>
      </c>
      <c r="AG4" s="91"/>
      <c r="AH4" s="91"/>
    </row>
    <row r="5" spans="1:34" ht="16.5" customHeight="1">
      <c r="A5" s="91" t="s">
        <v>124</v>
      </c>
      <c r="B5" s="89">
        <v>0</v>
      </c>
      <c r="C5" s="89">
        <v>0</v>
      </c>
      <c r="D5" s="89">
        <v>0</v>
      </c>
      <c r="E5" s="89">
        <v>0</v>
      </c>
      <c r="F5" s="89">
        <v>0</v>
      </c>
      <c r="G5" s="89">
        <v>0</v>
      </c>
      <c r="H5" s="89">
        <v>0</v>
      </c>
      <c r="I5" s="89">
        <v>0</v>
      </c>
      <c r="J5" s="89">
        <v>0</v>
      </c>
      <c r="K5" s="89">
        <v>0</v>
      </c>
      <c r="L5" s="89">
        <v>0</v>
      </c>
      <c r="M5" s="89">
        <v>0</v>
      </c>
      <c r="N5" s="89">
        <v>0</v>
      </c>
      <c r="O5" s="89">
        <v>0</v>
      </c>
      <c r="P5" s="89">
        <v>0</v>
      </c>
      <c r="Q5" s="89">
        <v>0</v>
      </c>
      <c r="R5" s="89">
        <v>0</v>
      </c>
      <c r="S5" s="89">
        <v>0</v>
      </c>
      <c r="T5" s="89">
        <v>0</v>
      </c>
      <c r="U5" s="89">
        <v>0</v>
      </c>
      <c r="V5" s="89">
        <v>0</v>
      </c>
      <c r="W5" s="89">
        <v>0</v>
      </c>
      <c r="X5" s="89">
        <v>0</v>
      </c>
      <c r="Y5" s="89">
        <v>0</v>
      </c>
      <c r="Z5" s="89">
        <v>0</v>
      </c>
      <c r="AA5" s="89">
        <v>0</v>
      </c>
      <c r="AB5" s="89">
        <v>0</v>
      </c>
      <c r="AC5" s="89">
        <v>0</v>
      </c>
      <c r="AD5" s="89">
        <v>0</v>
      </c>
      <c r="AE5" s="89">
        <v>0</v>
      </c>
      <c r="AF5" s="89">
        <v>0</v>
      </c>
    </row>
    <row r="6" spans="1:34" ht="16.5" customHeight="1">
      <c r="A6" s="91" t="s">
        <v>123</v>
      </c>
      <c r="B6" s="89">
        <v>0</v>
      </c>
      <c r="C6" s="89">
        <v>0</v>
      </c>
      <c r="D6" s="89">
        <v>0</v>
      </c>
      <c r="E6" s="89">
        <v>0</v>
      </c>
      <c r="F6" s="89">
        <v>0</v>
      </c>
      <c r="G6" s="89">
        <v>0</v>
      </c>
      <c r="H6" s="89">
        <v>0</v>
      </c>
      <c r="I6" s="89">
        <v>0</v>
      </c>
      <c r="J6" s="89">
        <v>0</v>
      </c>
      <c r="K6" s="89">
        <v>0</v>
      </c>
      <c r="L6" s="89">
        <v>0</v>
      </c>
      <c r="M6" s="89">
        <v>0</v>
      </c>
      <c r="N6" s="89">
        <v>0</v>
      </c>
      <c r="O6" s="89">
        <v>0</v>
      </c>
      <c r="P6" s="89">
        <v>0</v>
      </c>
      <c r="Q6" s="89">
        <v>0</v>
      </c>
      <c r="R6" s="89">
        <v>0</v>
      </c>
      <c r="S6" s="89">
        <v>0</v>
      </c>
      <c r="T6" s="89">
        <v>0</v>
      </c>
      <c r="U6" s="89">
        <v>0</v>
      </c>
      <c r="V6" s="89">
        <v>0</v>
      </c>
      <c r="W6" s="89">
        <v>0</v>
      </c>
      <c r="X6" s="89">
        <v>0</v>
      </c>
      <c r="Y6" s="89">
        <v>0</v>
      </c>
      <c r="Z6" s="89">
        <v>0</v>
      </c>
      <c r="AA6" s="89">
        <v>0</v>
      </c>
      <c r="AB6" s="89">
        <v>0</v>
      </c>
      <c r="AC6" s="89">
        <v>0</v>
      </c>
      <c r="AD6" s="89">
        <v>0</v>
      </c>
      <c r="AE6" s="89">
        <v>0</v>
      </c>
      <c r="AF6" s="89">
        <v>0</v>
      </c>
    </row>
    <row r="7" spans="1:34" ht="16.5" customHeight="1">
      <c r="A7" s="91" t="s">
        <v>202</v>
      </c>
      <c r="B7" s="89">
        <v>0</v>
      </c>
      <c r="C7" s="89">
        <v>0</v>
      </c>
      <c r="D7" s="89">
        <v>0</v>
      </c>
      <c r="E7" s="89">
        <v>0</v>
      </c>
      <c r="F7" s="89">
        <v>0</v>
      </c>
      <c r="G7" s="89">
        <v>0</v>
      </c>
      <c r="H7" s="89">
        <v>0</v>
      </c>
      <c r="I7" s="89">
        <v>0</v>
      </c>
      <c r="J7" s="89">
        <v>0</v>
      </c>
      <c r="K7" s="89">
        <v>0</v>
      </c>
      <c r="L7" s="89">
        <v>0</v>
      </c>
      <c r="M7" s="89">
        <v>0</v>
      </c>
      <c r="N7" s="89">
        <v>0</v>
      </c>
      <c r="O7" s="89">
        <v>0</v>
      </c>
      <c r="P7" s="89">
        <v>0</v>
      </c>
      <c r="Q7" s="89">
        <v>0</v>
      </c>
      <c r="R7" s="89">
        <v>0</v>
      </c>
      <c r="S7" s="89">
        <v>0</v>
      </c>
      <c r="T7" s="89">
        <v>0</v>
      </c>
      <c r="U7" s="89">
        <v>0</v>
      </c>
      <c r="V7" s="89">
        <v>0</v>
      </c>
      <c r="W7" s="89">
        <v>0</v>
      </c>
      <c r="X7" s="89">
        <v>0</v>
      </c>
      <c r="Y7" s="89">
        <v>0</v>
      </c>
      <c r="Z7" s="89">
        <v>0</v>
      </c>
      <c r="AA7" s="89">
        <v>0</v>
      </c>
      <c r="AB7" s="89">
        <v>0</v>
      </c>
      <c r="AC7" s="89">
        <v>0</v>
      </c>
      <c r="AD7" s="89">
        <v>0</v>
      </c>
      <c r="AE7" s="89">
        <v>0</v>
      </c>
      <c r="AF7" s="89">
        <v>0</v>
      </c>
    </row>
    <row r="8" spans="1:34" ht="16.5" customHeight="1">
      <c r="A8" s="91" t="s">
        <v>203</v>
      </c>
      <c r="B8" s="89">
        <v>0</v>
      </c>
      <c r="C8" s="89">
        <v>0</v>
      </c>
      <c r="D8" s="89">
        <v>0</v>
      </c>
      <c r="E8" s="89">
        <v>0</v>
      </c>
      <c r="F8" s="89">
        <v>0</v>
      </c>
      <c r="G8" s="89">
        <v>0</v>
      </c>
      <c r="H8" s="89">
        <v>0</v>
      </c>
      <c r="I8" s="89">
        <v>0</v>
      </c>
      <c r="J8" s="89">
        <v>0</v>
      </c>
      <c r="K8" s="89">
        <v>0</v>
      </c>
      <c r="L8" s="89">
        <v>0</v>
      </c>
      <c r="M8" s="89">
        <v>0</v>
      </c>
      <c r="N8" s="89">
        <v>0</v>
      </c>
      <c r="O8" s="89">
        <v>0</v>
      </c>
      <c r="P8" s="89">
        <v>0</v>
      </c>
      <c r="Q8" s="89">
        <v>0</v>
      </c>
      <c r="R8" s="89">
        <v>0</v>
      </c>
      <c r="S8" s="89">
        <v>0</v>
      </c>
      <c r="T8" s="89">
        <v>0</v>
      </c>
      <c r="U8" s="89">
        <v>0</v>
      </c>
      <c r="V8" s="89">
        <v>0</v>
      </c>
      <c r="W8" s="89">
        <v>0</v>
      </c>
      <c r="X8" s="89">
        <v>0</v>
      </c>
      <c r="Y8" s="89">
        <v>0</v>
      </c>
      <c r="Z8" s="89">
        <v>0</v>
      </c>
      <c r="AA8" s="89">
        <v>0</v>
      </c>
      <c r="AB8" s="89">
        <v>0</v>
      </c>
      <c r="AC8" s="89">
        <v>0</v>
      </c>
      <c r="AD8" s="89">
        <v>0</v>
      </c>
      <c r="AE8" s="89">
        <v>0</v>
      </c>
      <c r="AF8" s="89">
        <v>0</v>
      </c>
    </row>
    <row r="9" spans="1:34" ht="16.5" customHeight="1">
      <c r="A9" s="91" t="s">
        <v>204</v>
      </c>
      <c r="B9" s="89">
        <v>0</v>
      </c>
      <c r="C9" s="89">
        <v>0</v>
      </c>
      <c r="D9" s="89">
        <v>0</v>
      </c>
      <c r="E9" s="89">
        <v>0</v>
      </c>
      <c r="F9" s="89">
        <v>0</v>
      </c>
      <c r="G9" s="89">
        <v>0</v>
      </c>
      <c r="H9" s="89">
        <v>0</v>
      </c>
      <c r="I9" s="89">
        <v>0</v>
      </c>
      <c r="J9" s="89">
        <v>0</v>
      </c>
      <c r="K9" s="89">
        <v>0</v>
      </c>
      <c r="L9" s="89">
        <v>0</v>
      </c>
      <c r="M9" s="89">
        <v>0</v>
      </c>
      <c r="N9" s="89">
        <v>0</v>
      </c>
      <c r="O9" s="89">
        <v>0</v>
      </c>
      <c r="P9" s="89">
        <v>0</v>
      </c>
      <c r="Q9" s="89">
        <v>0</v>
      </c>
      <c r="R9" s="89">
        <v>0</v>
      </c>
      <c r="S9" s="89">
        <v>0</v>
      </c>
      <c r="T9" s="89">
        <v>0</v>
      </c>
      <c r="U9" s="89">
        <v>0</v>
      </c>
      <c r="V9" s="89">
        <v>0</v>
      </c>
      <c r="W9" s="89">
        <v>0</v>
      </c>
      <c r="X9" s="89">
        <v>0</v>
      </c>
      <c r="Y9" s="89">
        <v>0</v>
      </c>
      <c r="Z9" s="89">
        <v>0</v>
      </c>
      <c r="AA9" s="89">
        <v>0</v>
      </c>
      <c r="AB9" s="89">
        <v>0</v>
      </c>
      <c r="AC9" s="89">
        <v>0</v>
      </c>
      <c r="AD9" s="89">
        <v>0</v>
      </c>
      <c r="AE9" s="89">
        <v>0</v>
      </c>
      <c r="AF9" s="89">
        <v>0</v>
      </c>
    </row>
    <row r="10" spans="1:34" ht="16.5" customHeight="1">
      <c r="A10" s="91" t="s">
        <v>205</v>
      </c>
      <c r="B10" s="89">
        <v>0</v>
      </c>
      <c r="C10" s="89">
        <v>0</v>
      </c>
      <c r="D10" s="89">
        <v>0</v>
      </c>
      <c r="E10" s="89">
        <v>0</v>
      </c>
      <c r="F10" s="89">
        <v>0</v>
      </c>
      <c r="G10" s="89">
        <v>0</v>
      </c>
      <c r="H10" s="89">
        <v>0</v>
      </c>
      <c r="I10" s="89">
        <v>0</v>
      </c>
      <c r="J10" s="89">
        <v>0</v>
      </c>
      <c r="K10" s="89">
        <v>0</v>
      </c>
      <c r="L10" s="89">
        <v>0</v>
      </c>
      <c r="M10" s="89">
        <v>0</v>
      </c>
      <c r="N10" s="89">
        <v>0</v>
      </c>
      <c r="O10" s="89">
        <v>0</v>
      </c>
      <c r="P10" s="89">
        <v>0</v>
      </c>
      <c r="Q10" s="89">
        <v>0</v>
      </c>
      <c r="R10" s="89">
        <v>0</v>
      </c>
      <c r="S10" s="89">
        <v>0</v>
      </c>
      <c r="T10" s="89">
        <v>0</v>
      </c>
      <c r="U10" s="89">
        <v>0</v>
      </c>
      <c r="V10" s="89">
        <v>0</v>
      </c>
      <c r="W10" s="89">
        <v>0</v>
      </c>
      <c r="X10" s="89">
        <v>0</v>
      </c>
      <c r="Y10" s="89">
        <v>0</v>
      </c>
      <c r="Z10" s="89">
        <v>0</v>
      </c>
      <c r="AA10" s="89">
        <v>0</v>
      </c>
      <c r="AB10" s="89">
        <v>0</v>
      </c>
      <c r="AC10" s="89">
        <v>0</v>
      </c>
      <c r="AD10" s="89">
        <v>0</v>
      </c>
      <c r="AE10" s="89">
        <v>0</v>
      </c>
      <c r="AF10" s="89">
        <v>0</v>
      </c>
      <c r="AG10" s="91"/>
      <c r="AH10" s="91"/>
    </row>
    <row r="11" spans="1:34" ht="16.5" customHeight="1">
      <c r="A11" s="91" t="s">
        <v>206</v>
      </c>
      <c r="B11" s="89">
        <v>0</v>
      </c>
      <c r="C11" s="89">
        <v>0</v>
      </c>
      <c r="D11" s="89">
        <v>0</v>
      </c>
      <c r="E11" s="89">
        <v>0</v>
      </c>
      <c r="F11" s="89">
        <v>0</v>
      </c>
      <c r="G11" s="89">
        <v>0</v>
      </c>
      <c r="H11" s="89">
        <v>0</v>
      </c>
      <c r="I11" s="89">
        <v>0</v>
      </c>
      <c r="J11" s="89">
        <v>0</v>
      </c>
      <c r="K11" s="89">
        <v>0</v>
      </c>
      <c r="L11" s="89">
        <v>0</v>
      </c>
      <c r="M11" s="89">
        <v>0</v>
      </c>
      <c r="N11" s="89">
        <v>0</v>
      </c>
      <c r="O11" s="89">
        <v>0</v>
      </c>
      <c r="P11" s="89">
        <v>0</v>
      </c>
      <c r="Q11" s="89">
        <v>0</v>
      </c>
      <c r="R11" s="89">
        <v>0</v>
      </c>
      <c r="S11" s="89">
        <v>0</v>
      </c>
      <c r="T11" s="89">
        <v>0</v>
      </c>
      <c r="U11" s="89">
        <v>0</v>
      </c>
      <c r="V11" s="89">
        <v>0</v>
      </c>
      <c r="W11" s="89">
        <v>0</v>
      </c>
      <c r="X11" s="89">
        <v>0</v>
      </c>
      <c r="Y11" s="89">
        <v>0</v>
      </c>
      <c r="Z11" s="89">
        <v>0</v>
      </c>
      <c r="AA11" s="89">
        <v>0</v>
      </c>
      <c r="AB11" s="89">
        <v>0</v>
      </c>
      <c r="AC11" s="89">
        <v>0</v>
      </c>
      <c r="AD11" s="89">
        <v>0</v>
      </c>
      <c r="AE11" s="89">
        <v>0</v>
      </c>
      <c r="AF11" s="89">
        <v>0</v>
      </c>
      <c r="AG11" s="91"/>
      <c r="AH11" s="91"/>
    </row>
    <row r="12" spans="1:34" ht="16.5" customHeight="1">
      <c r="A12" s="91" t="s">
        <v>207</v>
      </c>
      <c r="B12" s="89">
        <v>0</v>
      </c>
      <c r="C12" s="89">
        <v>0</v>
      </c>
      <c r="D12" s="89">
        <v>0</v>
      </c>
      <c r="E12" s="89">
        <v>0</v>
      </c>
      <c r="F12" s="89">
        <v>0</v>
      </c>
      <c r="G12" s="89">
        <v>0</v>
      </c>
      <c r="H12" s="89">
        <v>0</v>
      </c>
      <c r="I12" s="89">
        <v>0</v>
      </c>
      <c r="J12" s="89">
        <v>0</v>
      </c>
      <c r="K12" s="89">
        <v>0</v>
      </c>
      <c r="L12" s="89">
        <v>0</v>
      </c>
      <c r="M12" s="89">
        <v>0</v>
      </c>
      <c r="N12" s="89">
        <v>0</v>
      </c>
      <c r="O12" s="89">
        <v>0</v>
      </c>
      <c r="P12" s="89">
        <v>0</v>
      </c>
      <c r="Q12" s="89">
        <v>0</v>
      </c>
      <c r="R12" s="89">
        <v>0</v>
      </c>
      <c r="S12" s="89">
        <v>0</v>
      </c>
      <c r="T12" s="89">
        <v>0</v>
      </c>
      <c r="U12" s="89">
        <v>0</v>
      </c>
      <c r="V12" s="89">
        <v>0</v>
      </c>
      <c r="W12" s="89">
        <v>0</v>
      </c>
      <c r="X12" s="89">
        <v>0</v>
      </c>
      <c r="Y12" s="89">
        <v>0</v>
      </c>
      <c r="Z12" s="89">
        <v>0</v>
      </c>
      <c r="AA12" s="89">
        <v>0</v>
      </c>
      <c r="AB12" s="89">
        <v>0</v>
      </c>
      <c r="AC12" s="89">
        <v>0</v>
      </c>
      <c r="AD12" s="89">
        <v>0</v>
      </c>
      <c r="AE12" s="89">
        <v>0</v>
      </c>
      <c r="AF12" s="89">
        <v>0</v>
      </c>
    </row>
    <row r="13" spans="1:34" ht="16.5" customHeight="1">
      <c r="A13" s="91" t="s">
        <v>208</v>
      </c>
      <c r="B13" s="89">
        <v>0</v>
      </c>
      <c r="C13" s="89">
        <v>0</v>
      </c>
      <c r="D13" s="89">
        <v>0</v>
      </c>
      <c r="E13" s="89">
        <v>0</v>
      </c>
      <c r="F13" s="89">
        <v>0</v>
      </c>
      <c r="G13" s="89">
        <v>0</v>
      </c>
      <c r="H13" s="89">
        <v>0</v>
      </c>
      <c r="I13" s="89">
        <v>0</v>
      </c>
      <c r="J13" s="89">
        <v>0</v>
      </c>
      <c r="K13" s="89">
        <v>0</v>
      </c>
      <c r="L13" s="89">
        <v>0</v>
      </c>
      <c r="M13" s="89">
        <v>0</v>
      </c>
      <c r="N13" s="89">
        <v>0</v>
      </c>
      <c r="O13" s="89">
        <v>0</v>
      </c>
      <c r="P13" s="89">
        <v>0</v>
      </c>
      <c r="Q13" s="89">
        <v>0</v>
      </c>
      <c r="R13" s="89">
        <v>0</v>
      </c>
      <c r="S13" s="89">
        <v>0</v>
      </c>
      <c r="T13" s="89">
        <v>0</v>
      </c>
      <c r="U13" s="89">
        <v>0</v>
      </c>
      <c r="V13" s="89">
        <v>0</v>
      </c>
      <c r="W13" s="89">
        <v>0</v>
      </c>
      <c r="X13" s="89">
        <v>0</v>
      </c>
      <c r="Y13" s="89">
        <v>0</v>
      </c>
      <c r="Z13" s="89">
        <v>0</v>
      </c>
      <c r="AA13" s="89">
        <v>0</v>
      </c>
      <c r="AB13" s="89">
        <v>0</v>
      </c>
      <c r="AC13" s="89">
        <v>0</v>
      </c>
      <c r="AD13" s="89">
        <v>0</v>
      </c>
      <c r="AE13" s="89">
        <v>0</v>
      </c>
      <c r="AF13" s="89">
        <v>0</v>
      </c>
    </row>
    <row r="14" spans="1:34" ht="16.5" customHeight="1">
      <c r="A14" s="91" t="s">
        <v>209</v>
      </c>
      <c r="B14" s="89">
        <v>0</v>
      </c>
      <c r="C14" s="89">
        <v>0</v>
      </c>
      <c r="D14" s="89">
        <v>0</v>
      </c>
      <c r="E14" s="89">
        <v>0</v>
      </c>
      <c r="F14" s="89">
        <v>0</v>
      </c>
      <c r="G14" s="89">
        <v>0</v>
      </c>
      <c r="H14" s="89">
        <v>0</v>
      </c>
      <c r="I14" s="89">
        <v>0</v>
      </c>
      <c r="J14" s="89">
        <v>0</v>
      </c>
      <c r="K14" s="89">
        <v>0</v>
      </c>
      <c r="L14" s="89">
        <v>0</v>
      </c>
      <c r="M14" s="89">
        <v>0</v>
      </c>
      <c r="N14" s="89">
        <v>0</v>
      </c>
      <c r="O14" s="89">
        <v>0</v>
      </c>
      <c r="P14" s="89">
        <v>0</v>
      </c>
      <c r="Q14" s="89">
        <v>0</v>
      </c>
      <c r="R14" s="89">
        <v>0</v>
      </c>
      <c r="S14" s="89">
        <v>0</v>
      </c>
      <c r="T14" s="89">
        <v>0</v>
      </c>
      <c r="U14" s="89">
        <v>0</v>
      </c>
      <c r="V14" s="89">
        <v>0</v>
      </c>
      <c r="W14" s="89">
        <v>0</v>
      </c>
      <c r="X14" s="89">
        <v>0</v>
      </c>
      <c r="Y14" s="89">
        <v>0</v>
      </c>
      <c r="Z14" s="89">
        <v>0</v>
      </c>
      <c r="AA14" s="89">
        <v>0</v>
      </c>
      <c r="AB14" s="89">
        <v>0</v>
      </c>
      <c r="AC14" s="89">
        <v>0</v>
      </c>
      <c r="AD14" s="89">
        <v>0</v>
      </c>
      <c r="AE14" s="89">
        <v>0</v>
      </c>
      <c r="AF14" s="89">
        <v>0</v>
      </c>
      <c r="AG14" s="91"/>
      <c r="AH14" s="91"/>
    </row>
    <row r="15" spans="1:34" ht="16.5" customHeight="1">
      <c r="A15" s="91" t="s">
        <v>210</v>
      </c>
      <c r="B15" s="89">
        <v>0</v>
      </c>
      <c r="C15" s="89">
        <v>0</v>
      </c>
      <c r="D15" s="89">
        <v>0</v>
      </c>
      <c r="E15" s="89">
        <v>0</v>
      </c>
      <c r="F15" s="89">
        <v>0</v>
      </c>
      <c r="G15" s="89">
        <v>0</v>
      </c>
      <c r="H15" s="89">
        <v>0</v>
      </c>
      <c r="I15" s="89">
        <v>0</v>
      </c>
      <c r="J15" s="89">
        <v>0</v>
      </c>
      <c r="K15" s="89">
        <v>0</v>
      </c>
      <c r="L15" s="89">
        <v>0</v>
      </c>
      <c r="M15" s="89">
        <v>0</v>
      </c>
      <c r="N15" s="89">
        <v>0</v>
      </c>
      <c r="O15" s="89">
        <v>0</v>
      </c>
      <c r="P15" s="89">
        <v>0</v>
      </c>
      <c r="Q15" s="89">
        <v>0</v>
      </c>
      <c r="R15" s="89">
        <v>0</v>
      </c>
      <c r="S15" s="89">
        <v>0</v>
      </c>
      <c r="T15" s="89">
        <v>0</v>
      </c>
      <c r="U15" s="89">
        <v>0</v>
      </c>
      <c r="V15" s="89">
        <v>0</v>
      </c>
      <c r="W15" s="89">
        <v>0</v>
      </c>
      <c r="X15" s="89">
        <v>0</v>
      </c>
      <c r="Y15" s="89">
        <v>0</v>
      </c>
      <c r="Z15" s="89">
        <v>0</v>
      </c>
      <c r="AA15" s="89">
        <v>0</v>
      </c>
      <c r="AB15" s="89">
        <v>0</v>
      </c>
      <c r="AC15" s="89">
        <v>0</v>
      </c>
      <c r="AD15" s="89">
        <v>0</v>
      </c>
      <c r="AE15" s="89">
        <v>0</v>
      </c>
      <c r="AF15" s="89">
        <v>0</v>
      </c>
    </row>
    <row r="16" spans="1:34" ht="16.5" customHeight="1">
      <c r="A16" s="91" t="s">
        <v>129</v>
      </c>
      <c r="B16" s="89">
        <v>0</v>
      </c>
      <c r="C16" s="89">
        <v>0</v>
      </c>
      <c r="D16" s="89">
        <v>0</v>
      </c>
      <c r="E16" s="89">
        <v>0</v>
      </c>
      <c r="F16" s="89">
        <v>0</v>
      </c>
      <c r="G16" s="89">
        <v>0</v>
      </c>
      <c r="H16" s="89">
        <v>0</v>
      </c>
      <c r="I16" s="89">
        <v>0</v>
      </c>
      <c r="J16" s="89">
        <v>0</v>
      </c>
      <c r="K16" s="89">
        <v>0</v>
      </c>
      <c r="L16" s="89">
        <v>0</v>
      </c>
      <c r="M16" s="89">
        <v>0</v>
      </c>
      <c r="N16" s="89">
        <v>0</v>
      </c>
      <c r="O16" s="89">
        <v>0</v>
      </c>
      <c r="P16" s="89">
        <v>0</v>
      </c>
      <c r="Q16" s="89">
        <v>0</v>
      </c>
      <c r="R16" s="89">
        <v>0</v>
      </c>
      <c r="S16" s="89">
        <v>0</v>
      </c>
      <c r="T16" s="89">
        <v>0</v>
      </c>
      <c r="U16" s="89">
        <v>0</v>
      </c>
      <c r="V16" s="89">
        <v>0</v>
      </c>
      <c r="W16" s="89">
        <v>0</v>
      </c>
      <c r="X16" s="89">
        <v>0</v>
      </c>
      <c r="Y16" s="89">
        <v>0</v>
      </c>
      <c r="Z16" s="89">
        <v>0</v>
      </c>
      <c r="AA16" s="89">
        <v>0</v>
      </c>
      <c r="AB16" s="89">
        <v>0</v>
      </c>
      <c r="AC16" s="89">
        <v>0</v>
      </c>
      <c r="AD16" s="89">
        <v>0</v>
      </c>
      <c r="AE16" s="89">
        <v>0</v>
      </c>
      <c r="AF16" s="89">
        <v>0</v>
      </c>
    </row>
    <row r="17" spans="1:34" ht="16.5" customHeight="1">
      <c r="A17" s="91" t="s">
        <v>211</v>
      </c>
      <c r="B17" s="89">
        <v>0</v>
      </c>
      <c r="C17" s="89">
        <v>0</v>
      </c>
      <c r="D17" s="89">
        <v>0</v>
      </c>
      <c r="E17" s="89">
        <v>0</v>
      </c>
      <c r="F17" s="89">
        <v>0</v>
      </c>
      <c r="G17" s="89">
        <v>0</v>
      </c>
      <c r="H17" s="89">
        <v>0</v>
      </c>
      <c r="I17" s="89">
        <v>0</v>
      </c>
      <c r="J17" s="89">
        <v>0</v>
      </c>
      <c r="K17" s="89">
        <v>0</v>
      </c>
      <c r="L17" s="89">
        <v>0</v>
      </c>
      <c r="M17" s="89">
        <v>0</v>
      </c>
      <c r="N17" s="89">
        <v>0</v>
      </c>
      <c r="O17" s="89">
        <v>0</v>
      </c>
      <c r="P17" s="89">
        <v>0</v>
      </c>
      <c r="Q17" s="89">
        <v>0</v>
      </c>
      <c r="R17" s="89">
        <v>0</v>
      </c>
      <c r="S17" s="89">
        <v>0</v>
      </c>
      <c r="T17" s="89">
        <v>0</v>
      </c>
      <c r="U17" s="89">
        <v>0</v>
      </c>
      <c r="V17" s="89">
        <v>0</v>
      </c>
      <c r="W17" s="89">
        <v>0</v>
      </c>
      <c r="X17" s="89">
        <v>0</v>
      </c>
      <c r="Y17" s="89">
        <v>0</v>
      </c>
      <c r="Z17" s="89">
        <v>0</v>
      </c>
      <c r="AA17" s="89">
        <v>0</v>
      </c>
      <c r="AB17" s="89">
        <v>0</v>
      </c>
      <c r="AC17" s="89">
        <v>0</v>
      </c>
      <c r="AD17" s="89">
        <v>0</v>
      </c>
      <c r="AE17" s="89">
        <v>0</v>
      </c>
      <c r="AF17" s="89">
        <v>0</v>
      </c>
      <c r="AG17" s="91"/>
      <c r="AH17" s="91"/>
    </row>
    <row r="18" spans="1:34" ht="16.5" customHeight="1">
      <c r="A18" s="91" t="s">
        <v>212</v>
      </c>
      <c r="B18" s="89">
        <v>0</v>
      </c>
      <c r="C18" s="89">
        <v>0</v>
      </c>
      <c r="D18" s="89">
        <v>0</v>
      </c>
      <c r="E18" s="89">
        <v>0</v>
      </c>
      <c r="F18" s="89">
        <v>0</v>
      </c>
      <c r="G18" s="89">
        <v>0</v>
      </c>
      <c r="H18" s="89">
        <v>0</v>
      </c>
      <c r="I18" s="89">
        <v>0</v>
      </c>
      <c r="J18" s="89">
        <v>0</v>
      </c>
      <c r="K18" s="89">
        <v>0</v>
      </c>
      <c r="L18" s="89">
        <v>0</v>
      </c>
      <c r="M18" s="89">
        <v>0</v>
      </c>
      <c r="N18" s="89">
        <v>0</v>
      </c>
      <c r="O18" s="89">
        <v>0</v>
      </c>
      <c r="P18" s="89">
        <v>0</v>
      </c>
      <c r="Q18" s="89">
        <v>0</v>
      </c>
      <c r="R18" s="89">
        <v>0</v>
      </c>
      <c r="S18" s="89">
        <v>0</v>
      </c>
      <c r="T18" s="89">
        <v>0</v>
      </c>
      <c r="U18" s="89">
        <v>0</v>
      </c>
      <c r="V18" s="89">
        <v>0</v>
      </c>
      <c r="W18" s="89">
        <v>0</v>
      </c>
      <c r="X18" s="89">
        <v>0</v>
      </c>
      <c r="Y18" s="89">
        <v>0</v>
      </c>
      <c r="Z18" s="89">
        <v>0</v>
      </c>
      <c r="AA18" s="89">
        <v>0</v>
      </c>
      <c r="AB18" s="89">
        <v>0</v>
      </c>
      <c r="AC18" s="89">
        <v>0</v>
      </c>
      <c r="AD18" s="89">
        <v>0</v>
      </c>
      <c r="AE18" s="89">
        <v>0</v>
      </c>
      <c r="AF18" s="89">
        <v>0</v>
      </c>
      <c r="AG18" s="91"/>
      <c r="AH18" s="91"/>
    </row>
    <row r="19" spans="1:34" ht="16.5" customHeight="1">
      <c r="A19" s="91" t="s">
        <v>213</v>
      </c>
      <c r="B19" s="89">
        <v>0</v>
      </c>
      <c r="C19" s="89">
        <v>0</v>
      </c>
      <c r="D19" s="89">
        <v>0</v>
      </c>
      <c r="E19" s="89">
        <v>0</v>
      </c>
      <c r="F19" s="89">
        <v>0</v>
      </c>
      <c r="G19" s="89">
        <v>0</v>
      </c>
      <c r="H19" s="89">
        <v>0</v>
      </c>
      <c r="I19" s="89">
        <v>0</v>
      </c>
      <c r="J19" s="89">
        <v>0</v>
      </c>
      <c r="K19" s="89">
        <v>0</v>
      </c>
      <c r="L19" s="89">
        <v>0</v>
      </c>
      <c r="M19" s="89">
        <v>0</v>
      </c>
      <c r="N19" s="89">
        <v>0</v>
      </c>
      <c r="O19" s="89">
        <v>0</v>
      </c>
      <c r="P19" s="89">
        <v>0</v>
      </c>
      <c r="Q19" s="89">
        <v>0</v>
      </c>
      <c r="R19" s="89">
        <v>0</v>
      </c>
      <c r="S19" s="89">
        <v>0</v>
      </c>
      <c r="T19" s="89">
        <v>0</v>
      </c>
      <c r="U19" s="89">
        <v>0</v>
      </c>
      <c r="V19" s="89">
        <v>0</v>
      </c>
      <c r="W19" s="89">
        <v>0</v>
      </c>
      <c r="X19" s="89">
        <v>0</v>
      </c>
      <c r="Y19" s="89">
        <v>0</v>
      </c>
      <c r="Z19" s="89">
        <v>0</v>
      </c>
      <c r="AA19" s="89">
        <v>0</v>
      </c>
      <c r="AB19" s="89">
        <v>0</v>
      </c>
      <c r="AC19" s="89">
        <v>0</v>
      </c>
      <c r="AD19" s="89">
        <v>0</v>
      </c>
      <c r="AE19" s="89">
        <v>0</v>
      </c>
      <c r="AF19" s="89">
        <v>0</v>
      </c>
      <c r="AG19" s="91"/>
      <c r="AH19" s="91"/>
    </row>
    <row r="20" spans="1:34" ht="16.5" customHeight="1">
      <c r="A20" s="91" t="s">
        <v>214</v>
      </c>
      <c r="B20" s="89">
        <v>0</v>
      </c>
      <c r="C20" s="89">
        <v>0</v>
      </c>
      <c r="D20" s="89">
        <v>0</v>
      </c>
      <c r="E20" s="89">
        <v>0</v>
      </c>
      <c r="F20" s="89">
        <v>0</v>
      </c>
      <c r="G20" s="89">
        <v>0</v>
      </c>
      <c r="H20" s="89">
        <v>0</v>
      </c>
      <c r="I20" s="89">
        <v>0</v>
      </c>
      <c r="J20" s="89">
        <v>0</v>
      </c>
      <c r="K20" s="89">
        <v>0</v>
      </c>
      <c r="L20" s="89">
        <v>0</v>
      </c>
      <c r="M20" s="89">
        <v>0</v>
      </c>
      <c r="N20" s="89">
        <v>0</v>
      </c>
      <c r="O20" s="89">
        <v>0</v>
      </c>
      <c r="P20" s="89">
        <v>0</v>
      </c>
      <c r="Q20" s="89">
        <v>0</v>
      </c>
      <c r="R20" s="89">
        <v>0</v>
      </c>
      <c r="S20" s="89">
        <v>0</v>
      </c>
      <c r="T20" s="89">
        <v>0</v>
      </c>
      <c r="U20" s="89">
        <v>0</v>
      </c>
      <c r="V20" s="89">
        <v>0</v>
      </c>
      <c r="W20" s="89">
        <v>0</v>
      </c>
      <c r="X20" s="89">
        <v>0</v>
      </c>
      <c r="Y20" s="89">
        <v>0</v>
      </c>
      <c r="Z20" s="89">
        <v>0</v>
      </c>
      <c r="AA20" s="89">
        <v>0</v>
      </c>
      <c r="AB20" s="89">
        <v>0</v>
      </c>
      <c r="AC20" s="89">
        <v>0</v>
      </c>
      <c r="AD20" s="89">
        <v>0</v>
      </c>
      <c r="AE20" s="89">
        <v>0</v>
      </c>
      <c r="AF20" s="89">
        <v>0</v>
      </c>
    </row>
    <row r="21" spans="1:34" ht="16.5" customHeight="1">
      <c r="A21" s="91" t="s">
        <v>215</v>
      </c>
      <c r="B21" s="89">
        <v>0</v>
      </c>
      <c r="C21" s="89">
        <v>0</v>
      </c>
      <c r="D21" s="89">
        <v>0</v>
      </c>
      <c r="E21" s="89">
        <v>0</v>
      </c>
      <c r="F21" s="89">
        <v>0</v>
      </c>
      <c r="G21" s="89">
        <v>0</v>
      </c>
      <c r="H21" s="89">
        <v>0</v>
      </c>
      <c r="I21" s="89">
        <v>0</v>
      </c>
      <c r="J21" s="89">
        <v>0</v>
      </c>
      <c r="K21" s="89">
        <v>0</v>
      </c>
      <c r="L21" s="89">
        <v>0</v>
      </c>
      <c r="M21" s="89">
        <v>0</v>
      </c>
      <c r="N21" s="89">
        <v>0</v>
      </c>
      <c r="O21" s="89">
        <v>0</v>
      </c>
      <c r="P21" s="89">
        <v>0</v>
      </c>
      <c r="Q21" s="89">
        <v>0</v>
      </c>
      <c r="R21" s="89">
        <v>0</v>
      </c>
      <c r="S21" s="89">
        <v>0</v>
      </c>
      <c r="T21" s="89">
        <v>0</v>
      </c>
      <c r="U21" s="89">
        <v>0</v>
      </c>
      <c r="V21" s="89">
        <v>0</v>
      </c>
      <c r="W21" s="89">
        <v>0</v>
      </c>
      <c r="X21" s="89">
        <v>0</v>
      </c>
      <c r="Y21" s="89">
        <v>0</v>
      </c>
      <c r="Z21" s="89">
        <v>0</v>
      </c>
      <c r="AA21" s="89">
        <v>0</v>
      </c>
      <c r="AB21" s="89">
        <v>0</v>
      </c>
      <c r="AC21" s="89">
        <v>0</v>
      </c>
      <c r="AD21" s="89">
        <v>0</v>
      </c>
      <c r="AE21" s="89">
        <v>0</v>
      </c>
      <c r="AF21" s="89">
        <v>0</v>
      </c>
    </row>
    <row r="22" spans="1:34" ht="16.5" customHeight="1">
      <c r="A22" s="91" t="s">
        <v>216</v>
      </c>
      <c r="B22" s="89">
        <v>0</v>
      </c>
      <c r="C22" s="89">
        <v>0</v>
      </c>
      <c r="D22" s="89">
        <v>0</v>
      </c>
      <c r="E22" s="89">
        <v>0</v>
      </c>
      <c r="F22" s="89">
        <v>0</v>
      </c>
      <c r="G22" s="89">
        <v>0</v>
      </c>
      <c r="H22" s="89">
        <v>0</v>
      </c>
      <c r="I22" s="89">
        <v>0</v>
      </c>
      <c r="J22" s="89">
        <v>0</v>
      </c>
      <c r="K22" s="89">
        <v>0</v>
      </c>
      <c r="L22" s="89">
        <v>0</v>
      </c>
      <c r="M22" s="89">
        <v>0</v>
      </c>
      <c r="N22" s="89">
        <v>0</v>
      </c>
      <c r="O22" s="89">
        <v>0</v>
      </c>
      <c r="P22" s="89">
        <v>0</v>
      </c>
      <c r="Q22" s="89">
        <v>0</v>
      </c>
      <c r="R22" s="89">
        <v>0</v>
      </c>
      <c r="S22" s="89">
        <v>0</v>
      </c>
      <c r="T22" s="89">
        <v>0</v>
      </c>
      <c r="U22" s="89">
        <v>0</v>
      </c>
      <c r="V22" s="89">
        <v>0</v>
      </c>
      <c r="W22" s="89">
        <v>0</v>
      </c>
      <c r="X22" s="89">
        <v>0</v>
      </c>
      <c r="Y22" s="89">
        <v>0</v>
      </c>
      <c r="Z22" s="89">
        <v>0</v>
      </c>
      <c r="AA22" s="89">
        <v>0</v>
      </c>
      <c r="AB22" s="89">
        <v>0</v>
      </c>
      <c r="AC22" s="89">
        <v>0</v>
      </c>
      <c r="AD22" s="89">
        <v>0</v>
      </c>
      <c r="AE22" s="89">
        <v>0</v>
      </c>
      <c r="AF22" s="89">
        <v>0</v>
      </c>
    </row>
    <row r="23" spans="1:34" ht="16.5" customHeight="1">
      <c r="A23" s="91"/>
    </row>
    <row r="24" spans="1:34" ht="16.5" customHeight="1"/>
    <row r="25" spans="1:34" ht="16.5" customHeight="1"/>
    <row r="26" spans="1:34" ht="16.5" customHeight="1"/>
    <row r="27" spans="1:34" ht="16.5" customHeight="1"/>
    <row r="28" spans="1:34" ht="16.5" customHeight="1"/>
    <row r="29" spans="1:34" ht="16.5" customHeight="1"/>
    <row r="30" spans="1:34" ht="16.5" customHeight="1"/>
    <row r="31" spans="1:34" ht="16.5" customHeight="1"/>
    <row r="32" spans="1:34" ht="16.5" customHeight="1"/>
    <row r="33" s="90" customFormat="1" ht="16.5" customHeight="1"/>
    <row r="34" s="90" customFormat="1" ht="16.5" customHeight="1"/>
    <row r="35" s="90" customFormat="1" ht="16.5" customHeight="1"/>
    <row r="36" s="90" customFormat="1" ht="16.5" customHeight="1"/>
    <row r="37" s="90" customFormat="1" ht="16.5" customHeight="1"/>
    <row r="38" s="90" customFormat="1" ht="16.5" customHeight="1"/>
    <row r="39" s="90" customFormat="1" ht="16.5" customHeight="1"/>
    <row r="40" s="90" customFormat="1" ht="16.5" customHeight="1"/>
    <row r="41" s="90" customFormat="1" ht="16.5" customHeight="1"/>
    <row r="42" s="90" customFormat="1" ht="16.5" customHeight="1"/>
    <row r="43" s="90" customFormat="1" ht="16.5" customHeight="1"/>
    <row r="44" s="90" customFormat="1" ht="16.5" customHeight="1"/>
    <row r="45" s="90" customFormat="1" ht="16.5" customHeight="1"/>
    <row r="46" s="90" customFormat="1" ht="16.5" customHeight="1"/>
    <row r="47" s="90" customFormat="1" ht="16.5" customHeight="1"/>
    <row r="48" s="90" customFormat="1" ht="16.5" customHeight="1"/>
    <row r="49" s="90" customFormat="1" ht="16.5" customHeight="1"/>
    <row r="50" s="90" customFormat="1" ht="16.5" customHeight="1"/>
    <row r="51" s="90" customFormat="1" ht="16.5" customHeight="1"/>
    <row r="52" s="90" customFormat="1" ht="16.5" customHeight="1"/>
    <row r="53" s="90" customFormat="1" ht="16.5" customHeight="1"/>
    <row r="54" s="90" customFormat="1" ht="16.5" customHeight="1"/>
    <row r="55" s="90" customFormat="1" ht="16.5" customHeight="1"/>
    <row r="56" s="90" customFormat="1" ht="16.5" customHeight="1"/>
    <row r="57" s="90" customFormat="1" ht="16.5" customHeight="1"/>
    <row r="58" s="90" customFormat="1" ht="16.5" customHeight="1"/>
    <row r="59" s="90" customFormat="1" ht="16.5" customHeight="1"/>
    <row r="60" s="90" customFormat="1" ht="16.5" customHeight="1"/>
    <row r="61" s="90" customFormat="1" ht="16.5" customHeight="1"/>
    <row r="62" s="90" customFormat="1" ht="16.5" customHeight="1"/>
    <row r="63" s="90" customFormat="1" ht="16.5" customHeight="1"/>
    <row r="64" s="90" customFormat="1" ht="16.5" customHeight="1"/>
    <row r="65" s="90" customFormat="1" ht="16.5" customHeight="1"/>
    <row r="66" s="90" customFormat="1" ht="16.5" customHeight="1"/>
    <row r="67" s="90" customFormat="1" ht="16.5" customHeight="1"/>
    <row r="68" s="90" customFormat="1" ht="16.5" customHeight="1"/>
    <row r="69" s="90" customFormat="1" ht="16.5" customHeight="1"/>
    <row r="70" s="90" customFormat="1" ht="16.5" customHeight="1"/>
    <row r="71" s="90" customFormat="1" ht="16.5" customHeight="1"/>
    <row r="72" s="90" customFormat="1" ht="16.5" customHeight="1"/>
    <row r="73" s="90" customFormat="1" ht="16.5" customHeight="1"/>
    <row r="74" s="90" customFormat="1" ht="16.5" customHeight="1"/>
    <row r="75" s="90" customFormat="1" ht="16.5" customHeight="1"/>
    <row r="76" s="90" customFormat="1" ht="16.5" customHeight="1"/>
    <row r="77" s="90" customFormat="1" ht="16.5" customHeight="1"/>
    <row r="78" s="90" customFormat="1" ht="16.5" customHeight="1"/>
    <row r="79" s="90" customFormat="1" ht="16.5" customHeight="1"/>
    <row r="80" s="90" customFormat="1" ht="16.5" customHeight="1"/>
    <row r="81" s="90" customFormat="1" ht="16.5" customHeight="1"/>
    <row r="82" s="90" customFormat="1" ht="16.5" customHeight="1"/>
    <row r="83" s="90" customFormat="1" ht="16.5" customHeight="1"/>
    <row r="84" s="90" customFormat="1" ht="16.5" customHeight="1"/>
    <row r="85" s="90" customFormat="1" ht="16.5" customHeight="1"/>
    <row r="86" s="90" customFormat="1" ht="16.5" customHeight="1"/>
    <row r="87" s="90" customFormat="1" ht="16.5" customHeight="1"/>
    <row r="88" s="90" customFormat="1" ht="16.5" customHeight="1"/>
    <row r="89" s="90" customFormat="1" ht="16.5" customHeight="1"/>
    <row r="90" s="90" customFormat="1" ht="16.5" customHeight="1"/>
    <row r="91" s="90" customFormat="1" ht="16.5" customHeight="1"/>
    <row r="92" s="90" customFormat="1" ht="16.5" customHeight="1"/>
    <row r="93" s="90" customFormat="1" ht="16.5" customHeight="1"/>
    <row r="94" s="90" customFormat="1" ht="16.5" customHeight="1"/>
    <row r="95" s="90" customFormat="1" ht="16.5" customHeight="1"/>
    <row r="96" s="90" customFormat="1" ht="16.5" customHeight="1"/>
    <row r="97" s="90" customFormat="1" ht="16.5" customHeight="1"/>
    <row r="98" s="90" customFormat="1" ht="16.5" customHeight="1"/>
    <row r="99" s="90" customFormat="1" ht="16.5" customHeight="1"/>
    <row r="100" s="90" customFormat="1" ht="16.5" customHeight="1"/>
    <row r="101" s="90" customFormat="1" ht="16.5" customHeight="1"/>
    <row r="102" s="90" customFormat="1" ht="16.5" customHeight="1"/>
    <row r="103" s="90" customFormat="1" ht="16.5" customHeight="1"/>
    <row r="104" s="90" customFormat="1" ht="16.5" customHeight="1"/>
    <row r="105" s="90" customFormat="1" ht="16.5" customHeight="1"/>
    <row r="106" s="90" customFormat="1" ht="16.5" customHeight="1"/>
    <row r="107" s="90" customFormat="1" ht="16.5" customHeight="1"/>
    <row r="108" s="90" customFormat="1" ht="16.5" customHeight="1"/>
    <row r="109" s="90" customFormat="1" ht="16.5" customHeight="1"/>
    <row r="110" s="90" customFormat="1" ht="16.5" customHeight="1"/>
    <row r="111" s="90" customFormat="1" ht="16.5" customHeight="1"/>
    <row r="112" s="90" customFormat="1" ht="16.5" customHeight="1"/>
    <row r="113" s="90" customFormat="1" ht="16.5" customHeight="1"/>
    <row r="114" s="90" customFormat="1" ht="16.5" customHeight="1"/>
    <row r="115" s="90" customFormat="1" ht="16.5" customHeight="1"/>
    <row r="116" s="90" customFormat="1" ht="16.5" customHeight="1"/>
    <row r="117" s="90" customFormat="1" ht="16.5" customHeight="1"/>
    <row r="118" s="90" customFormat="1" ht="16.5" customHeight="1"/>
    <row r="119" s="90" customFormat="1" ht="16.5" customHeight="1"/>
    <row r="120" s="90" customFormat="1" ht="16.5" customHeight="1"/>
    <row r="121" s="90" customFormat="1" ht="16.5" customHeight="1"/>
    <row r="122" s="90" customFormat="1" ht="16.5" customHeight="1"/>
    <row r="123" s="90" customFormat="1" ht="16.5" customHeight="1"/>
    <row r="124" s="90" customFormat="1" ht="16.5" customHeight="1"/>
    <row r="125" s="90" customFormat="1" ht="16.5" customHeight="1"/>
    <row r="126" s="90" customFormat="1" ht="16.5" customHeight="1"/>
    <row r="127" s="90" customFormat="1" ht="16.5" customHeight="1"/>
    <row r="128" s="90" customFormat="1" ht="16.5" customHeight="1"/>
    <row r="129" s="90" customFormat="1" ht="16.5" customHeight="1"/>
    <row r="130" s="90" customFormat="1" ht="16.5" customHeight="1"/>
    <row r="131" s="90" customFormat="1" ht="16.5" customHeight="1"/>
    <row r="132" s="90" customFormat="1" ht="16.5" customHeight="1"/>
    <row r="133" s="90" customFormat="1" ht="16.5" customHeight="1"/>
    <row r="134" s="90" customFormat="1" ht="16.5" customHeight="1"/>
    <row r="135" s="90" customFormat="1" ht="16.5" customHeight="1"/>
    <row r="136" s="90" customFormat="1" ht="16.5" customHeight="1"/>
    <row r="137" s="90" customFormat="1" ht="16.5" customHeight="1"/>
    <row r="138" s="90" customFormat="1" ht="16.5" customHeight="1"/>
    <row r="139" s="90" customFormat="1" ht="16.5" customHeight="1"/>
    <row r="140" s="90" customFormat="1" ht="16.5" customHeight="1"/>
    <row r="141" s="90" customFormat="1" ht="16.5" customHeight="1"/>
    <row r="142" s="90" customFormat="1" ht="16.5" customHeight="1"/>
    <row r="143" s="90" customFormat="1" ht="16.5" customHeight="1"/>
    <row r="144" s="90" customFormat="1" ht="16.5" customHeight="1"/>
    <row r="145" s="90" customFormat="1" ht="16.5" customHeight="1"/>
    <row r="146" s="90" customFormat="1" ht="16.5" customHeight="1"/>
    <row r="147" s="90" customFormat="1" ht="16.5" customHeight="1"/>
    <row r="148" s="90" customFormat="1" ht="16.5" customHeight="1"/>
    <row r="149" s="90" customFormat="1" ht="16.5" customHeight="1"/>
    <row r="150" s="90" customFormat="1" ht="16.5" customHeight="1"/>
    <row r="151" s="90" customFormat="1" ht="16.5" customHeight="1"/>
    <row r="152" s="90" customFormat="1" ht="16.5" customHeight="1"/>
    <row r="153" s="90" customFormat="1" ht="16.5" customHeight="1"/>
    <row r="154" s="90" customFormat="1" ht="16.5" customHeight="1"/>
    <row r="155" s="90" customFormat="1" ht="16.5" customHeight="1"/>
    <row r="156" s="90" customFormat="1" ht="16.5" customHeight="1"/>
    <row r="157" s="90" customFormat="1" ht="16.5" customHeight="1"/>
    <row r="158" s="90" customFormat="1" ht="16.5" customHeight="1"/>
    <row r="159" s="90" customFormat="1" ht="16.5" customHeight="1"/>
    <row r="160" s="90" customFormat="1" ht="16.5" customHeight="1"/>
    <row r="161" s="90" customFormat="1" ht="16.5" customHeight="1"/>
    <row r="162" s="90" customFormat="1" ht="16.5" customHeight="1"/>
    <row r="163" s="90" customFormat="1" ht="16.5" customHeight="1"/>
    <row r="164" s="90" customFormat="1" ht="16.5" customHeight="1"/>
    <row r="165" s="90" customFormat="1" ht="16.5" customHeight="1"/>
    <row r="166" s="90" customFormat="1" ht="16.5" customHeight="1"/>
    <row r="167" s="90" customFormat="1" ht="16.5" customHeight="1"/>
    <row r="168" s="90" customFormat="1" ht="16.5" customHeight="1"/>
    <row r="169" s="90" customFormat="1" ht="16.5" customHeight="1"/>
    <row r="170" s="90" customFormat="1" ht="16.5" customHeight="1"/>
    <row r="171" s="90" customFormat="1" ht="16.5" customHeight="1"/>
    <row r="172" s="90" customFormat="1" ht="16.5" customHeight="1"/>
    <row r="173" s="90" customFormat="1" ht="16.5" customHeight="1"/>
    <row r="174" s="90" customFormat="1" ht="16.5" customHeight="1"/>
    <row r="175" s="90" customFormat="1" ht="16.5" customHeight="1"/>
    <row r="176" s="90" customFormat="1" ht="16.5" customHeight="1"/>
    <row r="177" s="90" customFormat="1" ht="16.5" customHeight="1"/>
    <row r="178" s="90" customFormat="1" ht="16.5" customHeight="1"/>
    <row r="179" s="90" customFormat="1" ht="16.5" customHeight="1"/>
    <row r="180" s="90" customFormat="1" ht="16.5" customHeight="1"/>
    <row r="181" s="90" customFormat="1" ht="16.5" customHeight="1"/>
    <row r="182" s="90" customFormat="1" ht="16.5" customHeight="1"/>
    <row r="183" s="90" customFormat="1" ht="16.5" customHeight="1"/>
    <row r="184" s="90" customFormat="1" ht="16.5" customHeight="1"/>
    <row r="185" s="90" customFormat="1" ht="16.5" customHeight="1"/>
    <row r="186" s="90" customFormat="1" ht="16.5" customHeight="1"/>
    <row r="187" s="90" customFormat="1" ht="16.5" customHeight="1"/>
    <row r="188" s="90" customFormat="1" ht="16.5" customHeight="1"/>
    <row r="189" s="90" customFormat="1" ht="16.5" customHeight="1"/>
    <row r="190" s="90" customFormat="1" ht="16.5" customHeight="1"/>
    <row r="191" s="90" customFormat="1" ht="16.5" customHeight="1"/>
    <row r="192" s="90" customFormat="1" ht="16.5" customHeight="1"/>
    <row r="193" s="90" customFormat="1" ht="16.5" customHeight="1"/>
    <row r="194" s="90" customFormat="1" ht="16.5" customHeight="1"/>
    <row r="195" s="90" customFormat="1" ht="16.5" customHeight="1"/>
    <row r="196" s="90" customFormat="1" ht="16.5" customHeight="1"/>
    <row r="197" s="90" customFormat="1" ht="16.5" customHeight="1"/>
    <row r="198" s="90" customFormat="1" ht="16.5" customHeight="1"/>
    <row r="199" s="90" customFormat="1" ht="16.5" customHeight="1"/>
    <row r="200" s="90" customFormat="1" ht="16.5" customHeight="1"/>
    <row r="201" s="90" customFormat="1" ht="16.5" customHeight="1"/>
    <row r="202" s="90" customFormat="1" ht="16.5" customHeight="1"/>
    <row r="203" s="90" customFormat="1" ht="16.5" customHeight="1"/>
    <row r="204" s="90" customFormat="1" ht="16.5" customHeight="1"/>
    <row r="205" s="90" customFormat="1" ht="16.5" customHeight="1"/>
    <row r="206" s="90" customFormat="1" ht="16.5" customHeight="1"/>
    <row r="207" s="90" customFormat="1" ht="16.5" customHeight="1"/>
    <row r="208" s="90" customFormat="1" ht="16.5" customHeight="1"/>
    <row r="209" s="90" customFormat="1" ht="16.5" customHeight="1"/>
    <row r="210" s="90" customFormat="1" ht="16.5" customHeight="1"/>
    <row r="211" s="90" customFormat="1" ht="16.5" customHeight="1"/>
    <row r="212" s="90" customFormat="1" ht="16.5" customHeight="1"/>
    <row r="213" s="90" customFormat="1" ht="16.5" customHeight="1"/>
    <row r="214" s="90" customFormat="1" ht="16.5" customHeight="1"/>
    <row r="215" s="90" customFormat="1" ht="16.5" customHeight="1"/>
    <row r="216" s="90" customFormat="1" ht="16.5" customHeight="1"/>
    <row r="217" s="90" customFormat="1" ht="16.5" customHeight="1"/>
    <row r="218" s="90" customFormat="1" ht="16.5" customHeight="1"/>
    <row r="219" s="90" customFormat="1" ht="16.5" customHeight="1"/>
    <row r="220" s="90" customFormat="1" ht="16.5" customHeight="1"/>
    <row r="221" s="90" customFormat="1" ht="16.5" customHeight="1"/>
    <row r="222" s="90" customFormat="1" ht="16.5" customHeight="1"/>
    <row r="223" s="90" customFormat="1" ht="16.5" customHeight="1"/>
    <row r="224" s="90" customFormat="1" ht="16.5" customHeight="1"/>
    <row r="225" s="90" customFormat="1" ht="16.5" customHeight="1"/>
    <row r="226" s="90" customFormat="1" ht="16.5" customHeight="1"/>
    <row r="227" s="90" customFormat="1" ht="16.5" customHeight="1"/>
    <row r="228" s="90" customFormat="1" ht="16.5" customHeight="1"/>
    <row r="229" s="90" customFormat="1" ht="16.5" customHeight="1"/>
    <row r="230" s="90" customFormat="1" ht="16.5" customHeight="1"/>
    <row r="231" s="90" customFormat="1" ht="16.5" customHeight="1"/>
    <row r="232" s="90" customFormat="1" ht="16.5" customHeight="1"/>
    <row r="233" s="90" customFormat="1" ht="16.5" customHeight="1"/>
    <row r="234" s="90" customFormat="1" ht="16.5" customHeight="1"/>
    <row r="235" s="90" customFormat="1" ht="16.5" customHeight="1"/>
    <row r="236" s="90" customFormat="1" ht="16.5" customHeight="1"/>
    <row r="237" s="90" customFormat="1" ht="16.5" customHeight="1"/>
    <row r="238" s="90" customFormat="1" ht="16.5" customHeight="1"/>
    <row r="239" s="90" customFormat="1" ht="16.5" customHeight="1"/>
    <row r="240" s="90" customFormat="1" ht="16.5" customHeight="1"/>
    <row r="241" s="90" customFormat="1" ht="16.5" customHeight="1"/>
    <row r="242" s="90" customFormat="1" ht="16.5" customHeight="1"/>
    <row r="243" s="90" customFormat="1" ht="16.5" customHeight="1"/>
    <row r="244" s="90" customFormat="1" ht="16.5" customHeight="1"/>
    <row r="245" s="90" customFormat="1" ht="16.5" customHeight="1"/>
    <row r="246" s="90" customFormat="1" ht="16.5" customHeight="1"/>
    <row r="247" s="90" customFormat="1" ht="16.5" customHeight="1"/>
    <row r="248" s="90" customFormat="1" ht="16.5" customHeight="1"/>
    <row r="249" s="90" customFormat="1" ht="16.5" customHeight="1"/>
    <row r="250" s="90" customFormat="1" ht="16.5" customHeight="1"/>
    <row r="251" s="90" customFormat="1" ht="16.5" customHeight="1"/>
    <row r="252" s="90" customFormat="1" ht="16.5" customHeight="1"/>
    <row r="253" s="90" customFormat="1" ht="16.5" customHeight="1"/>
    <row r="254" s="90" customFormat="1" ht="16.5" customHeight="1"/>
    <row r="255" s="90" customFormat="1" ht="16.5" customHeight="1"/>
    <row r="256" s="90" customFormat="1" ht="16.5" customHeight="1"/>
    <row r="257" s="90" customFormat="1" ht="16.5" customHeight="1"/>
    <row r="258" s="90" customFormat="1" ht="16.5" customHeight="1"/>
    <row r="259" s="90" customFormat="1" ht="16.5" customHeight="1"/>
    <row r="260" s="90" customFormat="1" ht="16.5" customHeight="1"/>
    <row r="261" s="90" customFormat="1" ht="16.5" customHeight="1"/>
    <row r="262" s="90" customFormat="1" ht="16.5" customHeight="1"/>
    <row r="263" s="90" customFormat="1" ht="16.5" customHeight="1"/>
    <row r="264" s="90" customFormat="1" ht="16.5" customHeight="1"/>
    <row r="265" s="90" customFormat="1" ht="16.5" customHeight="1"/>
    <row r="266" s="90" customFormat="1" ht="16.5" customHeight="1"/>
    <row r="267" s="90" customFormat="1" ht="16.5" customHeight="1"/>
    <row r="268" s="90" customFormat="1" ht="16.5" customHeight="1"/>
    <row r="269" s="90" customFormat="1" ht="16.5" customHeight="1"/>
    <row r="270" s="90" customFormat="1" ht="16.5" customHeight="1"/>
    <row r="271" s="90" customFormat="1" ht="16.5" customHeight="1"/>
    <row r="272" s="90" customFormat="1" ht="16.5" customHeight="1"/>
    <row r="273" s="90" customFormat="1" ht="16.5" customHeight="1"/>
    <row r="274" s="90" customFormat="1" ht="16.5" customHeight="1"/>
    <row r="275" s="90" customFormat="1" ht="16.5" customHeight="1"/>
    <row r="276" s="90" customFormat="1" ht="16.5" customHeight="1"/>
    <row r="277" s="90" customFormat="1" ht="16.5" customHeight="1"/>
    <row r="278" s="90" customFormat="1" ht="16.5" customHeight="1"/>
    <row r="279" s="90" customFormat="1" ht="16.5" customHeight="1"/>
    <row r="280" s="90" customFormat="1" ht="16.5" customHeight="1"/>
    <row r="281" s="90" customFormat="1" ht="16.5" customHeight="1"/>
    <row r="282" s="90" customFormat="1" ht="16.5" customHeight="1"/>
    <row r="283" s="90" customFormat="1" ht="16.5" customHeight="1"/>
    <row r="284" s="90" customFormat="1" ht="16.5" customHeight="1"/>
    <row r="285" s="90" customFormat="1" ht="16.5" customHeight="1"/>
    <row r="286" s="90" customFormat="1" ht="16.5" customHeight="1"/>
    <row r="287" s="90" customFormat="1" ht="16.5" customHeight="1"/>
    <row r="288" s="90" customFormat="1" ht="16.5" customHeight="1"/>
    <row r="289" s="90" customFormat="1" ht="16.5" customHeight="1"/>
    <row r="290" s="90" customFormat="1" ht="16.5" customHeight="1"/>
    <row r="291" s="90" customFormat="1" ht="16.5" customHeight="1"/>
    <row r="292" s="90" customFormat="1" ht="16.5" customHeight="1"/>
    <row r="293" s="90" customFormat="1" ht="16.5" customHeight="1"/>
    <row r="294" s="90" customFormat="1" ht="16.5" customHeight="1"/>
    <row r="295" s="90" customFormat="1" ht="16.5" customHeight="1"/>
    <row r="296" s="90" customFormat="1" ht="16.5" customHeight="1"/>
    <row r="297" s="90" customFormat="1" ht="16.5" customHeight="1"/>
    <row r="298" s="90" customFormat="1" ht="16.5" customHeight="1"/>
    <row r="299" s="90" customFormat="1" ht="16.5" customHeight="1"/>
    <row r="300" s="90" customFormat="1" ht="16.5" customHeight="1"/>
    <row r="301" s="90" customFormat="1" ht="16.5" customHeight="1"/>
    <row r="302" s="90" customFormat="1" ht="16.5" customHeight="1"/>
    <row r="303" s="90" customFormat="1" ht="16.5" customHeight="1"/>
    <row r="304" s="90" customFormat="1" ht="16.5" customHeight="1"/>
    <row r="305" s="90" customFormat="1" ht="16.5" customHeight="1"/>
    <row r="306" s="90" customFormat="1" ht="16.5" customHeight="1"/>
    <row r="307" s="90" customFormat="1" ht="16.5" customHeight="1"/>
    <row r="308" s="90" customFormat="1" ht="16.5" customHeight="1"/>
    <row r="309" s="90" customFormat="1" ht="16.5" customHeight="1"/>
    <row r="310" s="90" customFormat="1" ht="16.5" customHeight="1"/>
    <row r="311" s="90" customFormat="1" ht="16.5" customHeight="1"/>
    <row r="312" s="90" customFormat="1" ht="16.5" customHeight="1"/>
    <row r="313" s="90" customFormat="1" ht="16.5" customHeight="1"/>
    <row r="314" s="90" customFormat="1" ht="16.5" customHeight="1"/>
    <row r="315" s="90" customFormat="1" ht="16.5" customHeight="1"/>
    <row r="316" s="90" customFormat="1" ht="16.5" customHeight="1"/>
    <row r="317" s="90" customFormat="1" ht="16.5" customHeight="1"/>
    <row r="318" s="90" customFormat="1" ht="16.5" customHeight="1"/>
    <row r="319" s="90" customFormat="1" ht="16.5" customHeight="1"/>
    <row r="320" s="90" customFormat="1" ht="16.5" customHeight="1"/>
    <row r="321" s="90" customFormat="1" ht="16.5" customHeight="1"/>
    <row r="322" s="90" customFormat="1" ht="16.5" customHeight="1"/>
    <row r="323" s="90" customFormat="1" ht="16.5" customHeight="1"/>
    <row r="324" s="90" customFormat="1" ht="16.5" customHeight="1"/>
    <row r="325" s="90" customFormat="1" ht="16.5" customHeight="1"/>
    <row r="326" s="90" customFormat="1" ht="16.5" customHeight="1"/>
    <row r="327" s="90" customFormat="1" ht="16.5" customHeight="1"/>
    <row r="328" s="90" customFormat="1" ht="16.5" customHeight="1"/>
    <row r="329" s="90" customFormat="1" ht="16.5" customHeight="1"/>
    <row r="330" s="90" customFormat="1" ht="16.5" customHeight="1"/>
    <row r="331" s="90" customFormat="1" ht="16.5" customHeight="1"/>
    <row r="332" s="90" customFormat="1" ht="16.5" customHeight="1"/>
    <row r="333" s="90" customFormat="1" ht="16.5" customHeight="1"/>
    <row r="334" s="90" customFormat="1" ht="16.5" customHeight="1"/>
    <row r="335" s="90" customFormat="1" ht="16.5" customHeight="1"/>
    <row r="336" s="90" customFormat="1" ht="16.5" customHeight="1"/>
    <row r="337" s="90" customFormat="1" ht="16.5" customHeight="1"/>
    <row r="338" s="90" customFormat="1" ht="16.5" customHeight="1"/>
    <row r="339" s="90" customFormat="1" ht="16.5" customHeight="1"/>
    <row r="340" s="90" customFormat="1" ht="16.5" customHeight="1"/>
    <row r="341" s="90" customFormat="1" ht="16.5" customHeight="1"/>
    <row r="342" s="90" customFormat="1" ht="16.5" customHeight="1"/>
    <row r="343" s="90" customFormat="1" ht="16.5" customHeight="1"/>
    <row r="344" s="90" customFormat="1" ht="16.5" customHeight="1"/>
    <row r="345" s="90" customFormat="1" ht="16.5" customHeight="1"/>
    <row r="346" s="90" customFormat="1" ht="16.5" customHeight="1"/>
    <row r="347" s="90" customFormat="1" ht="16.5" customHeight="1"/>
    <row r="348" s="90" customFormat="1" ht="16.5" customHeight="1"/>
    <row r="349" s="90" customFormat="1" ht="16.5" customHeight="1"/>
    <row r="350" s="90" customFormat="1" ht="16.5" customHeight="1"/>
    <row r="351" s="90" customFormat="1" ht="16.5" customHeight="1"/>
    <row r="352" s="90" customFormat="1" ht="16.5" customHeight="1"/>
    <row r="353" s="90" customFormat="1" ht="16.5" customHeight="1"/>
    <row r="354" s="90" customFormat="1" ht="16.5" customHeight="1"/>
    <row r="355" s="90" customFormat="1" ht="16.5" customHeight="1"/>
    <row r="356" s="90" customFormat="1" ht="16.5" customHeight="1"/>
    <row r="357" s="90" customFormat="1" ht="16.5" customHeight="1"/>
    <row r="358" s="90" customFormat="1" ht="16.5" customHeight="1"/>
    <row r="359" s="90" customFormat="1" ht="16.5" customHeight="1"/>
    <row r="360" s="90" customFormat="1" ht="16.5" customHeight="1"/>
    <row r="361" s="90" customFormat="1" ht="16.5" customHeight="1"/>
    <row r="362" s="90" customFormat="1" ht="16.5" customHeight="1"/>
    <row r="363" s="90" customFormat="1" ht="16.5" customHeight="1"/>
    <row r="364" s="90" customFormat="1" ht="16.5" customHeight="1"/>
    <row r="365" s="90" customFormat="1" ht="16.5" customHeight="1"/>
    <row r="366" s="90" customFormat="1" ht="16.5" customHeight="1"/>
    <row r="367" s="90" customFormat="1" ht="16.5" customHeight="1"/>
    <row r="368" s="90" customFormat="1" ht="16.5" customHeight="1"/>
    <row r="369" s="90" customFormat="1" ht="16.5" customHeight="1"/>
    <row r="370" s="90" customFormat="1" ht="16.5" customHeight="1"/>
    <row r="371" s="90" customFormat="1" ht="16.5" customHeight="1"/>
    <row r="372" s="90" customFormat="1" ht="16.5" customHeight="1"/>
    <row r="373" s="90" customFormat="1" ht="16.5" customHeight="1"/>
    <row r="374" s="90" customFormat="1" ht="16.5" customHeight="1"/>
    <row r="375" s="90" customFormat="1" ht="16.5" customHeight="1"/>
    <row r="376" s="90" customFormat="1" ht="16.5" customHeight="1"/>
    <row r="377" s="90" customFormat="1" ht="16.5" customHeight="1"/>
    <row r="378" s="90" customFormat="1" ht="16.5" customHeight="1"/>
    <row r="379" s="90" customFormat="1" ht="16.5" customHeight="1"/>
    <row r="380" s="90" customFormat="1" ht="16.5" customHeight="1"/>
    <row r="381" s="90" customFormat="1" ht="16.5" customHeight="1"/>
    <row r="382" s="90" customFormat="1" ht="16.5" customHeight="1"/>
    <row r="383" s="90" customFormat="1" ht="16.5" customHeight="1"/>
    <row r="384" s="90" customFormat="1" ht="16.5" customHeight="1"/>
    <row r="385" s="90" customFormat="1" ht="16.5" customHeight="1"/>
    <row r="386" s="90" customFormat="1" ht="16.5" customHeight="1"/>
    <row r="387" s="90" customFormat="1" ht="16.5" customHeight="1"/>
    <row r="388" s="90" customFormat="1" ht="16.5" customHeight="1"/>
    <row r="389" s="90" customFormat="1" ht="16.5" customHeight="1"/>
    <row r="390" s="90" customFormat="1" ht="16.5" customHeight="1"/>
    <row r="391" s="90" customFormat="1" ht="16.5" customHeight="1"/>
    <row r="392" s="90" customFormat="1" ht="16.5" customHeight="1"/>
    <row r="393" s="90" customFormat="1" ht="16.5" customHeight="1"/>
    <row r="394" s="90" customFormat="1" ht="16.5" customHeight="1"/>
    <row r="395" s="90" customFormat="1" ht="16.5" customHeight="1"/>
    <row r="396" s="90" customFormat="1" ht="16.5" customHeight="1"/>
    <row r="397" s="90" customFormat="1" ht="16.5" customHeight="1"/>
    <row r="398" s="90" customFormat="1" ht="16.5" customHeight="1"/>
    <row r="399" s="90" customFormat="1" ht="16.5" customHeight="1"/>
    <row r="400" s="90" customFormat="1" ht="16.5" customHeight="1"/>
    <row r="401" s="90" customFormat="1" ht="16.5" customHeight="1"/>
    <row r="402" s="90" customFormat="1" ht="16.5" customHeight="1"/>
    <row r="403" s="90" customFormat="1" ht="16.5" customHeight="1"/>
    <row r="404" s="90" customFormat="1" ht="16.5" customHeight="1"/>
    <row r="405" s="90" customFormat="1" ht="16.5" customHeight="1"/>
    <row r="406" s="90" customFormat="1" ht="16.5" customHeight="1"/>
    <row r="407" s="90" customFormat="1" ht="16.5" customHeight="1"/>
    <row r="408" s="90" customFormat="1" ht="16.5" customHeight="1"/>
    <row r="409" s="90" customFormat="1" ht="16.5" customHeight="1"/>
    <row r="410" s="90" customFormat="1" ht="16.5" customHeight="1"/>
    <row r="411" s="90" customFormat="1" ht="16.5" customHeight="1"/>
    <row r="412" s="90" customFormat="1" ht="16.5" customHeight="1"/>
    <row r="413" s="90" customFormat="1" ht="16.5" customHeight="1"/>
    <row r="414" s="90" customFormat="1" ht="16.5" customHeight="1"/>
    <row r="415" s="90" customFormat="1" ht="16.5" customHeight="1"/>
    <row r="416" s="90" customFormat="1" ht="16.5" customHeight="1"/>
    <row r="417" s="90" customFormat="1" ht="16.5" customHeight="1"/>
    <row r="418" s="90" customFormat="1" ht="16.5" customHeight="1"/>
    <row r="419" s="90" customFormat="1" ht="16.5" customHeight="1"/>
    <row r="420" s="90" customFormat="1" ht="16.5" customHeight="1"/>
    <row r="421" s="90" customFormat="1" ht="16.5" customHeight="1"/>
    <row r="422" s="90" customFormat="1" ht="16.5" customHeight="1"/>
    <row r="423" s="90" customFormat="1" ht="16.5" customHeight="1"/>
    <row r="424" s="90" customFormat="1" ht="16.5" customHeight="1"/>
    <row r="425" s="90" customFormat="1" ht="16.5" customHeight="1"/>
    <row r="426" s="90" customFormat="1" ht="16.5" customHeight="1"/>
    <row r="427" s="90" customFormat="1" ht="16.5" customHeight="1"/>
    <row r="428" s="90" customFormat="1" ht="16.5" customHeight="1"/>
    <row r="429" s="90" customFormat="1" ht="16.5" customHeight="1"/>
    <row r="430" s="90" customFormat="1" ht="16.5" customHeight="1"/>
    <row r="431" s="90" customFormat="1" ht="16.5" customHeight="1"/>
    <row r="432" s="90" customFormat="1" ht="16.5" customHeight="1"/>
    <row r="433" s="90" customFormat="1" ht="16.5" customHeight="1"/>
    <row r="434" s="90" customFormat="1" ht="16.5" customHeight="1"/>
    <row r="435" s="90" customFormat="1" ht="16.5" customHeight="1"/>
    <row r="436" s="90" customFormat="1" ht="16.5" customHeight="1"/>
    <row r="437" s="90" customFormat="1" ht="16.5" customHeight="1"/>
    <row r="438" s="90" customFormat="1" ht="16.5" customHeight="1"/>
    <row r="439" s="90" customFormat="1" ht="16.5" customHeight="1"/>
    <row r="440" s="90" customFormat="1" ht="16.5" customHeight="1"/>
    <row r="441" s="90" customFormat="1" ht="16.5" customHeight="1"/>
    <row r="442" s="90" customFormat="1" ht="16.5" customHeight="1"/>
    <row r="443" s="90" customFormat="1" ht="16.5" customHeight="1"/>
    <row r="444" s="90" customFormat="1" ht="16.5" customHeight="1"/>
    <row r="445" s="90" customFormat="1" ht="16.5" customHeight="1"/>
    <row r="446" s="90" customFormat="1" ht="16.5" customHeight="1"/>
    <row r="447" s="90" customFormat="1" ht="16.5" customHeight="1"/>
    <row r="448" s="90" customFormat="1" ht="16.5" customHeight="1"/>
    <row r="449" s="90" customFormat="1" ht="16.5" customHeight="1"/>
    <row r="450" s="90" customFormat="1" ht="16.5" customHeight="1"/>
    <row r="451" s="90" customFormat="1" ht="16.5" customHeight="1"/>
    <row r="452" s="90" customFormat="1" ht="16.5" customHeight="1"/>
    <row r="453" s="90" customFormat="1" ht="16.5" customHeight="1"/>
    <row r="454" s="90" customFormat="1" ht="16.5" customHeight="1"/>
    <row r="455" s="90" customFormat="1" ht="16.5" customHeight="1"/>
    <row r="456" s="90" customFormat="1" ht="16.5" customHeight="1"/>
    <row r="457" s="90" customFormat="1" ht="16.5" customHeight="1"/>
    <row r="458" s="90" customFormat="1" ht="16.5" customHeight="1"/>
    <row r="459" s="90" customFormat="1" ht="16.5" customHeight="1"/>
    <row r="460" s="90" customFormat="1" ht="16.5" customHeight="1"/>
    <row r="461" s="90" customFormat="1" ht="16.5" customHeight="1"/>
    <row r="462" s="90" customFormat="1" ht="16.5" customHeight="1"/>
    <row r="463" s="90" customFormat="1" ht="16.5" customHeight="1"/>
    <row r="464" s="90" customFormat="1" ht="16.5" customHeight="1"/>
    <row r="465" s="90" customFormat="1" ht="16.5" customHeight="1"/>
    <row r="466" s="90" customFormat="1" ht="16.5" customHeight="1"/>
    <row r="467" s="90" customFormat="1" ht="16.5" customHeight="1"/>
    <row r="468" s="90" customFormat="1" ht="16.5" customHeight="1"/>
    <row r="469" s="90" customFormat="1" ht="16.5" customHeight="1"/>
    <row r="470" s="90" customFormat="1" ht="16.5" customHeight="1"/>
    <row r="471" s="90" customFormat="1" ht="16.5" customHeight="1"/>
    <row r="472" s="90" customFormat="1" ht="16.5" customHeight="1"/>
    <row r="473" s="90" customFormat="1" ht="16.5" customHeight="1"/>
    <row r="474" s="90" customFormat="1" ht="16.5" customHeight="1"/>
    <row r="475" s="90" customFormat="1" ht="16.5" customHeight="1"/>
    <row r="476" s="90" customFormat="1" ht="16.5" customHeight="1"/>
    <row r="477" s="90" customFormat="1" ht="16.5" customHeight="1"/>
    <row r="478" s="90" customFormat="1" ht="16.5" customHeight="1"/>
    <row r="479" s="90" customFormat="1" ht="16.5" customHeight="1"/>
    <row r="480" s="90" customFormat="1" ht="16.5" customHeight="1"/>
    <row r="481" s="90" customFormat="1" ht="16.5" customHeight="1"/>
    <row r="482" s="90" customFormat="1" ht="16.5" customHeight="1"/>
    <row r="483" s="90" customFormat="1" ht="16.5" customHeight="1"/>
    <row r="484" s="90" customFormat="1" ht="16.5" customHeight="1"/>
    <row r="485" s="90" customFormat="1" ht="16.5" customHeight="1"/>
    <row r="486" s="90" customFormat="1" ht="16.5" customHeight="1"/>
    <row r="487" s="90" customFormat="1" ht="16.5" customHeight="1"/>
    <row r="488" s="90" customFormat="1" ht="16.5" customHeight="1"/>
    <row r="489" s="90" customFormat="1" ht="16.5" customHeight="1"/>
    <row r="490" s="90" customFormat="1" ht="16.5" customHeight="1"/>
    <row r="491" s="90" customFormat="1" ht="16.5" customHeight="1"/>
    <row r="492" s="90" customFormat="1" ht="16.5" customHeight="1"/>
    <row r="493" s="90" customFormat="1" ht="16.5" customHeight="1"/>
    <row r="494" s="90" customFormat="1" ht="16.5" customHeight="1"/>
    <row r="495" s="90" customFormat="1" ht="16.5" customHeight="1"/>
    <row r="496" s="90" customFormat="1" ht="16.5" customHeight="1"/>
    <row r="497" s="90" customFormat="1" ht="16.5" customHeight="1"/>
    <row r="498" s="90" customFormat="1" ht="16.5" customHeight="1"/>
    <row r="499" s="90" customFormat="1" ht="16.5" customHeight="1"/>
    <row r="500" s="90" customFormat="1" ht="16.5" customHeight="1"/>
    <row r="501" s="90" customFormat="1" ht="16.5" customHeight="1"/>
    <row r="502" s="90" customFormat="1" ht="16.5" customHeight="1"/>
    <row r="503" s="90" customFormat="1" ht="16.5" customHeight="1"/>
    <row r="504" s="90" customFormat="1" ht="16.5" customHeight="1"/>
    <row r="505" s="90" customFormat="1" ht="16.5" customHeight="1"/>
    <row r="506" s="90" customFormat="1" ht="16.5" customHeight="1"/>
    <row r="507" s="90" customFormat="1" ht="16.5" customHeight="1"/>
    <row r="508" s="90" customFormat="1" ht="16.5" customHeight="1"/>
    <row r="509" s="90" customFormat="1" ht="16.5" customHeight="1"/>
    <row r="510" s="90" customFormat="1" ht="16.5" customHeight="1"/>
    <row r="511" s="90" customFormat="1" ht="16.5" customHeight="1"/>
    <row r="512" s="90" customFormat="1" ht="16.5" customHeight="1"/>
    <row r="513" s="90" customFormat="1" ht="16.5" customHeight="1"/>
    <row r="514" s="90" customFormat="1" ht="16.5" customHeight="1"/>
    <row r="515" s="90" customFormat="1" ht="16.5" customHeight="1"/>
    <row r="516" s="90" customFormat="1" ht="16.5" customHeight="1"/>
    <row r="517" s="90" customFormat="1" ht="16.5" customHeight="1"/>
    <row r="518" s="90" customFormat="1" ht="16.5" customHeight="1"/>
    <row r="519" s="90" customFormat="1" ht="16.5" customHeight="1"/>
    <row r="520" s="90" customFormat="1" ht="16.5" customHeight="1"/>
    <row r="521" s="90" customFormat="1" ht="16.5" customHeight="1"/>
    <row r="522" s="90" customFormat="1" ht="16.5" customHeight="1"/>
    <row r="523" s="90" customFormat="1" ht="16.5" customHeight="1"/>
    <row r="524" s="90" customFormat="1" ht="16.5" customHeight="1"/>
    <row r="525" s="90" customFormat="1" ht="16.5" customHeight="1"/>
    <row r="526" s="90" customFormat="1" ht="16.5" customHeight="1"/>
    <row r="527" s="90" customFormat="1" ht="16.5" customHeight="1"/>
    <row r="528" s="90" customFormat="1" ht="16.5" customHeight="1"/>
    <row r="529" s="90" customFormat="1" ht="16.5" customHeight="1"/>
    <row r="530" s="90" customFormat="1" ht="16.5" customHeight="1"/>
    <row r="531" s="90" customFormat="1" ht="16.5" customHeight="1"/>
    <row r="532" s="90" customFormat="1" ht="16.5" customHeight="1"/>
    <row r="533" s="90" customFormat="1" ht="16.5" customHeight="1"/>
    <row r="534" s="90" customFormat="1" ht="16.5" customHeight="1"/>
    <row r="535" s="90" customFormat="1" ht="16.5" customHeight="1"/>
    <row r="536" s="90" customFormat="1" ht="16.5" customHeight="1"/>
    <row r="537" s="90" customFormat="1" ht="16.5" customHeight="1"/>
    <row r="538" s="90" customFormat="1" ht="16.5" customHeight="1"/>
    <row r="539" s="90" customFormat="1" ht="16.5" customHeight="1"/>
    <row r="540" s="90" customFormat="1" ht="16.5" customHeight="1"/>
    <row r="541" s="90" customFormat="1" ht="16.5" customHeight="1"/>
    <row r="542" s="90" customFormat="1" ht="16.5" customHeight="1"/>
    <row r="543" s="90" customFormat="1" ht="16.5" customHeight="1"/>
    <row r="544" s="90" customFormat="1" ht="16.5" customHeight="1"/>
    <row r="545" s="90" customFormat="1" ht="16.5" customHeight="1"/>
    <row r="546" s="90" customFormat="1" ht="16.5" customHeight="1"/>
    <row r="547" s="90" customFormat="1" ht="16.5" customHeight="1"/>
    <row r="548" s="90" customFormat="1" ht="16.5" customHeight="1"/>
    <row r="549" s="90" customFormat="1" ht="16.5" customHeight="1"/>
    <row r="550" s="90" customFormat="1" ht="16.5" customHeight="1"/>
    <row r="551" s="90" customFormat="1" ht="16.5" customHeight="1"/>
    <row r="552" s="90" customFormat="1" ht="16.5" customHeight="1"/>
    <row r="553" s="90" customFormat="1" ht="16.5" customHeight="1"/>
    <row r="554" s="90" customFormat="1" ht="16.5" customHeight="1"/>
    <row r="555" s="90" customFormat="1" ht="16.5" customHeight="1"/>
    <row r="556" s="90" customFormat="1" ht="16.5" customHeight="1"/>
    <row r="557" s="90" customFormat="1" ht="16.5" customHeight="1"/>
    <row r="558" s="90" customFormat="1" ht="16.5" customHeight="1"/>
    <row r="559" s="90" customFormat="1" ht="16.5" customHeight="1"/>
    <row r="560" s="90" customFormat="1" ht="16.5" customHeight="1"/>
    <row r="561" s="90" customFormat="1" ht="16.5" customHeight="1"/>
    <row r="562" s="90" customFormat="1" ht="16.5" customHeight="1"/>
    <row r="563" s="90" customFormat="1" ht="16.5" customHeight="1"/>
    <row r="564" s="90" customFormat="1" ht="16.5" customHeight="1"/>
    <row r="565" s="90" customFormat="1" ht="16.5" customHeight="1"/>
    <row r="566" s="90" customFormat="1" ht="16.5" customHeight="1"/>
    <row r="567" s="90" customFormat="1" ht="16.5" customHeight="1"/>
    <row r="568" s="90" customFormat="1" ht="16.5" customHeight="1"/>
    <row r="569" s="90" customFormat="1" ht="16.5" customHeight="1"/>
    <row r="570" s="90" customFormat="1" ht="16.5" customHeight="1"/>
    <row r="571" s="90" customFormat="1" ht="16.5" customHeight="1"/>
    <row r="572" s="90" customFormat="1" ht="16.5" customHeight="1"/>
    <row r="573" s="90" customFormat="1" ht="16.5" customHeight="1"/>
    <row r="574" s="90" customFormat="1" ht="16.5" customHeight="1"/>
    <row r="575" s="90" customFormat="1" ht="16.5" customHeight="1"/>
    <row r="576" s="90" customFormat="1" ht="16.5" customHeight="1"/>
    <row r="577" s="90" customFormat="1" ht="16.5" customHeight="1"/>
    <row r="578" s="90" customFormat="1" ht="16.5" customHeight="1"/>
    <row r="579" s="90" customFormat="1" ht="16.5" customHeight="1"/>
    <row r="580" s="90" customFormat="1" ht="16.5" customHeight="1"/>
    <row r="581" s="90" customFormat="1" ht="16.5" customHeight="1"/>
    <row r="582" s="90" customFormat="1" ht="16.5" customHeight="1"/>
    <row r="583" s="90" customFormat="1" ht="16.5" customHeight="1"/>
    <row r="584" s="90" customFormat="1" ht="16.5" customHeight="1"/>
    <row r="585" s="90" customFormat="1" ht="16.5" customHeight="1"/>
    <row r="586" s="90" customFormat="1" ht="16.5" customHeight="1"/>
    <row r="587" s="90" customFormat="1" ht="16.5" customHeight="1"/>
    <row r="588" s="90" customFormat="1" ht="16.5" customHeight="1"/>
    <row r="589" s="90" customFormat="1" ht="16.5" customHeight="1"/>
    <row r="590" s="90" customFormat="1" ht="16.5" customHeight="1"/>
    <row r="591" s="90" customFormat="1" ht="16.5" customHeight="1"/>
    <row r="592" s="90" customFormat="1" ht="16.5" customHeight="1"/>
    <row r="593" s="90" customFormat="1" ht="16.5" customHeight="1"/>
    <row r="594" s="90" customFormat="1" ht="16.5" customHeight="1"/>
    <row r="595" s="90" customFormat="1" ht="16.5" customHeight="1"/>
    <row r="596" s="90" customFormat="1" ht="16.5" customHeight="1"/>
    <row r="597" s="90" customFormat="1" ht="16.5" customHeight="1"/>
    <row r="598" s="90" customFormat="1" ht="16.5" customHeight="1"/>
    <row r="599" s="90" customFormat="1" ht="16.5" customHeight="1"/>
    <row r="600" s="90" customFormat="1" ht="16.5" customHeight="1"/>
    <row r="601" s="90" customFormat="1" ht="16.5" customHeight="1"/>
    <row r="602" s="90" customFormat="1" ht="16.5" customHeight="1"/>
    <row r="603" s="90" customFormat="1" ht="16.5" customHeight="1"/>
    <row r="604" s="90" customFormat="1" ht="16.5" customHeight="1"/>
    <row r="605" s="90" customFormat="1" ht="16.5" customHeight="1"/>
    <row r="606" s="90" customFormat="1" ht="16.5" customHeight="1"/>
    <row r="607" s="90" customFormat="1" ht="16.5" customHeight="1"/>
    <row r="608" s="90" customFormat="1" ht="16.5" customHeight="1"/>
    <row r="609" s="90" customFormat="1" ht="16.5" customHeight="1"/>
    <row r="610" s="90" customFormat="1" ht="16.5" customHeight="1"/>
    <row r="611" s="90" customFormat="1" ht="16.5" customHeight="1"/>
    <row r="612" s="90" customFormat="1" ht="16.5" customHeight="1"/>
    <row r="613" s="90" customFormat="1" ht="16.5" customHeight="1"/>
    <row r="614" s="90" customFormat="1" ht="16.5" customHeight="1"/>
    <row r="615" s="90" customFormat="1" ht="16.5" customHeight="1"/>
    <row r="616" s="90" customFormat="1" ht="16.5" customHeight="1"/>
    <row r="617" s="90" customFormat="1" ht="16.5" customHeight="1"/>
    <row r="618" s="90" customFormat="1" ht="16.5" customHeight="1"/>
    <row r="619" s="90" customFormat="1" ht="16.5" customHeight="1"/>
    <row r="620" s="90" customFormat="1" ht="16.5" customHeight="1"/>
    <row r="621" s="90" customFormat="1" ht="16.5" customHeight="1"/>
    <row r="622" s="90" customFormat="1" ht="16.5" customHeight="1"/>
    <row r="623" s="90" customFormat="1" ht="16.5" customHeight="1"/>
    <row r="624" s="90" customFormat="1" ht="16.5" customHeight="1"/>
    <row r="625" s="90" customFormat="1" ht="16.5" customHeight="1"/>
    <row r="626" s="90" customFormat="1" ht="16.5" customHeight="1"/>
    <row r="627" s="90" customFormat="1" ht="16.5" customHeight="1"/>
    <row r="628" s="90" customFormat="1" ht="16.5" customHeight="1"/>
    <row r="629" s="90" customFormat="1" ht="16.5" customHeight="1"/>
    <row r="630" s="90" customFormat="1" ht="16.5" customHeight="1"/>
    <row r="631" s="90" customFormat="1" ht="16.5" customHeight="1"/>
    <row r="632" s="90" customFormat="1" ht="16.5" customHeight="1"/>
    <row r="633" s="90" customFormat="1" ht="16.5" customHeight="1"/>
    <row r="634" s="90" customFormat="1" ht="16.5" customHeight="1"/>
    <row r="635" s="90" customFormat="1" ht="16.5" customHeight="1"/>
    <row r="636" s="90" customFormat="1" ht="16.5" customHeight="1"/>
    <row r="637" s="90" customFormat="1" ht="16.5" customHeight="1"/>
    <row r="638" s="90" customFormat="1" ht="16.5" customHeight="1"/>
    <row r="639" s="90" customFormat="1" ht="16.5" customHeight="1"/>
    <row r="640" s="90" customFormat="1" ht="16.5" customHeight="1"/>
    <row r="641" s="90" customFormat="1" ht="16.5" customHeight="1"/>
    <row r="642" s="90" customFormat="1" ht="16.5" customHeight="1"/>
    <row r="643" s="90" customFormat="1" ht="16.5" customHeight="1"/>
    <row r="644" s="90" customFormat="1" ht="16.5" customHeight="1"/>
    <row r="645" s="90" customFormat="1" ht="16.5" customHeight="1"/>
    <row r="646" s="90" customFormat="1" ht="16.5" customHeight="1"/>
    <row r="647" s="90" customFormat="1" ht="16.5" customHeight="1"/>
    <row r="648" s="90" customFormat="1" ht="16.5" customHeight="1"/>
    <row r="649" s="90" customFormat="1" ht="16.5" customHeight="1"/>
    <row r="650" s="90" customFormat="1" ht="16.5" customHeight="1"/>
    <row r="651" s="90" customFormat="1" ht="16.5" customHeight="1"/>
    <row r="652" s="90" customFormat="1" ht="16.5" customHeight="1"/>
    <row r="653" s="90" customFormat="1" ht="16.5" customHeight="1"/>
    <row r="654" s="90" customFormat="1" ht="16.5" customHeight="1"/>
    <row r="655" s="90" customFormat="1" ht="16.5" customHeight="1"/>
    <row r="656" s="90" customFormat="1" ht="16.5" customHeight="1"/>
    <row r="657" s="90" customFormat="1" ht="16.5" customHeight="1"/>
    <row r="658" s="90" customFormat="1" ht="16.5" customHeight="1"/>
    <row r="659" s="90" customFormat="1" ht="16.5" customHeight="1"/>
    <row r="660" s="90" customFormat="1" ht="16.5" customHeight="1"/>
    <row r="661" s="90" customFormat="1" ht="16.5" customHeight="1"/>
    <row r="662" s="90" customFormat="1" ht="16.5" customHeight="1"/>
    <row r="663" s="90" customFormat="1" ht="16.5" customHeight="1"/>
    <row r="664" s="90" customFormat="1" ht="16.5" customHeight="1"/>
    <row r="665" s="90" customFormat="1" ht="16.5" customHeight="1"/>
    <row r="666" s="90" customFormat="1" ht="16.5" customHeight="1"/>
    <row r="667" s="90" customFormat="1" ht="16.5" customHeight="1"/>
    <row r="668" s="90" customFormat="1" ht="16.5" customHeight="1"/>
    <row r="669" s="90" customFormat="1" ht="16.5" customHeight="1"/>
    <row r="670" s="90" customFormat="1" ht="16.5" customHeight="1"/>
    <row r="671" s="90" customFormat="1" ht="16.5" customHeight="1"/>
    <row r="672" s="90" customFormat="1" ht="16.5" customHeight="1"/>
    <row r="673" s="90" customFormat="1" ht="16.5" customHeight="1"/>
    <row r="674" s="90" customFormat="1" ht="16.5" customHeight="1"/>
    <row r="675" s="90" customFormat="1" ht="16.5" customHeight="1"/>
    <row r="676" s="90" customFormat="1" ht="16.5" customHeight="1"/>
    <row r="677" s="90" customFormat="1" ht="16.5" customHeight="1"/>
    <row r="678" s="90" customFormat="1" ht="16.5" customHeight="1"/>
    <row r="679" s="90" customFormat="1" ht="16.5" customHeight="1"/>
    <row r="680" s="90" customFormat="1" ht="16.5" customHeight="1"/>
    <row r="681" s="90" customFormat="1" ht="16.5" customHeight="1"/>
    <row r="682" s="90" customFormat="1" ht="16.5" customHeight="1"/>
    <row r="683" s="90" customFormat="1" ht="16.5" customHeight="1"/>
    <row r="684" s="90" customFormat="1" ht="16.5" customHeight="1"/>
    <row r="685" s="90" customFormat="1" ht="16.5" customHeight="1"/>
    <row r="686" s="90" customFormat="1" ht="16.5" customHeight="1"/>
    <row r="687" s="90" customFormat="1" ht="16.5" customHeight="1"/>
    <row r="688" s="90" customFormat="1" ht="16.5" customHeight="1"/>
    <row r="689" s="90" customFormat="1" ht="16.5" customHeight="1"/>
    <row r="690" s="90" customFormat="1" ht="16.5" customHeight="1"/>
    <row r="691" s="90" customFormat="1" ht="16.5" customHeight="1"/>
    <row r="692" s="90" customFormat="1" ht="16.5" customHeight="1"/>
    <row r="693" s="90" customFormat="1" ht="16.5" customHeight="1"/>
    <row r="694" s="90" customFormat="1" ht="16.5" customHeight="1"/>
    <row r="695" s="90" customFormat="1" ht="16.5" customHeight="1"/>
    <row r="696" s="90" customFormat="1" ht="16.5" customHeight="1"/>
    <row r="697" s="90" customFormat="1" ht="16.5" customHeight="1"/>
    <row r="698" s="90" customFormat="1" ht="16.5" customHeight="1"/>
    <row r="699" s="90" customFormat="1" ht="16.5" customHeight="1"/>
    <row r="700" s="90" customFormat="1" ht="16.5" customHeight="1"/>
    <row r="701" s="90" customFormat="1" ht="16.5" customHeight="1"/>
    <row r="702" s="90" customFormat="1" ht="16.5" customHeight="1"/>
    <row r="703" s="90" customFormat="1" ht="16.5" customHeight="1"/>
    <row r="704" s="90" customFormat="1" ht="16.5" customHeight="1"/>
    <row r="705" s="90" customFormat="1" ht="16.5" customHeight="1"/>
    <row r="706" s="90" customFormat="1" ht="16.5" customHeight="1"/>
    <row r="707" s="90" customFormat="1" ht="16.5" customHeight="1"/>
    <row r="708" s="90" customFormat="1" ht="16.5" customHeight="1"/>
    <row r="709" s="90" customFormat="1" ht="16.5" customHeight="1"/>
    <row r="710" s="90" customFormat="1" ht="16.5" customHeight="1"/>
    <row r="711" s="90" customFormat="1" ht="16.5" customHeight="1"/>
    <row r="712" s="90" customFormat="1" ht="16.5" customHeight="1"/>
    <row r="713" s="90" customFormat="1" ht="16.5" customHeight="1"/>
    <row r="714" s="90" customFormat="1" ht="16.5" customHeight="1"/>
    <row r="715" s="90" customFormat="1" ht="16.5" customHeight="1"/>
    <row r="716" s="90" customFormat="1" ht="16.5" customHeight="1"/>
    <row r="717" s="90" customFormat="1" ht="16.5" customHeight="1"/>
    <row r="718" s="90" customFormat="1" ht="16.5" customHeight="1"/>
    <row r="719" s="90" customFormat="1" ht="16.5" customHeight="1"/>
    <row r="720" s="90" customFormat="1" ht="16.5" customHeight="1"/>
    <row r="721" s="90" customFormat="1" ht="16.5" customHeight="1"/>
    <row r="722" s="90" customFormat="1" ht="16.5" customHeight="1"/>
    <row r="723" s="90" customFormat="1" ht="16.5" customHeight="1"/>
    <row r="724" s="90" customFormat="1" ht="16.5" customHeight="1"/>
    <row r="725" s="90" customFormat="1" ht="16.5" customHeight="1"/>
    <row r="726" s="90" customFormat="1" ht="16.5" customHeight="1"/>
    <row r="727" s="90" customFormat="1" ht="16.5" customHeight="1"/>
    <row r="728" s="90" customFormat="1" ht="16.5" customHeight="1"/>
    <row r="729" s="90" customFormat="1" ht="16.5" customHeight="1"/>
    <row r="730" s="90" customFormat="1" ht="16.5" customHeight="1"/>
    <row r="731" s="90" customFormat="1" ht="16.5" customHeight="1"/>
    <row r="732" s="90" customFormat="1" ht="16.5" customHeight="1"/>
    <row r="733" s="90" customFormat="1" ht="16.5" customHeight="1"/>
    <row r="734" s="90" customFormat="1" ht="16.5" customHeight="1"/>
    <row r="735" s="90" customFormat="1" ht="16.5" customHeight="1"/>
    <row r="736" s="90" customFormat="1" ht="16.5" customHeight="1"/>
    <row r="737" s="90" customFormat="1" ht="16.5" customHeight="1"/>
    <row r="738" s="90" customFormat="1" ht="16.5" customHeight="1"/>
    <row r="739" s="90" customFormat="1" ht="16.5" customHeight="1"/>
    <row r="740" s="90" customFormat="1" ht="16.5" customHeight="1"/>
    <row r="741" s="90" customFormat="1" ht="16.5" customHeight="1"/>
    <row r="742" s="90" customFormat="1" ht="16.5" customHeight="1"/>
    <row r="743" s="90" customFormat="1" ht="16.5" customHeight="1"/>
    <row r="744" s="90" customFormat="1" ht="16.5" customHeight="1"/>
    <row r="745" s="90" customFormat="1" ht="16.5" customHeight="1"/>
    <row r="746" s="90" customFormat="1" ht="16.5" customHeight="1"/>
    <row r="747" s="90" customFormat="1" ht="16.5" customHeight="1"/>
    <row r="748" s="90" customFormat="1" ht="16.5" customHeight="1"/>
    <row r="749" s="90" customFormat="1" ht="16.5" customHeight="1"/>
    <row r="750" s="90" customFormat="1" ht="16.5" customHeight="1"/>
    <row r="751" s="90" customFormat="1" ht="16.5" customHeight="1"/>
    <row r="752" s="90" customFormat="1" ht="16.5" customHeight="1"/>
    <row r="753" s="90" customFormat="1" ht="16.5" customHeight="1"/>
    <row r="754" s="90" customFormat="1" ht="16.5" customHeight="1"/>
    <row r="755" s="90" customFormat="1" ht="16.5" customHeight="1"/>
    <row r="756" s="90" customFormat="1" ht="16.5" customHeight="1"/>
    <row r="757" s="90" customFormat="1" ht="16.5" customHeight="1"/>
    <row r="758" s="90" customFormat="1" ht="16.5" customHeight="1"/>
    <row r="759" s="90" customFormat="1" ht="16.5" customHeight="1"/>
    <row r="760" s="90" customFormat="1" ht="16.5" customHeight="1"/>
    <row r="761" s="90" customFormat="1" ht="16.5" customHeight="1"/>
    <row r="762" s="90" customFormat="1" ht="16.5" customHeight="1"/>
    <row r="763" s="90" customFormat="1" ht="16.5" customHeight="1"/>
    <row r="764" s="90" customFormat="1" ht="16.5" customHeight="1"/>
    <row r="765" s="90" customFormat="1" ht="16.5" customHeight="1"/>
    <row r="766" s="90" customFormat="1" ht="16.5" customHeight="1"/>
    <row r="767" s="90" customFormat="1" ht="16.5" customHeight="1"/>
    <row r="768" s="90" customFormat="1" ht="16.5" customHeight="1"/>
    <row r="769" s="90" customFormat="1" ht="16.5" customHeight="1"/>
    <row r="770" s="90" customFormat="1" ht="16.5" customHeight="1"/>
    <row r="771" s="90" customFormat="1" ht="16.5" customHeight="1"/>
    <row r="772" s="90" customFormat="1" ht="16.5" customHeight="1"/>
    <row r="773" s="90" customFormat="1" ht="16.5" customHeight="1"/>
    <row r="774" s="90" customFormat="1" ht="16.5" customHeight="1"/>
    <row r="775" s="90" customFormat="1" ht="16.5" customHeight="1"/>
    <row r="776" s="90" customFormat="1" ht="16.5" customHeight="1"/>
    <row r="777" s="90" customFormat="1" ht="16.5" customHeight="1"/>
    <row r="778" s="90" customFormat="1" ht="16.5" customHeight="1"/>
    <row r="779" s="90" customFormat="1" ht="16.5" customHeight="1"/>
    <row r="780" s="90" customFormat="1" ht="16.5" customHeight="1"/>
    <row r="781" s="90" customFormat="1" ht="16.5" customHeight="1"/>
    <row r="782" s="90" customFormat="1" ht="16.5" customHeight="1"/>
    <row r="783" s="90" customFormat="1" ht="16.5" customHeight="1"/>
    <row r="784" s="90" customFormat="1" ht="16.5" customHeight="1"/>
    <row r="785" s="90" customFormat="1" ht="16.5" customHeight="1"/>
    <row r="786" s="90" customFormat="1" ht="16.5" customHeight="1"/>
    <row r="787" s="90" customFormat="1" ht="16.5" customHeight="1"/>
    <row r="788" s="90" customFormat="1" ht="16.5" customHeight="1"/>
    <row r="789" s="90" customFormat="1" ht="16.5" customHeight="1"/>
    <row r="790" s="90" customFormat="1" ht="16.5" customHeight="1"/>
    <row r="791" s="90" customFormat="1" ht="16.5" customHeight="1"/>
    <row r="792" s="90" customFormat="1" ht="16.5" customHeight="1"/>
    <row r="793" s="90" customFormat="1" ht="16.5" customHeight="1"/>
    <row r="794" s="90" customFormat="1" ht="16.5" customHeight="1"/>
    <row r="795" s="90" customFormat="1" ht="16.5" customHeight="1"/>
    <row r="796" s="90" customFormat="1" ht="16.5" customHeight="1"/>
    <row r="797" s="90" customFormat="1" ht="16.5" customHeight="1"/>
    <row r="798" s="90" customFormat="1" ht="16.5" customHeight="1"/>
    <row r="799" s="90" customFormat="1" ht="16.5" customHeight="1"/>
    <row r="800" s="90" customFormat="1" ht="16.5" customHeight="1"/>
    <row r="801" s="90" customFormat="1" ht="16.5" customHeight="1"/>
    <row r="802" s="90" customFormat="1" ht="16.5" customHeight="1"/>
    <row r="803" s="90" customFormat="1" ht="16.5" customHeight="1"/>
    <row r="804" s="90" customFormat="1" ht="16.5" customHeight="1"/>
    <row r="805" s="90" customFormat="1" ht="16.5" customHeight="1"/>
    <row r="806" s="90" customFormat="1" ht="16.5" customHeight="1"/>
    <row r="807" s="90" customFormat="1" ht="16.5" customHeight="1"/>
    <row r="808" s="90" customFormat="1" ht="16.5" customHeight="1"/>
    <row r="809" s="90" customFormat="1" ht="16.5" customHeight="1"/>
    <row r="810" s="90" customFormat="1" ht="16.5" customHeight="1"/>
    <row r="811" s="90" customFormat="1" ht="16.5" customHeight="1"/>
    <row r="812" s="90" customFormat="1" ht="16.5" customHeight="1"/>
    <row r="813" s="90" customFormat="1" ht="16.5" customHeight="1"/>
    <row r="814" s="90" customFormat="1" ht="16.5" customHeight="1"/>
    <row r="815" s="90" customFormat="1" ht="16.5" customHeight="1"/>
    <row r="816" s="90" customFormat="1" ht="16.5" customHeight="1"/>
    <row r="817" s="90" customFormat="1" ht="16.5" customHeight="1"/>
    <row r="818" s="90" customFormat="1" ht="16.5" customHeight="1"/>
    <row r="819" s="90" customFormat="1" ht="16.5" customHeight="1"/>
    <row r="820" s="90" customFormat="1" ht="16.5" customHeight="1"/>
    <row r="821" s="90" customFormat="1" ht="16.5" customHeight="1"/>
    <row r="822" s="90" customFormat="1" ht="16.5" customHeight="1"/>
    <row r="823" s="90" customFormat="1" ht="16.5" customHeight="1"/>
    <row r="824" s="90" customFormat="1" ht="16.5" customHeight="1"/>
    <row r="825" s="90" customFormat="1" ht="16.5" customHeight="1"/>
    <row r="826" s="90" customFormat="1" ht="16.5" customHeight="1"/>
    <row r="827" s="90" customFormat="1" ht="16.5" customHeight="1"/>
    <row r="828" s="90" customFormat="1" ht="16.5" customHeight="1"/>
    <row r="829" s="90" customFormat="1" ht="16.5" customHeight="1"/>
    <row r="830" s="90" customFormat="1" ht="16.5" customHeight="1"/>
    <row r="831" s="90" customFormat="1" ht="16.5" customHeight="1"/>
    <row r="832" s="90" customFormat="1" ht="16.5" customHeight="1"/>
    <row r="833" s="90" customFormat="1" ht="16.5" customHeight="1"/>
    <row r="834" s="90" customFormat="1" ht="16.5" customHeight="1"/>
    <row r="835" s="90" customFormat="1" ht="16.5" customHeight="1"/>
    <row r="836" s="90" customFormat="1" ht="16.5" customHeight="1"/>
    <row r="837" s="90" customFormat="1" ht="16.5" customHeight="1"/>
    <row r="838" s="90" customFormat="1" ht="16.5" customHeight="1"/>
    <row r="839" s="90" customFormat="1" ht="16.5" customHeight="1"/>
    <row r="840" s="90" customFormat="1" ht="16.5" customHeight="1"/>
    <row r="841" s="90" customFormat="1" ht="16.5" customHeight="1"/>
    <row r="842" s="90" customFormat="1" ht="16.5" customHeight="1"/>
    <row r="843" s="90" customFormat="1" ht="16.5" customHeight="1"/>
    <row r="844" s="90" customFormat="1" ht="16.5" customHeight="1"/>
    <row r="845" s="90" customFormat="1" ht="16.5" customHeight="1"/>
    <row r="846" s="90" customFormat="1" ht="16.5" customHeight="1"/>
    <row r="847" s="90" customFormat="1" ht="16.5" customHeight="1"/>
    <row r="848" s="90" customFormat="1" ht="16.5" customHeight="1"/>
    <row r="849" s="90" customFormat="1" ht="16.5" customHeight="1"/>
    <row r="850" s="90" customFormat="1" ht="16.5" customHeight="1"/>
    <row r="851" s="90" customFormat="1" ht="16.5" customHeight="1"/>
    <row r="852" s="90" customFormat="1" ht="16.5" customHeight="1"/>
    <row r="853" s="90" customFormat="1" ht="16.5" customHeight="1"/>
    <row r="854" s="90" customFormat="1" ht="16.5" customHeight="1"/>
    <row r="855" s="90" customFormat="1" ht="16.5" customHeight="1"/>
    <row r="856" s="90" customFormat="1" ht="16.5" customHeight="1"/>
    <row r="857" s="90" customFormat="1" ht="16.5" customHeight="1"/>
    <row r="858" s="90" customFormat="1" ht="16.5" customHeight="1"/>
    <row r="859" s="90" customFormat="1" ht="16.5" customHeight="1"/>
    <row r="860" s="90" customFormat="1" ht="16.5" customHeight="1"/>
    <row r="861" s="90" customFormat="1" ht="16.5" customHeight="1"/>
    <row r="862" s="90" customFormat="1" ht="16.5" customHeight="1"/>
    <row r="863" s="90" customFormat="1" ht="16.5" customHeight="1"/>
    <row r="864" s="90" customFormat="1" ht="16.5" customHeight="1"/>
    <row r="865" s="90" customFormat="1" ht="16.5" customHeight="1"/>
    <row r="866" s="90" customFormat="1" ht="16.5" customHeight="1"/>
    <row r="867" s="90" customFormat="1" ht="16.5" customHeight="1"/>
    <row r="868" s="90" customFormat="1" ht="16.5" customHeight="1"/>
    <row r="869" s="90" customFormat="1" ht="16.5" customHeight="1"/>
    <row r="870" s="90" customFormat="1" ht="16.5" customHeight="1"/>
    <row r="871" s="90" customFormat="1" ht="16.5" customHeight="1"/>
    <row r="872" s="90" customFormat="1" ht="16.5" customHeight="1"/>
    <row r="873" s="90" customFormat="1" ht="16.5" customHeight="1"/>
    <row r="874" s="90" customFormat="1" ht="16.5" customHeight="1"/>
    <row r="875" s="90" customFormat="1" ht="16.5" customHeight="1"/>
    <row r="876" s="90" customFormat="1" ht="16.5" customHeight="1"/>
    <row r="877" s="90" customFormat="1" ht="16.5" customHeight="1"/>
    <row r="878" s="90" customFormat="1" ht="16.5" customHeight="1"/>
    <row r="879" s="90" customFormat="1" ht="16.5" customHeight="1"/>
    <row r="880" s="90" customFormat="1" ht="16.5" customHeight="1"/>
    <row r="881" s="90" customFormat="1" ht="16.5" customHeight="1"/>
    <row r="882" s="90" customFormat="1" ht="16.5" customHeight="1"/>
    <row r="883" s="90" customFormat="1" ht="16.5" customHeight="1"/>
    <row r="884" s="90" customFormat="1" ht="16.5" customHeight="1"/>
    <row r="885" s="90" customFormat="1" ht="16.5" customHeight="1"/>
    <row r="886" s="90" customFormat="1" ht="16.5" customHeight="1"/>
    <row r="887" s="90" customFormat="1" ht="16.5" customHeight="1"/>
    <row r="888" s="90" customFormat="1" ht="16.5" customHeight="1"/>
    <row r="889" s="90" customFormat="1" ht="16.5" customHeight="1"/>
    <row r="890" s="90" customFormat="1" ht="16.5" customHeight="1"/>
    <row r="891" s="90" customFormat="1" ht="16.5" customHeight="1"/>
    <row r="892" s="90" customFormat="1" ht="16.5" customHeight="1"/>
    <row r="893" s="90" customFormat="1" ht="16.5" customHeight="1"/>
    <row r="894" s="90" customFormat="1" ht="16.5" customHeight="1"/>
    <row r="895" s="90" customFormat="1" ht="16.5" customHeight="1"/>
    <row r="896" s="90" customFormat="1" ht="16.5" customHeight="1"/>
    <row r="897" s="90" customFormat="1" ht="16.5" customHeight="1"/>
    <row r="898" s="90" customFormat="1" ht="16.5" customHeight="1"/>
    <row r="899" s="90" customFormat="1" ht="16.5" customHeight="1"/>
    <row r="900" s="90" customFormat="1" ht="16.5" customHeight="1"/>
    <row r="901" s="90" customFormat="1" ht="16.5" customHeight="1"/>
    <row r="902" s="90" customFormat="1" ht="16.5" customHeight="1"/>
    <row r="903" s="90" customFormat="1" ht="16.5" customHeight="1"/>
    <row r="904" s="90" customFormat="1" ht="16.5" customHeight="1"/>
    <row r="905" s="90" customFormat="1" ht="16.5" customHeight="1"/>
    <row r="906" s="90" customFormat="1" ht="16.5" customHeight="1"/>
    <row r="907" s="90" customFormat="1" ht="16.5" customHeight="1"/>
    <row r="908" s="90" customFormat="1" ht="16.5" customHeight="1"/>
    <row r="909" s="90" customFormat="1" ht="16.5" customHeight="1"/>
    <row r="910" s="90" customFormat="1" ht="16.5" customHeight="1"/>
    <row r="911" s="90" customFormat="1" ht="16.5" customHeight="1"/>
    <row r="912" s="90" customFormat="1" ht="16.5" customHeight="1"/>
    <row r="913" s="90" customFormat="1" ht="16.5" customHeight="1"/>
    <row r="914" s="90" customFormat="1" ht="16.5" customHeight="1"/>
    <row r="915" s="90" customFormat="1" ht="16.5" customHeight="1"/>
    <row r="916" s="90" customFormat="1" ht="16.5" customHeight="1"/>
    <row r="917" s="90" customFormat="1" ht="16.5" customHeight="1"/>
    <row r="918" s="90" customFormat="1" ht="16.5" customHeight="1"/>
    <row r="919" s="90" customFormat="1" ht="16.5" customHeight="1"/>
    <row r="920" s="90" customFormat="1" ht="16.5" customHeight="1"/>
    <row r="921" s="90" customFormat="1" ht="16.5" customHeight="1"/>
    <row r="922" s="90" customFormat="1" ht="16.5" customHeight="1"/>
    <row r="923" s="90" customFormat="1" ht="16.5" customHeight="1"/>
    <row r="924" s="90" customFormat="1" ht="16.5" customHeight="1"/>
    <row r="925" s="90" customFormat="1" ht="16.5" customHeight="1"/>
    <row r="926" s="90" customFormat="1" ht="16.5" customHeight="1"/>
    <row r="927" s="90" customFormat="1" ht="16.5" customHeight="1"/>
    <row r="928" s="90" customFormat="1" ht="16.5" customHeight="1"/>
    <row r="929" s="90" customFormat="1" ht="16.5" customHeight="1"/>
    <row r="930" s="90" customFormat="1" ht="16.5" customHeight="1"/>
    <row r="931" s="90" customFormat="1" ht="16.5" customHeight="1"/>
    <row r="932" s="90" customFormat="1" ht="16.5" customHeight="1"/>
    <row r="933" s="90" customFormat="1" ht="16.5" customHeight="1"/>
    <row r="934" s="90" customFormat="1" ht="16.5" customHeight="1"/>
    <row r="935" s="90" customFormat="1" ht="16.5" customHeight="1"/>
    <row r="936" s="90" customFormat="1" ht="16.5" customHeight="1"/>
    <row r="937" s="90" customFormat="1" ht="16.5" customHeight="1"/>
    <row r="938" s="90" customFormat="1" ht="16.5" customHeight="1"/>
    <row r="939" s="90" customFormat="1" ht="16.5" customHeight="1"/>
    <row r="940" s="90" customFormat="1" ht="16.5" customHeight="1"/>
    <row r="941" s="90" customFormat="1" ht="16.5" customHeight="1"/>
    <row r="942" s="90" customFormat="1" ht="16.5" customHeight="1"/>
    <row r="943" s="90" customFormat="1" ht="16.5" customHeight="1"/>
    <row r="944" s="90" customFormat="1" ht="16.5" customHeight="1"/>
    <row r="945" s="90" customFormat="1" ht="16.5" customHeight="1"/>
    <row r="946" s="90" customFormat="1" ht="16.5" customHeight="1"/>
    <row r="947" s="90" customFormat="1" ht="16.5" customHeight="1"/>
    <row r="948" s="90" customFormat="1" ht="16.5" customHeight="1"/>
    <row r="949" s="90" customFormat="1" ht="16.5" customHeight="1"/>
    <row r="950" s="90" customFormat="1" ht="16.5" customHeight="1"/>
    <row r="951" s="90" customFormat="1" ht="16.5" customHeight="1"/>
    <row r="952" s="90" customFormat="1" ht="16.5" customHeight="1"/>
    <row r="953" s="90" customFormat="1" ht="16.5" customHeight="1"/>
    <row r="954" s="90" customFormat="1" ht="16.5" customHeight="1"/>
    <row r="955" s="90" customFormat="1" ht="16.5" customHeight="1"/>
    <row r="956" s="90" customFormat="1" ht="16.5" customHeight="1"/>
    <row r="957" s="90" customFormat="1" ht="16.5" customHeight="1"/>
    <row r="958" s="90" customFormat="1" ht="16.5" customHeight="1"/>
    <row r="959" s="90" customFormat="1" ht="16.5" customHeight="1"/>
    <row r="960" s="90" customFormat="1" ht="16.5" customHeight="1"/>
    <row r="961" s="90" customFormat="1" ht="16.5" customHeight="1"/>
    <row r="962" s="90" customFormat="1" ht="16.5" customHeight="1"/>
    <row r="963" s="90" customFormat="1" ht="16.5" customHeight="1"/>
    <row r="964" s="90" customFormat="1" ht="16.5" customHeight="1"/>
    <row r="965" s="90" customFormat="1" ht="16.5" customHeight="1"/>
    <row r="966" s="90" customFormat="1" ht="16.5" customHeight="1"/>
    <row r="967" s="90" customFormat="1" ht="16.5" customHeight="1"/>
    <row r="968" s="90" customFormat="1" ht="16.5" customHeight="1"/>
    <row r="969" s="90" customFormat="1" ht="16.5" customHeight="1"/>
    <row r="970" s="90" customFormat="1" ht="16.5" customHeight="1"/>
    <row r="971" s="90" customFormat="1" ht="16.5" customHeight="1"/>
    <row r="972" s="90" customFormat="1" ht="16.5" customHeight="1"/>
    <row r="973" s="90" customFormat="1" ht="16.5" customHeight="1"/>
    <row r="974" s="90" customFormat="1" ht="16.5" customHeight="1"/>
    <row r="975" s="90" customFormat="1" ht="16.5" customHeight="1"/>
    <row r="976" s="90" customFormat="1" ht="16.5" customHeight="1"/>
    <row r="977" s="90" customFormat="1" ht="16.5" customHeight="1"/>
    <row r="978" s="90" customFormat="1" ht="16.5" customHeight="1"/>
    <row r="979" s="90" customFormat="1" ht="16.5" customHeight="1"/>
    <row r="980" s="90" customFormat="1" ht="16.5" customHeight="1"/>
    <row r="981" s="90" customFormat="1" ht="16.5" customHeight="1"/>
    <row r="982" s="90" customFormat="1" ht="16.5" customHeight="1"/>
    <row r="983" s="90" customFormat="1" ht="16.5" customHeight="1"/>
    <row r="984" s="90" customFormat="1" ht="16.5" customHeight="1"/>
    <row r="985" s="90" customFormat="1" ht="16.5" customHeight="1"/>
    <row r="986" s="90" customFormat="1" ht="16.5" customHeight="1"/>
    <row r="987" s="90" customFormat="1" ht="16.5" customHeight="1"/>
    <row r="988" s="90" customFormat="1" ht="16.5" customHeight="1"/>
    <row r="989" s="90" customFormat="1" ht="16.5" customHeight="1"/>
    <row r="990" s="90" customFormat="1" ht="16.5" customHeight="1"/>
    <row r="991" s="90" customFormat="1" ht="16.5" customHeight="1"/>
    <row r="992" s="90" customFormat="1" ht="16.5" customHeight="1"/>
    <row r="993" s="90" customFormat="1" ht="16.5" customHeight="1"/>
    <row r="994" s="90" customFormat="1" ht="16.5" customHeight="1"/>
    <row r="995" s="90" customFormat="1" ht="16.5" customHeight="1"/>
    <row r="996" s="90" customFormat="1" ht="16.5" customHeight="1"/>
    <row r="997" s="90" customFormat="1" ht="16.5" customHeight="1"/>
    <row r="998" s="90" customFormat="1" ht="16.5" customHeight="1"/>
    <row r="999" s="90" customFormat="1" ht="16.5" customHeight="1"/>
    <row r="1000" s="90" customFormat="1" ht="16.5" customHeight="1"/>
  </sheetData>
  <phoneticPr fontId="12" type="noConversion"/>
  <pageMargins left="0.7" right="0.7" top="0.75" bottom="0.75" header="0" footer="0"/>
  <pageSetup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1F497D"/>
  </sheetPr>
  <dimension ref="A1:AG1000"/>
  <sheetViews>
    <sheetView workbookViewId="0">
      <selection activeCell="O31" sqref="O31"/>
    </sheetView>
  </sheetViews>
  <sheetFormatPr defaultColWidth="14.453125" defaultRowHeight="15" customHeight="1"/>
  <cols>
    <col min="1" max="1" width="13.453125" style="90" customWidth="1"/>
    <col min="2" max="31" width="7.453125" style="90" customWidth="1"/>
    <col min="32" max="33" width="9.26953125" style="90" customWidth="1"/>
    <col min="34" max="16384" width="14.453125" style="90"/>
  </cols>
  <sheetData>
    <row r="1" spans="1:33" ht="16.5" customHeight="1">
      <c r="A1" s="89" t="s">
        <v>178</v>
      </c>
      <c r="B1" s="89">
        <v>2021</v>
      </c>
      <c r="C1" s="89">
        <v>2022</v>
      </c>
      <c r="D1" s="89">
        <v>2023</v>
      </c>
      <c r="E1" s="89">
        <v>2024</v>
      </c>
      <c r="F1" s="89">
        <v>2025</v>
      </c>
      <c r="G1" s="89">
        <v>2026</v>
      </c>
      <c r="H1" s="89">
        <v>2027</v>
      </c>
      <c r="I1" s="89">
        <v>2028</v>
      </c>
      <c r="J1" s="89">
        <v>2029</v>
      </c>
      <c r="K1" s="89">
        <v>2030</v>
      </c>
      <c r="L1" s="89">
        <v>2031</v>
      </c>
      <c r="M1" s="89">
        <v>2032</v>
      </c>
      <c r="N1" s="89">
        <v>2033</v>
      </c>
      <c r="O1" s="89">
        <v>2034</v>
      </c>
      <c r="P1" s="89">
        <v>2035</v>
      </c>
      <c r="Q1" s="89">
        <v>2036</v>
      </c>
      <c r="R1" s="89">
        <v>2037</v>
      </c>
      <c r="S1" s="89">
        <v>2038</v>
      </c>
      <c r="T1" s="89">
        <v>2039</v>
      </c>
      <c r="U1" s="89">
        <v>2040</v>
      </c>
      <c r="V1" s="89">
        <v>2041</v>
      </c>
      <c r="W1" s="89">
        <v>2042</v>
      </c>
      <c r="X1" s="89">
        <v>2043</v>
      </c>
      <c r="Y1" s="89">
        <v>2044</v>
      </c>
      <c r="Z1" s="89">
        <v>2045</v>
      </c>
      <c r="AA1" s="89">
        <v>2046</v>
      </c>
      <c r="AB1" s="89">
        <v>2047</v>
      </c>
      <c r="AC1" s="89">
        <v>2048</v>
      </c>
      <c r="AD1" s="89">
        <v>2049</v>
      </c>
      <c r="AE1" s="89">
        <v>2050</v>
      </c>
    </row>
    <row r="2" spans="1:33" ht="16.5" customHeight="1">
      <c r="A2" s="89" t="s">
        <v>199</v>
      </c>
      <c r="B2" s="89">
        <v>0</v>
      </c>
      <c r="C2" s="89">
        <v>0</v>
      </c>
      <c r="D2" s="89">
        <v>0</v>
      </c>
      <c r="E2" s="89">
        <v>0</v>
      </c>
      <c r="F2" s="89">
        <v>0</v>
      </c>
      <c r="G2" s="89">
        <v>0</v>
      </c>
      <c r="H2" s="89">
        <v>0</v>
      </c>
      <c r="I2" s="89">
        <v>0</v>
      </c>
      <c r="J2" s="89">
        <v>0</v>
      </c>
      <c r="K2" s="89">
        <v>0</v>
      </c>
      <c r="L2" s="89">
        <v>0</v>
      </c>
      <c r="M2" s="89">
        <v>0</v>
      </c>
      <c r="N2" s="89">
        <v>0</v>
      </c>
      <c r="O2" s="89">
        <v>0</v>
      </c>
      <c r="P2" s="89">
        <v>0</v>
      </c>
      <c r="Q2" s="89">
        <v>0</v>
      </c>
      <c r="R2" s="89">
        <v>0</v>
      </c>
      <c r="S2" s="89">
        <v>0</v>
      </c>
      <c r="T2" s="89">
        <v>0</v>
      </c>
      <c r="U2" s="89">
        <v>0</v>
      </c>
      <c r="V2" s="89">
        <v>0</v>
      </c>
      <c r="W2" s="89">
        <v>0</v>
      </c>
      <c r="X2" s="89">
        <v>0</v>
      </c>
      <c r="Y2" s="89">
        <v>0</v>
      </c>
      <c r="Z2" s="89">
        <v>0</v>
      </c>
      <c r="AA2" s="89">
        <v>0</v>
      </c>
      <c r="AB2" s="89">
        <v>0</v>
      </c>
      <c r="AC2" s="89">
        <v>0</v>
      </c>
      <c r="AD2" s="89">
        <v>0</v>
      </c>
      <c r="AE2" s="89">
        <v>0</v>
      </c>
    </row>
    <row r="3" spans="1:33" ht="16.5" customHeight="1">
      <c r="A3" s="89" t="s">
        <v>200</v>
      </c>
      <c r="B3" s="89">
        <v>0</v>
      </c>
      <c r="C3" s="89">
        <v>0</v>
      </c>
      <c r="D3" s="89">
        <v>0</v>
      </c>
      <c r="E3" s="89">
        <v>0</v>
      </c>
      <c r="F3" s="89">
        <v>0</v>
      </c>
      <c r="G3" s="89">
        <v>0</v>
      </c>
      <c r="H3" s="89">
        <v>0</v>
      </c>
      <c r="I3" s="89">
        <v>0</v>
      </c>
      <c r="J3" s="89">
        <v>0</v>
      </c>
      <c r="K3" s="89">
        <v>0</v>
      </c>
      <c r="L3" s="89">
        <v>0</v>
      </c>
      <c r="M3" s="89">
        <v>0</v>
      </c>
      <c r="N3" s="89">
        <v>0</v>
      </c>
      <c r="O3" s="89">
        <v>0</v>
      </c>
      <c r="P3" s="89">
        <v>0</v>
      </c>
      <c r="Q3" s="89">
        <v>0</v>
      </c>
      <c r="R3" s="89">
        <v>0</v>
      </c>
      <c r="S3" s="89">
        <v>0</v>
      </c>
      <c r="T3" s="89">
        <v>0</v>
      </c>
      <c r="U3" s="89">
        <v>0</v>
      </c>
      <c r="V3" s="89">
        <v>0</v>
      </c>
      <c r="W3" s="89">
        <v>0</v>
      </c>
      <c r="X3" s="89">
        <v>0</v>
      </c>
      <c r="Y3" s="89">
        <v>0</v>
      </c>
      <c r="Z3" s="89">
        <v>0</v>
      </c>
      <c r="AA3" s="89">
        <v>0</v>
      </c>
      <c r="AB3" s="89">
        <v>0</v>
      </c>
      <c r="AC3" s="89">
        <v>0</v>
      </c>
      <c r="AD3" s="89">
        <v>0</v>
      </c>
      <c r="AE3" s="89">
        <v>0</v>
      </c>
      <c r="AF3" s="91"/>
      <c r="AG3" s="91"/>
    </row>
    <row r="4" spans="1:33" ht="16.5" customHeight="1">
      <c r="A4" s="89" t="s">
        <v>201</v>
      </c>
      <c r="B4" s="89">
        <v>0</v>
      </c>
      <c r="C4" s="89">
        <v>0</v>
      </c>
      <c r="D4" s="89">
        <v>0</v>
      </c>
      <c r="E4" s="89">
        <v>0</v>
      </c>
      <c r="F4" s="89">
        <v>0</v>
      </c>
      <c r="G4" s="89">
        <v>0</v>
      </c>
      <c r="H4" s="89">
        <v>0</v>
      </c>
      <c r="I4" s="89">
        <v>0</v>
      </c>
      <c r="J4" s="89">
        <v>0</v>
      </c>
      <c r="K4" s="89">
        <v>0</v>
      </c>
      <c r="L4" s="89">
        <v>0</v>
      </c>
      <c r="M4" s="89">
        <v>0</v>
      </c>
      <c r="N4" s="89">
        <v>0</v>
      </c>
      <c r="O4" s="89">
        <v>0</v>
      </c>
      <c r="P4" s="89">
        <v>0</v>
      </c>
      <c r="Q4" s="89">
        <v>0</v>
      </c>
      <c r="R4" s="89">
        <v>0</v>
      </c>
      <c r="S4" s="89">
        <v>0</v>
      </c>
      <c r="T4" s="89">
        <v>0</v>
      </c>
      <c r="U4" s="89">
        <v>0</v>
      </c>
      <c r="V4" s="89">
        <v>0</v>
      </c>
      <c r="W4" s="89">
        <v>0</v>
      </c>
      <c r="X4" s="89">
        <v>0</v>
      </c>
      <c r="Y4" s="89">
        <v>0</v>
      </c>
      <c r="Z4" s="89">
        <v>0</v>
      </c>
      <c r="AA4" s="89">
        <v>0</v>
      </c>
      <c r="AB4" s="89">
        <v>0</v>
      </c>
      <c r="AC4" s="89">
        <v>0</v>
      </c>
      <c r="AD4" s="89">
        <v>0</v>
      </c>
      <c r="AE4" s="89">
        <v>0</v>
      </c>
      <c r="AF4" s="91"/>
      <c r="AG4" s="91"/>
    </row>
    <row r="5" spans="1:33" ht="16.5" customHeight="1">
      <c r="A5" s="89" t="s">
        <v>124</v>
      </c>
      <c r="B5" s="89">
        <v>0</v>
      </c>
      <c r="C5" s="89">
        <v>0</v>
      </c>
      <c r="D5" s="89">
        <v>0</v>
      </c>
      <c r="E5" s="89">
        <v>0</v>
      </c>
      <c r="F5" s="89">
        <v>0</v>
      </c>
      <c r="G5" s="89">
        <v>0</v>
      </c>
      <c r="H5" s="89">
        <v>0</v>
      </c>
      <c r="I5" s="89">
        <v>0</v>
      </c>
      <c r="J5" s="89">
        <v>0</v>
      </c>
      <c r="K5" s="89">
        <v>0</v>
      </c>
      <c r="L5" s="89">
        <v>0</v>
      </c>
      <c r="M5" s="89">
        <v>0</v>
      </c>
      <c r="N5" s="89">
        <v>0</v>
      </c>
      <c r="O5" s="89">
        <v>0</v>
      </c>
      <c r="P5" s="89">
        <v>0</v>
      </c>
      <c r="Q5" s="89">
        <v>0</v>
      </c>
      <c r="R5" s="89">
        <v>0</v>
      </c>
      <c r="S5" s="89">
        <v>0</v>
      </c>
      <c r="T5" s="89">
        <v>0</v>
      </c>
      <c r="U5" s="89">
        <v>0</v>
      </c>
      <c r="V5" s="89">
        <v>0</v>
      </c>
      <c r="W5" s="89">
        <v>0</v>
      </c>
      <c r="X5" s="89">
        <v>0</v>
      </c>
      <c r="Y5" s="89">
        <v>0</v>
      </c>
      <c r="Z5" s="89">
        <v>0</v>
      </c>
      <c r="AA5" s="89">
        <v>0</v>
      </c>
      <c r="AB5" s="89">
        <v>0</v>
      </c>
      <c r="AC5" s="89">
        <v>0</v>
      </c>
      <c r="AD5" s="89">
        <v>0</v>
      </c>
      <c r="AE5" s="89">
        <v>0</v>
      </c>
    </row>
    <row r="6" spans="1:33" ht="16.5" customHeight="1">
      <c r="A6" s="89" t="s">
        <v>123</v>
      </c>
      <c r="B6" s="89">
        <v>0</v>
      </c>
      <c r="C6" s="89">
        <v>0</v>
      </c>
      <c r="D6" s="89">
        <v>0</v>
      </c>
      <c r="E6" s="89">
        <v>0</v>
      </c>
      <c r="F6" s="89">
        <v>0</v>
      </c>
      <c r="G6" s="89">
        <v>0</v>
      </c>
      <c r="H6" s="89">
        <v>0</v>
      </c>
      <c r="I6" s="89">
        <v>0</v>
      </c>
      <c r="J6" s="89">
        <v>0</v>
      </c>
      <c r="K6" s="89">
        <v>0</v>
      </c>
      <c r="L6" s="89">
        <v>0</v>
      </c>
      <c r="M6" s="89">
        <v>0</v>
      </c>
      <c r="N6" s="89">
        <v>0</v>
      </c>
      <c r="O6" s="89">
        <v>0</v>
      </c>
      <c r="P6" s="89">
        <v>0</v>
      </c>
      <c r="Q6" s="89">
        <v>0</v>
      </c>
      <c r="R6" s="89">
        <v>0</v>
      </c>
      <c r="S6" s="89">
        <v>0</v>
      </c>
      <c r="T6" s="89">
        <v>0</v>
      </c>
      <c r="U6" s="89">
        <v>0</v>
      </c>
      <c r="V6" s="89">
        <v>0</v>
      </c>
      <c r="W6" s="89">
        <v>0</v>
      </c>
      <c r="X6" s="89">
        <v>0</v>
      </c>
      <c r="Y6" s="89">
        <v>0</v>
      </c>
      <c r="Z6" s="89">
        <v>0</v>
      </c>
      <c r="AA6" s="89">
        <v>0</v>
      </c>
      <c r="AB6" s="89">
        <v>0</v>
      </c>
      <c r="AC6" s="89">
        <v>0</v>
      </c>
      <c r="AD6" s="89">
        <v>0</v>
      </c>
      <c r="AE6" s="89">
        <v>0</v>
      </c>
    </row>
    <row r="7" spans="1:33" ht="16.5" customHeight="1">
      <c r="A7" s="89" t="s">
        <v>202</v>
      </c>
      <c r="B7" s="89">
        <v>0</v>
      </c>
      <c r="C7" s="89">
        <v>0</v>
      </c>
      <c r="D7" s="89">
        <v>0</v>
      </c>
      <c r="E7" s="89">
        <v>0</v>
      </c>
      <c r="F7" s="89">
        <v>0</v>
      </c>
      <c r="G7" s="89">
        <v>0</v>
      </c>
      <c r="H7" s="89">
        <v>0</v>
      </c>
      <c r="I7" s="89">
        <v>0</v>
      </c>
      <c r="J7" s="89">
        <v>0</v>
      </c>
      <c r="K7" s="89">
        <v>0</v>
      </c>
      <c r="L7" s="89">
        <v>0</v>
      </c>
      <c r="M7" s="89">
        <v>0</v>
      </c>
      <c r="N7" s="89">
        <v>0</v>
      </c>
      <c r="O7" s="89">
        <v>0</v>
      </c>
      <c r="P7" s="89">
        <v>0</v>
      </c>
      <c r="Q7" s="89">
        <v>0</v>
      </c>
      <c r="R7" s="89">
        <v>0</v>
      </c>
      <c r="S7" s="89">
        <v>0</v>
      </c>
      <c r="T7" s="89">
        <v>0</v>
      </c>
      <c r="U7" s="89">
        <v>0</v>
      </c>
      <c r="V7" s="89">
        <v>0</v>
      </c>
      <c r="W7" s="89">
        <v>0</v>
      </c>
      <c r="X7" s="89">
        <v>0</v>
      </c>
      <c r="Y7" s="89">
        <v>0</v>
      </c>
      <c r="Z7" s="89">
        <v>0</v>
      </c>
      <c r="AA7" s="89">
        <v>0</v>
      </c>
      <c r="AB7" s="89">
        <v>0</v>
      </c>
      <c r="AC7" s="89">
        <v>0</v>
      </c>
      <c r="AD7" s="89">
        <v>0</v>
      </c>
      <c r="AE7" s="89">
        <v>0</v>
      </c>
    </row>
    <row r="8" spans="1:33" ht="16.5" customHeight="1">
      <c r="A8" s="89" t="s">
        <v>203</v>
      </c>
      <c r="B8" s="89">
        <v>0</v>
      </c>
      <c r="C8" s="89">
        <v>0</v>
      </c>
      <c r="D8" s="89">
        <v>0</v>
      </c>
      <c r="E8" s="89">
        <v>0</v>
      </c>
      <c r="F8" s="89">
        <v>0</v>
      </c>
      <c r="G8" s="89">
        <v>0</v>
      </c>
      <c r="H8" s="89">
        <v>0</v>
      </c>
      <c r="I8" s="89">
        <v>0</v>
      </c>
      <c r="J8" s="89">
        <v>0</v>
      </c>
      <c r="K8" s="89">
        <v>0</v>
      </c>
      <c r="L8" s="89">
        <v>0</v>
      </c>
      <c r="M8" s="89">
        <v>0</v>
      </c>
      <c r="N8" s="89">
        <v>0</v>
      </c>
      <c r="O8" s="89">
        <v>0</v>
      </c>
      <c r="P8" s="89">
        <v>0</v>
      </c>
      <c r="Q8" s="89">
        <v>0</v>
      </c>
      <c r="R8" s="89">
        <v>0</v>
      </c>
      <c r="S8" s="89">
        <v>0</v>
      </c>
      <c r="T8" s="89">
        <v>0</v>
      </c>
      <c r="U8" s="89">
        <v>0</v>
      </c>
      <c r="V8" s="89">
        <v>0</v>
      </c>
      <c r="W8" s="89">
        <v>0</v>
      </c>
      <c r="X8" s="89">
        <v>0</v>
      </c>
      <c r="Y8" s="89">
        <v>0</v>
      </c>
      <c r="Z8" s="89">
        <v>0</v>
      </c>
      <c r="AA8" s="89">
        <v>0</v>
      </c>
      <c r="AB8" s="89">
        <v>0</v>
      </c>
      <c r="AC8" s="89">
        <v>0</v>
      </c>
      <c r="AD8" s="89">
        <v>0</v>
      </c>
      <c r="AE8" s="89">
        <v>0</v>
      </c>
    </row>
    <row r="9" spans="1:33" ht="16.5" customHeight="1">
      <c r="A9" s="89" t="s">
        <v>204</v>
      </c>
      <c r="B9" s="89">
        <v>0</v>
      </c>
      <c r="C9" s="89">
        <v>0</v>
      </c>
      <c r="D9" s="89">
        <v>0</v>
      </c>
      <c r="E9" s="89">
        <v>0</v>
      </c>
      <c r="F9" s="89">
        <v>0</v>
      </c>
      <c r="G9" s="89">
        <v>0</v>
      </c>
      <c r="H9" s="89">
        <v>0</v>
      </c>
      <c r="I9" s="89">
        <v>0</v>
      </c>
      <c r="J9" s="89">
        <v>0</v>
      </c>
      <c r="K9" s="89">
        <v>0</v>
      </c>
      <c r="L9" s="89">
        <v>0</v>
      </c>
      <c r="M9" s="89">
        <v>0</v>
      </c>
      <c r="N9" s="89">
        <v>0</v>
      </c>
      <c r="O9" s="89">
        <v>0</v>
      </c>
      <c r="P9" s="89">
        <v>0</v>
      </c>
      <c r="Q9" s="89">
        <v>0</v>
      </c>
      <c r="R9" s="89">
        <v>0</v>
      </c>
      <c r="S9" s="89">
        <v>0</v>
      </c>
      <c r="T9" s="89">
        <v>0</v>
      </c>
      <c r="U9" s="89">
        <v>0</v>
      </c>
      <c r="V9" s="89">
        <v>0</v>
      </c>
      <c r="W9" s="89">
        <v>0</v>
      </c>
      <c r="X9" s="89">
        <v>0</v>
      </c>
      <c r="Y9" s="89">
        <v>0</v>
      </c>
      <c r="Z9" s="89">
        <v>0</v>
      </c>
      <c r="AA9" s="89">
        <v>0</v>
      </c>
      <c r="AB9" s="89">
        <v>0</v>
      </c>
      <c r="AC9" s="89">
        <v>0</v>
      </c>
      <c r="AD9" s="89">
        <v>0</v>
      </c>
      <c r="AE9" s="89">
        <v>0</v>
      </c>
    </row>
    <row r="10" spans="1:33" ht="16.5" customHeight="1">
      <c r="A10" s="89" t="s">
        <v>205</v>
      </c>
      <c r="B10" s="89">
        <v>0</v>
      </c>
      <c r="C10" s="89">
        <v>0</v>
      </c>
      <c r="D10" s="89">
        <v>0</v>
      </c>
      <c r="E10" s="89">
        <v>0</v>
      </c>
      <c r="F10" s="89">
        <v>0</v>
      </c>
      <c r="G10" s="89">
        <v>0</v>
      </c>
      <c r="H10" s="89">
        <v>0</v>
      </c>
      <c r="I10" s="89">
        <v>0</v>
      </c>
      <c r="J10" s="89">
        <v>0</v>
      </c>
      <c r="K10" s="89">
        <v>0</v>
      </c>
      <c r="L10" s="89">
        <v>0</v>
      </c>
      <c r="M10" s="89">
        <v>0</v>
      </c>
      <c r="N10" s="89">
        <v>0</v>
      </c>
      <c r="O10" s="89">
        <v>0</v>
      </c>
      <c r="P10" s="89">
        <v>0</v>
      </c>
      <c r="Q10" s="89">
        <v>0</v>
      </c>
      <c r="R10" s="89">
        <v>0</v>
      </c>
      <c r="S10" s="89">
        <v>0</v>
      </c>
      <c r="T10" s="89">
        <v>0</v>
      </c>
      <c r="U10" s="89">
        <v>0</v>
      </c>
      <c r="V10" s="89">
        <v>0</v>
      </c>
      <c r="W10" s="89">
        <v>0</v>
      </c>
      <c r="X10" s="89">
        <v>0</v>
      </c>
      <c r="Y10" s="89">
        <v>0</v>
      </c>
      <c r="Z10" s="89">
        <v>0</v>
      </c>
      <c r="AA10" s="89">
        <v>0</v>
      </c>
      <c r="AB10" s="89">
        <v>0</v>
      </c>
      <c r="AC10" s="89">
        <v>0</v>
      </c>
      <c r="AD10" s="89">
        <v>0</v>
      </c>
      <c r="AE10" s="89">
        <v>0</v>
      </c>
      <c r="AF10" s="91"/>
      <c r="AG10" s="91"/>
    </row>
    <row r="11" spans="1:33" ht="16.5" customHeight="1">
      <c r="A11" s="89" t="s">
        <v>206</v>
      </c>
      <c r="B11" s="89">
        <v>0</v>
      </c>
      <c r="C11" s="89">
        <v>0</v>
      </c>
      <c r="D11" s="89">
        <v>0</v>
      </c>
      <c r="E11" s="89">
        <v>0</v>
      </c>
      <c r="F11" s="89">
        <v>0</v>
      </c>
      <c r="G11" s="89">
        <v>0</v>
      </c>
      <c r="H11" s="89">
        <v>0</v>
      </c>
      <c r="I11" s="89">
        <v>0</v>
      </c>
      <c r="J11" s="89">
        <v>0</v>
      </c>
      <c r="K11" s="89">
        <v>0</v>
      </c>
      <c r="L11" s="89">
        <v>0</v>
      </c>
      <c r="M11" s="89">
        <v>0</v>
      </c>
      <c r="N11" s="89">
        <v>0</v>
      </c>
      <c r="O11" s="89">
        <v>0</v>
      </c>
      <c r="P11" s="89">
        <v>0</v>
      </c>
      <c r="Q11" s="89">
        <v>0</v>
      </c>
      <c r="R11" s="89">
        <v>0</v>
      </c>
      <c r="S11" s="89">
        <v>0</v>
      </c>
      <c r="T11" s="89">
        <v>0</v>
      </c>
      <c r="U11" s="89">
        <v>0</v>
      </c>
      <c r="V11" s="89">
        <v>0</v>
      </c>
      <c r="W11" s="89">
        <v>0</v>
      </c>
      <c r="X11" s="89">
        <v>0</v>
      </c>
      <c r="Y11" s="89">
        <v>0</v>
      </c>
      <c r="Z11" s="89">
        <v>0</v>
      </c>
      <c r="AA11" s="89">
        <v>0</v>
      </c>
      <c r="AB11" s="89">
        <v>0</v>
      </c>
      <c r="AC11" s="89">
        <v>0</v>
      </c>
      <c r="AD11" s="89">
        <v>0</v>
      </c>
      <c r="AE11" s="89">
        <v>0</v>
      </c>
      <c r="AF11" s="91"/>
      <c r="AG11" s="91"/>
    </row>
    <row r="12" spans="1:33" ht="16.5" customHeight="1">
      <c r="A12" s="89" t="s">
        <v>207</v>
      </c>
      <c r="B12" s="89">
        <v>0</v>
      </c>
      <c r="C12" s="89">
        <v>0</v>
      </c>
      <c r="D12" s="89">
        <v>0</v>
      </c>
      <c r="E12" s="89">
        <v>0</v>
      </c>
      <c r="F12" s="89">
        <v>0</v>
      </c>
      <c r="G12" s="89">
        <v>0</v>
      </c>
      <c r="H12" s="89">
        <v>0</v>
      </c>
      <c r="I12" s="89">
        <v>0</v>
      </c>
      <c r="J12" s="89">
        <v>0</v>
      </c>
      <c r="K12" s="89">
        <v>0</v>
      </c>
      <c r="L12" s="89">
        <v>0</v>
      </c>
      <c r="M12" s="89">
        <v>0</v>
      </c>
      <c r="N12" s="89">
        <v>0</v>
      </c>
      <c r="O12" s="89">
        <v>0</v>
      </c>
      <c r="P12" s="89">
        <v>0</v>
      </c>
      <c r="Q12" s="89">
        <v>0</v>
      </c>
      <c r="R12" s="89">
        <v>0</v>
      </c>
      <c r="S12" s="89">
        <v>0</v>
      </c>
      <c r="T12" s="89">
        <v>0</v>
      </c>
      <c r="U12" s="89">
        <v>0</v>
      </c>
      <c r="V12" s="89">
        <v>0</v>
      </c>
      <c r="W12" s="89">
        <v>0</v>
      </c>
      <c r="X12" s="89">
        <v>0</v>
      </c>
      <c r="Y12" s="89">
        <v>0</v>
      </c>
      <c r="Z12" s="89">
        <v>0</v>
      </c>
      <c r="AA12" s="89">
        <v>0</v>
      </c>
      <c r="AB12" s="89">
        <v>0</v>
      </c>
      <c r="AC12" s="89">
        <v>0</v>
      </c>
      <c r="AD12" s="89">
        <v>0</v>
      </c>
      <c r="AE12" s="89">
        <v>0</v>
      </c>
    </row>
    <row r="13" spans="1:33" ht="16.5" customHeight="1">
      <c r="A13" s="89" t="s">
        <v>208</v>
      </c>
      <c r="B13" s="89">
        <v>0</v>
      </c>
      <c r="C13" s="89">
        <v>0</v>
      </c>
      <c r="D13" s="89">
        <v>0</v>
      </c>
      <c r="E13" s="89">
        <v>0</v>
      </c>
      <c r="F13" s="89">
        <v>0</v>
      </c>
      <c r="G13" s="89">
        <v>0</v>
      </c>
      <c r="H13" s="89">
        <v>0</v>
      </c>
      <c r="I13" s="89">
        <v>0</v>
      </c>
      <c r="J13" s="89">
        <v>0</v>
      </c>
      <c r="K13" s="89">
        <v>0</v>
      </c>
      <c r="L13" s="89">
        <v>0</v>
      </c>
      <c r="M13" s="89">
        <v>0</v>
      </c>
      <c r="N13" s="89">
        <v>0</v>
      </c>
      <c r="O13" s="89">
        <v>0</v>
      </c>
      <c r="P13" s="89">
        <v>0</v>
      </c>
      <c r="Q13" s="89">
        <v>0</v>
      </c>
      <c r="R13" s="89">
        <v>0</v>
      </c>
      <c r="S13" s="89">
        <v>0</v>
      </c>
      <c r="T13" s="89">
        <v>0</v>
      </c>
      <c r="U13" s="89">
        <v>0</v>
      </c>
      <c r="V13" s="89">
        <v>0</v>
      </c>
      <c r="W13" s="89">
        <v>0</v>
      </c>
      <c r="X13" s="89">
        <v>0</v>
      </c>
      <c r="Y13" s="89">
        <v>0</v>
      </c>
      <c r="Z13" s="89">
        <v>0</v>
      </c>
      <c r="AA13" s="89">
        <v>0</v>
      </c>
      <c r="AB13" s="89">
        <v>0</v>
      </c>
      <c r="AC13" s="89">
        <v>0</v>
      </c>
      <c r="AD13" s="89">
        <v>0</v>
      </c>
      <c r="AE13" s="89">
        <v>0</v>
      </c>
    </row>
    <row r="14" spans="1:33" ht="16.5" customHeight="1">
      <c r="A14" s="89" t="s">
        <v>209</v>
      </c>
      <c r="B14" s="89">
        <v>0</v>
      </c>
      <c r="C14" s="89">
        <v>0</v>
      </c>
      <c r="D14" s="89">
        <v>0</v>
      </c>
      <c r="E14" s="89">
        <v>0</v>
      </c>
      <c r="F14" s="89">
        <v>0</v>
      </c>
      <c r="G14" s="89">
        <v>0</v>
      </c>
      <c r="H14" s="89">
        <v>0</v>
      </c>
      <c r="I14" s="89">
        <v>0</v>
      </c>
      <c r="J14" s="89">
        <v>0</v>
      </c>
      <c r="K14" s="89">
        <v>0</v>
      </c>
      <c r="L14" s="89">
        <v>0</v>
      </c>
      <c r="M14" s="89">
        <v>0</v>
      </c>
      <c r="N14" s="89">
        <v>0</v>
      </c>
      <c r="O14" s="89">
        <v>0</v>
      </c>
      <c r="P14" s="89">
        <v>0</v>
      </c>
      <c r="Q14" s="89">
        <v>0</v>
      </c>
      <c r="R14" s="89">
        <v>0</v>
      </c>
      <c r="S14" s="89">
        <v>0</v>
      </c>
      <c r="T14" s="89">
        <v>0</v>
      </c>
      <c r="U14" s="89">
        <v>0</v>
      </c>
      <c r="V14" s="89">
        <v>0</v>
      </c>
      <c r="W14" s="89">
        <v>0</v>
      </c>
      <c r="X14" s="89">
        <v>0</v>
      </c>
      <c r="Y14" s="89">
        <v>0</v>
      </c>
      <c r="Z14" s="89">
        <v>0</v>
      </c>
      <c r="AA14" s="89">
        <v>0</v>
      </c>
      <c r="AB14" s="89">
        <v>0</v>
      </c>
      <c r="AC14" s="89">
        <v>0</v>
      </c>
      <c r="AD14" s="89">
        <v>0</v>
      </c>
      <c r="AE14" s="89">
        <v>0</v>
      </c>
      <c r="AF14" s="91"/>
      <c r="AG14" s="91"/>
    </row>
    <row r="15" spans="1:33" ht="16.5" customHeight="1">
      <c r="A15" s="89" t="s">
        <v>210</v>
      </c>
      <c r="B15" s="89">
        <v>0</v>
      </c>
      <c r="C15" s="89">
        <v>0</v>
      </c>
      <c r="D15" s="89">
        <v>0</v>
      </c>
      <c r="E15" s="89">
        <v>0</v>
      </c>
      <c r="F15" s="89">
        <v>0</v>
      </c>
      <c r="G15" s="89">
        <v>0</v>
      </c>
      <c r="H15" s="89">
        <v>0</v>
      </c>
      <c r="I15" s="89">
        <v>0</v>
      </c>
      <c r="J15" s="89">
        <v>0</v>
      </c>
      <c r="K15" s="89">
        <v>0</v>
      </c>
      <c r="L15" s="89">
        <v>0</v>
      </c>
      <c r="M15" s="89">
        <v>0</v>
      </c>
      <c r="N15" s="89">
        <v>0</v>
      </c>
      <c r="O15" s="89">
        <v>0</v>
      </c>
      <c r="P15" s="89">
        <v>0</v>
      </c>
      <c r="Q15" s="89">
        <v>0</v>
      </c>
      <c r="R15" s="89">
        <v>0</v>
      </c>
      <c r="S15" s="89">
        <v>0</v>
      </c>
      <c r="T15" s="89">
        <v>0</v>
      </c>
      <c r="U15" s="89">
        <v>0</v>
      </c>
      <c r="V15" s="89">
        <v>0</v>
      </c>
      <c r="W15" s="89">
        <v>0</v>
      </c>
      <c r="X15" s="89">
        <v>0</v>
      </c>
      <c r="Y15" s="89">
        <v>0</v>
      </c>
      <c r="Z15" s="89">
        <v>0</v>
      </c>
      <c r="AA15" s="89">
        <v>0</v>
      </c>
      <c r="AB15" s="89">
        <v>0</v>
      </c>
      <c r="AC15" s="89">
        <v>0</v>
      </c>
      <c r="AD15" s="89">
        <v>0</v>
      </c>
      <c r="AE15" s="89">
        <v>0</v>
      </c>
    </row>
    <row r="16" spans="1:33" ht="16.5" customHeight="1">
      <c r="A16" s="89" t="s">
        <v>129</v>
      </c>
      <c r="B16" s="89">
        <v>0</v>
      </c>
      <c r="C16" s="89">
        <v>0</v>
      </c>
      <c r="D16" s="89">
        <v>0</v>
      </c>
      <c r="E16" s="89">
        <v>0</v>
      </c>
      <c r="F16" s="89">
        <v>0</v>
      </c>
      <c r="G16" s="89">
        <v>0</v>
      </c>
      <c r="H16" s="89">
        <v>0</v>
      </c>
      <c r="I16" s="89">
        <v>0</v>
      </c>
      <c r="J16" s="89">
        <v>0</v>
      </c>
      <c r="K16" s="89">
        <v>0</v>
      </c>
      <c r="L16" s="89">
        <v>0</v>
      </c>
      <c r="M16" s="89">
        <v>0</v>
      </c>
      <c r="N16" s="89">
        <v>0</v>
      </c>
      <c r="O16" s="89">
        <v>0</v>
      </c>
      <c r="P16" s="89">
        <v>0</v>
      </c>
      <c r="Q16" s="89">
        <v>0</v>
      </c>
      <c r="R16" s="89">
        <v>0</v>
      </c>
      <c r="S16" s="89">
        <v>0</v>
      </c>
      <c r="T16" s="89">
        <v>0</v>
      </c>
      <c r="U16" s="89">
        <v>0</v>
      </c>
      <c r="V16" s="89">
        <v>0</v>
      </c>
      <c r="W16" s="89">
        <v>0</v>
      </c>
      <c r="X16" s="89">
        <v>0</v>
      </c>
      <c r="Y16" s="89">
        <v>0</v>
      </c>
      <c r="Z16" s="89">
        <v>0</v>
      </c>
      <c r="AA16" s="89">
        <v>0</v>
      </c>
      <c r="AB16" s="89">
        <v>0</v>
      </c>
      <c r="AC16" s="89">
        <v>0</v>
      </c>
      <c r="AD16" s="89">
        <v>0</v>
      </c>
      <c r="AE16" s="89">
        <v>0</v>
      </c>
    </row>
    <row r="17" spans="1:33" ht="16.5" customHeight="1">
      <c r="A17" s="89" t="s">
        <v>211</v>
      </c>
      <c r="B17" s="89">
        <v>0</v>
      </c>
      <c r="C17" s="89">
        <v>0</v>
      </c>
      <c r="D17" s="89">
        <v>0</v>
      </c>
      <c r="E17" s="89">
        <v>0</v>
      </c>
      <c r="F17" s="89">
        <v>0</v>
      </c>
      <c r="G17" s="89">
        <v>0</v>
      </c>
      <c r="H17" s="89">
        <v>0</v>
      </c>
      <c r="I17" s="89">
        <v>0</v>
      </c>
      <c r="J17" s="89">
        <v>0</v>
      </c>
      <c r="K17" s="89">
        <v>0</v>
      </c>
      <c r="L17" s="89">
        <v>0</v>
      </c>
      <c r="M17" s="89">
        <v>0</v>
      </c>
      <c r="N17" s="89">
        <v>0</v>
      </c>
      <c r="O17" s="89">
        <v>0</v>
      </c>
      <c r="P17" s="89">
        <v>0</v>
      </c>
      <c r="Q17" s="89">
        <v>0</v>
      </c>
      <c r="R17" s="89">
        <v>0</v>
      </c>
      <c r="S17" s="89">
        <v>0</v>
      </c>
      <c r="T17" s="89">
        <v>0</v>
      </c>
      <c r="U17" s="89">
        <v>0</v>
      </c>
      <c r="V17" s="89">
        <v>0</v>
      </c>
      <c r="W17" s="89">
        <v>0</v>
      </c>
      <c r="X17" s="89">
        <v>0</v>
      </c>
      <c r="Y17" s="89">
        <v>0</v>
      </c>
      <c r="Z17" s="89">
        <v>0</v>
      </c>
      <c r="AA17" s="89">
        <v>0</v>
      </c>
      <c r="AB17" s="89">
        <v>0</v>
      </c>
      <c r="AC17" s="89">
        <v>0</v>
      </c>
      <c r="AD17" s="89">
        <v>0</v>
      </c>
      <c r="AE17" s="89">
        <v>0</v>
      </c>
      <c r="AF17" s="91"/>
      <c r="AG17" s="91"/>
    </row>
    <row r="18" spans="1:33" ht="16.5" customHeight="1">
      <c r="A18" s="89" t="s">
        <v>217</v>
      </c>
      <c r="B18" s="89">
        <v>0</v>
      </c>
      <c r="C18" s="89">
        <v>0</v>
      </c>
      <c r="D18" s="89">
        <v>0</v>
      </c>
      <c r="E18" s="89">
        <v>0</v>
      </c>
      <c r="F18" s="89">
        <v>0</v>
      </c>
      <c r="G18" s="89">
        <v>0</v>
      </c>
      <c r="H18" s="89">
        <v>0</v>
      </c>
      <c r="I18" s="89">
        <v>0</v>
      </c>
      <c r="J18" s="89">
        <v>0</v>
      </c>
      <c r="K18" s="89">
        <v>0</v>
      </c>
      <c r="L18" s="89">
        <v>0</v>
      </c>
      <c r="M18" s="89">
        <v>0</v>
      </c>
      <c r="N18" s="89">
        <v>0</v>
      </c>
      <c r="O18" s="89">
        <v>0</v>
      </c>
      <c r="P18" s="89">
        <v>0</v>
      </c>
      <c r="Q18" s="89">
        <v>0</v>
      </c>
      <c r="R18" s="89">
        <v>0</v>
      </c>
      <c r="S18" s="89">
        <v>0</v>
      </c>
      <c r="T18" s="89">
        <v>0</v>
      </c>
      <c r="U18" s="89">
        <v>0</v>
      </c>
      <c r="V18" s="89">
        <v>0</v>
      </c>
      <c r="W18" s="89">
        <v>0</v>
      </c>
      <c r="X18" s="89">
        <v>0</v>
      </c>
      <c r="Y18" s="89">
        <v>0</v>
      </c>
      <c r="Z18" s="89">
        <v>0</v>
      </c>
      <c r="AA18" s="89">
        <v>0</v>
      </c>
      <c r="AB18" s="89">
        <v>0</v>
      </c>
      <c r="AC18" s="89">
        <v>0</v>
      </c>
      <c r="AD18" s="89">
        <v>0</v>
      </c>
      <c r="AE18" s="89">
        <v>0</v>
      </c>
      <c r="AF18" s="91"/>
      <c r="AG18" s="91"/>
    </row>
    <row r="19" spans="1:33" ht="16.5" customHeight="1">
      <c r="A19" s="89" t="s">
        <v>218</v>
      </c>
      <c r="B19" s="89">
        <v>0</v>
      </c>
      <c r="C19" s="89">
        <v>0</v>
      </c>
      <c r="D19" s="89">
        <v>0</v>
      </c>
      <c r="E19" s="89">
        <v>0</v>
      </c>
      <c r="F19" s="89">
        <v>0</v>
      </c>
      <c r="G19" s="89">
        <v>0</v>
      </c>
      <c r="H19" s="89">
        <v>0</v>
      </c>
      <c r="I19" s="89">
        <v>0</v>
      </c>
      <c r="J19" s="89">
        <v>0</v>
      </c>
      <c r="K19" s="89">
        <v>0</v>
      </c>
      <c r="L19" s="89">
        <v>0</v>
      </c>
      <c r="M19" s="89">
        <v>0</v>
      </c>
      <c r="N19" s="89">
        <v>0</v>
      </c>
      <c r="O19" s="89">
        <v>0</v>
      </c>
      <c r="P19" s="89">
        <v>0</v>
      </c>
      <c r="Q19" s="89">
        <v>0</v>
      </c>
      <c r="R19" s="89">
        <v>0</v>
      </c>
      <c r="S19" s="89">
        <v>0</v>
      </c>
      <c r="T19" s="89">
        <v>0</v>
      </c>
      <c r="U19" s="89">
        <v>0</v>
      </c>
      <c r="V19" s="89">
        <v>0</v>
      </c>
      <c r="W19" s="89">
        <v>0</v>
      </c>
      <c r="X19" s="89">
        <v>0</v>
      </c>
      <c r="Y19" s="89">
        <v>0</v>
      </c>
      <c r="Z19" s="89">
        <v>0</v>
      </c>
      <c r="AA19" s="89">
        <v>0</v>
      </c>
      <c r="AB19" s="89">
        <v>0</v>
      </c>
      <c r="AC19" s="89">
        <v>0</v>
      </c>
      <c r="AD19" s="89">
        <v>0</v>
      </c>
      <c r="AE19" s="89">
        <v>0</v>
      </c>
      <c r="AF19" s="91"/>
      <c r="AG19" s="91"/>
    </row>
    <row r="20" spans="1:33" ht="16.5" customHeight="1">
      <c r="A20" s="89" t="s">
        <v>214</v>
      </c>
      <c r="B20" s="89">
        <v>0</v>
      </c>
      <c r="C20" s="89">
        <v>0</v>
      </c>
      <c r="D20" s="89">
        <v>0</v>
      </c>
      <c r="E20" s="89">
        <v>0</v>
      </c>
      <c r="F20" s="89">
        <v>0</v>
      </c>
      <c r="G20" s="89">
        <v>0</v>
      </c>
      <c r="H20" s="89">
        <v>0</v>
      </c>
      <c r="I20" s="89">
        <v>0</v>
      </c>
      <c r="J20" s="89">
        <v>0</v>
      </c>
      <c r="K20" s="89">
        <v>0</v>
      </c>
      <c r="L20" s="89">
        <v>0</v>
      </c>
      <c r="M20" s="89">
        <v>0</v>
      </c>
      <c r="N20" s="89">
        <v>0</v>
      </c>
      <c r="O20" s="89">
        <v>0</v>
      </c>
      <c r="P20" s="89">
        <v>0</v>
      </c>
      <c r="Q20" s="89">
        <v>0</v>
      </c>
      <c r="R20" s="89">
        <v>0</v>
      </c>
      <c r="S20" s="89">
        <v>0</v>
      </c>
      <c r="T20" s="89">
        <v>0</v>
      </c>
      <c r="U20" s="89">
        <v>0</v>
      </c>
      <c r="V20" s="89">
        <v>0</v>
      </c>
      <c r="W20" s="89">
        <v>0</v>
      </c>
      <c r="X20" s="89">
        <v>0</v>
      </c>
      <c r="Y20" s="89">
        <v>0</v>
      </c>
      <c r="Z20" s="89">
        <v>0</v>
      </c>
      <c r="AA20" s="89">
        <v>0</v>
      </c>
      <c r="AB20" s="89">
        <v>0</v>
      </c>
      <c r="AC20" s="89">
        <v>0</v>
      </c>
      <c r="AD20" s="89">
        <v>0</v>
      </c>
      <c r="AE20" s="89">
        <v>0</v>
      </c>
    </row>
    <row r="21" spans="1:33" ht="16.5" customHeight="1">
      <c r="A21" s="89" t="s">
        <v>215</v>
      </c>
      <c r="B21" s="89">
        <v>0</v>
      </c>
      <c r="C21" s="89">
        <v>0</v>
      </c>
      <c r="D21" s="89">
        <v>0</v>
      </c>
      <c r="E21" s="89">
        <v>0</v>
      </c>
      <c r="F21" s="89">
        <v>0</v>
      </c>
      <c r="G21" s="89">
        <v>0</v>
      </c>
      <c r="H21" s="89">
        <v>0</v>
      </c>
      <c r="I21" s="89">
        <v>0</v>
      </c>
      <c r="J21" s="89">
        <v>0</v>
      </c>
      <c r="K21" s="89">
        <v>0</v>
      </c>
      <c r="L21" s="89">
        <v>0</v>
      </c>
      <c r="M21" s="89">
        <v>0</v>
      </c>
      <c r="N21" s="89">
        <v>0</v>
      </c>
      <c r="O21" s="89">
        <v>0</v>
      </c>
      <c r="P21" s="89">
        <v>0</v>
      </c>
      <c r="Q21" s="89">
        <v>0</v>
      </c>
      <c r="R21" s="89">
        <v>0</v>
      </c>
      <c r="S21" s="89">
        <v>0</v>
      </c>
      <c r="T21" s="89">
        <v>0</v>
      </c>
      <c r="U21" s="89">
        <v>0</v>
      </c>
      <c r="V21" s="89">
        <v>0</v>
      </c>
      <c r="W21" s="89">
        <v>0</v>
      </c>
      <c r="X21" s="89">
        <v>0</v>
      </c>
      <c r="Y21" s="89">
        <v>0</v>
      </c>
      <c r="Z21" s="89">
        <v>0</v>
      </c>
      <c r="AA21" s="89">
        <v>0</v>
      </c>
      <c r="AB21" s="89">
        <v>0</v>
      </c>
      <c r="AC21" s="89">
        <v>0</v>
      </c>
      <c r="AD21" s="89">
        <v>0</v>
      </c>
      <c r="AE21" s="89">
        <v>0</v>
      </c>
    </row>
    <row r="22" spans="1:33" ht="16.5" customHeight="1">
      <c r="A22" s="92" t="s">
        <v>219</v>
      </c>
      <c r="B22" s="89">
        <v>0</v>
      </c>
      <c r="C22" s="89">
        <v>0</v>
      </c>
      <c r="D22" s="89">
        <v>0</v>
      </c>
      <c r="E22" s="89">
        <v>0</v>
      </c>
      <c r="F22" s="89">
        <v>0</v>
      </c>
      <c r="G22" s="89">
        <v>0</v>
      </c>
      <c r="H22" s="89">
        <v>0</v>
      </c>
      <c r="I22" s="89">
        <v>0</v>
      </c>
      <c r="J22" s="89">
        <v>0</v>
      </c>
      <c r="K22" s="89">
        <v>0</v>
      </c>
      <c r="L22" s="89">
        <v>0</v>
      </c>
      <c r="M22" s="89">
        <v>0</v>
      </c>
      <c r="N22" s="89">
        <v>0</v>
      </c>
      <c r="O22" s="89">
        <v>0</v>
      </c>
      <c r="P22" s="89">
        <v>0</v>
      </c>
      <c r="Q22" s="89">
        <v>0</v>
      </c>
      <c r="R22" s="89">
        <v>0</v>
      </c>
      <c r="S22" s="89">
        <v>0</v>
      </c>
      <c r="T22" s="89">
        <v>0</v>
      </c>
      <c r="U22" s="89">
        <v>0</v>
      </c>
      <c r="V22" s="89">
        <v>0</v>
      </c>
      <c r="W22" s="89">
        <v>0</v>
      </c>
      <c r="X22" s="89">
        <v>0</v>
      </c>
      <c r="Y22" s="89">
        <v>0</v>
      </c>
      <c r="Z22" s="89">
        <v>0</v>
      </c>
      <c r="AA22" s="89">
        <v>0</v>
      </c>
      <c r="AB22" s="89">
        <v>0</v>
      </c>
      <c r="AC22" s="89">
        <v>0</v>
      </c>
      <c r="AD22" s="89">
        <v>0</v>
      </c>
      <c r="AE22" s="89">
        <v>0</v>
      </c>
    </row>
    <row r="23" spans="1:33" ht="16.5" customHeight="1"/>
    <row r="24" spans="1:33" ht="16.5" customHeight="1"/>
    <row r="25" spans="1:33" ht="16.5" customHeight="1"/>
    <row r="26" spans="1:33" ht="16.5" customHeight="1"/>
    <row r="27" spans="1:33" ht="16.5" customHeight="1"/>
    <row r="28" spans="1:33" ht="16.5" customHeight="1"/>
    <row r="29" spans="1:33" ht="16.5" customHeight="1"/>
    <row r="30" spans="1:33" ht="16.5" customHeight="1"/>
    <row r="31" spans="1:33" ht="16.5" customHeight="1"/>
    <row r="32" spans="1:33" ht="16.5" customHeight="1"/>
    <row r="33" s="90" customFormat="1" ht="16.5" customHeight="1"/>
    <row r="34" s="90" customFormat="1" ht="16.5" customHeight="1"/>
    <row r="35" s="90" customFormat="1" ht="16.5" customHeight="1"/>
    <row r="36" s="90" customFormat="1" ht="16.5" customHeight="1"/>
    <row r="37" s="90" customFormat="1" ht="16.5" customHeight="1"/>
    <row r="38" s="90" customFormat="1" ht="16.5" customHeight="1"/>
    <row r="39" s="90" customFormat="1" ht="16.5" customHeight="1"/>
    <row r="40" s="90" customFormat="1" ht="16.5" customHeight="1"/>
    <row r="41" s="90" customFormat="1" ht="16.5" customHeight="1"/>
    <row r="42" s="90" customFormat="1" ht="16.5" customHeight="1"/>
    <row r="43" s="90" customFormat="1" ht="16.5" customHeight="1"/>
    <row r="44" s="90" customFormat="1" ht="16.5" customHeight="1"/>
    <row r="45" s="90" customFormat="1" ht="16.5" customHeight="1"/>
    <row r="46" s="90" customFormat="1" ht="16.5" customHeight="1"/>
    <row r="47" s="90" customFormat="1" ht="16.5" customHeight="1"/>
    <row r="48" s="90" customFormat="1" ht="16.5" customHeight="1"/>
    <row r="49" s="90" customFormat="1" ht="16.5" customHeight="1"/>
    <row r="50" s="90" customFormat="1" ht="16.5" customHeight="1"/>
    <row r="51" s="90" customFormat="1" ht="16.5" customHeight="1"/>
    <row r="52" s="90" customFormat="1" ht="16.5" customHeight="1"/>
    <row r="53" s="90" customFormat="1" ht="16.5" customHeight="1"/>
    <row r="54" s="90" customFormat="1" ht="16.5" customHeight="1"/>
    <row r="55" s="90" customFormat="1" ht="16.5" customHeight="1"/>
    <row r="56" s="90" customFormat="1" ht="16.5" customHeight="1"/>
    <row r="57" s="90" customFormat="1" ht="16.5" customHeight="1"/>
    <row r="58" s="90" customFormat="1" ht="16.5" customHeight="1"/>
    <row r="59" s="90" customFormat="1" ht="16.5" customHeight="1"/>
    <row r="60" s="90" customFormat="1" ht="16.5" customHeight="1"/>
    <row r="61" s="90" customFormat="1" ht="16.5" customHeight="1"/>
    <row r="62" s="90" customFormat="1" ht="16.5" customHeight="1"/>
    <row r="63" s="90" customFormat="1" ht="16.5" customHeight="1"/>
    <row r="64" s="90" customFormat="1" ht="16.5" customHeight="1"/>
    <row r="65" s="90" customFormat="1" ht="16.5" customHeight="1"/>
    <row r="66" s="90" customFormat="1" ht="16.5" customHeight="1"/>
    <row r="67" s="90" customFormat="1" ht="16.5" customHeight="1"/>
    <row r="68" s="90" customFormat="1" ht="16.5" customHeight="1"/>
    <row r="69" s="90" customFormat="1" ht="16.5" customHeight="1"/>
    <row r="70" s="90" customFormat="1" ht="16.5" customHeight="1"/>
    <row r="71" s="90" customFormat="1" ht="16.5" customHeight="1"/>
    <row r="72" s="90" customFormat="1" ht="16.5" customHeight="1"/>
    <row r="73" s="90" customFormat="1" ht="16.5" customHeight="1"/>
    <row r="74" s="90" customFormat="1" ht="16.5" customHeight="1"/>
    <row r="75" s="90" customFormat="1" ht="16.5" customHeight="1"/>
    <row r="76" s="90" customFormat="1" ht="16.5" customHeight="1"/>
    <row r="77" s="90" customFormat="1" ht="16.5" customHeight="1"/>
    <row r="78" s="90" customFormat="1" ht="16.5" customHeight="1"/>
    <row r="79" s="90" customFormat="1" ht="16.5" customHeight="1"/>
    <row r="80" s="90" customFormat="1" ht="16.5" customHeight="1"/>
    <row r="81" s="90" customFormat="1" ht="16.5" customHeight="1"/>
    <row r="82" s="90" customFormat="1" ht="16.5" customHeight="1"/>
    <row r="83" s="90" customFormat="1" ht="16.5" customHeight="1"/>
    <row r="84" s="90" customFormat="1" ht="16.5" customHeight="1"/>
    <row r="85" s="90" customFormat="1" ht="16.5" customHeight="1"/>
    <row r="86" s="90" customFormat="1" ht="16.5" customHeight="1"/>
    <row r="87" s="90" customFormat="1" ht="16.5" customHeight="1"/>
    <row r="88" s="90" customFormat="1" ht="16.5" customHeight="1"/>
    <row r="89" s="90" customFormat="1" ht="16.5" customHeight="1"/>
    <row r="90" s="90" customFormat="1" ht="16.5" customHeight="1"/>
    <row r="91" s="90" customFormat="1" ht="16.5" customHeight="1"/>
    <row r="92" s="90" customFormat="1" ht="16.5" customHeight="1"/>
    <row r="93" s="90" customFormat="1" ht="16.5" customHeight="1"/>
    <row r="94" s="90" customFormat="1" ht="16.5" customHeight="1"/>
    <row r="95" s="90" customFormat="1" ht="16.5" customHeight="1"/>
    <row r="96" s="90" customFormat="1" ht="16.5" customHeight="1"/>
    <row r="97" s="90" customFormat="1" ht="16.5" customHeight="1"/>
    <row r="98" s="90" customFormat="1" ht="16.5" customHeight="1"/>
    <row r="99" s="90" customFormat="1" ht="16.5" customHeight="1"/>
    <row r="100" s="90" customFormat="1" ht="16.5" customHeight="1"/>
    <row r="101" s="90" customFormat="1" ht="16.5" customHeight="1"/>
    <row r="102" s="90" customFormat="1" ht="16.5" customHeight="1"/>
    <row r="103" s="90" customFormat="1" ht="16.5" customHeight="1"/>
    <row r="104" s="90" customFormat="1" ht="16.5" customHeight="1"/>
    <row r="105" s="90" customFormat="1" ht="16.5" customHeight="1"/>
    <row r="106" s="90" customFormat="1" ht="16.5" customHeight="1"/>
    <row r="107" s="90" customFormat="1" ht="16.5" customHeight="1"/>
    <row r="108" s="90" customFormat="1" ht="16.5" customHeight="1"/>
    <row r="109" s="90" customFormat="1" ht="16.5" customHeight="1"/>
    <row r="110" s="90" customFormat="1" ht="16.5" customHeight="1"/>
    <row r="111" s="90" customFormat="1" ht="16.5" customHeight="1"/>
    <row r="112" s="90" customFormat="1" ht="16.5" customHeight="1"/>
    <row r="113" s="90" customFormat="1" ht="16.5" customHeight="1"/>
    <row r="114" s="90" customFormat="1" ht="16.5" customHeight="1"/>
    <row r="115" s="90" customFormat="1" ht="16.5" customHeight="1"/>
    <row r="116" s="90" customFormat="1" ht="16.5" customHeight="1"/>
    <row r="117" s="90" customFormat="1" ht="16.5" customHeight="1"/>
    <row r="118" s="90" customFormat="1" ht="16.5" customHeight="1"/>
    <row r="119" s="90" customFormat="1" ht="16.5" customHeight="1"/>
    <row r="120" s="90" customFormat="1" ht="16.5" customHeight="1"/>
    <row r="121" s="90" customFormat="1" ht="16.5" customHeight="1"/>
    <row r="122" s="90" customFormat="1" ht="16.5" customHeight="1"/>
    <row r="123" s="90" customFormat="1" ht="16.5" customHeight="1"/>
    <row r="124" s="90" customFormat="1" ht="16.5" customHeight="1"/>
    <row r="125" s="90" customFormat="1" ht="16.5" customHeight="1"/>
    <row r="126" s="90" customFormat="1" ht="16.5" customHeight="1"/>
    <row r="127" s="90" customFormat="1" ht="16.5" customHeight="1"/>
    <row r="128" s="90" customFormat="1" ht="16.5" customHeight="1"/>
    <row r="129" s="90" customFormat="1" ht="16.5" customHeight="1"/>
    <row r="130" s="90" customFormat="1" ht="16.5" customHeight="1"/>
    <row r="131" s="90" customFormat="1" ht="16.5" customHeight="1"/>
    <row r="132" s="90" customFormat="1" ht="16.5" customHeight="1"/>
    <row r="133" s="90" customFormat="1" ht="16.5" customHeight="1"/>
    <row r="134" s="90" customFormat="1" ht="16.5" customHeight="1"/>
    <row r="135" s="90" customFormat="1" ht="16.5" customHeight="1"/>
    <row r="136" s="90" customFormat="1" ht="16.5" customHeight="1"/>
    <row r="137" s="90" customFormat="1" ht="16.5" customHeight="1"/>
    <row r="138" s="90" customFormat="1" ht="16.5" customHeight="1"/>
    <row r="139" s="90" customFormat="1" ht="16.5" customHeight="1"/>
    <row r="140" s="90" customFormat="1" ht="16.5" customHeight="1"/>
    <row r="141" s="90" customFormat="1" ht="16.5" customHeight="1"/>
    <row r="142" s="90" customFormat="1" ht="16.5" customHeight="1"/>
    <row r="143" s="90" customFormat="1" ht="16.5" customHeight="1"/>
    <row r="144" s="90" customFormat="1" ht="16.5" customHeight="1"/>
    <row r="145" s="90" customFormat="1" ht="16.5" customHeight="1"/>
    <row r="146" s="90" customFormat="1" ht="16.5" customHeight="1"/>
    <row r="147" s="90" customFormat="1" ht="16.5" customHeight="1"/>
    <row r="148" s="90" customFormat="1" ht="16.5" customHeight="1"/>
    <row r="149" s="90" customFormat="1" ht="16.5" customHeight="1"/>
    <row r="150" s="90" customFormat="1" ht="16.5" customHeight="1"/>
    <row r="151" s="90" customFormat="1" ht="16.5" customHeight="1"/>
    <row r="152" s="90" customFormat="1" ht="16.5" customHeight="1"/>
    <row r="153" s="90" customFormat="1" ht="16.5" customHeight="1"/>
    <row r="154" s="90" customFormat="1" ht="16.5" customHeight="1"/>
    <row r="155" s="90" customFormat="1" ht="16.5" customHeight="1"/>
    <row r="156" s="90" customFormat="1" ht="16.5" customHeight="1"/>
    <row r="157" s="90" customFormat="1" ht="16.5" customHeight="1"/>
    <row r="158" s="90" customFormat="1" ht="16.5" customHeight="1"/>
    <row r="159" s="90" customFormat="1" ht="16.5" customHeight="1"/>
    <row r="160" s="90" customFormat="1" ht="16.5" customHeight="1"/>
    <row r="161" s="90" customFormat="1" ht="16.5" customHeight="1"/>
    <row r="162" s="90" customFormat="1" ht="16.5" customHeight="1"/>
    <row r="163" s="90" customFormat="1" ht="16.5" customHeight="1"/>
    <row r="164" s="90" customFormat="1" ht="16.5" customHeight="1"/>
    <row r="165" s="90" customFormat="1" ht="16.5" customHeight="1"/>
    <row r="166" s="90" customFormat="1" ht="16.5" customHeight="1"/>
    <row r="167" s="90" customFormat="1" ht="16.5" customHeight="1"/>
    <row r="168" s="90" customFormat="1" ht="16.5" customHeight="1"/>
    <row r="169" s="90" customFormat="1" ht="16.5" customHeight="1"/>
    <row r="170" s="90" customFormat="1" ht="16.5" customHeight="1"/>
    <row r="171" s="90" customFormat="1" ht="16.5" customHeight="1"/>
    <row r="172" s="90" customFormat="1" ht="16.5" customHeight="1"/>
    <row r="173" s="90" customFormat="1" ht="16.5" customHeight="1"/>
    <row r="174" s="90" customFormat="1" ht="16.5" customHeight="1"/>
    <row r="175" s="90" customFormat="1" ht="16.5" customHeight="1"/>
    <row r="176" s="90" customFormat="1" ht="16.5" customHeight="1"/>
    <row r="177" s="90" customFormat="1" ht="16.5" customHeight="1"/>
    <row r="178" s="90" customFormat="1" ht="16.5" customHeight="1"/>
    <row r="179" s="90" customFormat="1" ht="16.5" customHeight="1"/>
    <row r="180" s="90" customFormat="1" ht="16.5" customHeight="1"/>
    <row r="181" s="90" customFormat="1" ht="16.5" customHeight="1"/>
    <row r="182" s="90" customFormat="1" ht="16.5" customHeight="1"/>
    <row r="183" s="90" customFormat="1" ht="16.5" customHeight="1"/>
    <row r="184" s="90" customFormat="1" ht="16.5" customHeight="1"/>
    <row r="185" s="90" customFormat="1" ht="16.5" customHeight="1"/>
    <row r="186" s="90" customFormat="1" ht="16.5" customHeight="1"/>
    <row r="187" s="90" customFormat="1" ht="16.5" customHeight="1"/>
    <row r="188" s="90" customFormat="1" ht="16.5" customHeight="1"/>
    <row r="189" s="90" customFormat="1" ht="16.5" customHeight="1"/>
    <row r="190" s="90" customFormat="1" ht="16.5" customHeight="1"/>
    <row r="191" s="90" customFormat="1" ht="16.5" customHeight="1"/>
    <row r="192" s="90" customFormat="1" ht="16.5" customHeight="1"/>
    <row r="193" s="90" customFormat="1" ht="16.5" customHeight="1"/>
    <row r="194" s="90" customFormat="1" ht="16.5" customHeight="1"/>
    <row r="195" s="90" customFormat="1" ht="16.5" customHeight="1"/>
    <row r="196" s="90" customFormat="1" ht="16.5" customHeight="1"/>
    <row r="197" s="90" customFormat="1" ht="16.5" customHeight="1"/>
    <row r="198" s="90" customFormat="1" ht="16.5" customHeight="1"/>
    <row r="199" s="90" customFormat="1" ht="16.5" customHeight="1"/>
    <row r="200" s="90" customFormat="1" ht="16.5" customHeight="1"/>
    <row r="201" s="90" customFormat="1" ht="16.5" customHeight="1"/>
    <row r="202" s="90" customFormat="1" ht="16.5" customHeight="1"/>
    <row r="203" s="90" customFormat="1" ht="16.5" customHeight="1"/>
    <row r="204" s="90" customFormat="1" ht="16.5" customHeight="1"/>
    <row r="205" s="90" customFormat="1" ht="16.5" customHeight="1"/>
    <row r="206" s="90" customFormat="1" ht="16.5" customHeight="1"/>
    <row r="207" s="90" customFormat="1" ht="16.5" customHeight="1"/>
    <row r="208" s="90" customFormat="1" ht="16.5" customHeight="1"/>
    <row r="209" s="90" customFormat="1" ht="16.5" customHeight="1"/>
    <row r="210" s="90" customFormat="1" ht="16.5" customHeight="1"/>
    <row r="211" s="90" customFormat="1" ht="16.5" customHeight="1"/>
    <row r="212" s="90" customFormat="1" ht="16.5" customHeight="1"/>
    <row r="213" s="90" customFormat="1" ht="16.5" customHeight="1"/>
    <row r="214" s="90" customFormat="1" ht="16.5" customHeight="1"/>
    <row r="215" s="90" customFormat="1" ht="16.5" customHeight="1"/>
    <row r="216" s="90" customFormat="1" ht="16.5" customHeight="1"/>
    <row r="217" s="90" customFormat="1" ht="16.5" customHeight="1"/>
    <row r="218" s="90" customFormat="1" ht="16.5" customHeight="1"/>
    <row r="219" s="90" customFormat="1" ht="16.5" customHeight="1"/>
    <row r="220" s="90" customFormat="1" ht="16.5" customHeight="1"/>
    <row r="221" s="90" customFormat="1" ht="16.5" customHeight="1"/>
    <row r="222" s="90" customFormat="1" ht="16.5" customHeight="1"/>
    <row r="223" s="90" customFormat="1" ht="16.5" customHeight="1"/>
    <row r="224" s="90" customFormat="1" ht="16.5" customHeight="1"/>
    <row r="225" s="90" customFormat="1" ht="16.5" customHeight="1"/>
    <row r="226" s="90" customFormat="1" ht="16.5" customHeight="1"/>
    <row r="227" s="90" customFormat="1" ht="16.5" customHeight="1"/>
    <row r="228" s="90" customFormat="1" ht="16.5" customHeight="1"/>
    <row r="229" s="90" customFormat="1" ht="16.5" customHeight="1"/>
    <row r="230" s="90" customFormat="1" ht="16.5" customHeight="1"/>
    <row r="231" s="90" customFormat="1" ht="16.5" customHeight="1"/>
    <row r="232" s="90" customFormat="1" ht="16.5" customHeight="1"/>
    <row r="233" s="90" customFormat="1" ht="16.5" customHeight="1"/>
    <row r="234" s="90" customFormat="1" ht="16.5" customHeight="1"/>
    <row r="235" s="90" customFormat="1" ht="16.5" customHeight="1"/>
    <row r="236" s="90" customFormat="1" ht="16.5" customHeight="1"/>
    <row r="237" s="90" customFormat="1" ht="16.5" customHeight="1"/>
    <row r="238" s="90" customFormat="1" ht="16.5" customHeight="1"/>
    <row r="239" s="90" customFormat="1" ht="16.5" customHeight="1"/>
    <row r="240" s="90" customFormat="1" ht="16.5" customHeight="1"/>
    <row r="241" s="90" customFormat="1" ht="16.5" customHeight="1"/>
    <row r="242" s="90" customFormat="1" ht="16.5" customHeight="1"/>
    <row r="243" s="90" customFormat="1" ht="16.5" customHeight="1"/>
    <row r="244" s="90" customFormat="1" ht="16.5" customHeight="1"/>
    <row r="245" s="90" customFormat="1" ht="16.5" customHeight="1"/>
    <row r="246" s="90" customFormat="1" ht="16.5" customHeight="1"/>
    <row r="247" s="90" customFormat="1" ht="16.5" customHeight="1"/>
    <row r="248" s="90" customFormat="1" ht="16.5" customHeight="1"/>
    <row r="249" s="90" customFormat="1" ht="16.5" customHeight="1"/>
    <row r="250" s="90" customFormat="1" ht="16.5" customHeight="1"/>
    <row r="251" s="90" customFormat="1" ht="16.5" customHeight="1"/>
    <row r="252" s="90" customFormat="1" ht="16.5" customHeight="1"/>
    <row r="253" s="90" customFormat="1" ht="16.5" customHeight="1"/>
    <row r="254" s="90" customFormat="1" ht="16.5" customHeight="1"/>
    <row r="255" s="90" customFormat="1" ht="16.5" customHeight="1"/>
    <row r="256" s="90" customFormat="1" ht="16.5" customHeight="1"/>
    <row r="257" s="90" customFormat="1" ht="16.5" customHeight="1"/>
    <row r="258" s="90" customFormat="1" ht="16.5" customHeight="1"/>
    <row r="259" s="90" customFormat="1" ht="16.5" customHeight="1"/>
    <row r="260" s="90" customFormat="1" ht="16.5" customHeight="1"/>
    <row r="261" s="90" customFormat="1" ht="16.5" customHeight="1"/>
    <row r="262" s="90" customFormat="1" ht="16.5" customHeight="1"/>
    <row r="263" s="90" customFormat="1" ht="16.5" customHeight="1"/>
    <row r="264" s="90" customFormat="1" ht="16.5" customHeight="1"/>
    <row r="265" s="90" customFormat="1" ht="16.5" customHeight="1"/>
    <row r="266" s="90" customFormat="1" ht="16.5" customHeight="1"/>
    <row r="267" s="90" customFormat="1" ht="16.5" customHeight="1"/>
    <row r="268" s="90" customFormat="1" ht="16.5" customHeight="1"/>
    <row r="269" s="90" customFormat="1" ht="16.5" customHeight="1"/>
    <row r="270" s="90" customFormat="1" ht="16.5" customHeight="1"/>
    <row r="271" s="90" customFormat="1" ht="16.5" customHeight="1"/>
    <row r="272" s="90" customFormat="1" ht="16.5" customHeight="1"/>
    <row r="273" s="90" customFormat="1" ht="16.5" customHeight="1"/>
    <row r="274" s="90" customFormat="1" ht="16.5" customHeight="1"/>
    <row r="275" s="90" customFormat="1" ht="16.5" customHeight="1"/>
    <row r="276" s="90" customFormat="1" ht="16.5" customHeight="1"/>
    <row r="277" s="90" customFormat="1" ht="16.5" customHeight="1"/>
    <row r="278" s="90" customFormat="1" ht="16.5" customHeight="1"/>
    <row r="279" s="90" customFormat="1" ht="16.5" customHeight="1"/>
    <row r="280" s="90" customFormat="1" ht="16.5" customHeight="1"/>
    <row r="281" s="90" customFormat="1" ht="16.5" customHeight="1"/>
    <row r="282" s="90" customFormat="1" ht="16.5" customHeight="1"/>
    <row r="283" s="90" customFormat="1" ht="16.5" customHeight="1"/>
    <row r="284" s="90" customFormat="1" ht="16.5" customHeight="1"/>
    <row r="285" s="90" customFormat="1" ht="16.5" customHeight="1"/>
    <row r="286" s="90" customFormat="1" ht="16.5" customHeight="1"/>
    <row r="287" s="90" customFormat="1" ht="16.5" customHeight="1"/>
    <row r="288" s="90" customFormat="1" ht="16.5" customHeight="1"/>
    <row r="289" s="90" customFormat="1" ht="16.5" customHeight="1"/>
    <row r="290" s="90" customFormat="1" ht="16.5" customHeight="1"/>
    <row r="291" s="90" customFormat="1" ht="16.5" customHeight="1"/>
    <row r="292" s="90" customFormat="1" ht="16.5" customHeight="1"/>
    <row r="293" s="90" customFormat="1" ht="16.5" customHeight="1"/>
    <row r="294" s="90" customFormat="1" ht="16.5" customHeight="1"/>
    <row r="295" s="90" customFormat="1" ht="16.5" customHeight="1"/>
    <row r="296" s="90" customFormat="1" ht="16.5" customHeight="1"/>
    <row r="297" s="90" customFormat="1" ht="16.5" customHeight="1"/>
    <row r="298" s="90" customFormat="1" ht="16.5" customHeight="1"/>
    <row r="299" s="90" customFormat="1" ht="16.5" customHeight="1"/>
    <row r="300" s="90" customFormat="1" ht="16.5" customHeight="1"/>
    <row r="301" s="90" customFormat="1" ht="16.5" customHeight="1"/>
    <row r="302" s="90" customFormat="1" ht="16.5" customHeight="1"/>
    <row r="303" s="90" customFormat="1" ht="16.5" customHeight="1"/>
    <row r="304" s="90" customFormat="1" ht="16.5" customHeight="1"/>
    <row r="305" s="90" customFormat="1" ht="16.5" customHeight="1"/>
    <row r="306" s="90" customFormat="1" ht="16.5" customHeight="1"/>
    <row r="307" s="90" customFormat="1" ht="16.5" customHeight="1"/>
    <row r="308" s="90" customFormat="1" ht="16.5" customHeight="1"/>
    <row r="309" s="90" customFormat="1" ht="16.5" customHeight="1"/>
    <row r="310" s="90" customFormat="1" ht="16.5" customHeight="1"/>
    <row r="311" s="90" customFormat="1" ht="16.5" customHeight="1"/>
    <row r="312" s="90" customFormat="1" ht="16.5" customHeight="1"/>
    <row r="313" s="90" customFormat="1" ht="16.5" customHeight="1"/>
    <row r="314" s="90" customFormat="1" ht="16.5" customHeight="1"/>
    <row r="315" s="90" customFormat="1" ht="16.5" customHeight="1"/>
    <row r="316" s="90" customFormat="1" ht="16.5" customHeight="1"/>
    <row r="317" s="90" customFormat="1" ht="16.5" customHeight="1"/>
    <row r="318" s="90" customFormat="1" ht="16.5" customHeight="1"/>
    <row r="319" s="90" customFormat="1" ht="16.5" customHeight="1"/>
    <row r="320" s="90" customFormat="1" ht="16.5" customHeight="1"/>
    <row r="321" s="90" customFormat="1" ht="16.5" customHeight="1"/>
    <row r="322" s="90" customFormat="1" ht="16.5" customHeight="1"/>
    <row r="323" s="90" customFormat="1" ht="16.5" customHeight="1"/>
    <row r="324" s="90" customFormat="1" ht="16.5" customHeight="1"/>
    <row r="325" s="90" customFormat="1" ht="16.5" customHeight="1"/>
    <row r="326" s="90" customFormat="1" ht="16.5" customHeight="1"/>
    <row r="327" s="90" customFormat="1" ht="16.5" customHeight="1"/>
    <row r="328" s="90" customFormat="1" ht="16.5" customHeight="1"/>
    <row r="329" s="90" customFormat="1" ht="16.5" customHeight="1"/>
    <row r="330" s="90" customFormat="1" ht="16.5" customHeight="1"/>
    <row r="331" s="90" customFormat="1" ht="16.5" customHeight="1"/>
    <row r="332" s="90" customFormat="1" ht="16.5" customHeight="1"/>
    <row r="333" s="90" customFormat="1" ht="16.5" customHeight="1"/>
    <row r="334" s="90" customFormat="1" ht="16.5" customHeight="1"/>
    <row r="335" s="90" customFormat="1" ht="16.5" customHeight="1"/>
    <row r="336" s="90" customFormat="1" ht="16.5" customHeight="1"/>
    <row r="337" s="90" customFormat="1" ht="16.5" customHeight="1"/>
    <row r="338" s="90" customFormat="1" ht="16.5" customHeight="1"/>
    <row r="339" s="90" customFormat="1" ht="16.5" customHeight="1"/>
    <row r="340" s="90" customFormat="1" ht="16.5" customHeight="1"/>
    <row r="341" s="90" customFormat="1" ht="16.5" customHeight="1"/>
    <row r="342" s="90" customFormat="1" ht="16.5" customHeight="1"/>
    <row r="343" s="90" customFormat="1" ht="16.5" customHeight="1"/>
    <row r="344" s="90" customFormat="1" ht="16.5" customHeight="1"/>
    <row r="345" s="90" customFormat="1" ht="16.5" customHeight="1"/>
    <row r="346" s="90" customFormat="1" ht="16.5" customHeight="1"/>
    <row r="347" s="90" customFormat="1" ht="16.5" customHeight="1"/>
    <row r="348" s="90" customFormat="1" ht="16.5" customHeight="1"/>
    <row r="349" s="90" customFormat="1" ht="16.5" customHeight="1"/>
    <row r="350" s="90" customFormat="1" ht="16.5" customHeight="1"/>
    <row r="351" s="90" customFormat="1" ht="16.5" customHeight="1"/>
    <row r="352" s="90" customFormat="1" ht="16.5" customHeight="1"/>
    <row r="353" s="90" customFormat="1" ht="16.5" customHeight="1"/>
    <row r="354" s="90" customFormat="1" ht="16.5" customHeight="1"/>
    <row r="355" s="90" customFormat="1" ht="16.5" customHeight="1"/>
    <row r="356" s="90" customFormat="1" ht="16.5" customHeight="1"/>
    <row r="357" s="90" customFormat="1" ht="16.5" customHeight="1"/>
    <row r="358" s="90" customFormat="1" ht="16.5" customHeight="1"/>
    <row r="359" s="90" customFormat="1" ht="16.5" customHeight="1"/>
    <row r="360" s="90" customFormat="1" ht="16.5" customHeight="1"/>
    <row r="361" s="90" customFormat="1" ht="16.5" customHeight="1"/>
    <row r="362" s="90" customFormat="1" ht="16.5" customHeight="1"/>
    <row r="363" s="90" customFormat="1" ht="16.5" customHeight="1"/>
    <row r="364" s="90" customFormat="1" ht="16.5" customHeight="1"/>
    <row r="365" s="90" customFormat="1" ht="16.5" customHeight="1"/>
    <row r="366" s="90" customFormat="1" ht="16.5" customHeight="1"/>
    <row r="367" s="90" customFormat="1" ht="16.5" customHeight="1"/>
    <row r="368" s="90" customFormat="1" ht="16.5" customHeight="1"/>
    <row r="369" s="90" customFormat="1" ht="16.5" customHeight="1"/>
    <row r="370" s="90" customFormat="1" ht="16.5" customHeight="1"/>
    <row r="371" s="90" customFormat="1" ht="16.5" customHeight="1"/>
    <row r="372" s="90" customFormat="1" ht="16.5" customHeight="1"/>
    <row r="373" s="90" customFormat="1" ht="16.5" customHeight="1"/>
    <row r="374" s="90" customFormat="1" ht="16.5" customHeight="1"/>
    <row r="375" s="90" customFormat="1" ht="16.5" customHeight="1"/>
    <row r="376" s="90" customFormat="1" ht="16.5" customHeight="1"/>
    <row r="377" s="90" customFormat="1" ht="16.5" customHeight="1"/>
    <row r="378" s="90" customFormat="1" ht="16.5" customHeight="1"/>
    <row r="379" s="90" customFormat="1" ht="16.5" customHeight="1"/>
    <row r="380" s="90" customFormat="1" ht="16.5" customHeight="1"/>
    <row r="381" s="90" customFormat="1" ht="16.5" customHeight="1"/>
    <row r="382" s="90" customFormat="1" ht="16.5" customHeight="1"/>
    <row r="383" s="90" customFormat="1" ht="16.5" customHeight="1"/>
    <row r="384" s="90" customFormat="1" ht="16.5" customHeight="1"/>
    <row r="385" s="90" customFormat="1" ht="16.5" customHeight="1"/>
    <row r="386" s="90" customFormat="1" ht="16.5" customHeight="1"/>
    <row r="387" s="90" customFormat="1" ht="16.5" customHeight="1"/>
    <row r="388" s="90" customFormat="1" ht="16.5" customHeight="1"/>
    <row r="389" s="90" customFormat="1" ht="16.5" customHeight="1"/>
    <row r="390" s="90" customFormat="1" ht="16.5" customHeight="1"/>
    <row r="391" s="90" customFormat="1" ht="16.5" customHeight="1"/>
    <row r="392" s="90" customFormat="1" ht="16.5" customHeight="1"/>
    <row r="393" s="90" customFormat="1" ht="16.5" customHeight="1"/>
    <row r="394" s="90" customFormat="1" ht="16.5" customHeight="1"/>
    <row r="395" s="90" customFormat="1" ht="16.5" customHeight="1"/>
    <row r="396" s="90" customFormat="1" ht="16.5" customHeight="1"/>
    <row r="397" s="90" customFormat="1" ht="16.5" customHeight="1"/>
    <row r="398" s="90" customFormat="1" ht="16.5" customHeight="1"/>
    <row r="399" s="90" customFormat="1" ht="16.5" customHeight="1"/>
    <row r="400" s="90" customFormat="1" ht="16.5" customHeight="1"/>
    <row r="401" s="90" customFormat="1" ht="16.5" customHeight="1"/>
    <row r="402" s="90" customFormat="1" ht="16.5" customHeight="1"/>
    <row r="403" s="90" customFormat="1" ht="16.5" customHeight="1"/>
    <row r="404" s="90" customFormat="1" ht="16.5" customHeight="1"/>
    <row r="405" s="90" customFormat="1" ht="16.5" customHeight="1"/>
    <row r="406" s="90" customFormat="1" ht="16.5" customHeight="1"/>
    <row r="407" s="90" customFormat="1" ht="16.5" customHeight="1"/>
    <row r="408" s="90" customFormat="1" ht="16.5" customHeight="1"/>
    <row r="409" s="90" customFormat="1" ht="16.5" customHeight="1"/>
    <row r="410" s="90" customFormat="1" ht="16.5" customHeight="1"/>
    <row r="411" s="90" customFormat="1" ht="16.5" customHeight="1"/>
    <row r="412" s="90" customFormat="1" ht="16.5" customHeight="1"/>
    <row r="413" s="90" customFormat="1" ht="16.5" customHeight="1"/>
    <row r="414" s="90" customFormat="1" ht="16.5" customHeight="1"/>
    <row r="415" s="90" customFormat="1" ht="16.5" customHeight="1"/>
    <row r="416" s="90" customFormat="1" ht="16.5" customHeight="1"/>
    <row r="417" s="90" customFormat="1" ht="16.5" customHeight="1"/>
    <row r="418" s="90" customFormat="1" ht="16.5" customHeight="1"/>
    <row r="419" s="90" customFormat="1" ht="16.5" customHeight="1"/>
    <row r="420" s="90" customFormat="1" ht="16.5" customHeight="1"/>
    <row r="421" s="90" customFormat="1" ht="16.5" customHeight="1"/>
    <row r="422" s="90" customFormat="1" ht="16.5" customHeight="1"/>
    <row r="423" s="90" customFormat="1" ht="16.5" customHeight="1"/>
    <row r="424" s="90" customFormat="1" ht="16.5" customHeight="1"/>
    <row r="425" s="90" customFormat="1" ht="16.5" customHeight="1"/>
    <row r="426" s="90" customFormat="1" ht="16.5" customHeight="1"/>
    <row r="427" s="90" customFormat="1" ht="16.5" customHeight="1"/>
    <row r="428" s="90" customFormat="1" ht="16.5" customHeight="1"/>
    <row r="429" s="90" customFormat="1" ht="16.5" customHeight="1"/>
    <row r="430" s="90" customFormat="1" ht="16.5" customHeight="1"/>
    <row r="431" s="90" customFormat="1" ht="16.5" customHeight="1"/>
    <row r="432" s="90" customFormat="1" ht="16.5" customHeight="1"/>
    <row r="433" s="90" customFormat="1" ht="16.5" customHeight="1"/>
    <row r="434" s="90" customFormat="1" ht="16.5" customHeight="1"/>
    <row r="435" s="90" customFormat="1" ht="16.5" customHeight="1"/>
    <row r="436" s="90" customFormat="1" ht="16.5" customHeight="1"/>
    <row r="437" s="90" customFormat="1" ht="16.5" customHeight="1"/>
    <row r="438" s="90" customFormat="1" ht="16.5" customHeight="1"/>
    <row r="439" s="90" customFormat="1" ht="16.5" customHeight="1"/>
    <row r="440" s="90" customFormat="1" ht="16.5" customHeight="1"/>
    <row r="441" s="90" customFormat="1" ht="16.5" customHeight="1"/>
    <row r="442" s="90" customFormat="1" ht="16.5" customHeight="1"/>
    <row r="443" s="90" customFormat="1" ht="16.5" customHeight="1"/>
    <row r="444" s="90" customFormat="1" ht="16.5" customHeight="1"/>
    <row r="445" s="90" customFormat="1" ht="16.5" customHeight="1"/>
    <row r="446" s="90" customFormat="1" ht="16.5" customHeight="1"/>
    <row r="447" s="90" customFormat="1" ht="16.5" customHeight="1"/>
    <row r="448" s="90" customFormat="1" ht="16.5" customHeight="1"/>
    <row r="449" s="90" customFormat="1" ht="16.5" customHeight="1"/>
    <row r="450" s="90" customFormat="1" ht="16.5" customHeight="1"/>
    <row r="451" s="90" customFormat="1" ht="16.5" customHeight="1"/>
    <row r="452" s="90" customFormat="1" ht="16.5" customHeight="1"/>
    <row r="453" s="90" customFormat="1" ht="16.5" customHeight="1"/>
    <row r="454" s="90" customFormat="1" ht="16.5" customHeight="1"/>
    <row r="455" s="90" customFormat="1" ht="16.5" customHeight="1"/>
    <row r="456" s="90" customFormat="1" ht="16.5" customHeight="1"/>
    <row r="457" s="90" customFormat="1" ht="16.5" customHeight="1"/>
    <row r="458" s="90" customFormat="1" ht="16.5" customHeight="1"/>
    <row r="459" s="90" customFormat="1" ht="16.5" customHeight="1"/>
    <row r="460" s="90" customFormat="1" ht="16.5" customHeight="1"/>
    <row r="461" s="90" customFormat="1" ht="16.5" customHeight="1"/>
    <row r="462" s="90" customFormat="1" ht="16.5" customHeight="1"/>
    <row r="463" s="90" customFormat="1" ht="16.5" customHeight="1"/>
    <row r="464" s="90" customFormat="1" ht="16.5" customHeight="1"/>
    <row r="465" s="90" customFormat="1" ht="16.5" customHeight="1"/>
    <row r="466" s="90" customFormat="1" ht="16.5" customHeight="1"/>
    <row r="467" s="90" customFormat="1" ht="16.5" customHeight="1"/>
    <row r="468" s="90" customFormat="1" ht="16.5" customHeight="1"/>
    <row r="469" s="90" customFormat="1" ht="16.5" customHeight="1"/>
    <row r="470" s="90" customFormat="1" ht="16.5" customHeight="1"/>
    <row r="471" s="90" customFormat="1" ht="16.5" customHeight="1"/>
    <row r="472" s="90" customFormat="1" ht="16.5" customHeight="1"/>
    <row r="473" s="90" customFormat="1" ht="16.5" customHeight="1"/>
    <row r="474" s="90" customFormat="1" ht="16.5" customHeight="1"/>
    <row r="475" s="90" customFormat="1" ht="16.5" customHeight="1"/>
    <row r="476" s="90" customFormat="1" ht="16.5" customHeight="1"/>
    <row r="477" s="90" customFormat="1" ht="16.5" customHeight="1"/>
    <row r="478" s="90" customFormat="1" ht="16.5" customHeight="1"/>
    <row r="479" s="90" customFormat="1" ht="16.5" customHeight="1"/>
    <row r="480" s="90" customFormat="1" ht="16.5" customHeight="1"/>
    <row r="481" s="90" customFormat="1" ht="16.5" customHeight="1"/>
    <row r="482" s="90" customFormat="1" ht="16.5" customHeight="1"/>
    <row r="483" s="90" customFormat="1" ht="16.5" customHeight="1"/>
    <row r="484" s="90" customFormat="1" ht="16.5" customHeight="1"/>
    <row r="485" s="90" customFormat="1" ht="16.5" customHeight="1"/>
    <row r="486" s="90" customFormat="1" ht="16.5" customHeight="1"/>
    <row r="487" s="90" customFormat="1" ht="16.5" customHeight="1"/>
    <row r="488" s="90" customFormat="1" ht="16.5" customHeight="1"/>
    <row r="489" s="90" customFormat="1" ht="16.5" customHeight="1"/>
    <row r="490" s="90" customFormat="1" ht="16.5" customHeight="1"/>
    <row r="491" s="90" customFormat="1" ht="16.5" customHeight="1"/>
    <row r="492" s="90" customFormat="1" ht="16.5" customHeight="1"/>
    <row r="493" s="90" customFormat="1" ht="16.5" customHeight="1"/>
    <row r="494" s="90" customFormat="1" ht="16.5" customHeight="1"/>
    <row r="495" s="90" customFormat="1" ht="16.5" customHeight="1"/>
    <row r="496" s="90" customFormat="1" ht="16.5" customHeight="1"/>
    <row r="497" s="90" customFormat="1" ht="16.5" customHeight="1"/>
    <row r="498" s="90" customFormat="1" ht="16.5" customHeight="1"/>
    <row r="499" s="90" customFormat="1" ht="16.5" customHeight="1"/>
    <row r="500" s="90" customFormat="1" ht="16.5" customHeight="1"/>
    <row r="501" s="90" customFormat="1" ht="16.5" customHeight="1"/>
    <row r="502" s="90" customFormat="1" ht="16.5" customHeight="1"/>
    <row r="503" s="90" customFormat="1" ht="16.5" customHeight="1"/>
    <row r="504" s="90" customFormat="1" ht="16.5" customHeight="1"/>
    <row r="505" s="90" customFormat="1" ht="16.5" customHeight="1"/>
    <row r="506" s="90" customFormat="1" ht="16.5" customHeight="1"/>
    <row r="507" s="90" customFormat="1" ht="16.5" customHeight="1"/>
    <row r="508" s="90" customFormat="1" ht="16.5" customHeight="1"/>
    <row r="509" s="90" customFormat="1" ht="16.5" customHeight="1"/>
    <row r="510" s="90" customFormat="1" ht="16.5" customHeight="1"/>
    <row r="511" s="90" customFormat="1" ht="16.5" customHeight="1"/>
    <row r="512" s="90" customFormat="1" ht="16.5" customHeight="1"/>
    <row r="513" s="90" customFormat="1" ht="16.5" customHeight="1"/>
    <row r="514" s="90" customFormat="1" ht="16.5" customHeight="1"/>
    <row r="515" s="90" customFormat="1" ht="16.5" customHeight="1"/>
    <row r="516" s="90" customFormat="1" ht="16.5" customHeight="1"/>
    <row r="517" s="90" customFormat="1" ht="16.5" customHeight="1"/>
    <row r="518" s="90" customFormat="1" ht="16.5" customHeight="1"/>
    <row r="519" s="90" customFormat="1" ht="16.5" customHeight="1"/>
    <row r="520" s="90" customFormat="1" ht="16.5" customHeight="1"/>
    <row r="521" s="90" customFormat="1" ht="16.5" customHeight="1"/>
    <row r="522" s="90" customFormat="1" ht="16.5" customHeight="1"/>
    <row r="523" s="90" customFormat="1" ht="16.5" customHeight="1"/>
    <row r="524" s="90" customFormat="1" ht="16.5" customHeight="1"/>
    <row r="525" s="90" customFormat="1" ht="16.5" customHeight="1"/>
    <row r="526" s="90" customFormat="1" ht="16.5" customHeight="1"/>
    <row r="527" s="90" customFormat="1" ht="16.5" customHeight="1"/>
    <row r="528" s="90" customFormat="1" ht="16.5" customHeight="1"/>
    <row r="529" s="90" customFormat="1" ht="16.5" customHeight="1"/>
    <row r="530" s="90" customFormat="1" ht="16.5" customHeight="1"/>
    <row r="531" s="90" customFormat="1" ht="16.5" customHeight="1"/>
    <row r="532" s="90" customFormat="1" ht="16.5" customHeight="1"/>
    <row r="533" s="90" customFormat="1" ht="16.5" customHeight="1"/>
    <row r="534" s="90" customFormat="1" ht="16.5" customHeight="1"/>
    <row r="535" s="90" customFormat="1" ht="16.5" customHeight="1"/>
    <row r="536" s="90" customFormat="1" ht="16.5" customHeight="1"/>
    <row r="537" s="90" customFormat="1" ht="16.5" customHeight="1"/>
    <row r="538" s="90" customFormat="1" ht="16.5" customHeight="1"/>
    <row r="539" s="90" customFormat="1" ht="16.5" customHeight="1"/>
    <row r="540" s="90" customFormat="1" ht="16.5" customHeight="1"/>
    <row r="541" s="90" customFormat="1" ht="16.5" customHeight="1"/>
    <row r="542" s="90" customFormat="1" ht="16.5" customHeight="1"/>
    <row r="543" s="90" customFormat="1" ht="16.5" customHeight="1"/>
    <row r="544" s="90" customFormat="1" ht="16.5" customHeight="1"/>
    <row r="545" s="90" customFormat="1" ht="16.5" customHeight="1"/>
    <row r="546" s="90" customFormat="1" ht="16.5" customHeight="1"/>
    <row r="547" s="90" customFormat="1" ht="16.5" customHeight="1"/>
    <row r="548" s="90" customFormat="1" ht="16.5" customHeight="1"/>
    <row r="549" s="90" customFormat="1" ht="16.5" customHeight="1"/>
    <row r="550" s="90" customFormat="1" ht="16.5" customHeight="1"/>
    <row r="551" s="90" customFormat="1" ht="16.5" customHeight="1"/>
    <row r="552" s="90" customFormat="1" ht="16.5" customHeight="1"/>
    <row r="553" s="90" customFormat="1" ht="16.5" customHeight="1"/>
    <row r="554" s="90" customFormat="1" ht="16.5" customHeight="1"/>
    <row r="555" s="90" customFormat="1" ht="16.5" customHeight="1"/>
    <row r="556" s="90" customFormat="1" ht="16.5" customHeight="1"/>
    <row r="557" s="90" customFormat="1" ht="16.5" customHeight="1"/>
    <row r="558" s="90" customFormat="1" ht="16.5" customHeight="1"/>
    <row r="559" s="90" customFormat="1" ht="16.5" customHeight="1"/>
    <row r="560" s="90" customFormat="1" ht="16.5" customHeight="1"/>
    <row r="561" s="90" customFormat="1" ht="16.5" customHeight="1"/>
    <row r="562" s="90" customFormat="1" ht="16.5" customHeight="1"/>
    <row r="563" s="90" customFormat="1" ht="16.5" customHeight="1"/>
    <row r="564" s="90" customFormat="1" ht="16.5" customHeight="1"/>
    <row r="565" s="90" customFormat="1" ht="16.5" customHeight="1"/>
    <row r="566" s="90" customFormat="1" ht="16.5" customHeight="1"/>
    <row r="567" s="90" customFormat="1" ht="16.5" customHeight="1"/>
    <row r="568" s="90" customFormat="1" ht="16.5" customHeight="1"/>
    <row r="569" s="90" customFormat="1" ht="16.5" customHeight="1"/>
    <row r="570" s="90" customFormat="1" ht="16.5" customHeight="1"/>
    <row r="571" s="90" customFormat="1" ht="16.5" customHeight="1"/>
    <row r="572" s="90" customFormat="1" ht="16.5" customHeight="1"/>
    <row r="573" s="90" customFormat="1" ht="16.5" customHeight="1"/>
    <row r="574" s="90" customFormat="1" ht="16.5" customHeight="1"/>
    <row r="575" s="90" customFormat="1" ht="16.5" customHeight="1"/>
    <row r="576" s="90" customFormat="1" ht="16.5" customHeight="1"/>
    <row r="577" s="90" customFormat="1" ht="16.5" customHeight="1"/>
    <row r="578" s="90" customFormat="1" ht="16.5" customHeight="1"/>
    <row r="579" s="90" customFormat="1" ht="16.5" customHeight="1"/>
    <row r="580" s="90" customFormat="1" ht="16.5" customHeight="1"/>
    <row r="581" s="90" customFormat="1" ht="16.5" customHeight="1"/>
    <row r="582" s="90" customFormat="1" ht="16.5" customHeight="1"/>
    <row r="583" s="90" customFormat="1" ht="16.5" customHeight="1"/>
    <row r="584" s="90" customFormat="1" ht="16.5" customHeight="1"/>
    <row r="585" s="90" customFormat="1" ht="16.5" customHeight="1"/>
    <row r="586" s="90" customFormat="1" ht="16.5" customHeight="1"/>
    <row r="587" s="90" customFormat="1" ht="16.5" customHeight="1"/>
    <row r="588" s="90" customFormat="1" ht="16.5" customHeight="1"/>
    <row r="589" s="90" customFormat="1" ht="16.5" customHeight="1"/>
    <row r="590" s="90" customFormat="1" ht="16.5" customHeight="1"/>
    <row r="591" s="90" customFormat="1" ht="16.5" customHeight="1"/>
    <row r="592" s="90" customFormat="1" ht="16.5" customHeight="1"/>
    <row r="593" s="90" customFormat="1" ht="16.5" customHeight="1"/>
    <row r="594" s="90" customFormat="1" ht="16.5" customHeight="1"/>
    <row r="595" s="90" customFormat="1" ht="16.5" customHeight="1"/>
    <row r="596" s="90" customFormat="1" ht="16.5" customHeight="1"/>
    <row r="597" s="90" customFormat="1" ht="16.5" customHeight="1"/>
    <row r="598" s="90" customFormat="1" ht="16.5" customHeight="1"/>
    <row r="599" s="90" customFormat="1" ht="16.5" customHeight="1"/>
    <row r="600" s="90" customFormat="1" ht="16.5" customHeight="1"/>
    <row r="601" s="90" customFormat="1" ht="16.5" customHeight="1"/>
    <row r="602" s="90" customFormat="1" ht="16.5" customHeight="1"/>
    <row r="603" s="90" customFormat="1" ht="16.5" customHeight="1"/>
    <row r="604" s="90" customFormat="1" ht="16.5" customHeight="1"/>
    <row r="605" s="90" customFormat="1" ht="16.5" customHeight="1"/>
    <row r="606" s="90" customFormat="1" ht="16.5" customHeight="1"/>
    <row r="607" s="90" customFormat="1" ht="16.5" customHeight="1"/>
    <row r="608" s="90" customFormat="1" ht="16.5" customHeight="1"/>
    <row r="609" s="90" customFormat="1" ht="16.5" customHeight="1"/>
    <row r="610" s="90" customFormat="1" ht="16.5" customHeight="1"/>
    <row r="611" s="90" customFormat="1" ht="16.5" customHeight="1"/>
    <row r="612" s="90" customFormat="1" ht="16.5" customHeight="1"/>
    <row r="613" s="90" customFormat="1" ht="16.5" customHeight="1"/>
    <row r="614" s="90" customFormat="1" ht="16.5" customHeight="1"/>
    <row r="615" s="90" customFormat="1" ht="16.5" customHeight="1"/>
    <row r="616" s="90" customFormat="1" ht="16.5" customHeight="1"/>
    <row r="617" s="90" customFormat="1" ht="16.5" customHeight="1"/>
    <row r="618" s="90" customFormat="1" ht="16.5" customHeight="1"/>
    <row r="619" s="90" customFormat="1" ht="16.5" customHeight="1"/>
    <row r="620" s="90" customFormat="1" ht="16.5" customHeight="1"/>
    <row r="621" s="90" customFormat="1" ht="16.5" customHeight="1"/>
    <row r="622" s="90" customFormat="1" ht="16.5" customHeight="1"/>
    <row r="623" s="90" customFormat="1" ht="16.5" customHeight="1"/>
    <row r="624" s="90" customFormat="1" ht="16.5" customHeight="1"/>
    <row r="625" s="90" customFormat="1" ht="16.5" customHeight="1"/>
    <row r="626" s="90" customFormat="1" ht="16.5" customHeight="1"/>
    <row r="627" s="90" customFormat="1" ht="16.5" customHeight="1"/>
    <row r="628" s="90" customFormat="1" ht="16.5" customHeight="1"/>
    <row r="629" s="90" customFormat="1" ht="16.5" customHeight="1"/>
    <row r="630" s="90" customFormat="1" ht="16.5" customHeight="1"/>
    <row r="631" s="90" customFormat="1" ht="16.5" customHeight="1"/>
    <row r="632" s="90" customFormat="1" ht="16.5" customHeight="1"/>
    <row r="633" s="90" customFormat="1" ht="16.5" customHeight="1"/>
    <row r="634" s="90" customFormat="1" ht="16.5" customHeight="1"/>
    <row r="635" s="90" customFormat="1" ht="16.5" customHeight="1"/>
    <row r="636" s="90" customFormat="1" ht="16.5" customHeight="1"/>
    <row r="637" s="90" customFormat="1" ht="16.5" customHeight="1"/>
    <row r="638" s="90" customFormat="1" ht="16.5" customHeight="1"/>
    <row r="639" s="90" customFormat="1" ht="16.5" customHeight="1"/>
    <row r="640" s="90" customFormat="1" ht="16.5" customHeight="1"/>
    <row r="641" s="90" customFormat="1" ht="16.5" customHeight="1"/>
    <row r="642" s="90" customFormat="1" ht="16.5" customHeight="1"/>
    <row r="643" s="90" customFormat="1" ht="16.5" customHeight="1"/>
    <row r="644" s="90" customFormat="1" ht="16.5" customHeight="1"/>
    <row r="645" s="90" customFormat="1" ht="16.5" customHeight="1"/>
    <row r="646" s="90" customFormat="1" ht="16.5" customHeight="1"/>
    <row r="647" s="90" customFormat="1" ht="16.5" customHeight="1"/>
    <row r="648" s="90" customFormat="1" ht="16.5" customHeight="1"/>
    <row r="649" s="90" customFormat="1" ht="16.5" customHeight="1"/>
    <row r="650" s="90" customFormat="1" ht="16.5" customHeight="1"/>
    <row r="651" s="90" customFormat="1" ht="16.5" customHeight="1"/>
    <row r="652" s="90" customFormat="1" ht="16.5" customHeight="1"/>
    <row r="653" s="90" customFormat="1" ht="16.5" customHeight="1"/>
    <row r="654" s="90" customFormat="1" ht="16.5" customHeight="1"/>
    <row r="655" s="90" customFormat="1" ht="16.5" customHeight="1"/>
    <row r="656" s="90" customFormat="1" ht="16.5" customHeight="1"/>
    <row r="657" s="90" customFormat="1" ht="16.5" customHeight="1"/>
    <row r="658" s="90" customFormat="1" ht="16.5" customHeight="1"/>
    <row r="659" s="90" customFormat="1" ht="16.5" customHeight="1"/>
    <row r="660" s="90" customFormat="1" ht="16.5" customHeight="1"/>
    <row r="661" s="90" customFormat="1" ht="16.5" customHeight="1"/>
    <row r="662" s="90" customFormat="1" ht="16.5" customHeight="1"/>
    <row r="663" s="90" customFormat="1" ht="16.5" customHeight="1"/>
    <row r="664" s="90" customFormat="1" ht="16.5" customHeight="1"/>
    <row r="665" s="90" customFormat="1" ht="16.5" customHeight="1"/>
    <row r="666" s="90" customFormat="1" ht="16.5" customHeight="1"/>
    <row r="667" s="90" customFormat="1" ht="16.5" customHeight="1"/>
    <row r="668" s="90" customFormat="1" ht="16.5" customHeight="1"/>
    <row r="669" s="90" customFormat="1" ht="16.5" customHeight="1"/>
    <row r="670" s="90" customFormat="1" ht="16.5" customHeight="1"/>
    <row r="671" s="90" customFormat="1" ht="16.5" customHeight="1"/>
    <row r="672" s="90" customFormat="1" ht="16.5" customHeight="1"/>
    <row r="673" s="90" customFormat="1" ht="16.5" customHeight="1"/>
    <row r="674" s="90" customFormat="1" ht="16.5" customHeight="1"/>
    <row r="675" s="90" customFormat="1" ht="16.5" customHeight="1"/>
    <row r="676" s="90" customFormat="1" ht="16.5" customHeight="1"/>
    <row r="677" s="90" customFormat="1" ht="16.5" customHeight="1"/>
    <row r="678" s="90" customFormat="1" ht="16.5" customHeight="1"/>
    <row r="679" s="90" customFormat="1" ht="16.5" customHeight="1"/>
    <row r="680" s="90" customFormat="1" ht="16.5" customHeight="1"/>
    <row r="681" s="90" customFormat="1" ht="16.5" customHeight="1"/>
    <row r="682" s="90" customFormat="1" ht="16.5" customHeight="1"/>
    <row r="683" s="90" customFormat="1" ht="16.5" customHeight="1"/>
    <row r="684" s="90" customFormat="1" ht="16.5" customHeight="1"/>
    <row r="685" s="90" customFormat="1" ht="16.5" customHeight="1"/>
    <row r="686" s="90" customFormat="1" ht="16.5" customHeight="1"/>
    <row r="687" s="90" customFormat="1" ht="16.5" customHeight="1"/>
    <row r="688" s="90" customFormat="1" ht="16.5" customHeight="1"/>
    <row r="689" s="90" customFormat="1" ht="16.5" customHeight="1"/>
    <row r="690" s="90" customFormat="1" ht="16.5" customHeight="1"/>
    <row r="691" s="90" customFormat="1" ht="16.5" customHeight="1"/>
    <row r="692" s="90" customFormat="1" ht="16.5" customHeight="1"/>
    <row r="693" s="90" customFormat="1" ht="16.5" customHeight="1"/>
    <row r="694" s="90" customFormat="1" ht="16.5" customHeight="1"/>
    <row r="695" s="90" customFormat="1" ht="16.5" customHeight="1"/>
    <row r="696" s="90" customFormat="1" ht="16.5" customHeight="1"/>
    <row r="697" s="90" customFormat="1" ht="16.5" customHeight="1"/>
    <row r="698" s="90" customFormat="1" ht="16.5" customHeight="1"/>
    <row r="699" s="90" customFormat="1" ht="16.5" customHeight="1"/>
    <row r="700" s="90" customFormat="1" ht="16.5" customHeight="1"/>
    <row r="701" s="90" customFormat="1" ht="16.5" customHeight="1"/>
    <row r="702" s="90" customFormat="1" ht="16.5" customHeight="1"/>
    <row r="703" s="90" customFormat="1" ht="16.5" customHeight="1"/>
    <row r="704" s="90" customFormat="1" ht="16.5" customHeight="1"/>
    <row r="705" s="90" customFormat="1" ht="16.5" customHeight="1"/>
    <row r="706" s="90" customFormat="1" ht="16.5" customHeight="1"/>
    <row r="707" s="90" customFormat="1" ht="16.5" customHeight="1"/>
    <row r="708" s="90" customFormat="1" ht="16.5" customHeight="1"/>
    <row r="709" s="90" customFormat="1" ht="16.5" customHeight="1"/>
    <row r="710" s="90" customFormat="1" ht="16.5" customHeight="1"/>
    <row r="711" s="90" customFormat="1" ht="16.5" customHeight="1"/>
    <row r="712" s="90" customFormat="1" ht="16.5" customHeight="1"/>
    <row r="713" s="90" customFormat="1" ht="16.5" customHeight="1"/>
    <row r="714" s="90" customFormat="1" ht="16.5" customHeight="1"/>
    <row r="715" s="90" customFormat="1" ht="16.5" customHeight="1"/>
    <row r="716" s="90" customFormat="1" ht="16.5" customHeight="1"/>
    <row r="717" s="90" customFormat="1" ht="16.5" customHeight="1"/>
    <row r="718" s="90" customFormat="1" ht="16.5" customHeight="1"/>
    <row r="719" s="90" customFormat="1" ht="16.5" customHeight="1"/>
    <row r="720" s="90" customFormat="1" ht="16.5" customHeight="1"/>
    <row r="721" s="90" customFormat="1" ht="16.5" customHeight="1"/>
    <row r="722" s="90" customFormat="1" ht="16.5" customHeight="1"/>
    <row r="723" s="90" customFormat="1" ht="16.5" customHeight="1"/>
    <row r="724" s="90" customFormat="1" ht="16.5" customHeight="1"/>
    <row r="725" s="90" customFormat="1" ht="16.5" customHeight="1"/>
    <row r="726" s="90" customFormat="1" ht="16.5" customHeight="1"/>
    <row r="727" s="90" customFormat="1" ht="16.5" customHeight="1"/>
    <row r="728" s="90" customFormat="1" ht="16.5" customHeight="1"/>
    <row r="729" s="90" customFormat="1" ht="16.5" customHeight="1"/>
    <row r="730" s="90" customFormat="1" ht="16.5" customHeight="1"/>
    <row r="731" s="90" customFormat="1" ht="16.5" customHeight="1"/>
    <row r="732" s="90" customFormat="1" ht="16.5" customHeight="1"/>
    <row r="733" s="90" customFormat="1" ht="16.5" customHeight="1"/>
    <row r="734" s="90" customFormat="1" ht="16.5" customHeight="1"/>
    <row r="735" s="90" customFormat="1" ht="16.5" customHeight="1"/>
    <row r="736" s="90" customFormat="1" ht="16.5" customHeight="1"/>
    <row r="737" s="90" customFormat="1" ht="16.5" customHeight="1"/>
    <row r="738" s="90" customFormat="1" ht="16.5" customHeight="1"/>
    <row r="739" s="90" customFormat="1" ht="16.5" customHeight="1"/>
    <row r="740" s="90" customFormat="1" ht="16.5" customHeight="1"/>
    <row r="741" s="90" customFormat="1" ht="16.5" customHeight="1"/>
    <row r="742" s="90" customFormat="1" ht="16.5" customHeight="1"/>
    <row r="743" s="90" customFormat="1" ht="16.5" customHeight="1"/>
    <row r="744" s="90" customFormat="1" ht="16.5" customHeight="1"/>
    <row r="745" s="90" customFormat="1" ht="16.5" customHeight="1"/>
    <row r="746" s="90" customFormat="1" ht="16.5" customHeight="1"/>
    <row r="747" s="90" customFormat="1" ht="16.5" customHeight="1"/>
    <row r="748" s="90" customFormat="1" ht="16.5" customHeight="1"/>
    <row r="749" s="90" customFormat="1" ht="16.5" customHeight="1"/>
    <row r="750" s="90" customFormat="1" ht="16.5" customHeight="1"/>
    <row r="751" s="90" customFormat="1" ht="16.5" customHeight="1"/>
    <row r="752" s="90" customFormat="1" ht="16.5" customHeight="1"/>
    <row r="753" s="90" customFormat="1" ht="16.5" customHeight="1"/>
    <row r="754" s="90" customFormat="1" ht="16.5" customHeight="1"/>
    <row r="755" s="90" customFormat="1" ht="16.5" customHeight="1"/>
    <row r="756" s="90" customFormat="1" ht="16.5" customHeight="1"/>
    <row r="757" s="90" customFormat="1" ht="16.5" customHeight="1"/>
    <row r="758" s="90" customFormat="1" ht="16.5" customHeight="1"/>
    <row r="759" s="90" customFormat="1" ht="16.5" customHeight="1"/>
    <row r="760" s="90" customFormat="1" ht="16.5" customHeight="1"/>
    <row r="761" s="90" customFormat="1" ht="16.5" customHeight="1"/>
    <row r="762" s="90" customFormat="1" ht="16.5" customHeight="1"/>
    <row r="763" s="90" customFormat="1" ht="16.5" customHeight="1"/>
    <row r="764" s="90" customFormat="1" ht="16.5" customHeight="1"/>
    <row r="765" s="90" customFormat="1" ht="16.5" customHeight="1"/>
    <row r="766" s="90" customFormat="1" ht="16.5" customHeight="1"/>
    <row r="767" s="90" customFormat="1" ht="16.5" customHeight="1"/>
    <row r="768" s="90" customFormat="1" ht="16.5" customHeight="1"/>
    <row r="769" s="90" customFormat="1" ht="16.5" customHeight="1"/>
    <row r="770" s="90" customFormat="1" ht="16.5" customHeight="1"/>
    <row r="771" s="90" customFormat="1" ht="16.5" customHeight="1"/>
    <row r="772" s="90" customFormat="1" ht="16.5" customHeight="1"/>
    <row r="773" s="90" customFormat="1" ht="16.5" customHeight="1"/>
    <row r="774" s="90" customFormat="1" ht="16.5" customHeight="1"/>
    <row r="775" s="90" customFormat="1" ht="16.5" customHeight="1"/>
    <row r="776" s="90" customFormat="1" ht="16.5" customHeight="1"/>
    <row r="777" s="90" customFormat="1" ht="16.5" customHeight="1"/>
    <row r="778" s="90" customFormat="1" ht="16.5" customHeight="1"/>
    <row r="779" s="90" customFormat="1" ht="16.5" customHeight="1"/>
    <row r="780" s="90" customFormat="1" ht="16.5" customHeight="1"/>
    <row r="781" s="90" customFormat="1" ht="16.5" customHeight="1"/>
    <row r="782" s="90" customFormat="1" ht="16.5" customHeight="1"/>
    <row r="783" s="90" customFormat="1" ht="16.5" customHeight="1"/>
    <row r="784" s="90" customFormat="1" ht="16.5" customHeight="1"/>
    <row r="785" s="90" customFormat="1" ht="16.5" customHeight="1"/>
    <row r="786" s="90" customFormat="1" ht="16.5" customHeight="1"/>
    <row r="787" s="90" customFormat="1" ht="16.5" customHeight="1"/>
    <row r="788" s="90" customFormat="1" ht="16.5" customHeight="1"/>
    <row r="789" s="90" customFormat="1" ht="16.5" customHeight="1"/>
    <row r="790" s="90" customFormat="1" ht="16.5" customHeight="1"/>
    <row r="791" s="90" customFormat="1" ht="16.5" customHeight="1"/>
    <row r="792" s="90" customFormat="1" ht="16.5" customHeight="1"/>
    <row r="793" s="90" customFormat="1" ht="16.5" customHeight="1"/>
    <row r="794" s="90" customFormat="1" ht="16.5" customHeight="1"/>
    <row r="795" s="90" customFormat="1" ht="16.5" customHeight="1"/>
    <row r="796" s="90" customFormat="1" ht="16.5" customHeight="1"/>
    <row r="797" s="90" customFormat="1" ht="16.5" customHeight="1"/>
    <row r="798" s="90" customFormat="1" ht="16.5" customHeight="1"/>
    <row r="799" s="90" customFormat="1" ht="16.5" customHeight="1"/>
    <row r="800" s="90" customFormat="1" ht="16.5" customHeight="1"/>
    <row r="801" s="90" customFormat="1" ht="16.5" customHeight="1"/>
    <row r="802" s="90" customFormat="1" ht="16.5" customHeight="1"/>
    <row r="803" s="90" customFormat="1" ht="16.5" customHeight="1"/>
    <row r="804" s="90" customFormat="1" ht="16.5" customHeight="1"/>
    <row r="805" s="90" customFormat="1" ht="16.5" customHeight="1"/>
    <row r="806" s="90" customFormat="1" ht="16.5" customHeight="1"/>
    <row r="807" s="90" customFormat="1" ht="16.5" customHeight="1"/>
    <row r="808" s="90" customFormat="1" ht="16.5" customHeight="1"/>
    <row r="809" s="90" customFormat="1" ht="16.5" customHeight="1"/>
    <row r="810" s="90" customFormat="1" ht="16.5" customHeight="1"/>
    <row r="811" s="90" customFormat="1" ht="16.5" customHeight="1"/>
    <row r="812" s="90" customFormat="1" ht="16.5" customHeight="1"/>
    <row r="813" s="90" customFormat="1" ht="16.5" customHeight="1"/>
    <row r="814" s="90" customFormat="1" ht="16.5" customHeight="1"/>
    <row r="815" s="90" customFormat="1" ht="16.5" customHeight="1"/>
    <row r="816" s="90" customFormat="1" ht="16.5" customHeight="1"/>
    <row r="817" s="90" customFormat="1" ht="16.5" customHeight="1"/>
    <row r="818" s="90" customFormat="1" ht="16.5" customHeight="1"/>
    <row r="819" s="90" customFormat="1" ht="16.5" customHeight="1"/>
    <row r="820" s="90" customFormat="1" ht="16.5" customHeight="1"/>
    <row r="821" s="90" customFormat="1" ht="16.5" customHeight="1"/>
    <row r="822" s="90" customFormat="1" ht="16.5" customHeight="1"/>
    <row r="823" s="90" customFormat="1" ht="16.5" customHeight="1"/>
    <row r="824" s="90" customFormat="1" ht="16.5" customHeight="1"/>
    <row r="825" s="90" customFormat="1" ht="16.5" customHeight="1"/>
    <row r="826" s="90" customFormat="1" ht="16.5" customHeight="1"/>
    <row r="827" s="90" customFormat="1" ht="16.5" customHeight="1"/>
    <row r="828" s="90" customFormat="1" ht="16.5" customHeight="1"/>
    <row r="829" s="90" customFormat="1" ht="16.5" customHeight="1"/>
    <row r="830" s="90" customFormat="1" ht="16.5" customHeight="1"/>
    <row r="831" s="90" customFormat="1" ht="16.5" customHeight="1"/>
    <row r="832" s="90" customFormat="1" ht="16.5" customHeight="1"/>
    <row r="833" s="90" customFormat="1" ht="16.5" customHeight="1"/>
    <row r="834" s="90" customFormat="1" ht="16.5" customHeight="1"/>
    <row r="835" s="90" customFormat="1" ht="16.5" customHeight="1"/>
    <row r="836" s="90" customFormat="1" ht="16.5" customHeight="1"/>
    <row r="837" s="90" customFormat="1" ht="16.5" customHeight="1"/>
    <row r="838" s="90" customFormat="1" ht="16.5" customHeight="1"/>
    <row r="839" s="90" customFormat="1" ht="16.5" customHeight="1"/>
    <row r="840" s="90" customFormat="1" ht="16.5" customHeight="1"/>
    <row r="841" s="90" customFormat="1" ht="16.5" customHeight="1"/>
    <row r="842" s="90" customFormat="1" ht="16.5" customHeight="1"/>
    <row r="843" s="90" customFormat="1" ht="16.5" customHeight="1"/>
    <row r="844" s="90" customFormat="1" ht="16.5" customHeight="1"/>
    <row r="845" s="90" customFormat="1" ht="16.5" customHeight="1"/>
    <row r="846" s="90" customFormat="1" ht="16.5" customHeight="1"/>
    <row r="847" s="90" customFormat="1" ht="16.5" customHeight="1"/>
    <row r="848" s="90" customFormat="1" ht="16.5" customHeight="1"/>
    <row r="849" s="90" customFormat="1" ht="16.5" customHeight="1"/>
    <row r="850" s="90" customFormat="1" ht="16.5" customHeight="1"/>
    <row r="851" s="90" customFormat="1" ht="16.5" customHeight="1"/>
    <row r="852" s="90" customFormat="1" ht="16.5" customHeight="1"/>
    <row r="853" s="90" customFormat="1" ht="16.5" customHeight="1"/>
    <row r="854" s="90" customFormat="1" ht="16.5" customHeight="1"/>
    <row r="855" s="90" customFormat="1" ht="16.5" customHeight="1"/>
    <row r="856" s="90" customFormat="1" ht="16.5" customHeight="1"/>
    <row r="857" s="90" customFormat="1" ht="16.5" customHeight="1"/>
    <row r="858" s="90" customFormat="1" ht="16.5" customHeight="1"/>
    <row r="859" s="90" customFormat="1" ht="16.5" customHeight="1"/>
    <row r="860" s="90" customFormat="1" ht="16.5" customHeight="1"/>
    <row r="861" s="90" customFormat="1" ht="16.5" customHeight="1"/>
    <row r="862" s="90" customFormat="1" ht="16.5" customHeight="1"/>
    <row r="863" s="90" customFormat="1" ht="16.5" customHeight="1"/>
    <row r="864" s="90" customFormat="1" ht="16.5" customHeight="1"/>
    <row r="865" s="90" customFormat="1" ht="16.5" customHeight="1"/>
    <row r="866" s="90" customFormat="1" ht="16.5" customHeight="1"/>
    <row r="867" s="90" customFormat="1" ht="16.5" customHeight="1"/>
    <row r="868" s="90" customFormat="1" ht="16.5" customHeight="1"/>
    <row r="869" s="90" customFormat="1" ht="16.5" customHeight="1"/>
    <row r="870" s="90" customFormat="1" ht="16.5" customHeight="1"/>
    <row r="871" s="90" customFormat="1" ht="16.5" customHeight="1"/>
    <row r="872" s="90" customFormat="1" ht="16.5" customHeight="1"/>
    <row r="873" s="90" customFormat="1" ht="16.5" customHeight="1"/>
    <row r="874" s="90" customFormat="1" ht="16.5" customHeight="1"/>
    <row r="875" s="90" customFormat="1" ht="16.5" customHeight="1"/>
    <row r="876" s="90" customFormat="1" ht="16.5" customHeight="1"/>
    <row r="877" s="90" customFormat="1" ht="16.5" customHeight="1"/>
    <row r="878" s="90" customFormat="1" ht="16.5" customHeight="1"/>
    <row r="879" s="90" customFormat="1" ht="16.5" customHeight="1"/>
    <row r="880" s="90" customFormat="1" ht="16.5" customHeight="1"/>
    <row r="881" s="90" customFormat="1" ht="16.5" customHeight="1"/>
    <row r="882" s="90" customFormat="1" ht="16.5" customHeight="1"/>
    <row r="883" s="90" customFormat="1" ht="16.5" customHeight="1"/>
    <row r="884" s="90" customFormat="1" ht="16.5" customHeight="1"/>
    <row r="885" s="90" customFormat="1" ht="16.5" customHeight="1"/>
    <row r="886" s="90" customFormat="1" ht="16.5" customHeight="1"/>
    <row r="887" s="90" customFormat="1" ht="16.5" customHeight="1"/>
    <row r="888" s="90" customFormat="1" ht="16.5" customHeight="1"/>
    <row r="889" s="90" customFormat="1" ht="16.5" customHeight="1"/>
    <row r="890" s="90" customFormat="1" ht="16.5" customHeight="1"/>
    <row r="891" s="90" customFormat="1" ht="16.5" customHeight="1"/>
    <row r="892" s="90" customFormat="1" ht="16.5" customHeight="1"/>
    <row r="893" s="90" customFormat="1" ht="16.5" customHeight="1"/>
    <row r="894" s="90" customFormat="1" ht="16.5" customHeight="1"/>
    <row r="895" s="90" customFormat="1" ht="16.5" customHeight="1"/>
    <row r="896" s="90" customFormat="1" ht="16.5" customHeight="1"/>
    <row r="897" s="90" customFormat="1" ht="16.5" customHeight="1"/>
    <row r="898" s="90" customFormat="1" ht="16.5" customHeight="1"/>
    <row r="899" s="90" customFormat="1" ht="16.5" customHeight="1"/>
    <row r="900" s="90" customFormat="1" ht="16.5" customHeight="1"/>
    <row r="901" s="90" customFormat="1" ht="16.5" customHeight="1"/>
    <row r="902" s="90" customFormat="1" ht="16.5" customHeight="1"/>
    <row r="903" s="90" customFormat="1" ht="16.5" customHeight="1"/>
    <row r="904" s="90" customFormat="1" ht="16.5" customHeight="1"/>
    <row r="905" s="90" customFormat="1" ht="16.5" customHeight="1"/>
    <row r="906" s="90" customFormat="1" ht="16.5" customHeight="1"/>
    <row r="907" s="90" customFormat="1" ht="16.5" customHeight="1"/>
    <row r="908" s="90" customFormat="1" ht="16.5" customHeight="1"/>
    <row r="909" s="90" customFormat="1" ht="16.5" customHeight="1"/>
    <row r="910" s="90" customFormat="1" ht="16.5" customHeight="1"/>
    <row r="911" s="90" customFormat="1" ht="16.5" customHeight="1"/>
    <row r="912" s="90" customFormat="1" ht="16.5" customHeight="1"/>
    <row r="913" s="90" customFormat="1" ht="16.5" customHeight="1"/>
    <row r="914" s="90" customFormat="1" ht="16.5" customHeight="1"/>
    <row r="915" s="90" customFormat="1" ht="16.5" customHeight="1"/>
    <row r="916" s="90" customFormat="1" ht="16.5" customHeight="1"/>
    <row r="917" s="90" customFormat="1" ht="16.5" customHeight="1"/>
    <row r="918" s="90" customFormat="1" ht="16.5" customHeight="1"/>
    <row r="919" s="90" customFormat="1" ht="16.5" customHeight="1"/>
    <row r="920" s="90" customFormat="1" ht="16.5" customHeight="1"/>
    <row r="921" s="90" customFormat="1" ht="16.5" customHeight="1"/>
    <row r="922" s="90" customFormat="1" ht="16.5" customHeight="1"/>
    <row r="923" s="90" customFormat="1" ht="16.5" customHeight="1"/>
    <row r="924" s="90" customFormat="1" ht="16.5" customHeight="1"/>
    <row r="925" s="90" customFormat="1" ht="16.5" customHeight="1"/>
    <row r="926" s="90" customFormat="1" ht="16.5" customHeight="1"/>
    <row r="927" s="90" customFormat="1" ht="16.5" customHeight="1"/>
    <row r="928" s="90" customFormat="1" ht="16.5" customHeight="1"/>
    <row r="929" s="90" customFormat="1" ht="16.5" customHeight="1"/>
    <row r="930" s="90" customFormat="1" ht="16.5" customHeight="1"/>
    <row r="931" s="90" customFormat="1" ht="16.5" customHeight="1"/>
    <row r="932" s="90" customFormat="1" ht="16.5" customHeight="1"/>
    <row r="933" s="90" customFormat="1" ht="16.5" customHeight="1"/>
    <row r="934" s="90" customFormat="1" ht="16.5" customHeight="1"/>
    <row r="935" s="90" customFormat="1" ht="16.5" customHeight="1"/>
    <row r="936" s="90" customFormat="1" ht="16.5" customHeight="1"/>
    <row r="937" s="90" customFormat="1" ht="16.5" customHeight="1"/>
    <row r="938" s="90" customFormat="1" ht="16.5" customHeight="1"/>
    <row r="939" s="90" customFormat="1" ht="16.5" customHeight="1"/>
    <row r="940" s="90" customFormat="1" ht="16.5" customHeight="1"/>
    <row r="941" s="90" customFormat="1" ht="16.5" customHeight="1"/>
    <row r="942" s="90" customFormat="1" ht="16.5" customHeight="1"/>
    <row r="943" s="90" customFormat="1" ht="16.5" customHeight="1"/>
    <row r="944" s="90" customFormat="1" ht="16.5" customHeight="1"/>
    <row r="945" s="90" customFormat="1" ht="16.5" customHeight="1"/>
    <row r="946" s="90" customFormat="1" ht="16.5" customHeight="1"/>
    <row r="947" s="90" customFormat="1" ht="16.5" customHeight="1"/>
    <row r="948" s="90" customFormat="1" ht="16.5" customHeight="1"/>
    <row r="949" s="90" customFormat="1" ht="16.5" customHeight="1"/>
    <row r="950" s="90" customFormat="1" ht="16.5" customHeight="1"/>
    <row r="951" s="90" customFormat="1" ht="16.5" customHeight="1"/>
    <row r="952" s="90" customFormat="1" ht="16.5" customHeight="1"/>
    <row r="953" s="90" customFormat="1" ht="16.5" customHeight="1"/>
    <row r="954" s="90" customFormat="1" ht="16.5" customHeight="1"/>
    <row r="955" s="90" customFormat="1" ht="16.5" customHeight="1"/>
    <row r="956" s="90" customFormat="1" ht="16.5" customHeight="1"/>
    <row r="957" s="90" customFormat="1" ht="16.5" customHeight="1"/>
    <row r="958" s="90" customFormat="1" ht="16.5" customHeight="1"/>
    <row r="959" s="90" customFormat="1" ht="16.5" customHeight="1"/>
    <row r="960" s="90" customFormat="1" ht="16.5" customHeight="1"/>
    <row r="961" s="90" customFormat="1" ht="16.5" customHeight="1"/>
    <row r="962" s="90" customFormat="1" ht="16.5" customHeight="1"/>
    <row r="963" s="90" customFormat="1" ht="16.5" customHeight="1"/>
    <row r="964" s="90" customFormat="1" ht="16.5" customHeight="1"/>
    <row r="965" s="90" customFormat="1" ht="16.5" customHeight="1"/>
    <row r="966" s="90" customFormat="1" ht="16.5" customHeight="1"/>
    <row r="967" s="90" customFormat="1" ht="16.5" customHeight="1"/>
    <row r="968" s="90" customFormat="1" ht="16.5" customHeight="1"/>
    <row r="969" s="90" customFormat="1" ht="16.5" customHeight="1"/>
    <row r="970" s="90" customFormat="1" ht="16.5" customHeight="1"/>
    <row r="971" s="90" customFormat="1" ht="16.5" customHeight="1"/>
    <row r="972" s="90" customFormat="1" ht="16.5" customHeight="1"/>
    <row r="973" s="90" customFormat="1" ht="16.5" customHeight="1"/>
    <row r="974" s="90" customFormat="1" ht="16.5" customHeight="1"/>
    <row r="975" s="90" customFormat="1" ht="16.5" customHeight="1"/>
    <row r="976" s="90" customFormat="1" ht="16.5" customHeight="1"/>
    <row r="977" s="90" customFormat="1" ht="16.5" customHeight="1"/>
    <row r="978" s="90" customFormat="1" ht="16.5" customHeight="1"/>
    <row r="979" s="90" customFormat="1" ht="16.5" customHeight="1"/>
    <row r="980" s="90" customFormat="1" ht="16.5" customHeight="1"/>
    <row r="981" s="90" customFormat="1" ht="16.5" customHeight="1"/>
    <row r="982" s="90" customFormat="1" ht="16.5" customHeight="1"/>
    <row r="983" s="90" customFormat="1" ht="16.5" customHeight="1"/>
    <row r="984" s="90" customFormat="1" ht="16.5" customHeight="1"/>
    <row r="985" s="90" customFormat="1" ht="16.5" customHeight="1"/>
    <row r="986" s="90" customFormat="1" ht="16.5" customHeight="1"/>
    <row r="987" s="90" customFormat="1" ht="16.5" customHeight="1"/>
    <row r="988" s="90" customFormat="1" ht="16.5" customHeight="1"/>
    <row r="989" s="90" customFormat="1" ht="16.5" customHeight="1"/>
    <row r="990" s="90" customFormat="1" ht="16.5" customHeight="1"/>
    <row r="991" s="90" customFormat="1" ht="16.5" customHeight="1"/>
    <row r="992" s="90" customFormat="1" ht="16.5" customHeight="1"/>
    <row r="993" s="90" customFormat="1" ht="16.5" customHeight="1"/>
    <row r="994" s="90" customFormat="1" ht="16.5" customHeight="1"/>
    <row r="995" s="90" customFormat="1" ht="16.5" customHeight="1"/>
    <row r="996" s="90" customFormat="1" ht="16.5" customHeight="1"/>
    <row r="997" s="90" customFormat="1" ht="16.5" customHeight="1"/>
    <row r="998" s="90" customFormat="1" ht="16.5" customHeight="1"/>
    <row r="999" s="90" customFormat="1" ht="16.5" customHeight="1"/>
    <row r="1000" s="90" customFormat="1" ht="16.5" customHeight="1"/>
  </sheetData>
  <phoneticPr fontId="12" type="noConversion"/>
  <pageMargins left="0.7" right="0.7" top="0.75" bottom="0.75" header="0" footer="0"/>
  <pageSetup orientation="landscape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1F497D"/>
  </sheetPr>
  <dimension ref="A1:AG1000"/>
  <sheetViews>
    <sheetView workbookViewId="0">
      <selection sqref="A1:XFD1048576"/>
    </sheetView>
  </sheetViews>
  <sheetFormatPr defaultColWidth="14.453125" defaultRowHeight="15" customHeight="1"/>
  <cols>
    <col min="1" max="1" width="26.453125" style="90" customWidth="1"/>
    <col min="2" max="2" width="11.7265625" style="90" customWidth="1"/>
    <col min="3" max="33" width="9.26953125" style="90" customWidth="1"/>
    <col min="34" max="16384" width="14.453125" style="90"/>
  </cols>
  <sheetData>
    <row r="1" spans="1:33" ht="16.5" customHeight="1">
      <c r="A1" s="89" t="s">
        <v>178</v>
      </c>
      <c r="B1" s="89">
        <v>2021</v>
      </c>
      <c r="C1" s="89">
        <v>2022</v>
      </c>
      <c r="D1" s="89">
        <v>2023</v>
      </c>
      <c r="E1" s="89">
        <v>2024</v>
      </c>
      <c r="F1" s="89">
        <v>2025</v>
      </c>
      <c r="G1" s="89">
        <v>2026</v>
      </c>
      <c r="H1" s="89">
        <v>2027</v>
      </c>
      <c r="I1" s="89">
        <v>2028</v>
      </c>
      <c r="J1" s="89">
        <v>2029</v>
      </c>
      <c r="K1" s="89">
        <v>2030</v>
      </c>
      <c r="L1" s="89">
        <v>2031</v>
      </c>
      <c r="M1" s="89">
        <v>2032</v>
      </c>
      <c r="N1" s="89">
        <v>2033</v>
      </c>
      <c r="O1" s="89">
        <v>2034</v>
      </c>
      <c r="P1" s="89">
        <v>2035</v>
      </c>
      <c r="Q1" s="89">
        <v>2036</v>
      </c>
      <c r="R1" s="89">
        <v>2037</v>
      </c>
      <c r="S1" s="89">
        <v>2038</v>
      </c>
      <c r="T1" s="89">
        <v>2039</v>
      </c>
      <c r="U1" s="89">
        <v>2040</v>
      </c>
      <c r="V1" s="89">
        <v>2041</v>
      </c>
      <c r="W1" s="89">
        <v>2042</v>
      </c>
      <c r="X1" s="89">
        <v>2043</v>
      </c>
      <c r="Y1" s="89">
        <v>2044</v>
      </c>
      <c r="Z1" s="89">
        <v>2045</v>
      </c>
      <c r="AA1" s="89">
        <v>2046</v>
      </c>
      <c r="AB1" s="89">
        <v>2047</v>
      </c>
      <c r="AC1" s="89">
        <v>2048</v>
      </c>
      <c r="AD1" s="89">
        <v>2049</v>
      </c>
      <c r="AE1" s="89">
        <v>2050</v>
      </c>
    </row>
    <row r="2" spans="1:33" ht="16.5" customHeight="1">
      <c r="A2" s="89" t="s">
        <v>199</v>
      </c>
      <c r="B2" s="89">
        <v>0</v>
      </c>
      <c r="C2" s="89">
        <v>0</v>
      </c>
      <c r="D2" s="89">
        <v>0</v>
      </c>
      <c r="E2" s="89">
        <v>0</v>
      </c>
      <c r="F2" s="89">
        <v>0</v>
      </c>
      <c r="G2" s="89">
        <v>0</v>
      </c>
      <c r="H2" s="89">
        <v>0</v>
      </c>
      <c r="I2" s="89">
        <v>0</v>
      </c>
      <c r="J2" s="89">
        <v>0</v>
      </c>
      <c r="K2" s="89">
        <v>0</v>
      </c>
      <c r="L2" s="89">
        <v>0</v>
      </c>
      <c r="M2" s="89">
        <v>0</v>
      </c>
      <c r="N2" s="89">
        <v>0</v>
      </c>
      <c r="O2" s="89">
        <v>0</v>
      </c>
      <c r="P2" s="89">
        <v>0</v>
      </c>
      <c r="Q2" s="89">
        <v>0</v>
      </c>
      <c r="R2" s="89">
        <v>0</v>
      </c>
      <c r="S2" s="89">
        <v>0</v>
      </c>
      <c r="T2" s="89">
        <v>0</v>
      </c>
      <c r="U2" s="89">
        <v>0</v>
      </c>
      <c r="V2" s="89">
        <v>0</v>
      </c>
      <c r="W2" s="89">
        <v>0</v>
      </c>
      <c r="X2" s="89">
        <v>0</v>
      </c>
      <c r="Y2" s="89">
        <v>0</v>
      </c>
      <c r="Z2" s="89">
        <v>0</v>
      </c>
      <c r="AA2" s="89">
        <v>0</v>
      </c>
      <c r="AB2" s="89">
        <v>0</v>
      </c>
      <c r="AC2" s="89">
        <v>0</v>
      </c>
      <c r="AD2" s="89">
        <v>0</v>
      </c>
      <c r="AE2" s="89">
        <v>0</v>
      </c>
    </row>
    <row r="3" spans="1:33" ht="16.5" customHeight="1">
      <c r="A3" s="89" t="s">
        <v>200</v>
      </c>
      <c r="B3" s="89">
        <v>0</v>
      </c>
      <c r="C3" s="89">
        <v>0</v>
      </c>
      <c r="D3" s="89">
        <v>0</v>
      </c>
      <c r="E3" s="89">
        <v>0</v>
      </c>
      <c r="F3" s="89">
        <v>0</v>
      </c>
      <c r="G3" s="89">
        <v>0</v>
      </c>
      <c r="H3" s="89">
        <v>0</v>
      </c>
      <c r="I3" s="89">
        <v>0</v>
      </c>
      <c r="J3" s="89">
        <v>0</v>
      </c>
      <c r="K3" s="89">
        <v>0</v>
      </c>
      <c r="L3" s="89">
        <v>0</v>
      </c>
      <c r="M3" s="89">
        <v>0</v>
      </c>
      <c r="N3" s="89">
        <v>0</v>
      </c>
      <c r="O3" s="89">
        <v>0</v>
      </c>
      <c r="P3" s="89">
        <v>0</v>
      </c>
      <c r="Q3" s="89">
        <v>0</v>
      </c>
      <c r="R3" s="89">
        <v>0</v>
      </c>
      <c r="S3" s="89">
        <v>0</v>
      </c>
      <c r="T3" s="89">
        <v>0</v>
      </c>
      <c r="U3" s="89">
        <v>0</v>
      </c>
      <c r="V3" s="89">
        <v>0</v>
      </c>
      <c r="W3" s="89">
        <v>0</v>
      </c>
      <c r="X3" s="89">
        <v>0</v>
      </c>
      <c r="Y3" s="89">
        <v>0</v>
      </c>
      <c r="Z3" s="89">
        <v>0</v>
      </c>
      <c r="AA3" s="89">
        <v>0</v>
      </c>
      <c r="AB3" s="89">
        <v>0</v>
      </c>
      <c r="AC3" s="89">
        <v>0</v>
      </c>
      <c r="AD3" s="89">
        <v>0</v>
      </c>
      <c r="AE3" s="89">
        <v>0</v>
      </c>
      <c r="AF3" s="91"/>
      <c r="AG3" s="91"/>
    </row>
    <row r="4" spans="1:33" ht="16.5" customHeight="1">
      <c r="A4" s="89" t="s">
        <v>201</v>
      </c>
      <c r="B4" s="89">
        <v>0</v>
      </c>
      <c r="C4" s="89">
        <v>0</v>
      </c>
      <c r="D4" s="89">
        <v>0</v>
      </c>
      <c r="E4" s="89">
        <v>0</v>
      </c>
      <c r="F4" s="89">
        <v>0</v>
      </c>
      <c r="G4" s="89">
        <v>0</v>
      </c>
      <c r="H4" s="89">
        <v>0</v>
      </c>
      <c r="I4" s="89">
        <v>0</v>
      </c>
      <c r="J4" s="89">
        <v>0</v>
      </c>
      <c r="K4" s="89">
        <v>0</v>
      </c>
      <c r="L4" s="89">
        <v>0</v>
      </c>
      <c r="M4" s="89">
        <v>0</v>
      </c>
      <c r="N4" s="89">
        <v>0</v>
      </c>
      <c r="O4" s="89">
        <v>0</v>
      </c>
      <c r="P4" s="89">
        <v>0</v>
      </c>
      <c r="Q4" s="89">
        <v>0</v>
      </c>
      <c r="R4" s="89">
        <v>0</v>
      </c>
      <c r="S4" s="89">
        <v>0</v>
      </c>
      <c r="T4" s="89">
        <v>0</v>
      </c>
      <c r="U4" s="89">
        <v>0</v>
      </c>
      <c r="V4" s="89">
        <v>0</v>
      </c>
      <c r="W4" s="89">
        <v>0</v>
      </c>
      <c r="X4" s="89">
        <v>0</v>
      </c>
      <c r="Y4" s="89">
        <v>0</v>
      </c>
      <c r="Z4" s="89">
        <v>0</v>
      </c>
      <c r="AA4" s="89">
        <v>0</v>
      </c>
      <c r="AB4" s="89">
        <v>0</v>
      </c>
      <c r="AC4" s="89">
        <v>0</v>
      </c>
      <c r="AD4" s="89">
        <v>0</v>
      </c>
      <c r="AE4" s="89">
        <v>0</v>
      </c>
      <c r="AF4" s="91"/>
      <c r="AG4" s="91"/>
    </row>
    <row r="5" spans="1:33" ht="16.5" customHeight="1">
      <c r="A5" s="89" t="s">
        <v>124</v>
      </c>
      <c r="B5" s="89">
        <v>0</v>
      </c>
      <c r="C5" s="89">
        <v>0</v>
      </c>
      <c r="D5" s="89">
        <v>0</v>
      </c>
      <c r="E5" s="89">
        <v>0</v>
      </c>
      <c r="F5" s="89">
        <v>0</v>
      </c>
      <c r="G5" s="89">
        <v>0</v>
      </c>
      <c r="H5" s="89">
        <v>0</v>
      </c>
      <c r="I5" s="89">
        <v>0</v>
      </c>
      <c r="J5" s="89">
        <v>0</v>
      </c>
      <c r="K5" s="89">
        <v>0</v>
      </c>
      <c r="L5" s="89">
        <v>0</v>
      </c>
      <c r="M5" s="89">
        <v>0</v>
      </c>
      <c r="N5" s="89">
        <v>0</v>
      </c>
      <c r="O5" s="89">
        <v>0</v>
      </c>
      <c r="P5" s="89">
        <v>0</v>
      </c>
      <c r="Q5" s="89">
        <v>0</v>
      </c>
      <c r="R5" s="89">
        <v>0</v>
      </c>
      <c r="S5" s="89">
        <v>0</v>
      </c>
      <c r="T5" s="89">
        <v>0</v>
      </c>
      <c r="U5" s="89">
        <v>0</v>
      </c>
      <c r="V5" s="89">
        <v>0</v>
      </c>
      <c r="W5" s="89">
        <v>0</v>
      </c>
      <c r="X5" s="89">
        <v>0</v>
      </c>
      <c r="Y5" s="89">
        <v>0</v>
      </c>
      <c r="Z5" s="89">
        <v>0</v>
      </c>
      <c r="AA5" s="89">
        <v>0</v>
      </c>
      <c r="AB5" s="89">
        <v>0</v>
      </c>
      <c r="AC5" s="89">
        <v>0</v>
      </c>
      <c r="AD5" s="89">
        <v>0</v>
      </c>
      <c r="AE5" s="89">
        <v>0</v>
      </c>
    </row>
    <row r="6" spans="1:33" ht="16.5" customHeight="1">
      <c r="A6" s="89" t="s">
        <v>123</v>
      </c>
      <c r="B6" s="89">
        <v>0</v>
      </c>
      <c r="C6" s="89">
        <v>0</v>
      </c>
      <c r="D6" s="89">
        <v>0</v>
      </c>
      <c r="E6" s="89">
        <v>0</v>
      </c>
      <c r="F6" s="89">
        <v>0</v>
      </c>
      <c r="G6" s="89">
        <v>0</v>
      </c>
      <c r="H6" s="89">
        <v>0</v>
      </c>
      <c r="I6" s="89">
        <v>0</v>
      </c>
      <c r="J6" s="89">
        <v>0</v>
      </c>
      <c r="K6" s="89">
        <v>0</v>
      </c>
      <c r="L6" s="89">
        <v>0</v>
      </c>
      <c r="M6" s="89">
        <v>0</v>
      </c>
      <c r="N6" s="89">
        <v>0</v>
      </c>
      <c r="O6" s="89">
        <v>0</v>
      </c>
      <c r="P6" s="89">
        <v>0</v>
      </c>
      <c r="Q6" s="89">
        <v>0</v>
      </c>
      <c r="R6" s="89">
        <v>0</v>
      </c>
      <c r="S6" s="89">
        <v>0</v>
      </c>
      <c r="T6" s="89">
        <v>0</v>
      </c>
      <c r="U6" s="89">
        <v>0</v>
      </c>
      <c r="V6" s="89">
        <v>0</v>
      </c>
      <c r="W6" s="89">
        <v>0</v>
      </c>
      <c r="X6" s="89">
        <v>0</v>
      </c>
      <c r="Y6" s="89">
        <v>0</v>
      </c>
      <c r="Z6" s="89">
        <v>0</v>
      </c>
      <c r="AA6" s="89">
        <v>0</v>
      </c>
      <c r="AB6" s="89">
        <v>0</v>
      </c>
      <c r="AC6" s="89">
        <v>0</v>
      </c>
      <c r="AD6" s="89">
        <v>0</v>
      </c>
      <c r="AE6" s="89">
        <v>0</v>
      </c>
    </row>
    <row r="7" spans="1:33" ht="16.5" customHeight="1">
      <c r="A7" s="89" t="s">
        <v>202</v>
      </c>
      <c r="B7" s="89">
        <v>0</v>
      </c>
      <c r="C7" s="89">
        <v>0</v>
      </c>
      <c r="D7" s="89">
        <v>0</v>
      </c>
      <c r="E7" s="89">
        <v>0</v>
      </c>
      <c r="F7" s="89">
        <v>0</v>
      </c>
      <c r="G7" s="89">
        <v>0</v>
      </c>
      <c r="H7" s="89">
        <v>0</v>
      </c>
      <c r="I7" s="89">
        <v>0</v>
      </c>
      <c r="J7" s="89">
        <v>0</v>
      </c>
      <c r="K7" s="89">
        <v>0</v>
      </c>
      <c r="L7" s="89">
        <v>0</v>
      </c>
      <c r="M7" s="89">
        <v>0</v>
      </c>
      <c r="N7" s="89">
        <v>0</v>
      </c>
      <c r="O7" s="89">
        <v>0</v>
      </c>
      <c r="P7" s="89">
        <v>0</v>
      </c>
      <c r="Q7" s="89">
        <v>0</v>
      </c>
      <c r="R7" s="89">
        <v>0</v>
      </c>
      <c r="S7" s="89">
        <v>0</v>
      </c>
      <c r="T7" s="89">
        <v>0</v>
      </c>
      <c r="U7" s="89">
        <v>0</v>
      </c>
      <c r="V7" s="89">
        <v>0</v>
      </c>
      <c r="W7" s="89">
        <v>0</v>
      </c>
      <c r="X7" s="89">
        <v>0</v>
      </c>
      <c r="Y7" s="89">
        <v>0</v>
      </c>
      <c r="Z7" s="89">
        <v>0</v>
      </c>
      <c r="AA7" s="89">
        <v>0</v>
      </c>
      <c r="AB7" s="89">
        <v>0</v>
      </c>
      <c r="AC7" s="89">
        <v>0</v>
      </c>
      <c r="AD7" s="89">
        <v>0</v>
      </c>
      <c r="AE7" s="89">
        <v>0</v>
      </c>
    </row>
    <row r="8" spans="1:33" ht="16.5" customHeight="1">
      <c r="A8" s="89" t="s">
        <v>203</v>
      </c>
      <c r="B8" s="89">
        <v>0</v>
      </c>
      <c r="C8" s="89">
        <v>0</v>
      </c>
      <c r="D8" s="89">
        <v>0</v>
      </c>
      <c r="E8" s="89">
        <v>0</v>
      </c>
      <c r="F8" s="89">
        <v>0</v>
      </c>
      <c r="G8" s="89">
        <v>0</v>
      </c>
      <c r="H8" s="89">
        <v>0</v>
      </c>
      <c r="I8" s="89">
        <v>0</v>
      </c>
      <c r="J8" s="89">
        <v>0</v>
      </c>
      <c r="K8" s="89">
        <v>0</v>
      </c>
      <c r="L8" s="89">
        <v>0</v>
      </c>
      <c r="M8" s="89">
        <v>0</v>
      </c>
      <c r="N8" s="89">
        <v>0</v>
      </c>
      <c r="O8" s="89">
        <v>0</v>
      </c>
      <c r="P8" s="89">
        <v>0</v>
      </c>
      <c r="Q8" s="89">
        <v>0</v>
      </c>
      <c r="R8" s="89">
        <v>0</v>
      </c>
      <c r="S8" s="89">
        <v>0</v>
      </c>
      <c r="T8" s="89">
        <v>0</v>
      </c>
      <c r="U8" s="89">
        <v>0</v>
      </c>
      <c r="V8" s="89">
        <v>0</v>
      </c>
      <c r="W8" s="89">
        <v>0</v>
      </c>
      <c r="X8" s="89">
        <v>0</v>
      </c>
      <c r="Y8" s="89">
        <v>0</v>
      </c>
      <c r="Z8" s="89">
        <v>0</v>
      </c>
      <c r="AA8" s="89">
        <v>0</v>
      </c>
      <c r="AB8" s="89">
        <v>0</v>
      </c>
      <c r="AC8" s="89">
        <v>0</v>
      </c>
      <c r="AD8" s="89">
        <v>0</v>
      </c>
      <c r="AE8" s="89">
        <v>0</v>
      </c>
    </row>
    <row r="9" spans="1:33" ht="16.5" customHeight="1">
      <c r="A9" s="89" t="s">
        <v>204</v>
      </c>
      <c r="B9" s="89">
        <v>0</v>
      </c>
      <c r="C9" s="89">
        <v>0</v>
      </c>
      <c r="D9" s="89">
        <v>0</v>
      </c>
      <c r="E9" s="89">
        <v>0</v>
      </c>
      <c r="F9" s="89">
        <v>0</v>
      </c>
      <c r="G9" s="89">
        <v>0</v>
      </c>
      <c r="H9" s="89">
        <v>0</v>
      </c>
      <c r="I9" s="89">
        <v>0</v>
      </c>
      <c r="J9" s="89">
        <v>0</v>
      </c>
      <c r="K9" s="89">
        <v>0</v>
      </c>
      <c r="L9" s="89">
        <v>0</v>
      </c>
      <c r="M9" s="89">
        <v>0</v>
      </c>
      <c r="N9" s="89">
        <v>0</v>
      </c>
      <c r="O9" s="89">
        <v>0</v>
      </c>
      <c r="P9" s="89">
        <v>0</v>
      </c>
      <c r="Q9" s="89">
        <v>0</v>
      </c>
      <c r="R9" s="89">
        <v>0</v>
      </c>
      <c r="S9" s="89">
        <v>0</v>
      </c>
      <c r="T9" s="89">
        <v>0</v>
      </c>
      <c r="U9" s="89">
        <v>0</v>
      </c>
      <c r="V9" s="89">
        <v>0</v>
      </c>
      <c r="W9" s="89">
        <v>0</v>
      </c>
      <c r="X9" s="89">
        <v>0</v>
      </c>
      <c r="Y9" s="89">
        <v>0</v>
      </c>
      <c r="Z9" s="89">
        <v>0</v>
      </c>
      <c r="AA9" s="89">
        <v>0</v>
      </c>
      <c r="AB9" s="89">
        <v>0</v>
      </c>
      <c r="AC9" s="89">
        <v>0</v>
      </c>
      <c r="AD9" s="89">
        <v>0</v>
      </c>
      <c r="AE9" s="89">
        <v>0</v>
      </c>
    </row>
    <row r="10" spans="1:33" ht="16.5" customHeight="1">
      <c r="A10" s="89" t="s">
        <v>205</v>
      </c>
      <c r="B10" s="89">
        <v>0</v>
      </c>
      <c r="C10" s="89">
        <v>0</v>
      </c>
      <c r="D10" s="89">
        <v>0</v>
      </c>
      <c r="E10" s="89">
        <v>0</v>
      </c>
      <c r="F10" s="89">
        <v>0</v>
      </c>
      <c r="G10" s="89">
        <v>0</v>
      </c>
      <c r="H10" s="89">
        <v>0</v>
      </c>
      <c r="I10" s="89">
        <v>0</v>
      </c>
      <c r="J10" s="89">
        <v>0</v>
      </c>
      <c r="K10" s="89">
        <v>0</v>
      </c>
      <c r="L10" s="89">
        <v>0</v>
      </c>
      <c r="M10" s="89">
        <v>0</v>
      </c>
      <c r="N10" s="89">
        <v>0</v>
      </c>
      <c r="O10" s="89">
        <v>0</v>
      </c>
      <c r="P10" s="89">
        <v>0</v>
      </c>
      <c r="Q10" s="89">
        <v>0</v>
      </c>
      <c r="R10" s="89">
        <v>0</v>
      </c>
      <c r="S10" s="89">
        <v>0</v>
      </c>
      <c r="T10" s="89">
        <v>0</v>
      </c>
      <c r="U10" s="89">
        <v>0</v>
      </c>
      <c r="V10" s="89">
        <v>0</v>
      </c>
      <c r="W10" s="89">
        <v>0</v>
      </c>
      <c r="X10" s="89">
        <v>0</v>
      </c>
      <c r="Y10" s="89">
        <v>0</v>
      </c>
      <c r="Z10" s="89">
        <v>0</v>
      </c>
      <c r="AA10" s="89">
        <v>0</v>
      </c>
      <c r="AB10" s="89">
        <v>0</v>
      </c>
      <c r="AC10" s="89">
        <v>0</v>
      </c>
      <c r="AD10" s="89">
        <v>0</v>
      </c>
      <c r="AE10" s="89">
        <v>0</v>
      </c>
      <c r="AF10" s="91"/>
      <c r="AG10" s="91"/>
    </row>
    <row r="11" spans="1:33" ht="16.5" customHeight="1">
      <c r="A11" s="89" t="s">
        <v>206</v>
      </c>
      <c r="B11" s="89">
        <v>0</v>
      </c>
      <c r="C11" s="89">
        <v>0</v>
      </c>
      <c r="D11" s="89">
        <v>0</v>
      </c>
      <c r="E11" s="89">
        <v>0</v>
      </c>
      <c r="F11" s="89">
        <v>0</v>
      </c>
      <c r="G11" s="89">
        <v>0</v>
      </c>
      <c r="H11" s="89">
        <v>0</v>
      </c>
      <c r="I11" s="89">
        <v>0</v>
      </c>
      <c r="J11" s="89">
        <v>0</v>
      </c>
      <c r="K11" s="89">
        <v>0</v>
      </c>
      <c r="L11" s="89">
        <v>0</v>
      </c>
      <c r="M11" s="89">
        <v>0</v>
      </c>
      <c r="N11" s="89">
        <v>0</v>
      </c>
      <c r="O11" s="89">
        <v>0</v>
      </c>
      <c r="P11" s="89">
        <v>0</v>
      </c>
      <c r="Q11" s="89">
        <v>0</v>
      </c>
      <c r="R11" s="89">
        <v>0</v>
      </c>
      <c r="S11" s="89">
        <v>0</v>
      </c>
      <c r="T11" s="89">
        <v>0</v>
      </c>
      <c r="U11" s="89">
        <v>0</v>
      </c>
      <c r="V11" s="89">
        <v>0</v>
      </c>
      <c r="W11" s="89">
        <v>0</v>
      </c>
      <c r="X11" s="89">
        <v>0</v>
      </c>
      <c r="Y11" s="89">
        <v>0</v>
      </c>
      <c r="Z11" s="89">
        <v>0</v>
      </c>
      <c r="AA11" s="89">
        <v>0</v>
      </c>
      <c r="AB11" s="89">
        <v>0</v>
      </c>
      <c r="AC11" s="89">
        <v>0</v>
      </c>
      <c r="AD11" s="89">
        <v>0</v>
      </c>
      <c r="AE11" s="89">
        <v>0</v>
      </c>
      <c r="AF11" s="91"/>
      <c r="AG11" s="91"/>
    </row>
    <row r="12" spans="1:33" ht="16.5" customHeight="1">
      <c r="A12" s="89" t="s">
        <v>207</v>
      </c>
      <c r="B12" s="89">
        <v>0</v>
      </c>
      <c r="C12" s="89">
        <v>0</v>
      </c>
      <c r="D12" s="89">
        <v>0</v>
      </c>
      <c r="E12" s="89">
        <v>0</v>
      </c>
      <c r="F12" s="89">
        <v>0</v>
      </c>
      <c r="G12" s="89">
        <v>0</v>
      </c>
      <c r="H12" s="89">
        <v>0</v>
      </c>
      <c r="I12" s="89">
        <v>0</v>
      </c>
      <c r="J12" s="89">
        <v>0</v>
      </c>
      <c r="K12" s="89">
        <v>0</v>
      </c>
      <c r="L12" s="89">
        <v>0</v>
      </c>
      <c r="M12" s="89">
        <v>0</v>
      </c>
      <c r="N12" s="89">
        <v>0</v>
      </c>
      <c r="O12" s="89">
        <v>0</v>
      </c>
      <c r="P12" s="89">
        <v>0</v>
      </c>
      <c r="Q12" s="89">
        <v>0</v>
      </c>
      <c r="R12" s="89">
        <v>0</v>
      </c>
      <c r="S12" s="89">
        <v>0</v>
      </c>
      <c r="T12" s="89">
        <v>0</v>
      </c>
      <c r="U12" s="89">
        <v>0</v>
      </c>
      <c r="V12" s="89">
        <v>0</v>
      </c>
      <c r="W12" s="89">
        <v>0</v>
      </c>
      <c r="X12" s="89">
        <v>0</v>
      </c>
      <c r="Y12" s="89">
        <v>0</v>
      </c>
      <c r="Z12" s="89">
        <v>0</v>
      </c>
      <c r="AA12" s="89">
        <v>0</v>
      </c>
      <c r="AB12" s="89">
        <v>0</v>
      </c>
      <c r="AC12" s="89">
        <v>0</v>
      </c>
      <c r="AD12" s="89">
        <v>0</v>
      </c>
      <c r="AE12" s="89">
        <v>0</v>
      </c>
    </row>
    <row r="13" spans="1:33" ht="16.5" customHeight="1">
      <c r="A13" s="89" t="s">
        <v>208</v>
      </c>
      <c r="B13" s="89">
        <v>0</v>
      </c>
      <c r="C13" s="89">
        <v>0</v>
      </c>
      <c r="D13" s="89">
        <v>0</v>
      </c>
      <c r="E13" s="89">
        <v>0</v>
      </c>
      <c r="F13" s="89">
        <v>0</v>
      </c>
      <c r="G13" s="89">
        <v>0</v>
      </c>
      <c r="H13" s="89">
        <v>0</v>
      </c>
      <c r="I13" s="89">
        <v>0</v>
      </c>
      <c r="J13" s="89">
        <v>0</v>
      </c>
      <c r="K13" s="89">
        <v>0</v>
      </c>
      <c r="L13" s="89">
        <v>0</v>
      </c>
      <c r="M13" s="89">
        <v>0</v>
      </c>
      <c r="N13" s="89">
        <v>0</v>
      </c>
      <c r="O13" s="89">
        <v>0</v>
      </c>
      <c r="P13" s="89">
        <v>0</v>
      </c>
      <c r="Q13" s="89">
        <v>0</v>
      </c>
      <c r="R13" s="89">
        <v>0</v>
      </c>
      <c r="S13" s="89">
        <v>0</v>
      </c>
      <c r="T13" s="89">
        <v>0</v>
      </c>
      <c r="U13" s="89">
        <v>0</v>
      </c>
      <c r="V13" s="89">
        <v>0</v>
      </c>
      <c r="W13" s="89">
        <v>0</v>
      </c>
      <c r="X13" s="89">
        <v>0</v>
      </c>
      <c r="Y13" s="89">
        <v>0</v>
      </c>
      <c r="Z13" s="89">
        <v>0</v>
      </c>
      <c r="AA13" s="89">
        <v>0</v>
      </c>
      <c r="AB13" s="89">
        <v>0</v>
      </c>
      <c r="AC13" s="89">
        <v>0</v>
      </c>
      <c r="AD13" s="89">
        <v>0</v>
      </c>
      <c r="AE13" s="89">
        <v>0</v>
      </c>
    </row>
    <row r="14" spans="1:33" ht="16.5" customHeight="1">
      <c r="A14" s="89" t="s">
        <v>209</v>
      </c>
      <c r="B14" s="89">
        <v>0</v>
      </c>
      <c r="C14" s="89">
        <v>0</v>
      </c>
      <c r="D14" s="89">
        <v>0</v>
      </c>
      <c r="E14" s="89">
        <v>0</v>
      </c>
      <c r="F14" s="89">
        <v>0</v>
      </c>
      <c r="G14" s="89">
        <v>0</v>
      </c>
      <c r="H14" s="89">
        <v>0</v>
      </c>
      <c r="I14" s="89">
        <v>0</v>
      </c>
      <c r="J14" s="89">
        <v>0</v>
      </c>
      <c r="K14" s="89">
        <v>0</v>
      </c>
      <c r="L14" s="89">
        <v>0</v>
      </c>
      <c r="M14" s="89">
        <v>0</v>
      </c>
      <c r="N14" s="89">
        <v>0</v>
      </c>
      <c r="O14" s="89">
        <v>0</v>
      </c>
      <c r="P14" s="89">
        <v>0</v>
      </c>
      <c r="Q14" s="89">
        <v>0</v>
      </c>
      <c r="R14" s="89">
        <v>0</v>
      </c>
      <c r="S14" s="89">
        <v>0</v>
      </c>
      <c r="T14" s="89">
        <v>0</v>
      </c>
      <c r="U14" s="89">
        <v>0</v>
      </c>
      <c r="V14" s="89">
        <v>0</v>
      </c>
      <c r="W14" s="89">
        <v>0</v>
      </c>
      <c r="X14" s="89">
        <v>0</v>
      </c>
      <c r="Y14" s="89">
        <v>0</v>
      </c>
      <c r="Z14" s="89">
        <v>0</v>
      </c>
      <c r="AA14" s="89">
        <v>0</v>
      </c>
      <c r="AB14" s="89">
        <v>0</v>
      </c>
      <c r="AC14" s="89">
        <v>0</v>
      </c>
      <c r="AD14" s="89">
        <v>0</v>
      </c>
      <c r="AE14" s="89">
        <v>0</v>
      </c>
      <c r="AF14" s="91"/>
      <c r="AG14" s="91"/>
    </row>
    <row r="15" spans="1:33" ht="16.5" customHeight="1">
      <c r="A15" s="89" t="s">
        <v>210</v>
      </c>
      <c r="B15" s="89">
        <v>0</v>
      </c>
      <c r="C15" s="89">
        <v>0</v>
      </c>
      <c r="D15" s="89">
        <v>0</v>
      </c>
      <c r="E15" s="89">
        <v>0</v>
      </c>
      <c r="F15" s="89">
        <v>0</v>
      </c>
      <c r="G15" s="89">
        <v>0</v>
      </c>
      <c r="H15" s="89">
        <v>0</v>
      </c>
      <c r="I15" s="89">
        <v>0</v>
      </c>
      <c r="J15" s="89">
        <v>0</v>
      </c>
      <c r="K15" s="89">
        <v>0</v>
      </c>
      <c r="L15" s="89">
        <v>0</v>
      </c>
      <c r="M15" s="89">
        <v>0</v>
      </c>
      <c r="N15" s="89">
        <v>0</v>
      </c>
      <c r="O15" s="89">
        <v>0</v>
      </c>
      <c r="P15" s="89">
        <v>0</v>
      </c>
      <c r="Q15" s="89">
        <v>0</v>
      </c>
      <c r="R15" s="89">
        <v>0</v>
      </c>
      <c r="S15" s="89">
        <v>0</v>
      </c>
      <c r="T15" s="89">
        <v>0</v>
      </c>
      <c r="U15" s="89">
        <v>0</v>
      </c>
      <c r="V15" s="89">
        <v>0</v>
      </c>
      <c r="W15" s="89">
        <v>0</v>
      </c>
      <c r="X15" s="89">
        <v>0</v>
      </c>
      <c r="Y15" s="89">
        <v>0</v>
      </c>
      <c r="Z15" s="89">
        <v>0</v>
      </c>
      <c r="AA15" s="89">
        <v>0</v>
      </c>
      <c r="AB15" s="89">
        <v>0</v>
      </c>
      <c r="AC15" s="89">
        <v>0</v>
      </c>
      <c r="AD15" s="89">
        <v>0</v>
      </c>
      <c r="AE15" s="89">
        <v>0</v>
      </c>
    </row>
    <row r="16" spans="1:33" ht="16.5" customHeight="1">
      <c r="A16" s="89" t="s">
        <v>129</v>
      </c>
      <c r="B16" s="89">
        <v>0</v>
      </c>
      <c r="C16" s="89">
        <v>0</v>
      </c>
      <c r="D16" s="89">
        <v>0</v>
      </c>
      <c r="E16" s="89">
        <v>0</v>
      </c>
      <c r="F16" s="89">
        <v>0</v>
      </c>
      <c r="G16" s="89">
        <v>0</v>
      </c>
      <c r="H16" s="89">
        <v>0</v>
      </c>
      <c r="I16" s="89">
        <v>0</v>
      </c>
      <c r="J16" s="89">
        <v>0</v>
      </c>
      <c r="K16" s="89">
        <v>0</v>
      </c>
      <c r="L16" s="89">
        <v>0</v>
      </c>
      <c r="M16" s="89">
        <v>0</v>
      </c>
      <c r="N16" s="89">
        <v>0</v>
      </c>
      <c r="O16" s="89">
        <v>0</v>
      </c>
      <c r="P16" s="89">
        <v>0</v>
      </c>
      <c r="Q16" s="89">
        <v>0</v>
      </c>
      <c r="R16" s="89">
        <v>0</v>
      </c>
      <c r="S16" s="89">
        <v>0</v>
      </c>
      <c r="T16" s="89">
        <v>0</v>
      </c>
      <c r="U16" s="89">
        <v>0</v>
      </c>
      <c r="V16" s="89">
        <v>0</v>
      </c>
      <c r="W16" s="89">
        <v>0</v>
      </c>
      <c r="X16" s="89">
        <v>0</v>
      </c>
      <c r="Y16" s="89">
        <v>0</v>
      </c>
      <c r="Z16" s="89">
        <v>0</v>
      </c>
      <c r="AA16" s="89">
        <v>0</v>
      </c>
      <c r="AB16" s="89">
        <v>0</v>
      </c>
      <c r="AC16" s="89">
        <v>0</v>
      </c>
      <c r="AD16" s="89">
        <v>0</v>
      </c>
      <c r="AE16" s="89">
        <v>0</v>
      </c>
    </row>
    <row r="17" spans="1:33" ht="16.5" customHeight="1">
      <c r="A17" s="89" t="s">
        <v>211</v>
      </c>
      <c r="B17" s="89">
        <v>0</v>
      </c>
      <c r="C17" s="89">
        <v>0</v>
      </c>
      <c r="D17" s="89">
        <v>0</v>
      </c>
      <c r="E17" s="89">
        <v>0</v>
      </c>
      <c r="F17" s="89">
        <v>0</v>
      </c>
      <c r="G17" s="89">
        <v>0</v>
      </c>
      <c r="H17" s="89">
        <v>0</v>
      </c>
      <c r="I17" s="89">
        <v>0</v>
      </c>
      <c r="J17" s="89">
        <v>0</v>
      </c>
      <c r="K17" s="89">
        <v>0</v>
      </c>
      <c r="L17" s="89">
        <v>0</v>
      </c>
      <c r="M17" s="89">
        <v>0</v>
      </c>
      <c r="N17" s="89">
        <v>0</v>
      </c>
      <c r="O17" s="89">
        <v>0</v>
      </c>
      <c r="P17" s="89">
        <v>0</v>
      </c>
      <c r="Q17" s="89">
        <v>0</v>
      </c>
      <c r="R17" s="89">
        <v>0</v>
      </c>
      <c r="S17" s="89">
        <v>0</v>
      </c>
      <c r="T17" s="89">
        <v>0</v>
      </c>
      <c r="U17" s="89">
        <v>0</v>
      </c>
      <c r="V17" s="89">
        <v>0</v>
      </c>
      <c r="W17" s="89">
        <v>0</v>
      </c>
      <c r="X17" s="89">
        <v>0</v>
      </c>
      <c r="Y17" s="89">
        <v>0</v>
      </c>
      <c r="Z17" s="89">
        <v>0</v>
      </c>
      <c r="AA17" s="89">
        <v>0</v>
      </c>
      <c r="AB17" s="89">
        <v>0</v>
      </c>
      <c r="AC17" s="89">
        <v>0</v>
      </c>
      <c r="AD17" s="89">
        <v>0</v>
      </c>
      <c r="AE17" s="89">
        <v>0</v>
      </c>
      <c r="AF17" s="91"/>
      <c r="AG17" s="91"/>
    </row>
    <row r="18" spans="1:33" ht="16.5" customHeight="1">
      <c r="A18" s="89" t="s">
        <v>212</v>
      </c>
      <c r="B18" s="89">
        <v>0</v>
      </c>
      <c r="C18" s="89">
        <v>0</v>
      </c>
      <c r="D18" s="89">
        <v>0</v>
      </c>
      <c r="E18" s="89">
        <v>0</v>
      </c>
      <c r="F18" s="89">
        <v>0</v>
      </c>
      <c r="G18" s="89">
        <v>0</v>
      </c>
      <c r="H18" s="89">
        <v>0</v>
      </c>
      <c r="I18" s="89">
        <v>0</v>
      </c>
      <c r="J18" s="89">
        <v>0</v>
      </c>
      <c r="K18" s="89">
        <v>0</v>
      </c>
      <c r="L18" s="89">
        <v>0</v>
      </c>
      <c r="M18" s="89">
        <v>0</v>
      </c>
      <c r="N18" s="89">
        <v>0</v>
      </c>
      <c r="O18" s="89">
        <v>0</v>
      </c>
      <c r="P18" s="89">
        <v>0</v>
      </c>
      <c r="Q18" s="89">
        <v>0</v>
      </c>
      <c r="R18" s="89">
        <v>0</v>
      </c>
      <c r="S18" s="89">
        <v>0</v>
      </c>
      <c r="T18" s="89">
        <v>0</v>
      </c>
      <c r="U18" s="89">
        <v>0</v>
      </c>
      <c r="V18" s="89">
        <v>0</v>
      </c>
      <c r="W18" s="89">
        <v>0</v>
      </c>
      <c r="X18" s="89">
        <v>0</v>
      </c>
      <c r="Y18" s="89">
        <v>0</v>
      </c>
      <c r="Z18" s="89">
        <v>0</v>
      </c>
      <c r="AA18" s="89">
        <v>0</v>
      </c>
      <c r="AB18" s="89">
        <v>0</v>
      </c>
      <c r="AC18" s="89">
        <v>0</v>
      </c>
      <c r="AD18" s="89">
        <v>0</v>
      </c>
      <c r="AE18" s="89">
        <v>0</v>
      </c>
      <c r="AF18" s="91"/>
      <c r="AG18" s="91"/>
    </row>
    <row r="19" spans="1:33" ht="16.5" customHeight="1">
      <c r="A19" s="89" t="s">
        <v>213</v>
      </c>
      <c r="B19" s="89">
        <v>0</v>
      </c>
      <c r="C19" s="89">
        <v>0</v>
      </c>
      <c r="D19" s="89">
        <v>0</v>
      </c>
      <c r="E19" s="89">
        <v>0</v>
      </c>
      <c r="F19" s="89">
        <v>0</v>
      </c>
      <c r="G19" s="89">
        <v>0</v>
      </c>
      <c r="H19" s="89">
        <v>0</v>
      </c>
      <c r="I19" s="89">
        <v>0</v>
      </c>
      <c r="J19" s="89">
        <v>0</v>
      </c>
      <c r="K19" s="89">
        <v>0</v>
      </c>
      <c r="L19" s="89">
        <v>0</v>
      </c>
      <c r="M19" s="89">
        <v>0</v>
      </c>
      <c r="N19" s="89">
        <v>0</v>
      </c>
      <c r="O19" s="89">
        <v>0</v>
      </c>
      <c r="P19" s="89">
        <v>0</v>
      </c>
      <c r="Q19" s="89">
        <v>0</v>
      </c>
      <c r="R19" s="89">
        <v>0</v>
      </c>
      <c r="S19" s="89">
        <v>0</v>
      </c>
      <c r="T19" s="89">
        <v>0</v>
      </c>
      <c r="U19" s="89">
        <v>0</v>
      </c>
      <c r="V19" s="89">
        <v>0</v>
      </c>
      <c r="W19" s="89">
        <v>0</v>
      </c>
      <c r="X19" s="89">
        <v>0</v>
      </c>
      <c r="Y19" s="89">
        <v>0</v>
      </c>
      <c r="Z19" s="89">
        <v>0</v>
      </c>
      <c r="AA19" s="89">
        <v>0</v>
      </c>
      <c r="AB19" s="89">
        <v>0</v>
      </c>
      <c r="AC19" s="89">
        <v>0</v>
      </c>
      <c r="AD19" s="89">
        <v>0</v>
      </c>
      <c r="AE19" s="89">
        <v>0</v>
      </c>
      <c r="AF19" s="91"/>
      <c r="AG19" s="91"/>
    </row>
    <row r="20" spans="1:33" ht="16.5" customHeight="1">
      <c r="A20" s="89" t="s">
        <v>214</v>
      </c>
      <c r="B20" s="89">
        <v>0</v>
      </c>
      <c r="C20" s="89">
        <v>0</v>
      </c>
      <c r="D20" s="89">
        <v>0</v>
      </c>
      <c r="E20" s="89">
        <v>0</v>
      </c>
      <c r="F20" s="89">
        <v>0</v>
      </c>
      <c r="G20" s="89">
        <v>0</v>
      </c>
      <c r="H20" s="89">
        <v>0</v>
      </c>
      <c r="I20" s="89">
        <v>0</v>
      </c>
      <c r="J20" s="89">
        <v>0</v>
      </c>
      <c r="K20" s="89">
        <v>0</v>
      </c>
      <c r="L20" s="89">
        <v>0</v>
      </c>
      <c r="M20" s="89">
        <v>0</v>
      </c>
      <c r="N20" s="89">
        <v>0</v>
      </c>
      <c r="O20" s="89">
        <v>0</v>
      </c>
      <c r="P20" s="89">
        <v>0</v>
      </c>
      <c r="Q20" s="89">
        <v>0</v>
      </c>
      <c r="R20" s="89">
        <v>0</v>
      </c>
      <c r="S20" s="89">
        <v>0</v>
      </c>
      <c r="T20" s="89">
        <v>0</v>
      </c>
      <c r="U20" s="89">
        <v>0</v>
      </c>
      <c r="V20" s="89">
        <v>0</v>
      </c>
      <c r="W20" s="89">
        <v>0</v>
      </c>
      <c r="X20" s="89">
        <v>0</v>
      </c>
      <c r="Y20" s="89">
        <v>0</v>
      </c>
      <c r="Z20" s="89">
        <v>0</v>
      </c>
      <c r="AA20" s="89">
        <v>0</v>
      </c>
      <c r="AB20" s="89">
        <v>0</v>
      </c>
      <c r="AC20" s="89">
        <v>0</v>
      </c>
      <c r="AD20" s="89">
        <v>0</v>
      </c>
      <c r="AE20" s="89">
        <v>0</v>
      </c>
    </row>
    <row r="21" spans="1:33" ht="16.5" customHeight="1">
      <c r="A21" s="89" t="s">
        <v>215</v>
      </c>
      <c r="B21" s="89">
        <v>0</v>
      </c>
      <c r="C21" s="89">
        <v>0</v>
      </c>
      <c r="D21" s="89">
        <v>0</v>
      </c>
      <c r="E21" s="89">
        <v>0</v>
      </c>
      <c r="F21" s="89">
        <v>0</v>
      </c>
      <c r="G21" s="89">
        <v>0</v>
      </c>
      <c r="H21" s="89">
        <v>0</v>
      </c>
      <c r="I21" s="89">
        <v>0</v>
      </c>
      <c r="J21" s="89">
        <v>0</v>
      </c>
      <c r="K21" s="89">
        <v>0</v>
      </c>
      <c r="L21" s="89">
        <v>0</v>
      </c>
      <c r="M21" s="89">
        <v>0</v>
      </c>
      <c r="N21" s="89">
        <v>0</v>
      </c>
      <c r="O21" s="89">
        <v>0</v>
      </c>
      <c r="P21" s="89">
        <v>0</v>
      </c>
      <c r="Q21" s="89">
        <v>0</v>
      </c>
      <c r="R21" s="89">
        <v>0</v>
      </c>
      <c r="S21" s="89">
        <v>0</v>
      </c>
      <c r="T21" s="89">
        <v>0</v>
      </c>
      <c r="U21" s="89">
        <v>0</v>
      </c>
      <c r="V21" s="89">
        <v>0</v>
      </c>
      <c r="W21" s="89">
        <v>0</v>
      </c>
      <c r="X21" s="89">
        <v>0</v>
      </c>
      <c r="Y21" s="89">
        <v>0</v>
      </c>
      <c r="Z21" s="89">
        <v>0</v>
      </c>
      <c r="AA21" s="89">
        <v>0</v>
      </c>
      <c r="AB21" s="89">
        <v>0</v>
      </c>
      <c r="AC21" s="89">
        <v>0</v>
      </c>
      <c r="AD21" s="89">
        <v>0</v>
      </c>
      <c r="AE21" s="89">
        <v>0</v>
      </c>
    </row>
    <row r="22" spans="1:33" ht="16.5" customHeight="1">
      <c r="A22" s="92" t="s">
        <v>219</v>
      </c>
      <c r="B22" s="89">
        <v>0</v>
      </c>
      <c r="C22" s="89">
        <v>0</v>
      </c>
      <c r="D22" s="89">
        <v>0</v>
      </c>
      <c r="E22" s="89">
        <v>0</v>
      </c>
      <c r="F22" s="89">
        <v>0</v>
      </c>
      <c r="G22" s="89">
        <v>0</v>
      </c>
      <c r="H22" s="89">
        <v>0</v>
      </c>
      <c r="I22" s="89">
        <v>0</v>
      </c>
      <c r="J22" s="89">
        <v>0</v>
      </c>
      <c r="K22" s="89">
        <v>0</v>
      </c>
      <c r="L22" s="89">
        <v>0</v>
      </c>
      <c r="M22" s="89">
        <v>0</v>
      </c>
      <c r="N22" s="89">
        <v>0</v>
      </c>
      <c r="O22" s="89">
        <v>0</v>
      </c>
      <c r="P22" s="89">
        <v>0</v>
      </c>
      <c r="Q22" s="89">
        <v>0</v>
      </c>
      <c r="R22" s="89">
        <v>0</v>
      </c>
      <c r="S22" s="89">
        <v>0</v>
      </c>
      <c r="T22" s="89">
        <v>0</v>
      </c>
      <c r="U22" s="89">
        <v>0</v>
      </c>
      <c r="V22" s="89">
        <v>0</v>
      </c>
      <c r="W22" s="89">
        <v>0</v>
      </c>
      <c r="X22" s="89">
        <v>0</v>
      </c>
      <c r="Y22" s="89">
        <v>0</v>
      </c>
      <c r="Z22" s="89">
        <v>0</v>
      </c>
      <c r="AA22" s="89">
        <v>0</v>
      </c>
      <c r="AB22" s="89">
        <v>0</v>
      </c>
      <c r="AC22" s="89">
        <v>0</v>
      </c>
      <c r="AD22" s="89">
        <v>0</v>
      </c>
      <c r="AE22" s="89">
        <v>0</v>
      </c>
    </row>
    <row r="23" spans="1:33" ht="16.5" customHeight="1"/>
    <row r="24" spans="1:33" ht="16.5" customHeight="1"/>
    <row r="25" spans="1:33" ht="16.5" customHeight="1"/>
    <row r="26" spans="1:33" ht="16.5" customHeight="1"/>
    <row r="27" spans="1:33" ht="16.5" customHeight="1"/>
    <row r="28" spans="1:33" ht="16.5" customHeight="1"/>
    <row r="29" spans="1:33" ht="16.5" customHeight="1"/>
    <row r="30" spans="1:33" ht="16.5" customHeight="1"/>
    <row r="31" spans="1:33" ht="16.5" customHeight="1"/>
    <row r="32" spans="1:33" ht="16.5" customHeight="1"/>
    <row r="33" s="90" customFormat="1" ht="16.5" customHeight="1"/>
    <row r="34" s="90" customFormat="1" ht="16.5" customHeight="1"/>
    <row r="35" s="90" customFormat="1" ht="16.5" customHeight="1"/>
    <row r="36" s="90" customFormat="1" ht="16.5" customHeight="1"/>
    <row r="37" s="90" customFormat="1" ht="16.5" customHeight="1"/>
    <row r="38" s="90" customFormat="1" ht="16.5" customHeight="1"/>
    <row r="39" s="90" customFormat="1" ht="16.5" customHeight="1"/>
    <row r="40" s="90" customFormat="1" ht="16.5" customHeight="1"/>
    <row r="41" s="90" customFormat="1" ht="16.5" customHeight="1"/>
    <row r="42" s="90" customFormat="1" ht="16.5" customHeight="1"/>
    <row r="43" s="90" customFormat="1" ht="16.5" customHeight="1"/>
    <row r="44" s="90" customFormat="1" ht="16.5" customHeight="1"/>
    <row r="45" s="90" customFormat="1" ht="16.5" customHeight="1"/>
    <row r="46" s="90" customFormat="1" ht="16.5" customHeight="1"/>
    <row r="47" s="90" customFormat="1" ht="16.5" customHeight="1"/>
    <row r="48" s="90" customFormat="1" ht="16.5" customHeight="1"/>
    <row r="49" s="90" customFormat="1" ht="16.5" customHeight="1"/>
    <row r="50" s="90" customFormat="1" ht="16.5" customHeight="1"/>
    <row r="51" s="90" customFormat="1" ht="16.5" customHeight="1"/>
    <row r="52" s="90" customFormat="1" ht="16.5" customHeight="1"/>
    <row r="53" s="90" customFormat="1" ht="16.5" customHeight="1"/>
    <row r="54" s="90" customFormat="1" ht="16.5" customHeight="1"/>
    <row r="55" s="90" customFormat="1" ht="16.5" customHeight="1"/>
    <row r="56" s="90" customFormat="1" ht="16.5" customHeight="1"/>
    <row r="57" s="90" customFormat="1" ht="16.5" customHeight="1"/>
    <row r="58" s="90" customFormat="1" ht="16.5" customHeight="1"/>
    <row r="59" s="90" customFormat="1" ht="16.5" customHeight="1"/>
    <row r="60" s="90" customFormat="1" ht="16.5" customHeight="1"/>
    <row r="61" s="90" customFormat="1" ht="16.5" customHeight="1"/>
    <row r="62" s="90" customFormat="1" ht="16.5" customHeight="1"/>
    <row r="63" s="90" customFormat="1" ht="16.5" customHeight="1"/>
    <row r="64" s="90" customFormat="1" ht="16.5" customHeight="1"/>
    <row r="65" s="90" customFormat="1" ht="16.5" customHeight="1"/>
    <row r="66" s="90" customFormat="1" ht="16.5" customHeight="1"/>
    <row r="67" s="90" customFormat="1" ht="16.5" customHeight="1"/>
    <row r="68" s="90" customFormat="1" ht="16.5" customHeight="1"/>
    <row r="69" s="90" customFormat="1" ht="16.5" customHeight="1"/>
    <row r="70" s="90" customFormat="1" ht="16.5" customHeight="1"/>
    <row r="71" s="90" customFormat="1" ht="16.5" customHeight="1"/>
    <row r="72" s="90" customFormat="1" ht="16.5" customHeight="1"/>
    <row r="73" s="90" customFormat="1" ht="16.5" customHeight="1"/>
    <row r="74" s="90" customFormat="1" ht="16.5" customHeight="1"/>
    <row r="75" s="90" customFormat="1" ht="16.5" customHeight="1"/>
    <row r="76" s="90" customFormat="1" ht="16.5" customHeight="1"/>
    <row r="77" s="90" customFormat="1" ht="16.5" customHeight="1"/>
    <row r="78" s="90" customFormat="1" ht="16.5" customHeight="1"/>
    <row r="79" s="90" customFormat="1" ht="16.5" customHeight="1"/>
    <row r="80" s="90" customFormat="1" ht="16.5" customHeight="1"/>
    <row r="81" s="90" customFormat="1" ht="16.5" customHeight="1"/>
    <row r="82" s="90" customFormat="1" ht="16.5" customHeight="1"/>
    <row r="83" s="90" customFormat="1" ht="16.5" customHeight="1"/>
    <row r="84" s="90" customFormat="1" ht="16.5" customHeight="1"/>
    <row r="85" s="90" customFormat="1" ht="16.5" customHeight="1"/>
    <row r="86" s="90" customFormat="1" ht="16.5" customHeight="1"/>
    <row r="87" s="90" customFormat="1" ht="16.5" customHeight="1"/>
    <row r="88" s="90" customFormat="1" ht="16.5" customHeight="1"/>
    <row r="89" s="90" customFormat="1" ht="16.5" customHeight="1"/>
    <row r="90" s="90" customFormat="1" ht="16.5" customHeight="1"/>
    <row r="91" s="90" customFormat="1" ht="16.5" customHeight="1"/>
    <row r="92" s="90" customFormat="1" ht="16.5" customHeight="1"/>
    <row r="93" s="90" customFormat="1" ht="16.5" customHeight="1"/>
    <row r="94" s="90" customFormat="1" ht="16.5" customHeight="1"/>
    <row r="95" s="90" customFormat="1" ht="16.5" customHeight="1"/>
    <row r="96" s="90" customFormat="1" ht="16.5" customHeight="1"/>
    <row r="97" s="90" customFormat="1" ht="16.5" customHeight="1"/>
    <row r="98" s="90" customFormat="1" ht="16.5" customHeight="1"/>
    <row r="99" s="90" customFormat="1" ht="16.5" customHeight="1"/>
    <row r="100" s="90" customFormat="1" ht="16.5" customHeight="1"/>
    <row r="101" s="90" customFormat="1" ht="16.5" customHeight="1"/>
    <row r="102" s="90" customFormat="1" ht="16.5" customHeight="1"/>
    <row r="103" s="90" customFormat="1" ht="16.5" customHeight="1"/>
    <row r="104" s="90" customFormat="1" ht="16.5" customHeight="1"/>
    <row r="105" s="90" customFormat="1" ht="16.5" customHeight="1"/>
    <row r="106" s="90" customFormat="1" ht="16.5" customHeight="1"/>
    <row r="107" s="90" customFormat="1" ht="16.5" customHeight="1"/>
    <row r="108" s="90" customFormat="1" ht="16.5" customHeight="1"/>
    <row r="109" s="90" customFormat="1" ht="16.5" customHeight="1"/>
    <row r="110" s="90" customFormat="1" ht="16.5" customHeight="1"/>
    <row r="111" s="90" customFormat="1" ht="16.5" customHeight="1"/>
    <row r="112" s="90" customFormat="1" ht="16.5" customHeight="1"/>
    <row r="113" s="90" customFormat="1" ht="16.5" customHeight="1"/>
    <row r="114" s="90" customFormat="1" ht="16.5" customHeight="1"/>
    <row r="115" s="90" customFormat="1" ht="16.5" customHeight="1"/>
    <row r="116" s="90" customFormat="1" ht="16.5" customHeight="1"/>
    <row r="117" s="90" customFormat="1" ht="16.5" customHeight="1"/>
    <row r="118" s="90" customFormat="1" ht="16.5" customHeight="1"/>
    <row r="119" s="90" customFormat="1" ht="16.5" customHeight="1"/>
    <row r="120" s="90" customFormat="1" ht="16.5" customHeight="1"/>
    <row r="121" s="90" customFormat="1" ht="16.5" customHeight="1"/>
    <row r="122" s="90" customFormat="1" ht="16.5" customHeight="1"/>
    <row r="123" s="90" customFormat="1" ht="16.5" customHeight="1"/>
    <row r="124" s="90" customFormat="1" ht="16.5" customHeight="1"/>
    <row r="125" s="90" customFormat="1" ht="16.5" customHeight="1"/>
    <row r="126" s="90" customFormat="1" ht="16.5" customHeight="1"/>
    <row r="127" s="90" customFormat="1" ht="16.5" customHeight="1"/>
    <row r="128" s="90" customFormat="1" ht="16.5" customHeight="1"/>
    <row r="129" s="90" customFormat="1" ht="16.5" customHeight="1"/>
    <row r="130" s="90" customFormat="1" ht="16.5" customHeight="1"/>
    <row r="131" s="90" customFormat="1" ht="16.5" customHeight="1"/>
    <row r="132" s="90" customFormat="1" ht="16.5" customHeight="1"/>
    <row r="133" s="90" customFormat="1" ht="16.5" customHeight="1"/>
    <row r="134" s="90" customFormat="1" ht="16.5" customHeight="1"/>
    <row r="135" s="90" customFormat="1" ht="16.5" customHeight="1"/>
    <row r="136" s="90" customFormat="1" ht="16.5" customHeight="1"/>
    <row r="137" s="90" customFormat="1" ht="16.5" customHeight="1"/>
    <row r="138" s="90" customFormat="1" ht="16.5" customHeight="1"/>
    <row r="139" s="90" customFormat="1" ht="16.5" customHeight="1"/>
    <row r="140" s="90" customFormat="1" ht="16.5" customHeight="1"/>
    <row r="141" s="90" customFormat="1" ht="16.5" customHeight="1"/>
    <row r="142" s="90" customFormat="1" ht="16.5" customHeight="1"/>
    <row r="143" s="90" customFormat="1" ht="16.5" customHeight="1"/>
    <row r="144" s="90" customFormat="1" ht="16.5" customHeight="1"/>
    <row r="145" s="90" customFormat="1" ht="16.5" customHeight="1"/>
    <row r="146" s="90" customFormat="1" ht="16.5" customHeight="1"/>
    <row r="147" s="90" customFormat="1" ht="16.5" customHeight="1"/>
    <row r="148" s="90" customFormat="1" ht="16.5" customHeight="1"/>
    <row r="149" s="90" customFormat="1" ht="16.5" customHeight="1"/>
    <row r="150" s="90" customFormat="1" ht="16.5" customHeight="1"/>
    <row r="151" s="90" customFormat="1" ht="16.5" customHeight="1"/>
    <row r="152" s="90" customFormat="1" ht="16.5" customHeight="1"/>
    <row r="153" s="90" customFormat="1" ht="16.5" customHeight="1"/>
    <row r="154" s="90" customFormat="1" ht="16.5" customHeight="1"/>
    <row r="155" s="90" customFormat="1" ht="16.5" customHeight="1"/>
    <row r="156" s="90" customFormat="1" ht="16.5" customHeight="1"/>
    <row r="157" s="90" customFormat="1" ht="16.5" customHeight="1"/>
    <row r="158" s="90" customFormat="1" ht="16.5" customHeight="1"/>
    <row r="159" s="90" customFormat="1" ht="16.5" customHeight="1"/>
    <row r="160" s="90" customFormat="1" ht="16.5" customHeight="1"/>
    <row r="161" s="90" customFormat="1" ht="16.5" customHeight="1"/>
    <row r="162" s="90" customFormat="1" ht="16.5" customHeight="1"/>
    <row r="163" s="90" customFormat="1" ht="16.5" customHeight="1"/>
    <row r="164" s="90" customFormat="1" ht="16.5" customHeight="1"/>
    <row r="165" s="90" customFormat="1" ht="16.5" customHeight="1"/>
    <row r="166" s="90" customFormat="1" ht="16.5" customHeight="1"/>
    <row r="167" s="90" customFormat="1" ht="16.5" customHeight="1"/>
    <row r="168" s="90" customFormat="1" ht="16.5" customHeight="1"/>
    <row r="169" s="90" customFormat="1" ht="16.5" customHeight="1"/>
    <row r="170" s="90" customFormat="1" ht="16.5" customHeight="1"/>
    <row r="171" s="90" customFormat="1" ht="16.5" customHeight="1"/>
    <row r="172" s="90" customFormat="1" ht="16.5" customHeight="1"/>
    <row r="173" s="90" customFormat="1" ht="16.5" customHeight="1"/>
    <row r="174" s="90" customFormat="1" ht="16.5" customHeight="1"/>
    <row r="175" s="90" customFormat="1" ht="16.5" customHeight="1"/>
    <row r="176" s="90" customFormat="1" ht="16.5" customHeight="1"/>
    <row r="177" s="90" customFormat="1" ht="16.5" customHeight="1"/>
    <row r="178" s="90" customFormat="1" ht="16.5" customHeight="1"/>
    <row r="179" s="90" customFormat="1" ht="16.5" customHeight="1"/>
    <row r="180" s="90" customFormat="1" ht="16.5" customHeight="1"/>
    <row r="181" s="90" customFormat="1" ht="16.5" customHeight="1"/>
    <row r="182" s="90" customFormat="1" ht="16.5" customHeight="1"/>
    <row r="183" s="90" customFormat="1" ht="16.5" customHeight="1"/>
    <row r="184" s="90" customFormat="1" ht="16.5" customHeight="1"/>
    <row r="185" s="90" customFormat="1" ht="16.5" customHeight="1"/>
    <row r="186" s="90" customFormat="1" ht="16.5" customHeight="1"/>
    <row r="187" s="90" customFormat="1" ht="16.5" customHeight="1"/>
    <row r="188" s="90" customFormat="1" ht="16.5" customHeight="1"/>
    <row r="189" s="90" customFormat="1" ht="16.5" customHeight="1"/>
    <row r="190" s="90" customFormat="1" ht="16.5" customHeight="1"/>
    <row r="191" s="90" customFormat="1" ht="16.5" customHeight="1"/>
    <row r="192" s="90" customFormat="1" ht="16.5" customHeight="1"/>
    <row r="193" s="90" customFormat="1" ht="16.5" customHeight="1"/>
    <row r="194" s="90" customFormat="1" ht="16.5" customHeight="1"/>
    <row r="195" s="90" customFormat="1" ht="16.5" customHeight="1"/>
    <row r="196" s="90" customFormat="1" ht="16.5" customHeight="1"/>
    <row r="197" s="90" customFormat="1" ht="16.5" customHeight="1"/>
    <row r="198" s="90" customFormat="1" ht="16.5" customHeight="1"/>
    <row r="199" s="90" customFormat="1" ht="16.5" customHeight="1"/>
    <row r="200" s="90" customFormat="1" ht="16.5" customHeight="1"/>
    <row r="201" s="90" customFormat="1" ht="16.5" customHeight="1"/>
    <row r="202" s="90" customFormat="1" ht="16.5" customHeight="1"/>
    <row r="203" s="90" customFormat="1" ht="16.5" customHeight="1"/>
    <row r="204" s="90" customFormat="1" ht="16.5" customHeight="1"/>
    <row r="205" s="90" customFormat="1" ht="16.5" customHeight="1"/>
    <row r="206" s="90" customFormat="1" ht="16.5" customHeight="1"/>
    <row r="207" s="90" customFormat="1" ht="16.5" customHeight="1"/>
    <row r="208" s="90" customFormat="1" ht="16.5" customHeight="1"/>
    <row r="209" s="90" customFormat="1" ht="16.5" customHeight="1"/>
    <row r="210" s="90" customFormat="1" ht="16.5" customHeight="1"/>
    <row r="211" s="90" customFormat="1" ht="16.5" customHeight="1"/>
    <row r="212" s="90" customFormat="1" ht="16.5" customHeight="1"/>
    <row r="213" s="90" customFormat="1" ht="16.5" customHeight="1"/>
    <row r="214" s="90" customFormat="1" ht="16.5" customHeight="1"/>
    <row r="215" s="90" customFormat="1" ht="16.5" customHeight="1"/>
    <row r="216" s="90" customFormat="1" ht="16.5" customHeight="1"/>
    <row r="217" s="90" customFormat="1" ht="16.5" customHeight="1"/>
    <row r="218" s="90" customFormat="1" ht="16.5" customHeight="1"/>
    <row r="219" s="90" customFormat="1" ht="16.5" customHeight="1"/>
    <row r="220" s="90" customFormat="1" ht="16.5" customHeight="1"/>
    <row r="221" s="90" customFormat="1" ht="16.5" customHeight="1"/>
    <row r="222" s="90" customFormat="1" ht="16.5" customHeight="1"/>
    <row r="223" s="90" customFormat="1" ht="16.5" customHeight="1"/>
    <row r="224" s="90" customFormat="1" ht="16.5" customHeight="1"/>
    <row r="225" s="90" customFormat="1" ht="16.5" customHeight="1"/>
    <row r="226" s="90" customFormat="1" ht="16.5" customHeight="1"/>
    <row r="227" s="90" customFormat="1" ht="16.5" customHeight="1"/>
    <row r="228" s="90" customFormat="1" ht="16.5" customHeight="1"/>
    <row r="229" s="90" customFormat="1" ht="16.5" customHeight="1"/>
    <row r="230" s="90" customFormat="1" ht="16.5" customHeight="1"/>
    <row r="231" s="90" customFormat="1" ht="16.5" customHeight="1"/>
    <row r="232" s="90" customFormat="1" ht="16.5" customHeight="1"/>
    <row r="233" s="90" customFormat="1" ht="16.5" customHeight="1"/>
    <row r="234" s="90" customFormat="1" ht="16.5" customHeight="1"/>
    <row r="235" s="90" customFormat="1" ht="16.5" customHeight="1"/>
    <row r="236" s="90" customFormat="1" ht="16.5" customHeight="1"/>
    <row r="237" s="90" customFormat="1" ht="16.5" customHeight="1"/>
    <row r="238" s="90" customFormat="1" ht="16.5" customHeight="1"/>
    <row r="239" s="90" customFormat="1" ht="16.5" customHeight="1"/>
    <row r="240" s="90" customFormat="1" ht="16.5" customHeight="1"/>
    <row r="241" s="90" customFormat="1" ht="16.5" customHeight="1"/>
    <row r="242" s="90" customFormat="1" ht="16.5" customHeight="1"/>
    <row r="243" s="90" customFormat="1" ht="16.5" customHeight="1"/>
    <row r="244" s="90" customFormat="1" ht="16.5" customHeight="1"/>
    <row r="245" s="90" customFormat="1" ht="16.5" customHeight="1"/>
    <row r="246" s="90" customFormat="1" ht="16.5" customHeight="1"/>
    <row r="247" s="90" customFormat="1" ht="16.5" customHeight="1"/>
    <row r="248" s="90" customFormat="1" ht="16.5" customHeight="1"/>
    <row r="249" s="90" customFormat="1" ht="16.5" customHeight="1"/>
    <row r="250" s="90" customFormat="1" ht="16.5" customHeight="1"/>
    <row r="251" s="90" customFormat="1" ht="16.5" customHeight="1"/>
    <row r="252" s="90" customFormat="1" ht="16.5" customHeight="1"/>
    <row r="253" s="90" customFormat="1" ht="16.5" customHeight="1"/>
    <row r="254" s="90" customFormat="1" ht="16.5" customHeight="1"/>
    <row r="255" s="90" customFormat="1" ht="16.5" customHeight="1"/>
    <row r="256" s="90" customFormat="1" ht="16.5" customHeight="1"/>
    <row r="257" s="90" customFormat="1" ht="16.5" customHeight="1"/>
    <row r="258" s="90" customFormat="1" ht="16.5" customHeight="1"/>
    <row r="259" s="90" customFormat="1" ht="16.5" customHeight="1"/>
    <row r="260" s="90" customFormat="1" ht="16.5" customHeight="1"/>
    <row r="261" s="90" customFormat="1" ht="16.5" customHeight="1"/>
    <row r="262" s="90" customFormat="1" ht="16.5" customHeight="1"/>
    <row r="263" s="90" customFormat="1" ht="16.5" customHeight="1"/>
    <row r="264" s="90" customFormat="1" ht="16.5" customHeight="1"/>
    <row r="265" s="90" customFormat="1" ht="16.5" customHeight="1"/>
    <row r="266" s="90" customFormat="1" ht="16.5" customHeight="1"/>
    <row r="267" s="90" customFormat="1" ht="16.5" customHeight="1"/>
    <row r="268" s="90" customFormat="1" ht="16.5" customHeight="1"/>
    <row r="269" s="90" customFormat="1" ht="16.5" customHeight="1"/>
    <row r="270" s="90" customFormat="1" ht="16.5" customHeight="1"/>
    <row r="271" s="90" customFormat="1" ht="16.5" customHeight="1"/>
    <row r="272" s="90" customFormat="1" ht="16.5" customHeight="1"/>
    <row r="273" s="90" customFormat="1" ht="16.5" customHeight="1"/>
    <row r="274" s="90" customFormat="1" ht="16.5" customHeight="1"/>
    <row r="275" s="90" customFormat="1" ht="16.5" customHeight="1"/>
    <row r="276" s="90" customFormat="1" ht="16.5" customHeight="1"/>
    <row r="277" s="90" customFormat="1" ht="16.5" customHeight="1"/>
    <row r="278" s="90" customFormat="1" ht="16.5" customHeight="1"/>
    <row r="279" s="90" customFormat="1" ht="16.5" customHeight="1"/>
    <row r="280" s="90" customFormat="1" ht="16.5" customHeight="1"/>
    <row r="281" s="90" customFormat="1" ht="16.5" customHeight="1"/>
    <row r="282" s="90" customFormat="1" ht="16.5" customHeight="1"/>
    <row r="283" s="90" customFormat="1" ht="16.5" customHeight="1"/>
    <row r="284" s="90" customFormat="1" ht="16.5" customHeight="1"/>
    <row r="285" s="90" customFormat="1" ht="16.5" customHeight="1"/>
    <row r="286" s="90" customFormat="1" ht="16.5" customHeight="1"/>
    <row r="287" s="90" customFormat="1" ht="16.5" customHeight="1"/>
    <row r="288" s="90" customFormat="1" ht="16.5" customHeight="1"/>
    <row r="289" s="90" customFormat="1" ht="16.5" customHeight="1"/>
    <row r="290" s="90" customFormat="1" ht="16.5" customHeight="1"/>
    <row r="291" s="90" customFormat="1" ht="16.5" customHeight="1"/>
    <row r="292" s="90" customFormat="1" ht="16.5" customHeight="1"/>
    <row r="293" s="90" customFormat="1" ht="16.5" customHeight="1"/>
    <row r="294" s="90" customFormat="1" ht="16.5" customHeight="1"/>
    <row r="295" s="90" customFormat="1" ht="16.5" customHeight="1"/>
    <row r="296" s="90" customFormat="1" ht="16.5" customHeight="1"/>
    <row r="297" s="90" customFormat="1" ht="16.5" customHeight="1"/>
    <row r="298" s="90" customFormat="1" ht="16.5" customHeight="1"/>
    <row r="299" s="90" customFormat="1" ht="16.5" customHeight="1"/>
    <row r="300" s="90" customFormat="1" ht="16.5" customHeight="1"/>
    <row r="301" s="90" customFormat="1" ht="16.5" customHeight="1"/>
    <row r="302" s="90" customFormat="1" ht="16.5" customHeight="1"/>
    <row r="303" s="90" customFormat="1" ht="16.5" customHeight="1"/>
    <row r="304" s="90" customFormat="1" ht="16.5" customHeight="1"/>
    <row r="305" s="90" customFormat="1" ht="16.5" customHeight="1"/>
    <row r="306" s="90" customFormat="1" ht="16.5" customHeight="1"/>
    <row r="307" s="90" customFormat="1" ht="16.5" customHeight="1"/>
    <row r="308" s="90" customFormat="1" ht="16.5" customHeight="1"/>
    <row r="309" s="90" customFormat="1" ht="16.5" customHeight="1"/>
    <row r="310" s="90" customFormat="1" ht="16.5" customHeight="1"/>
    <row r="311" s="90" customFormat="1" ht="16.5" customHeight="1"/>
    <row r="312" s="90" customFormat="1" ht="16.5" customHeight="1"/>
    <row r="313" s="90" customFormat="1" ht="16.5" customHeight="1"/>
    <row r="314" s="90" customFormat="1" ht="16.5" customHeight="1"/>
    <row r="315" s="90" customFormat="1" ht="16.5" customHeight="1"/>
    <row r="316" s="90" customFormat="1" ht="16.5" customHeight="1"/>
    <row r="317" s="90" customFormat="1" ht="16.5" customHeight="1"/>
    <row r="318" s="90" customFormat="1" ht="16.5" customHeight="1"/>
    <row r="319" s="90" customFormat="1" ht="16.5" customHeight="1"/>
    <row r="320" s="90" customFormat="1" ht="16.5" customHeight="1"/>
    <row r="321" s="90" customFormat="1" ht="16.5" customHeight="1"/>
    <row r="322" s="90" customFormat="1" ht="16.5" customHeight="1"/>
    <row r="323" s="90" customFormat="1" ht="16.5" customHeight="1"/>
    <row r="324" s="90" customFormat="1" ht="16.5" customHeight="1"/>
    <row r="325" s="90" customFormat="1" ht="16.5" customHeight="1"/>
    <row r="326" s="90" customFormat="1" ht="16.5" customHeight="1"/>
    <row r="327" s="90" customFormat="1" ht="16.5" customHeight="1"/>
    <row r="328" s="90" customFormat="1" ht="16.5" customHeight="1"/>
    <row r="329" s="90" customFormat="1" ht="16.5" customHeight="1"/>
    <row r="330" s="90" customFormat="1" ht="16.5" customHeight="1"/>
    <row r="331" s="90" customFormat="1" ht="16.5" customHeight="1"/>
    <row r="332" s="90" customFormat="1" ht="16.5" customHeight="1"/>
    <row r="333" s="90" customFormat="1" ht="16.5" customHeight="1"/>
    <row r="334" s="90" customFormat="1" ht="16.5" customHeight="1"/>
    <row r="335" s="90" customFormat="1" ht="16.5" customHeight="1"/>
    <row r="336" s="90" customFormat="1" ht="16.5" customHeight="1"/>
    <row r="337" s="90" customFormat="1" ht="16.5" customHeight="1"/>
    <row r="338" s="90" customFormat="1" ht="16.5" customHeight="1"/>
    <row r="339" s="90" customFormat="1" ht="16.5" customHeight="1"/>
    <row r="340" s="90" customFormat="1" ht="16.5" customHeight="1"/>
    <row r="341" s="90" customFormat="1" ht="16.5" customHeight="1"/>
    <row r="342" s="90" customFormat="1" ht="16.5" customHeight="1"/>
    <row r="343" s="90" customFormat="1" ht="16.5" customHeight="1"/>
    <row r="344" s="90" customFormat="1" ht="16.5" customHeight="1"/>
    <row r="345" s="90" customFormat="1" ht="16.5" customHeight="1"/>
    <row r="346" s="90" customFormat="1" ht="16.5" customHeight="1"/>
    <row r="347" s="90" customFormat="1" ht="16.5" customHeight="1"/>
    <row r="348" s="90" customFormat="1" ht="16.5" customHeight="1"/>
    <row r="349" s="90" customFormat="1" ht="16.5" customHeight="1"/>
    <row r="350" s="90" customFormat="1" ht="16.5" customHeight="1"/>
    <row r="351" s="90" customFormat="1" ht="16.5" customHeight="1"/>
    <row r="352" s="90" customFormat="1" ht="16.5" customHeight="1"/>
    <row r="353" s="90" customFormat="1" ht="16.5" customHeight="1"/>
    <row r="354" s="90" customFormat="1" ht="16.5" customHeight="1"/>
    <row r="355" s="90" customFormat="1" ht="16.5" customHeight="1"/>
    <row r="356" s="90" customFormat="1" ht="16.5" customHeight="1"/>
    <row r="357" s="90" customFormat="1" ht="16.5" customHeight="1"/>
    <row r="358" s="90" customFormat="1" ht="16.5" customHeight="1"/>
    <row r="359" s="90" customFormat="1" ht="16.5" customHeight="1"/>
    <row r="360" s="90" customFormat="1" ht="16.5" customHeight="1"/>
    <row r="361" s="90" customFormat="1" ht="16.5" customHeight="1"/>
    <row r="362" s="90" customFormat="1" ht="16.5" customHeight="1"/>
    <row r="363" s="90" customFormat="1" ht="16.5" customHeight="1"/>
    <row r="364" s="90" customFormat="1" ht="16.5" customHeight="1"/>
    <row r="365" s="90" customFormat="1" ht="16.5" customHeight="1"/>
    <row r="366" s="90" customFormat="1" ht="16.5" customHeight="1"/>
    <row r="367" s="90" customFormat="1" ht="16.5" customHeight="1"/>
    <row r="368" s="90" customFormat="1" ht="16.5" customHeight="1"/>
    <row r="369" s="90" customFormat="1" ht="16.5" customHeight="1"/>
    <row r="370" s="90" customFormat="1" ht="16.5" customHeight="1"/>
    <row r="371" s="90" customFormat="1" ht="16.5" customHeight="1"/>
    <row r="372" s="90" customFormat="1" ht="16.5" customHeight="1"/>
    <row r="373" s="90" customFormat="1" ht="16.5" customHeight="1"/>
    <row r="374" s="90" customFormat="1" ht="16.5" customHeight="1"/>
    <row r="375" s="90" customFormat="1" ht="16.5" customHeight="1"/>
    <row r="376" s="90" customFormat="1" ht="16.5" customHeight="1"/>
    <row r="377" s="90" customFormat="1" ht="16.5" customHeight="1"/>
    <row r="378" s="90" customFormat="1" ht="16.5" customHeight="1"/>
    <row r="379" s="90" customFormat="1" ht="16.5" customHeight="1"/>
    <row r="380" s="90" customFormat="1" ht="16.5" customHeight="1"/>
    <row r="381" s="90" customFormat="1" ht="16.5" customHeight="1"/>
    <row r="382" s="90" customFormat="1" ht="16.5" customHeight="1"/>
    <row r="383" s="90" customFormat="1" ht="16.5" customHeight="1"/>
    <row r="384" s="90" customFormat="1" ht="16.5" customHeight="1"/>
    <row r="385" s="90" customFormat="1" ht="16.5" customHeight="1"/>
    <row r="386" s="90" customFormat="1" ht="16.5" customHeight="1"/>
    <row r="387" s="90" customFormat="1" ht="16.5" customHeight="1"/>
    <row r="388" s="90" customFormat="1" ht="16.5" customHeight="1"/>
    <row r="389" s="90" customFormat="1" ht="16.5" customHeight="1"/>
    <row r="390" s="90" customFormat="1" ht="16.5" customHeight="1"/>
    <row r="391" s="90" customFormat="1" ht="16.5" customHeight="1"/>
    <row r="392" s="90" customFormat="1" ht="16.5" customHeight="1"/>
    <row r="393" s="90" customFormat="1" ht="16.5" customHeight="1"/>
    <row r="394" s="90" customFormat="1" ht="16.5" customHeight="1"/>
    <row r="395" s="90" customFormat="1" ht="16.5" customHeight="1"/>
    <row r="396" s="90" customFormat="1" ht="16.5" customHeight="1"/>
    <row r="397" s="90" customFormat="1" ht="16.5" customHeight="1"/>
    <row r="398" s="90" customFormat="1" ht="16.5" customHeight="1"/>
    <row r="399" s="90" customFormat="1" ht="16.5" customHeight="1"/>
    <row r="400" s="90" customFormat="1" ht="16.5" customHeight="1"/>
    <row r="401" s="90" customFormat="1" ht="16.5" customHeight="1"/>
    <row r="402" s="90" customFormat="1" ht="16.5" customHeight="1"/>
    <row r="403" s="90" customFormat="1" ht="16.5" customHeight="1"/>
    <row r="404" s="90" customFormat="1" ht="16.5" customHeight="1"/>
    <row r="405" s="90" customFormat="1" ht="16.5" customHeight="1"/>
    <row r="406" s="90" customFormat="1" ht="16.5" customHeight="1"/>
    <row r="407" s="90" customFormat="1" ht="16.5" customHeight="1"/>
    <row r="408" s="90" customFormat="1" ht="16.5" customHeight="1"/>
    <row r="409" s="90" customFormat="1" ht="16.5" customHeight="1"/>
    <row r="410" s="90" customFormat="1" ht="16.5" customHeight="1"/>
    <row r="411" s="90" customFormat="1" ht="16.5" customHeight="1"/>
    <row r="412" s="90" customFormat="1" ht="16.5" customHeight="1"/>
    <row r="413" s="90" customFormat="1" ht="16.5" customHeight="1"/>
    <row r="414" s="90" customFormat="1" ht="16.5" customHeight="1"/>
    <row r="415" s="90" customFormat="1" ht="16.5" customHeight="1"/>
    <row r="416" s="90" customFormat="1" ht="16.5" customHeight="1"/>
    <row r="417" s="90" customFormat="1" ht="16.5" customHeight="1"/>
    <row r="418" s="90" customFormat="1" ht="16.5" customHeight="1"/>
    <row r="419" s="90" customFormat="1" ht="16.5" customHeight="1"/>
    <row r="420" s="90" customFormat="1" ht="16.5" customHeight="1"/>
    <row r="421" s="90" customFormat="1" ht="16.5" customHeight="1"/>
    <row r="422" s="90" customFormat="1" ht="16.5" customHeight="1"/>
    <row r="423" s="90" customFormat="1" ht="16.5" customHeight="1"/>
    <row r="424" s="90" customFormat="1" ht="16.5" customHeight="1"/>
    <row r="425" s="90" customFormat="1" ht="16.5" customHeight="1"/>
    <row r="426" s="90" customFormat="1" ht="16.5" customHeight="1"/>
    <row r="427" s="90" customFormat="1" ht="16.5" customHeight="1"/>
    <row r="428" s="90" customFormat="1" ht="16.5" customHeight="1"/>
    <row r="429" s="90" customFormat="1" ht="16.5" customHeight="1"/>
    <row r="430" s="90" customFormat="1" ht="16.5" customHeight="1"/>
    <row r="431" s="90" customFormat="1" ht="16.5" customHeight="1"/>
    <row r="432" s="90" customFormat="1" ht="16.5" customHeight="1"/>
    <row r="433" s="90" customFormat="1" ht="16.5" customHeight="1"/>
    <row r="434" s="90" customFormat="1" ht="16.5" customHeight="1"/>
    <row r="435" s="90" customFormat="1" ht="16.5" customHeight="1"/>
    <row r="436" s="90" customFormat="1" ht="16.5" customHeight="1"/>
    <row r="437" s="90" customFormat="1" ht="16.5" customHeight="1"/>
    <row r="438" s="90" customFormat="1" ht="16.5" customHeight="1"/>
    <row r="439" s="90" customFormat="1" ht="16.5" customHeight="1"/>
    <row r="440" s="90" customFormat="1" ht="16.5" customHeight="1"/>
    <row r="441" s="90" customFormat="1" ht="16.5" customHeight="1"/>
    <row r="442" s="90" customFormat="1" ht="16.5" customHeight="1"/>
    <row r="443" s="90" customFormat="1" ht="16.5" customHeight="1"/>
    <row r="444" s="90" customFormat="1" ht="16.5" customHeight="1"/>
    <row r="445" s="90" customFormat="1" ht="16.5" customHeight="1"/>
    <row r="446" s="90" customFormat="1" ht="16.5" customHeight="1"/>
    <row r="447" s="90" customFormat="1" ht="16.5" customHeight="1"/>
    <row r="448" s="90" customFormat="1" ht="16.5" customHeight="1"/>
    <row r="449" s="90" customFormat="1" ht="16.5" customHeight="1"/>
    <row r="450" s="90" customFormat="1" ht="16.5" customHeight="1"/>
    <row r="451" s="90" customFormat="1" ht="16.5" customHeight="1"/>
    <row r="452" s="90" customFormat="1" ht="16.5" customHeight="1"/>
    <row r="453" s="90" customFormat="1" ht="16.5" customHeight="1"/>
    <row r="454" s="90" customFormat="1" ht="16.5" customHeight="1"/>
    <row r="455" s="90" customFormat="1" ht="16.5" customHeight="1"/>
    <row r="456" s="90" customFormat="1" ht="16.5" customHeight="1"/>
    <row r="457" s="90" customFormat="1" ht="16.5" customHeight="1"/>
    <row r="458" s="90" customFormat="1" ht="16.5" customHeight="1"/>
    <row r="459" s="90" customFormat="1" ht="16.5" customHeight="1"/>
    <row r="460" s="90" customFormat="1" ht="16.5" customHeight="1"/>
    <row r="461" s="90" customFormat="1" ht="16.5" customHeight="1"/>
    <row r="462" s="90" customFormat="1" ht="16.5" customHeight="1"/>
    <row r="463" s="90" customFormat="1" ht="16.5" customHeight="1"/>
    <row r="464" s="90" customFormat="1" ht="16.5" customHeight="1"/>
    <row r="465" s="90" customFormat="1" ht="16.5" customHeight="1"/>
    <row r="466" s="90" customFormat="1" ht="16.5" customHeight="1"/>
    <row r="467" s="90" customFormat="1" ht="16.5" customHeight="1"/>
    <row r="468" s="90" customFormat="1" ht="16.5" customHeight="1"/>
    <row r="469" s="90" customFormat="1" ht="16.5" customHeight="1"/>
    <row r="470" s="90" customFormat="1" ht="16.5" customHeight="1"/>
    <row r="471" s="90" customFormat="1" ht="16.5" customHeight="1"/>
    <row r="472" s="90" customFormat="1" ht="16.5" customHeight="1"/>
    <row r="473" s="90" customFormat="1" ht="16.5" customHeight="1"/>
    <row r="474" s="90" customFormat="1" ht="16.5" customHeight="1"/>
    <row r="475" s="90" customFormat="1" ht="16.5" customHeight="1"/>
    <row r="476" s="90" customFormat="1" ht="16.5" customHeight="1"/>
    <row r="477" s="90" customFormat="1" ht="16.5" customHeight="1"/>
    <row r="478" s="90" customFormat="1" ht="16.5" customHeight="1"/>
    <row r="479" s="90" customFormat="1" ht="16.5" customHeight="1"/>
    <row r="480" s="90" customFormat="1" ht="16.5" customHeight="1"/>
    <row r="481" s="90" customFormat="1" ht="16.5" customHeight="1"/>
    <row r="482" s="90" customFormat="1" ht="16.5" customHeight="1"/>
    <row r="483" s="90" customFormat="1" ht="16.5" customHeight="1"/>
    <row r="484" s="90" customFormat="1" ht="16.5" customHeight="1"/>
    <row r="485" s="90" customFormat="1" ht="16.5" customHeight="1"/>
    <row r="486" s="90" customFormat="1" ht="16.5" customHeight="1"/>
    <row r="487" s="90" customFormat="1" ht="16.5" customHeight="1"/>
    <row r="488" s="90" customFormat="1" ht="16.5" customHeight="1"/>
    <row r="489" s="90" customFormat="1" ht="16.5" customHeight="1"/>
    <row r="490" s="90" customFormat="1" ht="16.5" customHeight="1"/>
    <row r="491" s="90" customFormat="1" ht="16.5" customHeight="1"/>
    <row r="492" s="90" customFormat="1" ht="16.5" customHeight="1"/>
    <row r="493" s="90" customFormat="1" ht="16.5" customHeight="1"/>
    <row r="494" s="90" customFormat="1" ht="16.5" customHeight="1"/>
    <row r="495" s="90" customFormat="1" ht="16.5" customHeight="1"/>
    <row r="496" s="90" customFormat="1" ht="16.5" customHeight="1"/>
    <row r="497" s="90" customFormat="1" ht="16.5" customHeight="1"/>
    <row r="498" s="90" customFormat="1" ht="16.5" customHeight="1"/>
    <row r="499" s="90" customFormat="1" ht="16.5" customHeight="1"/>
    <row r="500" s="90" customFormat="1" ht="16.5" customHeight="1"/>
    <row r="501" s="90" customFormat="1" ht="16.5" customHeight="1"/>
    <row r="502" s="90" customFormat="1" ht="16.5" customHeight="1"/>
    <row r="503" s="90" customFormat="1" ht="16.5" customHeight="1"/>
    <row r="504" s="90" customFormat="1" ht="16.5" customHeight="1"/>
    <row r="505" s="90" customFormat="1" ht="16.5" customHeight="1"/>
    <row r="506" s="90" customFormat="1" ht="16.5" customHeight="1"/>
    <row r="507" s="90" customFormat="1" ht="16.5" customHeight="1"/>
    <row r="508" s="90" customFormat="1" ht="16.5" customHeight="1"/>
    <row r="509" s="90" customFormat="1" ht="16.5" customHeight="1"/>
    <row r="510" s="90" customFormat="1" ht="16.5" customHeight="1"/>
    <row r="511" s="90" customFormat="1" ht="16.5" customHeight="1"/>
    <row r="512" s="90" customFormat="1" ht="16.5" customHeight="1"/>
    <row r="513" s="90" customFormat="1" ht="16.5" customHeight="1"/>
    <row r="514" s="90" customFormat="1" ht="16.5" customHeight="1"/>
    <row r="515" s="90" customFormat="1" ht="16.5" customHeight="1"/>
    <row r="516" s="90" customFormat="1" ht="16.5" customHeight="1"/>
    <row r="517" s="90" customFormat="1" ht="16.5" customHeight="1"/>
    <row r="518" s="90" customFormat="1" ht="16.5" customHeight="1"/>
    <row r="519" s="90" customFormat="1" ht="16.5" customHeight="1"/>
    <row r="520" s="90" customFormat="1" ht="16.5" customHeight="1"/>
    <row r="521" s="90" customFormat="1" ht="16.5" customHeight="1"/>
    <row r="522" s="90" customFormat="1" ht="16.5" customHeight="1"/>
    <row r="523" s="90" customFormat="1" ht="16.5" customHeight="1"/>
    <row r="524" s="90" customFormat="1" ht="16.5" customHeight="1"/>
    <row r="525" s="90" customFormat="1" ht="16.5" customHeight="1"/>
    <row r="526" s="90" customFormat="1" ht="16.5" customHeight="1"/>
    <row r="527" s="90" customFormat="1" ht="16.5" customHeight="1"/>
    <row r="528" s="90" customFormat="1" ht="16.5" customHeight="1"/>
    <row r="529" s="90" customFormat="1" ht="16.5" customHeight="1"/>
    <row r="530" s="90" customFormat="1" ht="16.5" customHeight="1"/>
    <row r="531" s="90" customFormat="1" ht="16.5" customHeight="1"/>
    <row r="532" s="90" customFormat="1" ht="16.5" customHeight="1"/>
    <row r="533" s="90" customFormat="1" ht="16.5" customHeight="1"/>
    <row r="534" s="90" customFormat="1" ht="16.5" customHeight="1"/>
    <row r="535" s="90" customFormat="1" ht="16.5" customHeight="1"/>
    <row r="536" s="90" customFormat="1" ht="16.5" customHeight="1"/>
    <row r="537" s="90" customFormat="1" ht="16.5" customHeight="1"/>
    <row r="538" s="90" customFormat="1" ht="16.5" customHeight="1"/>
    <row r="539" s="90" customFormat="1" ht="16.5" customHeight="1"/>
    <row r="540" s="90" customFormat="1" ht="16.5" customHeight="1"/>
    <row r="541" s="90" customFormat="1" ht="16.5" customHeight="1"/>
    <row r="542" s="90" customFormat="1" ht="16.5" customHeight="1"/>
    <row r="543" s="90" customFormat="1" ht="16.5" customHeight="1"/>
    <row r="544" s="90" customFormat="1" ht="16.5" customHeight="1"/>
    <row r="545" s="90" customFormat="1" ht="16.5" customHeight="1"/>
    <row r="546" s="90" customFormat="1" ht="16.5" customHeight="1"/>
    <row r="547" s="90" customFormat="1" ht="16.5" customHeight="1"/>
    <row r="548" s="90" customFormat="1" ht="16.5" customHeight="1"/>
    <row r="549" s="90" customFormat="1" ht="16.5" customHeight="1"/>
    <row r="550" s="90" customFormat="1" ht="16.5" customHeight="1"/>
    <row r="551" s="90" customFormat="1" ht="16.5" customHeight="1"/>
    <row r="552" s="90" customFormat="1" ht="16.5" customHeight="1"/>
    <row r="553" s="90" customFormat="1" ht="16.5" customHeight="1"/>
    <row r="554" s="90" customFormat="1" ht="16.5" customHeight="1"/>
    <row r="555" s="90" customFormat="1" ht="16.5" customHeight="1"/>
    <row r="556" s="90" customFormat="1" ht="16.5" customHeight="1"/>
    <row r="557" s="90" customFormat="1" ht="16.5" customHeight="1"/>
    <row r="558" s="90" customFormat="1" ht="16.5" customHeight="1"/>
    <row r="559" s="90" customFormat="1" ht="16.5" customHeight="1"/>
    <row r="560" s="90" customFormat="1" ht="16.5" customHeight="1"/>
    <row r="561" s="90" customFormat="1" ht="16.5" customHeight="1"/>
    <row r="562" s="90" customFormat="1" ht="16.5" customHeight="1"/>
    <row r="563" s="90" customFormat="1" ht="16.5" customHeight="1"/>
    <row r="564" s="90" customFormat="1" ht="16.5" customHeight="1"/>
    <row r="565" s="90" customFormat="1" ht="16.5" customHeight="1"/>
    <row r="566" s="90" customFormat="1" ht="16.5" customHeight="1"/>
    <row r="567" s="90" customFormat="1" ht="16.5" customHeight="1"/>
    <row r="568" s="90" customFormat="1" ht="16.5" customHeight="1"/>
    <row r="569" s="90" customFormat="1" ht="16.5" customHeight="1"/>
    <row r="570" s="90" customFormat="1" ht="16.5" customHeight="1"/>
    <row r="571" s="90" customFormat="1" ht="16.5" customHeight="1"/>
    <row r="572" s="90" customFormat="1" ht="16.5" customHeight="1"/>
    <row r="573" s="90" customFormat="1" ht="16.5" customHeight="1"/>
    <row r="574" s="90" customFormat="1" ht="16.5" customHeight="1"/>
    <row r="575" s="90" customFormat="1" ht="16.5" customHeight="1"/>
    <row r="576" s="90" customFormat="1" ht="16.5" customHeight="1"/>
    <row r="577" s="90" customFormat="1" ht="16.5" customHeight="1"/>
    <row r="578" s="90" customFormat="1" ht="16.5" customHeight="1"/>
    <row r="579" s="90" customFormat="1" ht="16.5" customHeight="1"/>
    <row r="580" s="90" customFormat="1" ht="16.5" customHeight="1"/>
    <row r="581" s="90" customFormat="1" ht="16.5" customHeight="1"/>
    <row r="582" s="90" customFormat="1" ht="16.5" customHeight="1"/>
    <row r="583" s="90" customFormat="1" ht="16.5" customHeight="1"/>
    <row r="584" s="90" customFormat="1" ht="16.5" customHeight="1"/>
    <row r="585" s="90" customFormat="1" ht="16.5" customHeight="1"/>
    <row r="586" s="90" customFormat="1" ht="16.5" customHeight="1"/>
    <row r="587" s="90" customFormat="1" ht="16.5" customHeight="1"/>
    <row r="588" s="90" customFormat="1" ht="16.5" customHeight="1"/>
    <row r="589" s="90" customFormat="1" ht="16.5" customHeight="1"/>
    <row r="590" s="90" customFormat="1" ht="16.5" customHeight="1"/>
    <row r="591" s="90" customFormat="1" ht="16.5" customHeight="1"/>
    <row r="592" s="90" customFormat="1" ht="16.5" customHeight="1"/>
    <row r="593" s="90" customFormat="1" ht="16.5" customHeight="1"/>
    <row r="594" s="90" customFormat="1" ht="16.5" customHeight="1"/>
    <row r="595" s="90" customFormat="1" ht="16.5" customHeight="1"/>
    <row r="596" s="90" customFormat="1" ht="16.5" customHeight="1"/>
    <row r="597" s="90" customFormat="1" ht="16.5" customHeight="1"/>
    <row r="598" s="90" customFormat="1" ht="16.5" customHeight="1"/>
    <row r="599" s="90" customFormat="1" ht="16.5" customHeight="1"/>
    <row r="600" s="90" customFormat="1" ht="16.5" customHeight="1"/>
    <row r="601" s="90" customFormat="1" ht="16.5" customHeight="1"/>
    <row r="602" s="90" customFormat="1" ht="16.5" customHeight="1"/>
    <row r="603" s="90" customFormat="1" ht="16.5" customHeight="1"/>
    <row r="604" s="90" customFormat="1" ht="16.5" customHeight="1"/>
    <row r="605" s="90" customFormat="1" ht="16.5" customHeight="1"/>
    <row r="606" s="90" customFormat="1" ht="16.5" customHeight="1"/>
    <row r="607" s="90" customFormat="1" ht="16.5" customHeight="1"/>
    <row r="608" s="90" customFormat="1" ht="16.5" customHeight="1"/>
    <row r="609" s="90" customFormat="1" ht="16.5" customHeight="1"/>
    <row r="610" s="90" customFormat="1" ht="16.5" customHeight="1"/>
    <row r="611" s="90" customFormat="1" ht="16.5" customHeight="1"/>
    <row r="612" s="90" customFormat="1" ht="16.5" customHeight="1"/>
    <row r="613" s="90" customFormat="1" ht="16.5" customHeight="1"/>
    <row r="614" s="90" customFormat="1" ht="16.5" customHeight="1"/>
    <row r="615" s="90" customFormat="1" ht="16.5" customHeight="1"/>
    <row r="616" s="90" customFormat="1" ht="16.5" customHeight="1"/>
    <row r="617" s="90" customFormat="1" ht="16.5" customHeight="1"/>
    <row r="618" s="90" customFormat="1" ht="16.5" customHeight="1"/>
    <row r="619" s="90" customFormat="1" ht="16.5" customHeight="1"/>
    <row r="620" s="90" customFormat="1" ht="16.5" customHeight="1"/>
    <row r="621" s="90" customFormat="1" ht="16.5" customHeight="1"/>
    <row r="622" s="90" customFormat="1" ht="16.5" customHeight="1"/>
    <row r="623" s="90" customFormat="1" ht="16.5" customHeight="1"/>
    <row r="624" s="90" customFormat="1" ht="16.5" customHeight="1"/>
    <row r="625" s="90" customFormat="1" ht="16.5" customHeight="1"/>
    <row r="626" s="90" customFormat="1" ht="16.5" customHeight="1"/>
    <row r="627" s="90" customFormat="1" ht="16.5" customHeight="1"/>
    <row r="628" s="90" customFormat="1" ht="16.5" customHeight="1"/>
    <row r="629" s="90" customFormat="1" ht="16.5" customHeight="1"/>
    <row r="630" s="90" customFormat="1" ht="16.5" customHeight="1"/>
    <row r="631" s="90" customFormat="1" ht="16.5" customHeight="1"/>
    <row r="632" s="90" customFormat="1" ht="16.5" customHeight="1"/>
    <row r="633" s="90" customFormat="1" ht="16.5" customHeight="1"/>
    <row r="634" s="90" customFormat="1" ht="16.5" customHeight="1"/>
    <row r="635" s="90" customFormat="1" ht="16.5" customHeight="1"/>
    <row r="636" s="90" customFormat="1" ht="16.5" customHeight="1"/>
    <row r="637" s="90" customFormat="1" ht="16.5" customHeight="1"/>
    <row r="638" s="90" customFormat="1" ht="16.5" customHeight="1"/>
    <row r="639" s="90" customFormat="1" ht="16.5" customHeight="1"/>
    <row r="640" s="90" customFormat="1" ht="16.5" customHeight="1"/>
    <row r="641" s="90" customFormat="1" ht="16.5" customHeight="1"/>
    <row r="642" s="90" customFormat="1" ht="16.5" customHeight="1"/>
    <row r="643" s="90" customFormat="1" ht="16.5" customHeight="1"/>
    <row r="644" s="90" customFormat="1" ht="16.5" customHeight="1"/>
    <row r="645" s="90" customFormat="1" ht="16.5" customHeight="1"/>
    <row r="646" s="90" customFormat="1" ht="16.5" customHeight="1"/>
    <row r="647" s="90" customFormat="1" ht="16.5" customHeight="1"/>
    <row r="648" s="90" customFormat="1" ht="16.5" customHeight="1"/>
    <row r="649" s="90" customFormat="1" ht="16.5" customHeight="1"/>
    <row r="650" s="90" customFormat="1" ht="16.5" customHeight="1"/>
    <row r="651" s="90" customFormat="1" ht="16.5" customHeight="1"/>
    <row r="652" s="90" customFormat="1" ht="16.5" customHeight="1"/>
    <row r="653" s="90" customFormat="1" ht="16.5" customHeight="1"/>
    <row r="654" s="90" customFormat="1" ht="16.5" customHeight="1"/>
    <row r="655" s="90" customFormat="1" ht="16.5" customHeight="1"/>
    <row r="656" s="90" customFormat="1" ht="16.5" customHeight="1"/>
    <row r="657" s="90" customFormat="1" ht="16.5" customHeight="1"/>
    <row r="658" s="90" customFormat="1" ht="16.5" customHeight="1"/>
    <row r="659" s="90" customFormat="1" ht="16.5" customHeight="1"/>
    <row r="660" s="90" customFormat="1" ht="16.5" customHeight="1"/>
    <row r="661" s="90" customFormat="1" ht="16.5" customHeight="1"/>
    <row r="662" s="90" customFormat="1" ht="16.5" customHeight="1"/>
    <row r="663" s="90" customFormat="1" ht="16.5" customHeight="1"/>
    <row r="664" s="90" customFormat="1" ht="16.5" customHeight="1"/>
    <row r="665" s="90" customFormat="1" ht="16.5" customHeight="1"/>
    <row r="666" s="90" customFormat="1" ht="16.5" customHeight="1"/>
    <row r="667" s="90" customFormat="1" ht="16.5" customHeight="1"/>
    <row r="668" s="90" customFormat="1" ht="16.5" customHeight="1"/>
    <row r="669" s="90" customFormat="1" ht="16.5" customHeight="1"/>
    <row r="670" s="90" customFormat="1" ht="16.5" customHeight="1"/>
    <row r="671" s="90" customFormat="1" ht="16.5" customHeight="1"/>
    <row r="672" s="90" customFormat="1" ht="16.5" customHeight="1"/>
    <row r="673" s="90" customFormat="1" ht="16.5" customHeight="1"/>
    <row r="674" s="90" customFormat="1" ht="16.5" customHeight="1"/>
    <row r="675" s="90" customFormat="1" ht="16.5" customHeight="1"/>
    <row r="676" s="90" customFormat="1" ht="16.5" customHeight="1"/>
    <row r="677" s="90" customFormat="1" ht="16.5" customHeight="1"/>
    <row r="678" s="90" customFormat="1" ht="16.5" customHeight="1"/>
    <row r="679" s="90" customFormat="1" ht="16.5" customHeight="1"/>
    <row r="680" s="90" customFormat="1" ht="16.5" customHeight="1"/>
    <row r="681" s="90" customFormat="1" ht="16.5" customHeight="1"/>
    <row r="682" s="90" customFormat="1" ht="16.5" customHeight="1"/>
    <row r="683" s="90" customFormat="1" ht="16.5" customHeight="1"/>
    <row r="684" s="90" customFormat="1" ht="16.5" customHeight="1"/>
    <row r="685" s="90" customFormat="1" ht="16.5" customHeight="1"/>
    <row r="686" s="90" customFormat="1" ht="16.5" customHeight="1"/>
    <row r="687" s="90" customFormat="1" ht="16.5" customHeight="1"/>
    <row r="688" s="90" customFormat="1" ht="16.5" customHeight="1"/>
    <row r="689" s="90" customFormat="1" ht="16.5" customHeight="1"/>
    <row r="690" s="90" customFormat="1" ht="16.5" customHeight="1"/>
    <row r="691" s="90" customFormat="1" ht="16.5" customHeight="1"/>
    <row r="692" s="90" customFormat="1" ht="16.5" customHeight="1"/>
    <row r="693" s="90" customFormat="1" ht="16.5" customHeight="1"/>
    <row r="694" s="90" customFormat="1" ht="16.5" customHeight="1"/>
    <row r="695" s="90" customFormat="1" ht="16.5" customHeight="1"/>
    <row r="696" s="90" customFormat="1" ht="16.5" customHeight="1"/>
    <row r="697" s="90" customFormat="1" ht="16.5" customHeight="1"/>
    <row r="698" s="90" customFormat="1" ht="16.5" customHeight="1"/>
    <row r="699" s="90" customFormat="1" ht="16.5" customHeight="1"/>
    <row r="700" s="90" customFormat="1" ht="16.5" customHeight="1"/>
    <row r="701" s="90" customFormat="1" ht="16.5" customHeight="1"/>
    <row r="702" s="90" customFormat="1" ht="16.5" customHeight="1"/>
    <row r="703" s="90" customFormat="1" ht="16.5" customHeight="1"/>
    <row r="704" s="90" customFormat="1" ht="16.5" customHeight="1"/>
    <row r="705" s="90" customFormat="1" ht="16.5" customHeight="1"/>
    <row r="706" s="90" customFormat="1" ht="16.5" customHeight="1"/>
    <row r="707" s="90" customFormat="1" ht="16.5" customHeight="1"/>
    <row r="708" s="90" customFormat="1" ht="16.5" customHeight="1"/>
    <row r="709" s="90" customFormat="1" ht="16.5" customHeight="1"/>
    <row r="710" s="90" customFormat="1" ht="16.5" customHeight="1"/>
    <row r="711" s="90" customFormat="1" ht="16.5" customHeight="1"/>
    <row r="712" s="90" customFormat="1" ht="16.5" customHeight="1"/>
    <row r="713" s="90" customFormat="1" ht="16.5" customHeight="1"/>
    <row r="714" s="90" customFormat="1" ht="16.5" customHeight="1"/>
    <row r="715" s="90" customFormat="1" ht="16.5" customHeight="1"/>
    <row r="716" s="90" customFormat="1" ht="16.5" customHeight="1"/>
    <row r="717" s="90" customFormat="1" ht="16.5" customHeight="1"/>
    <row r="718" s="90" customFormat="1" ht="16.5" customHeight="1"/>
    <row r="719" s="90" customFormat="1" ht="16.5" customHeight="1"/>
    <row r="720" s="90" customFormat="1" ht="16.5" customHeight="1"/>
    <row r="721" s="90" customFormat="1" ht="16.5" customHeight="1"/>
    <row r="722" s="90" customFormat="1" ht="16.5" customHeight="1"/>
    <row r="723" s="90" customFormat="1" ht="16.5" customHeight="1"/>
    <row r="724" s="90" customFormat="1" ht="16.5" customHeight="1"/>
    <row r="725" s="90" customFormat="1" ht="16.5" customHeight="1"/>
    <row r="726" s="90" customFormat="1" ht="16.5" customHeight="1"/>
    <row r="727" s="90" customFormat="1" ht="16.5" customHeight="1"/>
    <row r="728" s="90" customFormat="1" ht="16.5" customHeight="1"/>
    <row r="729" s="90" customFormat="1" ht="16.5" customHeight="1"/>
    <row r="730" s="90" customFormat="1" ht="16.5" customHeight="1"/>
    <row r="731" s="90" customFormat="1" ht="16.5" customHeight="1"/>
    <row r="732" s="90" customFormat="1" ht="16.5" customHeight="1"/>
    <row r="733" s="90" customFormat="1" ht="16.5" customHeight="1"/>
    <row r="734" s="90" customFormat="1" ht="16.5" customHeight="1"/>
    <row r="735" s="90" customFormat="1" ht="16.5" customHeight="1"/>
    <row r="736" s="90" customFormat="1" ht="16.5" customHeight="1"/>
    <row r="737" s="90" customFormat="1" ht="16.5" customHeight="1"/>
    <row r="738" s="90" customFormat="1" ht="16.5" customHeight="1"/>
    <row r="739" s="90" customFormat="1" ht="16.5" customHeight="1"/>
    <row r="740" s="90" customFormat="1" ht="16.5" customHeight="1"/>
    <row r="741" s="90" customFormat="1" ht="16.5" customHeight="1"/>
    <row r="742" s="90" customFormat="1" ht="16.5" customHeight="1"/>
    <row r="743" s="90" customFormat="1" ht="16.5" customHeight="1"/>
    <row r="744" s="90" customFormat="1" ht="16.5" customHeight="1"/>
    <row r="745" s="90" customFormat="1" ht="16.5" customHeight="1"/>
    <row r="746" s="90" customFormat="1" ht="16.5" customHeight="1"/>
    <row r="747" s="90" customFormat="1" ht="16.5" customHeight="1"/>
    <row r="748" s="90" customFormat="1" ht="16.5" customHeight="1"/>
    <row r="749" s="90" customFormat="1" ht="16.5" customHeight="1"/>
    <row r="750" s="90" customFormat="1" ht="16.5" customHeight="1"/>
    <row r="751" s="90" customFormat="1" ht="16.5" customHeight="1"/>
    <row r="752" s="90" customFormat="1" ht="16.5" customHeight="1"/>
    <row r="753" s="90" customFormat="1" ht="16.5" customHeight="1"/>
    <row r="754" s="90" customFormat="1" ht="16.5" customHeight="1"/>
    <row r="755" s="90" customFormat="1" ht="16.5" customHeight="1"/>
    <row r="756" s="90" customFormat="1" ht="16.5" customHeight="1"/>
    <row r="757" s="90" customFormat="1" ht="16.5" customHeight="1"/>
    <row r="758" s="90" customFormat="1" ht="16.5" customHeight="1"/>
    <row r="759" s="90" customFormat="1" ht="16.5" customHeight="1"/>
    <row r="760" s="90" customFormat="1" ht="16.5" customHeight="1"/>
    <row r="761" s="90" customFormat="1" ht="16.5" customHeight="1"/>
    <row r="762" s="90" customFormat="1" ht="16.5" customHeight="1"/>
    <row r="763" s="90" customFormat="1" ht="16.5" customHeight="1"/>
    <row r="764" s="90" customFormat="1" ht="16.5" customHeight="1"/>
    <row r="765" s="90" customFormat="1" ht="16.5" customHeight="1"/>
    <row r="766" s="90" customFormat="1" ht="16.5" customHeight="1"/>
    <row r="767" s="90" customFormat="1" ht="16.5" customHeight="1"/>
    <row r="768" s="90" customFormat="1" ht="16.5" customHeight="1"/>
    <row r="769" s="90" customFormat="1" ht="16.5" customHeight="1"/>
    <row r="770" s="90" customFormat="1" ht="16.5" customHeight="1"/>
    <row r="771" s="90" customFormat="1" ht="16.5" customHeight="1"/>
    <row r="772" s="90" customFormat="1" ht="16.5" customHeight="1"/>
    <row r="773" s="90" customFormat="1" ht="16.5" customHeight="1"/>
    <row r="774" s="90" customFormat="1" ht="16.5" customHeight="1"/>
    <row r="775" s="90" customFormat="1" ht="16.5" customHeight="1"/>
    <row r="776" s="90" customFormat="1" ht="16.5" customHeight="1"/>
    <row r="777" s="90" customFormat="1" ht="16.5" customHeight="1"/>
    <row r="778" s="90" customFormat="1" ht="16.5" customHeight="1"/>
    <row r="779" s="90" customFormat="1" ht="16.5" customHeight="1"/>
    <row r="780" s="90" customFormat="1" ht="16.5" customHeight="1"/>
    <row r="781" s="90" customFormat="1" ht="16.5" customHeight="1"/>
    <row r="782" s="90" customFormat="1" ht="16.5" customHeight="1"/>
    <row r="783" s="90" customFormat="1" ht="16.5" customHeight="1"/>
    <row r="784" s="90" customFormat="1" ht="16.5" customHeight="1"/>
    <row r="785" s="90" customFormat="1" ht="16.5" customHeight="1"/>
    <row r="786" s="90" customFormat="1" ht="16.5" customHeight="1"/>
    <row r="787" s="90" customFormat="1" ht="16.5" customHeight="1"/>
    <row r="788" s="90" customFormat="1" ht="16.5" customHeight="1"/>
    <row r="789" s="90" customFormat="1" ht="16.5" customHeight="1"/>
    <row r="790" s="90" customFormat="1" ht="16.5" customHeight="1"/>
    <row r="791" s="90" customFormat="1" ht="16.5" customHeight="1"/>
    <row r="792" s="90" customFormat="1" ht="16.5" customHeight="1"/>
    <row r="793" s="90" customFormat="1" ht="16.5" customHeight="1"/>
    <row r="794" s="90" customFormat="1" ht="16.5" customHeight="1"/>
    <row r="795" s="90" customFormat="1" ht="16.5" customHeight="1"/>
    <row r="796" s="90" customFormat="1" ht="16.5" customHeight="1"/>
    <row r="797" s="90" customFormat="1" ht="16.5" customHeight="1"/>
    <row r="798" s="90" customFormat="1" ht="16.5" customHeight="1"/>
    <row r="799" s="90" customFormat="1" ht="16.5" customHeight="1"/>
    <row r="800" s="90" customFormat="1" ht="16.5" customHeight="1"/>
    <row r="801" s="90" customFormat="1" ht="16.5" customHeight="1"/>
    <row r="802" s="90" customFormat="1" ht="16.5" customHeight="1"/>
    <row r="803" s="90" customFormat="1" ht="16.5" customHeight="1"/>
    <row r="804" s="90" customFormat="1" ht="16.5" customHeight="1"/>
    <row r="805" s="90" customFormat="1" ht="16.5" customHeight="1"/>
    <row r="806" s="90" customFormat="1" ht="16.5" customHeight="1"/>
    <row r="807" s="90" customFormat="1" ht="16.5" customHeight="1"/>
    <row r="808" s="90" customFormat="1" ht="16.5" customHeight="1"/>
    <row r="809" s="90" customFormat="1" ht="16.5" customHeight="1"/>
    <row r="810" s="90" customFormat="1" ht="16.5" customHeight="1"/>
    <row r="811" s="90" customFormat="1" ht="16.5" customHeight="1"/>
    <row r="812" s="90" customFormat="1" ht="16.5" customHeight="1"/>
    <row r="813" s="90" customFormat="1" ht="16.5" customHeight="1"/>
    <row r="814" s="90" customFormat="1" ht="16.5" customHeight="1"/>
    <row r="815" s="90" customFormat="1" ht="16.5" customHeight="1"/>
    <row r="816" s="90" customFormat="1" ht="16.5" customHeight="1"/>
    <row r="817" s="90" customFormat="1" ht="16.5" customHeight="1"/>
    <row r="818" s="90" customFormat="1" ht="16.5" customHeight="1"/>
    <row r="819" s="90" customFormat="1" ht="16.5" customHeight="1"/>
    <row r="820" s="90" customFormat="1" ht="16.5" customHeight="1"/>
    <row r="821" s="90" customFormat="1" ht="16.5" customHeight="1"/>
    <row r="822" s="90" customFormat="1" ht="16.5" customHeight="1"/>
    <row r="823" s="90" customFormat="1" ht="16.5" customHeight="1"/>
    <row r="824" s="90" customFormat="1" ht="16.5" customHeight="1"/>
    <row r="825" s="90" customFormat="1" ht="16.5" customHeight="1"/>
    <row r="826" s="90" customFormat="1" ht="16.5" customHeight="1"/>
    <row r="827" s="90" customFormat="1" ht="16.5" customHeight="1"/>
    <row r="828" s="90" customFormat="1" ht="16.5" customHeight="1"/>
    <row r="829" s="90" customFormat="1" ht="16.5" customHeight="1"/>
    <row r="830" s="90" customFormat="1" ht="16.5" customHeight="1"/>
    <row r="831" s="90" customFormat="1" ht="16.5" customHeight="1"/>
    <row r="832" s="90" customFormat="1" ht="16.5" customHeight="1"/>
    <row r="833" s="90" customFormat="1" ht="16.5" customHeight="1"/>
    <row r="834" s="90" customFormat="1" ht="16.5" customHeight="1"/>
    <row r="835" s="90" customFormat="1" ht="16.5" customHeight="1"/>
    <row r="836" s="90" customFormat="1" ht="16.5" customHeight="1"/>
    <row r="837" s="90" customFormat="1" ht="16.5" customHeight="1"/>
    <row r="838" s="90" customFormat="1" ht="16.5" customHeight="1"/>
    <row r="839" s="90" customFormat="1" ht="16.5" customHeight="1"/>
    <row r="840" s="90" customFormat="1" ht="16.5" customHeight="1"/>
    <row r="841" s="90" customFormat="1" ht="16.5" customHeight="1"/>
    <row r="842" s="90" customFormat="1" ht="16.5" customHeight="1"/>
    <row r="843" s="90" customFormat="1" ht="16.5" customHeight="1"/>
    <row r="844" s="90" customFormat="1" ht="16.5" customHeight="1"/>
    <row r="845" s="90" customFormat="1" ht="16.5" customHeight="1"/>
    <row r="846" s="90" customFormat="1" ht="16.5" customHeight="1"/>
    <row r="847" s="90" customFormat="1" ht="16.5" customHeight="1"/>
    <row r="848" s="90" customFormat="1" ht="16.5" customHeight="1"/>
    <row r="849" s="90" customFormat="1" ht="16.5" customHeight="1"/>
    <row r="850" s="90" customFormat="1" ht="16.5" customHeight="1"/>
    <row r="851" s="90" customFormat="1" ht="16.5" customHeight="1"/>
    <row r="852" s="90" customFormat="1" ht="16.5" customHeight="1"/>
    <row r="853" s="90" customFormat="1" ht="16.5" customHeight="1"/>
    <row r="854" s="90" customFormat="1" ht="16.5" customHeight="1"/>
    <row r="855" s="90" customFormat="1" ht="16.5" customHeight="1"/>
    <row r="856" s="90" customFormat="1" ht="16.5" customHeight="1"/>
    <row r="857" s="90" customFormat="1" ht="16.5" customHeight="1"/>
    <row r="858" s="90" customFormat="1" ht="16.5" customHeight="1"/>
    <row r="859" s="90" customFormat="1" ht="16.5" customHeight="1"/>
    <row r="860" s="90" customFormat="1" ht="16.5" customHeight="1"/>
    <row r="861" s="90" customFormat="1" ht="16.5" customHeight="1"/>
    <row r="862" s="90" customFormat="1" ht="16.5" customHeight="1"/>
    <row r="863" s="90" customFormat="1" ht="16.5" customHeight="1"/>
    <row r="864" s="90" customFormat="1" ht="16.5" customHeight="1"/>
    <row r="865" s="90" customFormat="1" ht="16.5" customHeight="1"/>
    <row r="866" s="90" customFormat="1" ht="16.5" customHeight="1"/>
    <row r="867" s="90" customFormat="1" ht="16.5" customHeight="1"/>
    <row r="868" s="90" customFormat="1" ht="16.5" customHeight="1"/>
    <row r="869" s="90" customFormat="1" ht="16.5" customHeight="1"/>
    <row r="870" s="90" customFormat="1" ht="16.5" customHeight="1"/>
    <row r="871" s="90" customFormat="1" ht="16.5" customHeight="1"/>
    <row r="872" s="90" customFormat="1" ht="16.5" customHeight="1"/>
    <row r="873" s="90" customFormat="1" ht="16.5" customHeight="1"/>
    <row r="874" s="90" customFormat="1" ht="16.5" customHeight="1"/>
    <row r="875" s="90" customFormat="1" ht="16.5" customHeight="1"/>
    <row r="876" s="90" customFormat="1" ht="16.5" customHeight="1"/>
    <row r="877" s="90" customFormat="1" ht="16.5" customHeight="1"/>
    <row r="878" s="90" customFormat="1" ht="16.5" customHeight="1"/>
    <row r="879" s="90" customFormat="1" ht="16.5" customHeight="1"/>
    <row r="880" s="90" customFormat="1" ht="16.5" customHeight="1"/>
    <row r="881" s="90" customFormat="1" ht="16.5" customHeight="1"/>
    <row r="882" s="90" customFormat="1" ht="16.5" customHeight="1"/>
    <row r="883" s="90" customFormat="1" ht="16.5" customHeight="1"/>
    <row r="884" s="90" customFormat="1" ht="16.5" customHeight="1"/>
    <row r="885" s="90" customFormat="1" ht="16.5" customHeight="1"/>
    <row r="886" s="90" customFormat="1" ht="16.5" customHeight="1"/>
    <row r="887" s="90" customFormat="1" ht="16.5" customHeight="1"/>
    <row r="888" s="90" customFormat="1" ht="16.5" customHeight="1"/>
    <row r="889" s="90" customFormat="1" ht="16.5" customHeight="1"/>
    <row r="890" s="90" customFormat="1" ht="16.5" customHeight="1"/>
    <row r="891" s="90" customFormat="1" ht="16.5" customHeight="1"/>
    <row r="892" s="90" customFormat="1" ht="16.5" customHeight="1"/>
    <row r="893" s="90" customFormat="1" ht="16.5" customHeight="1"/>
    <row r="894" s="90" customFormat="1" ht="16.5" customHeight="1"/>
    <row r="895" s="90" customFormat="1" ht="16.5" customHeight="1"/>
    <row r="896" s="90" customFormat="1" ht="16.5" customHeight="1"/>
    <row r="897" s="90" customFormat="1" ht="16.5" customHeight="1"/>
    <row r="898" s="90" customFormat="1" ht="16.5" customHeight="1"/>
    <row r="899" s="90" customFormat="1" ht="16.5" customHeight="1"/>
    <row r="900" s="90" customFormat="1" ht="16.5" customHeight="1"/>
    <row r="901" s="90" customFormat="1" ht="16.5" customHeight="1"/>
    <row r="902" s="90" customFormat="1" ht="16.5" customHeight="1"/>
    <row r="903" s="90" customFormat="1" ht="16.5" customHeight="1"/>
    <row r="904" s="90" customFormat="1" ht="16.5" customHeight="1"/>
    <row r="905" s="90" customFormat="1" ht="16.5" customHeight="1"/>
    <row r="906" s="90" customFormat="1" ht="16.5" customHeight="1"/>
    <row r="907" s="90" customFormat="1" ht="16.5" customHeight="1"/>
    <row r="908" s="90" customFormat="1" ht="16.5" customHeight="1"/>
    <row r="909" s="90" customFormat="1" ht="16.5" customHeight="1"/>
    <row r="910" s="90" customFormat="1" ht="16.5" customHeight="1"/>
    <row r="911" s="90" customFormat="1" ht="16.5" customHeight="1"/>
    <row r="912" s="90" customFormat="1" ht="16.5" customHeight="1"/>
    <row r="913" s="90" customFormat="1" ht="16.5" customHeight="1"/>
    <row r="914" s="90" customFormat="1" ht="16.5" customHeight="1"/>
    <row r="915" s="90" customFormat="1" ht="16.5" customHeight="1"/>
    <row r="916" s="90" customFormat="1" ht="16.5" customHeight="1"/>
    <row r="917" s="90" customFormat="1" ht="16.5" customHeight="1"/>
    <row r="918" s="90" customFormat="1" ht="16.5" customHeight="1"/>
    <row r="919" s="90" customFormat="1" ht="16.5" customHeight="1"/>
    <row r="920" s="90" customFormat="1" ht="16.5" customHeight="1"/>
    <row r="921" s="90" customFormat="1" ht="16.5" customHeight="1"/>
    <row r="922" s="90" customFormat="1" ht="16.5" customHeight="1"/>
    <row r="923" s="90" customFormat="1" ht="16.5" customHeight="1"/>
    <row r="924" s="90" customFormat="1" ht="16.5" customHeight="1"/>
    <row r="925" s="90" customFormat="1" ht="16.5" customHeight="1"/>
    <row r="926" s="90" customFormat="1" ht="16.5" customHeight="1"/>
    <row r="927" s="90" customFormat="1" ht="16.5" customHeight="1"/>
    <row r="928" s="90" customFormat="1" ht="16.5" customHeight="1"/>
    <row r="929" s="90" customFormat="1" ht="16.5" customHeight="1"/>
    <row r="930" s="90" customFormat="1" ht="16.5" customHeight="1"/>
    <row r="931" s="90" customFormat="1" ht="16.5" customHeight="1"/>
    <row r="932" s="90" customFormat="1" ht="16.5" customHeight="1"/>
    <row r="933" s="90" customFormat="1" ht="16.5" customHeight="1"/>
    <row r="934" s="90" customFormat="1" ht="16.5" customHeight="1"/>
    <row r="935" s="90" customFormat="1" ht="16.5" customHeight="1"/>
    <row r="936" s="90" customFormat="1" ht="16.5" customHeight="1"/>
    <row r="937" s="90" customFormat="1" ht="16.5" customHeight="1"/>
    <row r="938" s="90" customFormat="1" ht="16.5" customHeight="1"/>
    <row r="939" s="90" customFormat="1" ht="16.5" customHeight="1"/>
    <row r="940" s="90" customFormat="1" ht="16.5" customHeight="1"/>
    <row r="941" s="90" customFormat="1" ht="16.5" customHeight="1"/>
    <row r="942" s="90" customFormat="1" ht="16.5" customHeight="1"/>
    <row r="943" s="90" customFormat="1" ht="16.5" customHeight="1"/>
    <row r="944" s="90" customFormat="1" ht="16.5" customHeight="1"/>
    <row r="945" s="90" customFormat="1" ht="16.5" customHeight="1"/>
    <row r="946" s="90" customFormat="1" ht="16.5" customHeight="1"/>
    <row r="947" s="90" customFormat="1" ht="16.5" customHeight="1"/>
    <row r="948" s="90" customFormat="1" ht="16.5" customHeight="1"/>
    <row r="949" s="90" customFormat="1" ht="16.5" customHeight="1"/>
    <row r="950" s="90" customFormat="1" ht="16.5" customHeight="1"/>
    <row r="951" s="90" customFormat="1" ht="16.5" customHeight="1"/>
    <row r="952" s="90" customFormat="1" ht="16.5" customHeight="1"/>
    <row r="953" s="90" customFormat="1" ht="16.5" customHeight="1"/>
    <row r="954" s="90" customFormat="1" ht="16.5" customHeight="1"/>
    <row r="955" s="90" customFormat="1" ht="16.5" customHeight="1"/>
    <row r="956" s="90" customFormat="1" ht="16.5" customHeight="1"/>
    <row r="957" s="90" customFormat="1" ht="16.5" customHeight="1"/>
    <row r="958" s="90" customFormat="1" ht="16.5" customHeight="1"/>
    <row r="959" s="90" customFormat="1" ht="16.5" customHeight="1"/>
    <row r="960" s="90" customFormat="1" ht="16.5" customHeight="1"/>
    <row r="961" s="90" customFormat="1" ht="16.5" customHeight="1"/>
    <row r="962" s="90" customFormat="1" ht="16.5" customHeight="1"/>
    <row r="963" s="90" customFormat="1" ht="16.5" customHeight="1"/>
    <row r="964" s="90" customFormat="1" ht="16.5" customHeight="1"/>
    <row r="965" s="90" customFormat="1" ht="16.5" customHeight="1"/>
    <row r="966" s="90" customFormat="1" ht="16.5" customHeight="1"/>
    <row r="967" s="90" customFormat="1" ht="16.5" customHeight="1"/>
    <row r="968" s="90" customFormat="1" ht="16.5" customHeight="1"/>
    <row r="969" s="90" customFormat="1" ht="16.5" customHeight="1"/>
    <row r="970" s="90" customFormat="1" ht="16.5" customHeight="1"/>
    <row r="971" s="90" customFormat="1" ht="16.5" customHeight="1"/>
    <row r="972" s="90" customFormat="1" ht="16.5" customHeight="1"/>
    <row r="973" s="90" customFormat="1" ht="16.5" customHeight="1"/>
    <row r="974" s="90" customFormat="1" ht="16.5" customHeight="1"/>
    <row r="975" s="90" customFormat="1" ht="16.5" customHeight="1"/>
    <row r="976" s="90" customFormat="1" ht="16.5" customHeight="1"/>
    <row r="977" s="90" customFormat="1" ht="16.5" customHeight="1"/>
    <row r="978" s="90" customFormat="1" ht="16.5" customHeight="1"/>
    <row r="979" s="90" customFormat="1" ht="16.5" customHeight="1"/>
    <row r="980" s="90" customFormat="1" ht="16.5" customHeight="1"/>
    <row r="981" s="90" customFormat="1" ht="16.5" customHeight="1"/>
    <row r="982" s="90" customFormat="1" ht="16.5" customHeight="1"/>
    <row r="983" s="90" customFormat="1" ht="16.5" customHeight="1"/>
    <row r="984" s="90" customFormat="1" ht="16.5" customHeight="1"/>
    <row r="985" s="90" customFormat="1" ht="16.5" customHeight="1"/>
    <row r="986" s="90" customFormat="1" ht="16.5" customHeight="1"/>
    <row r="987" s="90" customFormat="1" ht="16.5" customHeight="1"/>
    <row r="988" s="90" customFormat="1" ht="16.5" customHeight="1"/>
    <row r="989" s="90" customFormat="1" ht="16.5" customHeight="1"/>
    <row r="990" s="90" customFormat="1" ht="16.5" customHeight="1"/>
    <row r="991" s="90" customFormat="1" ht="16.5" customHeight="1"/>
    <row r="992" s="90" customFormat="1" ht="16.5" customHeight="1"/>
    <row r="993" s="90" customFormat="1" ht="16.5" customHeight="1"/>
    <row r="994" s="90" customFormat="1" ht="16.5" customHeight="1"/>
    <row r="995" s="90" customFormat="1" ht="16.5" customHeight="1"/>
    <row r="996" s="90" customFormat="1" ht="16.5" customHeight="1"/>
    <row r="997" s="90" customFormat="1" ht="16.5" customHeight="1"/>
    <row r="998" s="90" customFormat="1" ht="16.5" customHeight="1"/>
    <row r="999" s="90" customFormat="1" ht="16.5" customHeight="1"/>
    <row r="1000" s="90" customFormat="1" ht="16.5" customHeight="1"/>
  </sheetData>
  <phoneticPr fontId="12" type="noConversion"/>
  <pageMargins left="0.7" right="0.7" top="0.75" bottom="0.75" header="0" footer="0"/>
  <pageSetup orientation="landscape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1F497D"/>
  </sheetPr>
  <dimension ref="A1:AG1000"/>
  <sheetViews>
    <sheetView workbookViewId="0"/>
  </sheetViews>
  <sheetFormatPr defaultColWidth="14.453125" defaultRowHeight="15" customHeight="1"/>
  <cols>
    <col min="1" max="1" width="26.453125" customWidth="1"/>
    <col min="2" max="2" width="11.7265625" customWidth="1"/>
    <col min="3" max="33" width="9.26953125" customWidth="1"/>
  </cols>
  <sheetData>
    <row r="1" spans="1:33" ht="16.5" customHeight="1">
      <c r="A1" s="17" t="s">
        <v>178</v>
      </c>
      <c r="B1" s="17">
        <v>2021</v>
      </c>
      <c r="C1" s="17">
        <v>2022</v>
      </c>
      <c r="D1" s="17">
        <v>2023</v>
      </c>
      <c r="E1" s="17">
        <v>2024</v>
      </c>
      <c r="F1" s="17">
        <v>2025</v>
      </c>
      <c r="G1" s="17">
        <v>2026</v>
      </c>
      <c r="H1" s="17">
        <v>2027</v>
      </c>
      <c r="I1" s="17">
        <v>2028</v>
      </c>
      <c r="J1" s="17">
        <v>2029</v>
      </c>
      <c r="K1" s="17">
        <v>2030</v>
      </c>
      <c r="L1" s="17">
        <v>2031</v>
      </c>
      <c r="M1" s="17">
        <v>2032</v>
      </c>
      <c r="N1" s="17">
        <v>2033</v>
      </c>
      <c r="O1" s="17">
        <v>2034</v>
      </c>
      <c r="P1" s="17">
        <v>2035</v>
      </c>
      <c r="Q1" s="17">
        <v>2036</v>
      </c>
      <c r="R1" s="17">
        <v>2037</v>
      </c>
      <c r="S1" s="17">
        <v>2038</v>
      </c>
      <c r="T1" s="17">
        <v>2039</v>
      </c>
      <c r="U1" s="17">
        <v>2040</v>
      </c>
      <c r="V1" s="17">
        <v>2041</v>
      </c>
      <c r="W1" s="17">
        <v>2042</v>
      </c>
      <c r="X1" s="17">
        <v>2043</v>
      </c>
      <c r="Y1" s="17">
        <v>2044</v>
      </c>
      <c r="Z1" s="17">
        <v>2045</v>
      </c>
      <c r="AA1" s="17">
        <v>2046</v>
      </c>
      <c r="AB1" s="17">
        <v>2047</v>
      </c>
      <c r="AC1" s="17">
        <v>2048</v>
      </c>
      <c r="AD1" s="17">
        <v>2049</v>
      </c>
      <c r="AE1" s="17">
        <v>2050</v>
      </c>
    </row>
    <row r="2" spans="1:33" ht="16.5" customHeight="1">
      <c r="A2" s="17" t="s">
        <v>199</v>
      </c>
      <c r="B2" s="17">
        <v>0</v>
      </c>
      <c r="C2" s="17">
        <v>0</v>
      </c>
      <c r="D2" s="17">
        <v>0</v>
      </c>
      <c r="E2" s="17">
        <v>0</v>
      </c>
      <c r="F2" s="17">
        <v>0</v>
      </c>
      <c r="G2" s="17">
        <v>0</v>
      </c>
      <c r="H2" s="17">
        <v>0</v>
      </c>
      <c r="I2" s="17">
        <v>0</v>
      </c>
      <c r="J2" s="17">
        <v>0</v>
      </c>
      <c r="K2" s="17">
        <v>0</v>
      </c>
      <c r="L2" s="17">
        <v>0</v>
      </c>
      <c r="M2" s="17">
        <v>0</v>
      </c>
      <c r="N2" s="17">
        <v>0</v>
      </c>
      <c r="O2" s="17">
        <v>0</v>
      </c>
      <c r="P2" s="17">
        <v>0</v>
      </c>
      <c r="Q2" s="17">
        <v>0</v>
      </c>
      <c r="R2" s="17">
        <v>0</v>
      </c>
      <c r="S2" s="17">
        <v>0</v>
      </c>
      <c r="T2" s="17">
        <v>0</v>
      </c>
      <c r="U2" s="17">
        <v>0</v>
      </c>
      <c r="V2" s="17">
        <v>0</v>
      </c>
      <c r="W2" s="17">
        <v>0</v>
      </c>
      <c r="X2" s="17">
        <v>0</v>
      </c>
      <c r="Y2" s="17">
        <v>0</v>
      </c>
      <c r="Z2" s="17">
        <v>0</v>
      </c>
      <c r="AA2" s="17">
        <v>0</v>
      </c>
      <c r="AB2" s="17">
        <v>0</v>
      </c>
      <c r="AC2" s="17">
        <v>0</v>
      </c>
      <c r="AD2" s="17">
        <v>0</v>
      </c>
      <c r="AE2" s="17">
        <v>0</v>
      </c>
    </row>
    <row r="3" spans="1:33" ht="16.5" customHeight="1">
      <c r="A3" s="17" t="s">
        <v>200</v>
      </c>
      <c r="B3" s="17">
        <v>0</v>
      </c>
      <c r="C3" s="17">
        <v>0</v>
      </c>
      <c r="D3" s="17">
        <v>0</v>
      </c>
      <c r="E3" s="17">
        <v>0</v>
      </c>
      <c r="F3" s="17">
        <v>0</v>
      </c>
      <c r="G3" s="17">
        <v>0</v>
      </c>
      <c r="H3" s="17">
        <v>0</v>
      </c>
      <c r="I3" s="17">
        <v>0</v>
      </c>
      <c r="J3" s="17">
        <v>0</v>
      </c>
      <c r="K3" s="17">
        <v>0</v>
      </c>
      <c r="L3" s="17">
        <v>0</v>
      </c>
      <c r="M3" s="17">
        <v>0</v>
      </c>
      <c r="N3" s="17">
        <v>0</v>
      </c>
      <c r="O3" s="17">
        <v>0</v>
      </c>
      <c r="P3" s="17">
        <v>0</v>
      </c>
      <c r="Q3" s="17">
        <v>0</v>
      </c>
      <c r="R3" s="17">
        <v>0</v>
      </c>
      <c r="S3" s="17">
        <v>0</v>
      </c>
      <c r="T3" s="17">
        <v>0</v>
      </c>
      <c r="U3" s="17">
        <v>0</v>
      </c>
      <c r="V3" s="17">
        <v>0</v>
      </c>
      <c r="W3" s="17">
        <v>0</v>
      </c>
      <c r="X3" s="17">
        <v>0</v>
      </c>
      <c r="Y3" s="17">
        <v>0</v>
      </c>
      <c r="Z3" s="17">
        <v>0</v>
      </c>
      <c r="AA3" s="17">
        <v>0</v>
      </c>
      <c r="AB3" s="17">
        <v>0</v>
      </c>
      <c r="AC3" s="17">
        <v>0</v>
      </c>
      <c r="AD3" s="17">
        <v>0</v>
      </c>
      <c r="AE3" s="17">
        <v>0</v>
      </c>
      <c r="AF3" s="40"/>
      <c r="AG3" s="40"/>
    </row>
    <row r="4" spans="1:33" ht="16.5" customHeight="1">
      <c r="A4" s="17" t="s">
        <v>201</v>
      </c>
      <c r="B4" s="17">
        <v>0</v>
      </c>
      <c r="C4" s="17">
        <v>0</v>
      </c>
      <c r="D4" s="17">
        <v>0</v>
      </c>
      <c r="E4" s="17">
        <v>0</v>
      </c>
      <c r="F4" s="17">
        <v>0</v>
      </c>
      <c r="G4" s="17">
        <v>0</v>
      </c>
      <c r="H4" s="17">
        <v>0</v>
      </c>
      <c r="I4" s="17">
        <v>0</v>
      </c>
      <c r="J4" s="17">
        <v>0</v>
      </c>
      <c r="K4" s="17">
        <v>0</v>
      </c>
      <c r="L4" s="17">
        <v>0</v>
      </c>
      <c r="M4" s="17">
        <v>0</v>
      </c>
      <c r="N4" s="17">
        <v>0</v>
      </c>
      <c r="O4" s="17">
        <v>0</v>
      </c>
      <c r="P4" s="17">
        <v>0</v>
      </c>
      <c r="Q4" s="17">
        <v>0</v>
      </c>
      <c r="R4" s="17">
        <v>0</v>
      </c>
      <c r="S4" s="17">
        <v>0</v>
      </c>
      <c r="T4" s="17">
        <v>0</v>
      </c>
      <c r="U4" s="17">
        <v>0</v>
      </c>
      <c r="V4" s="17">
        <v>0</v>
      </c>
      <c r="W4" s="17">
        <v>0</v>
      </c>
      <c r="X4" s="17">
        <v>0</v>
      </c>
      <c r="Y4" s="17">
        <v>0</v>
      </c>
      <c r="Z4" s="17">
        <v>0</v>
      </c>
      <c r="AA4" s="17">
        <v>0</v>
      </c>
      <c r="AB4" s="17">
        <v>0</v>
      </c>
      <c r="AC4" s="17">
        <v>0</v>
      </c>
      <c r="AD4" s="17">
        <v>0</v>
      </c>
      <c r="AE4" s="17">
        <v>0</v>
      </c>
      <c r="AF4" s="40"/>
      <c r="AG4" s="40"/>
    </row>
    <row r="5" spans="1:33" ht="16.5" customHeight="1">
      <c r="A5" s="17" t="s">
        <v>124</v>
      </c>
      <c r="B5" s="17">
        <v>0</v>
      </c>
      <c r="C5" s="17">
        <v>0</v>
      </c>
      <c r="D5" s="17">
        <v>0</v>
      </c>
      <c r="E5" s="17">
        <v>0</v>
      </c>
      <c r="F5" s="17">
        <v>0</v>
      </c>
      <c r="G5" s="17">
        <v>0</v>
      </c>
      <c r="H5" s="17">
        <v>0</v>
      </c>
      <c r="I5" s="17">
        <v>0</v>
      </c>
      <c r="J5" s="17">
        <v>0</v>
      </c>
      <c r="K5" s="17">
        <v>0</v>
      </c>
      <c r="L5" s="17">
        <v>0</v>
      </c>
      <c r="M5" s="17">
        <v>0</v>
      </c>
      <c r="N5" s="17">
        <v>0</v>
      </c>
      <c r="O5" s="17">
        <v>0</v>
      </c>
      <c r="P5" s="17">
        <v>0</v>
      </c>
      <c r="Q5" s="17">
        <v>0</v>
      </c>
      <c r="R5" s="17">
        <v>0</v>
      </c>
      <c r="S5" s="17">
        <v>0</v>
      </c>
      <c r="T5" s="17">
        <v>0</v>
      </c>
      <c r="U5" s="17">
        <v>0</v>
      </c>
      <c r="V5" s="17">
        <v>0</v>
      </c>
      <c r="W5" s="17">
        <v>0</v>
      </c>
      <c r="X5" s="17">
        <v>0</v>
      </c>
      <c r="Y5" s="17">
        <v>0</v>
      </c>
      <c r="Z5" s="17">
        <v>0</v>
      </c>
      <c r="AA5" s="17">
        <v>0</v>
      </c>
      <c r="AB5" s="17">
        <v>0</v>
      </c>
      <c r="AC5" s="17">
        <v>0</v>
      </c>
      <c r="AD5" s="17">
        <v>0</v>
      </c>
      <c r="AE5" s="17">
        <v>0</v>
      </c>
    </row>
    <row r="6" spans="1:33" ht="16.5" customHeight="1">
      <c r="A6" s="17" t="s">
        <v>123</v>
      </c>
      <c r="B6" s="17">
        <v>0</v>
      </c>
      <c r="C6" s="17">
        <v>0</v>
      </c>
      <c r="D6" s="17">
        <v>0</v>
      </c>
      <c r="E6" s="17">
        <v>0</v>
      </c>
      <c r="F6" s="17">
        <v>0</v>
      </c>
      <c r="G6" s="17">
        <v>0</v>
      </c>
      <c r="H6" s="17">
        <v>0</v>
      </c>
      <c r="I6" s="17">
        <v>0</v>
      </c>
      <c r="J6" s="17">
        <v>0</v>
      </c>
      <c r="K6" s="17">
        <v>0</v>
      </c>
      <c r="L6" s="17">
        <v>0</v>
      </c>
      <c r="M6" s="17">
        <v>0</v>
      </c>
      <c r="N6" s="17">
        <v>0</v>
      </c>
      <c r="O6" s="17">
        <v>0</v>
      </c>
      <c r="P6" s="17">
        <v>0</v>
      </c>
      <c r="Q6" s="17">
        <v>0</v>
      </c>
      <c r="R6" s="17">
        <v>0</v>
      </c>
      <c r="S6" s="17">
        <v>0</v>
      </c>
      <c r="T6" s="17">
        <v>0</v>
      </c>
      <c r="U6" s="17">
        <v>0</v>
      </c>
      <c r="V6" s="17">
        <v>0</v>
      </c>
      <c r="W6" s="17">
        <v>0</v>
      </c>
      <c r="X6" s="17">
        <v>0</v>
      </c>
      <c r="Y6" s="17">
        <v>0</v>
      </c>
      <c r="Z6" s="17">
        <v>0</v>
      </c>
      <c r="AA6" s="17">
        <v>0</v>
      </c>
      <c r="AB6" s="17">
        <v>0</v>
      </c>
      <c r="AC6" s="17">
        <v>0</v>
      </c>
      <c r="AD6" s="17">
        <v>0</v>
      </c>
      <c r="AE6" s="17">
        <v>0</v>
      </c>
    </row>
    <row r="7" spans="1:33" ht="16.5" customHeight="1">
      <c r="A7" s="17" t="s">
        <v>202</v>
      </c>
      <c r="B7" s="17">
        <v>0</v>
      </c>
      <c r="C7" s="17">
        <v>0</v>
      </c>
      <c r="D7" s="17">
        <v>0</v>
      </c>
      <c r="E7" s="17">
        <v>0</v>
      </c>
      <c r="F7" s="17">
        <v>0</v>
      </c>
      <c r="G7" s="17">
        <v>0</v>
      </c>
      <c r="H7" s="17">
        <v>0</v>
      </c>
      <c r="I7" s="17">
        <v>0</v>
      </c>
      <c r="J7" s="17">
        <v>0</v>
      </c>
      <c r="K7" s="17">
        <v>0</v>
      </c>
      <c r="L7" s="17">
        <v>0</v>
      </c>
      <c r="M7" s="17">
        <v>0</v>
      </c>
      <c r="N7" s="17">
        <v>0</v>
      </c>
      <c r="O7" s="17">
        <v>0</v>
      </c>
      <c r="P7" s="17">
        <v>0</v>
      </c>
      <c r="Q7" s="17">
        <v>0</v>
      </c>
      <c r="R7" s="17">
        <v>0</v>
      </c>
      <c r="S7" s="17">
        <v>0</v>
      </c>
      <c r="T7" s="17">
        <v>0</v>
      </c>
      <c r="U7" s="17">
        <v>0</v>
      </c>
      <c r="V7" s="17">
        <v>0</v>
      </c>
      <c r="W7" s="17">
        <v>0</v>
      </c>
      <c r="X7" s="17">
        <v>0</v>
      </c>
      <c r="Y7" s="17">
        <v>0</v>
      </c>
      <c r="Z7" s="17">
        <v>0</v>
      </c>
      <c r="AA7" s="17">
        <v>0</v>
      </c>
      <c r="AB7" s="17">
        <v>0</v>
      </c>
      <c r="AC7" s="17">
        <v>0</v>
      </c>
      <c r="AD7" s="17">
        <v>0</v>
      </c>
      <c r="AE7" s="17">
        <v>0</v>
      </c>
    </row>
    <row r="8" spans="1:33" ht="16.5" customHeight="1">
      <c r="A8" s="17" t="s">
        <v>203</v>
      </c>
      <c r="B8" s="17">
        <v>0</v>
      </c>
      <c r="C8" s="17">
        <v>0</v>
      </c>
      <c r="D8" s="17">
        <v>0</v>
      </c>
      <c r="E8" s="17">
        <v>0</v>
      </c>
      <c r="F8" s="17">
        <v>0</v>
      </c>
      <c r="G8" s="17">
        <v>0</v>
      </c>
      <c r="H8" s="17">
        <v>0</v>
      </c>
      <c r="I8" s="17">
        <v>0</v>
      </c>
      <c r="J8" s="17">
        <v>0</v>
      </c>
      <c r="K8" s="17">
        <v>0</v>
      </c>
      <c r="L8" s="17">
        <v>0</v>
      </c>
      <c r="M8" s="17">
        <v>0</v>
      </c>
      <c r="N8" s="17">
        <v>0</v>
      </c>
      <c r="O8" s="17">
        <v>0</v>
      </c>
      <c r="P8" s="17">
        <v>0</v>
      </c>
      <c r="Q8" s="17">
        <v>0</v>
      </c>
      <c r="R8" s="17">
        <v>0</v>
      </c>
      <c r="S8" s="17">
        <v>0</v>
      </c>
      <c r="T8" s="17">
        <v>0</v>
      </c>
      <c r="U8" s="17">
        <v>0</v>
      </c>
      <c r="V8" s="17">
        <v>0</v>
      </c>
      <c r="W8" s="17">
        <v>0</v>
      </c>
      <c r="X8" s="17">
        <v>0</v>
      </c>
      <c r="Y8" s="17">
        <v>0</v>
      </c>
      <c r="Z8" s="17">
        <v>0</v>
      </c>
      <c r="AA8" s="17">
        <v>0</v>
      </c>
      <c r="AB8" s="17">
        <v>0</v>
      </c>
      <c r="AC8" s="17">
        <v>0</v>
      </c>
      <c r="AD8" s="17">
        <v>0</v>
      </c>
      <c r="AE8" s="17">
        <v>0</v>
      </c>
    </row>
    <row r="9" spans="1:33" ht="16.5" customHeight="1">
      <c r="A9" s="17" t="s">
        <v>204</v>
      </c>
      <c r="B9" s="17">
        <v>0</v>
      </c>
      <c r="C9" s="17">
        <v>0</v>
      </c>
      <c r="D9" s="17">
        <v>0</v>
      </c>
      <c r="E9" s="17">
        <v>0</v>
      </c>
      <c r="F9" s="17">
        <v>0</v>
      </c>
      <c r="G9" s="17">
        <v>0</v>
      </c>
      <c r="H9" s="17">
        <v>0</v>
      </c>
      <c r="I9" s="17">
        <v>0</v>
      </c>
      <c r="J9" s="17">
        <v>0</v>
      </c>
      <c r="K9" s="17">
        <v>0</v>
      </c>
      <c r="L9" s="17">
        <v>0</v>
      </c>
      <c r="M9" s="17">
        <v>0</v>
      </c>
      <c r="N9" s="17">
        <v>0</v>
      </c>
      <c r="O9" s="17">
        <v>0</v>
      </c>
      <c r="P9" s="17">
        <v>0</v>
      </c>
      <c r="Q9" s="17">
        <v>0</v>
      </c>
      <c r="R9" s="17">
        <v>0</v>
      </c>
      <c r="S9" s="17">
        <v>0</v>
      </c>
      <c r="T9" s="17">
        <v>0</v>
      </c>
      <c r="U9" s="17">
        <v>0</v>
      </c>
      <c r="V9" s="17">
        <v>0</v>
      </c>
      <c r="W9" s="17">
        <v>0</v>
      </c>
      <c r="X9" s="17">
        <v>0</v>
      </c>
      <c r="Y9" s="17">
        <v>0</v>
      </c>
      <c r="Z9" s="17">
        <v>0</v>
      </c>
      <c r="AA9" s="17">
        <v>0</v>
      </c>
      <c r="AB9" s="17">
        <v>0</v>
      </c>
      <c r="AC9" s="17">
        <v>0</v>
      </c>
      <c r="AD9" s="17">
        <v>0</v>
      </c>
      <c r="AE9" s="17">
        <v>0</v>
      </c>
    </row>
    <row r="10" spans="1:33" ht="16.5" customHeight="1">
      <c r="A10" s="17" t="s">
        <v>205</v>
      </c>
      <c r="B10" s="17">
        <v>0</v>
      </c>
      <c r="C10" s="17">
        <v>0</v>
      </c>
      <c r="D10" s="17">
        <v>0</v>
      </c>
      <c r="E10" s="17">
        <v>0</v>
      </c>
      <c r="F10" s="17">
        <v>0</v>
      </c>
      <c r="G10" s="17">
        <v>0</v>
      </c>
      <c r="H10" s="17">
        <v>0</v>
      </c>
      <c r="I10" s="17">
        <v>0</v>
      </c>
      <c r="J10" s="17">
        <v>0</v>
      </c>
      <c r="K10" s="17">
        <v>0</v>
      </c>
      <c r="L10" s="17">
        <v>0</v>
      </c>
      <c r="M10" s="17">
        <v>0</v>
      </c>
      <c r="N10" s="17">
        <v>0</v>
      </c>
      <c r="O10" s="17">
        <v>0</v>
      </c>
      <c r="P10" s="17">
        <v>0</v>
      </c>
      <c r="Q10" s="17">
        <v>0</v>
      </c>
      <c r="R10" s="17">
        <v>0</v>
      </c>
      <c r="S10" s="17">
        <v>0</v>
      </c>
      <c r="T10" s="17">
        <v>0</v>
      </c>
      <c r="U10" s="17">
        <v>0</v>
      </c>
      <c r="V10" s="17">
        <v>0</v>
      </c>
      <c r="W10" s="17">
        <v>0</v>
      </c>
      <c r="X10" s="17">
        <v>0</v>
      </c>
      <c r="Y10" s="17">
        <v>0</v>
      </c>
      <c r="Z10" s="17">
        <v>0</v>
      </c>
      <c r="AA10" s="17">
        <v>0</v>
      </c>
      <c r="AB10" s="17">
        <v>0</v>
      </c>
      <c r="AC10" s="17">
        <v>0</v>
      </c>
      <c r="AD10" s="17">
        <v>0</v>
      </c>
      <c r="AE10" s="17">
        <v>0</v>
      </c>
      <c r="AF10" s="40"/>
      <c r="AG10" s="40"/>
    </row>
    <row r="11" spans="1:33" ht="16.5" customHeight="1">
      <c r="A11" s="17" t="s">
        <v>206</v>
      </c>
      <c r="B11" s="17">
        <v>0</v>
      </c>
      <c r="C11" s="17">
        <v>0</v>
      </c>
      <c r="D11" s="17">
        <v>0</v>
      </c>
      <c r="E11" s="17">
        <v>0</v>
      </c>
      <c r="F11" s="17">
        <v>0</v>
      </c>
      <c r="G11" s="17">
        <v>0</v>
      </c>
      <c r="H11" s="17">
        <v>0</v>
      </c>
      <c r="I11" s="17">
        <v>0</v>
      </c>
      <c r="J11" s="17">
        <v>0</v>
      </c>
      <c r="K11" s="17">
        <v>0</v>
      </c>
      <c r="L11" s="17">
        <v>0</v>
      </c>
      <c r="M11" s="17">
        <v>0</v>
      </c>
      <c r="N11" s="17">
        <v>0</v>
      </c>
      <c r="O11" s="17">
        <v>0</v>
      </c>
      <c r="P11" s="17">
        <v>0</v>
      </c>
      <c r="Q11" s="17">
        <v>0</v>
      </c>
      <c r="R11" s="17">
        <v>0</v>
      </c>
      <c r="S11" s="17">
        <v>0</v>
      </c>
      <c r="T11" s="17">
        <v>0</v>
      </c>
      <c r="U11" s="17">
        <v>0</v>
      </c>
      <c r="V11" s="17">
        <v>0</v>
      </c>
      <c r="W11" s="17">
        <v>0</v>
      </c>
      <c r="X11" s="17">
        <v>0</v>
      </c>
      <c r="Y11" s="17">
        <v>0</v>
      </c>
      <c r="Z11" s="17">
        <v>0</v>
      </c>
      <c r="AA11" s="17">
        <v>0</v>
      </c>
      <c r="AB11" s="17">
        <v>0</v>
      </c>
      <c r="AC11" s="17">
        <v>0</v>
      </c>
      <c r="AD11" s="17">
        <v>0</v>
      </c>
      <c r="AE11" s="17">
        <v>0</v>
      </c>
      <c r="AF11" s="40"/>
      <c r="AG11" s="40"/>
    </row>
    <row r="12" spans="1:33" ht="16.5" customHeight="1">
      <c r="A12" s="17" t="s">
        <v>207</v>
      </c>
      <c r="B12" s="17">
        <v>0</v>
      </c>
      <c r="C12" s="17">
        <v>0</v>
      </c>
      <c r="D12" s="17">
        <v>0</v>
      </c>
      <c r="E12" s="17">
        <v>0</v>
      </c>
      <c r="F12" s="17">
        <v>0</v>
      </c>
      <c r="G12" s="17">
        <v>0</v>
      </c>
      <c r="H12" s="17">
        <v>0</v>
      </c>
      <c r="I12" s="17">
        <v>0</v>
      </c>
      <c r="J12" s="17">
        <v>0</v>
      </c>
      <c r="K12" s="17">
        <v>0</v>
      </c>
      <c r="L12" s="17">
        <v>0</v>
      </c>
      <c r="M12" s="17">
        <v>0</v>
      </c>
      <c r="N12" s="17">
        <v>0</v>
      </c>
      <c r="O12" s="17">
        <v>0</v>
      </c>
      <c r="P12" s="17">
        <v>0</v>
      </c>
      <c r="Q12" s="17">
        <v>0</v>
      </c>
      <c r="R12" s="17">
        <v>0</v>
      </c>
      <c r="S12" s="17">
        <v>0</v>
      </c>
      <c r="T12" s="17">
        <v>0</v>
      </c>
      <c r="U12" s="17">
        <v>0</v>
      </c>
      <c r="V12" s="17">
        <v>0</v>
      </c>
      <c r="W12" s="17">
        <v>0</v>
      </c>
      <c r="X12" s="17">
        <v>0</v>
      </c>
      <c r="Y12" s="17">
        <v>0</v>
      </c>
      <c r="Z12" s="17">
        <v>0</v>
      </c>
      <c r="AA12" s="17">
        <v>0</v>
      </c>
      <c r="AB12" s="17">
        <v>0</v>
      </c>
      <c r="AC12" s="17">
        <v>0</v>
      </c>
      <c r="AD12" s="17">
        <v>0</v>
      </c>
      <c r="AE12" s="17">
        <v>0</v>
      </c>
    </row>
    <row r="13" spans="1:33" ht="16.5" customHeight="1">
      <c r="A13" s="17" t="s">
        <v>208</v>
      </c>
      <c r="B13" s="17">
        <v>0</v>
      </c>
      <c r="C13" s="17">
        <v>0</v>
      </c>
      <c r="D13" s="17">
        <v>0</v>
      </c>
      <c r="E13" s="17">
        <v>0</v>
      </c>
      <c r="F13" s="17">
        <v>0</v>
      </c>
      <c r="G13" s="17">
        <v>0</v>
      </c>
      <c r="H13" s="17">
        <v>0</v>
      </c>
      <c r="I13" s="17">
        <v>0</v>
      </c>
      <c r="J13" s="17">
        <v>0</v>
      </c>
      <c r="K13" s="17">
        <v>0</v>
      </c>
      <c r="L13" s="17">
        <v>0</v>
      </c>
      <c r="M13" s="17">
        <v>0</v>
      </c>
      <c r="N13" s="17">
        <v>0</v>
      </c>
      <c r="O13" s="17">
        <v>0</v>
      </c>
      <c r="P13" s="17">
        <v>0</v>
      </c>
      <c r="Q13" s="17">
        <v>0</v>
      </c>
      <c r="R13" s="17">
        <v>0</v>
      </c>
      <c r="S13" s="17">
        <v>0</v>
      </c>
      <c r="T13" s="17">
        <v>0</v>
      </c>
      <c r="U13" s="17">
        <v>0</v>
      </c>
      <c r="V13" s="17">
        <v>0</v>
      </c>
      <c r="W13" s="17">
        <v>0</v>
      </c>
      <c r="X13" s="17">
        <v>0</v>
      </c>
      <c r="Y13" s="17">
        <v>0</v>
      </c>
      <c r="Z13" s="17">
        <v>0</v>
      </c>
      <c r="AA13" s="17">
        <v>0</v>
      </c>
      <c r="AB13" s="17">
        <v>0</v>
      </c>
      <c r="AC13" s="17">
        <v>0</v>
      </c>
      <c r="AD13" s="17">
        <v>0</v>
      </c>
      <c r="AE13" s="17">
        <v>0</v>
      </c>
    </row>
    <row r="14" spans="1:33" ht="16.5" customHeight="1">
      <c r="A14" s="17" t="s">
        <v>209</v>
      </c>
      <c r="B14" s="17">
        <v>0</v>
      </c>
      <c r="C14" s="17">
        <v>0</v>
      </c>
      <c r="D14" s="17">
        <v>0</v>
      </c>
      <c r="E14" s="17">
        <v>0</v>
      </c>
      <c r="F14" s="17">
        <v>0</v>
      </c>
      <c r="G14" s="17">
        <v>0</v>
      </c>
      <c r="H14" s="17">
        <v>0</v>
      </c>
      <c r="I14" s="17">
        <v>0</v>
      </c>
      <c r="J14" s="17">
        <v>0</v>
      </c>
      <c r="K14" s="17">
        <v>0</v>
      </c>
      <c r="L14" s="17">
        <v>0</v>
      </c>
      <c r="M14" s="17">
        <v>0</v>
      </c>
      <c r="N14" s="17">
        <v>0</v>
      </c>
      <c r="O14" s="17">
        <v>0</v>
      </c>
      <c r="P14" s="17">
        <v>0</v>
      </c>
      <c r="Q14" s="17">
        <v>0</v>
      </c>
      <c r="R14" s="17">
        <v>0</v>
      </c>
      <c r="S14" s="17">
        <v>0</v>
      </c>
      <c r="T14" s="17">
        <v>0</v>
      </c>
      <c r="U14" s="17">
        <v>0</v>
      </c>
      <c r="V14" s="17">
        <v>0</v>
      </c>
      <c r="W14" s="17">
        <v>0</v>
      </c>
      <c r="X14" s="17">
        <v>0</v>
      </c>
      <c r="Y14" s="17">
        <v>0</v>
      </c>
      <c r="Z14" s="17">
        <v>0</v>
      </c>
      <c r="AA14" s="17">
        <v>0</v>
      </c>
      <c r="AB14" s="17">
        <v>0</v>
      </c>
      <c r="AC14" s="17">
        <v>0</v>
      </c>
      <c r="AD14" s="17">
        <v>0</v>
      </c>
      <c r="AE14" s="17">
        <v>0</v>
      </c>
      <c r="AF14" s="40"/>
      <c r="AG14" s="40"/>
    </row>
    <row r="15" spans="1:33" ht="16.5" customHeight="1">
      <c r="A15" s="17" t="s">
        <v>210</v>
      </c>
      <c r="B15" s="17">
        <v>0</v>
      </c>
      <c r="C15" s="17">
        <v>0</v>
      </c>
      <c r="D15" s="17">
        <v>0</v>
      </c>
      <c r="E15" s="17">
        <v>0</v>
      </c>
      <c r="F15" s="17">
        <v>0</v>
      </c>
      <c r="G15" s="17">
        <v>0</v>
      </c>
      <c r="H15" s="17">
        <v>0</v>
      </c>
      <c r="I15" s="17">
        <v>0</v>
      </c>
      <c r="J15" s="17">
        <v>0</v>
      </c>
      <c r="K15" s="17">
        <v>0</v>
      </c>
      <c r="L15" s="17">
        <v>0</v>
      </c>
      <c r="M15" s="17">
        <v>0</v>
      </c>
      <c r="N15" s="17">
        <v>0</v>
      </c>
      <c r="O15" s="17">
        <v>0</v>
      </c>
      <c r="P15" s="17">
        <v>0</v>
      </c>
      <c r="Q15" s="17">
        <v>0</v>
      </c>
      <c r="R15" s="17">
        <v>0</v>
      </c>
      <c r="S15" s="17">
        <v>0</v>
      </c>
      <c r="T15" s="17">
        <v>0</v>
      </c>
      <c r="U15" s="17">
        <v>0</v>
      </c>
      <c r="V15" s="17">
        <v>0</v>
      </c>
      <c r="W15" s="17">
        <v>0</v>
      </c>
      <c r="X15" s="17">
        <v>0</v>
      </c>
      <c r="Y15" s="17">
        <v>0</v>
      </c>
      <c r="Z15" s="17">
        <v>0</v>
      </c>
      <c r="AA15" s="17">
        <v>0</v>
      </c>
      <c r="AB15" s="17">
        <v>0</v>
      </c>
      <c r="AC15" s="17">
        <v>0</v>
      </c>
      <c r="AD15" s="17">
        <v>0</v>
      </c>
      <c r="AE15" s="17">
        <v>0</v>
      </c>
    </row>
    <row r="16" spans="1:33" ht="16.5" customHeight="1">
      <c r="A16" s="17" t="s">
        <v>129</v>
      </c>
      <c r="B16" s="17">
        <v>0</v>
      </c>
      <c r="C16" s="17">
        <v>0</v>
      </c>
      <c r="D16" s="17">
        <v>0</v>
      </c>
      <c r="E16" s="17">
        <v>0</v>
      </c>
      <c r="F16" s="17">
        <v>0</v>
      </c>
      <c r="G16" s="17">
        <v>0</v>
      </c>
      <c r="H16" s="17">
        <v>0</v>
      </c>
      <c r="I16" s="17">
        <v>0</v>
      </c>
      <c r="J16" s="17">
        <v>0</v>
      </c>
      <c r="K16" s="17">
        <v>0</v>
      </c>
      <c r="L16" s="17">
        <v>0</v>
      </c>
      <c r="M16" s="17">
        <v>0</v>
      </c>
      <c r="N16" s="17">
        <v>0</v>
      </c>
      <c r="O16" s="17">
        <v>0</v>
      </c>
      <c r="P16" s="17">
        <v>0</v>
      </c>
      <c r="Q16" s="17">
        <v>0</v>
      </c>
      <c r="R16" s="17">
        <v>0</v>
      </c>
      <c r="S16" s="17">
        <v>0</v>
      </c>
      <c r="T16" s="17">
        <v>0</v>
      </c>
      <c r="U16" s="17">
        <v>0</v>
      </c>
      <c r="V16" s="17">
        <v>0</v>
      </c>
      <c r="W16" s="17">
        <v>0</v>
      </c>
      <c r="X16" s="17">
        <v>0</v>
      </c>
      <c r="Y16" s="17">
        <v>0</v>
      </c>
      <c r="Z16" s="17">
        <v>0</v>
      </c>
      <c r="AA16" s="17">
        <v>0</v>
      </c>
      <c r="AB16" s="17">
        <v>0</v>
      </c>
      <c r="AC16" s="17">
        <v>0</v>
      </c>
      <c r="AD16" s="17">
        <v>0</v>
      </c>
      <c r="AE16" s="17">
        <v>0</v>
      </c>
    </row>
    <row r="17" spans="1:33" ht="16.5" customHeight="1">
      <c r="A17" s="17" t="s">
        <v>211</v>
      </c>
      <c r="B17" s="17">
        <v>0</v>
      </c>
      <c r="C17" s="17">
        <v>0</v>
      </c>
      <c r="D17" s="17">
        <v>0</v>
      </c>
      <c r="E17" s="17">
        <v>0</v>
      </c>
      <c r="F17" s="17">
        <v>0</v>
      </c>
      <c r="G17" s="17">
        <v>0</v>
      </c>
      <c r="H17" s="17">
        <v>0</v>
      </c>
      <c r="I17" s="17">
        <v>0</v>
      </c>
      <c r="J17" s="17">
        <v>0</v>
      </c>
      <c r="K17" s="17">
        <v>0</v>
      </c>
      <c r="L17" s="17">
        <v>0</v>
      </c>
      <c r="M17" s="17">
        <v>0</v>
      </c>
      <c r="N17" s="17">
        <v>0</v>
      </c>
      <c r="O17" s="17">
        <v>0</v>
      </c>
      <c r="P17" s="17">
        <v>0</v>
      </c>
      <c r="Q17" s="17">
        <v>0</v>
      </c>
      <c r="R17" s="17">
        <v>0</v>
      </c>
      <c r="S17" s="17">
        <v>0</v>
      </c>
      <c r="T17" s="17">
        <v>0</v>
      </c>
      <c r="U17" s="17">
        <v>0</v>
      </c>
      <c r="V17" s="17">
        <v>0</v>
      </c>
      <c r="W17" s="17">
        <v>0</v>
      </c>
      <c r="X17" s="17">
        <v>0</v>
      </c>
      <c r="Y17" s="17">
        <v>0</v>
      </c>
      <c r="Z17" s="17">
        <v>0</v>
      </c>
      <c r="AA17" s="17">
        <v>0</v>
      </c>
      <c r="AB17" s="17">
        <v>0</v>
      </c>
      <c r="AC17" s="17">
        <v>0</v>
      </c>
      <c r="AD17" s="17">
        <v>0</v>
      </c>
      <c r="AE17" s="17">
        <v>0</v>
      </c>
      <c r="AF17" s="40"/>
      <c r="AG17" s="40"/>
    </row>
    <row r="18" spans="1:33" ht="16.5" customHeight="1">
      <c r="A18" s="17" t="s">
        <v>212</v>
      </c>
      <c r="B18" s="17">
        <v>0</v>
      </c>
      <c r="C18" s="17">
        <v>0</v>
      </c>
      <c r="D18" s="17">
        <v>0</v>
      </c>
      <c r="E18" s="17">
        <v>0</v>
      </c>
      <c r="F18" s="17">
        <v>0</v>
      </c>
      <c r="G18" s="17">
        <v>0</v>
      </c>
      <c r="H18" s="17">
        <v>0</v>
      </c>
      <c r="I18" s="17">
        <v>0</v>
      </c>
      <c r="J18" s="17">
        <v>0</v>
      </c>
      <c r="K18" s="17">
        <v>0</v>
      </c>
      <c r="L18" s="17">
        <v>0</v>
      </c>
      <c r="M18" s="17">
        <v>0</v>
      </c>
      <c r="N18" s="17">
        <v>0</v>
      </c>
      <c r="O18" s="17">
        <v>0</v>
      </c>
      <c r="P18" s="17">
        <v>0</v>
      </c>
      <c r="Q18" s="17">
        <v>0</v>
      </c>
      <c r="R18" s="17">
        <v>0</v>
      </c>
      <c r="S18" s="17">
        <v>0</v>
      </c>
      <c r="T18" s="17">
        <v>0</v>
      </c>
      <c r="U18" s="17">
        <v>0</v>
      </c>
      <c r="V18" s="17">
        <v>0</v>
      </c>
      <c r="W18" s="17">
        <v>0</v>
      </c>
      <c r="X18" s="17">
        <v>0</v>
      </c>
      <c r="Y18" s="17">
        <v>0</v>
      </c>
      <c r="Z18" s="17">
        <v>0</v>
      </c>
      <c r="AA18" s="17">
        <v>0</v>
      </c>
      <c r="AB18" s="17">
        <v>0</v>
      </c>
      <c r="AC18" s="17">
        <v>0</v>
      </c>
      <c r="AD18" s="17">
        <v>0</v>
      </c>
      <c r="AE18" s="17">
        <v>0</v>
      </c>
      <c r="AF18" s="40"/>
      <c r="AG18" s="40"/>
    </row>
    <row r="19" spans="1:33" ht="16.5" customHeight="1">
      <c r="A19" s="17" t="s">
        <v>213</v>
      </c>
      <c r="B19" s="17">
        <v>0</v>
      </c>
      <c r="C19" s="17">
        <v>0</v>
      </c>
      <c r="D19" s="17">
        <v>0</v>
      </c>
      <c r="E19" s="17">
        <v>0</v>
      </c>
      <c r="F19" s="17">
        <v>0</v>
      </c>
      <c r="G19" s="17">
        <v>0</v>
      </c>
      <c r="H19" s="17">
        <v>0</v>
      </c>
      <c r="I19" s="17">
        <v>0</v>
      </c>
      <c r="J19" s="17">
        <v>0</v>
      </c>
      <c r="K19" s="17">
        <v>0</v>
      </c>
      <c r="L19" s="17">
        <v>0</v>
      </c>
      <c r="M19" s="17">
        <v>0</v>
      </c>
      <c r="N19" s="17">
        <v>0</v>
      </c>
      <c r="O19" s="17">
        <v>0</v>
      </c>
      <c r="P19" s="17">
        <v>0</v>
      </c>
      <c r="Q19" s="17">
        <v>0</v>
      </c>
      <c r="R19" s="17">
        <v>0</v>
      </c>
      <c r="S19" s="17">
        <v>0</v>
      </c>
      <c r="T19" s="17">
        <v>0</v>
      </c>
      <c r="U19" s="17">
        <v>0</v>
      </c>
      <c r="V19" s="17">
        <v>0</v>
      </c>
      <c r="W19" s="17">
        <v>0</v>
      </c>
      <c r="X19" s="17">
        <v>0</v>
      </c>
      <c r="Y19" s="17">
        <v>0</v>
      </c>
      <c r="Z19" s="17">
        <v>0</v>
      </c>
      <c r="AA19" s="17">
        <v>0</v>
      </c>
      <c r="AB19" s="17">
        <v>0</v>
      </c>
      <c r="AC19" s="17">
        <v>0</v>
      </c>
      <c r="AD19" s="17">
        <v>0</v>
      </c>
      <c r="AE19" s="17">
        <v>0</v>
      </c>
      <c r="AF19" s="40"/>
      <c r="AG19" s="40"/>
    </row>
    <row r="20" spans="1:33" ht="16.5" customHeight="1">
      <c r="A20" s="17" t="s">
        <v>214</v>
      </c>
      <c r="B20" s="17">
        <v>0</v>
      </c>
      <c r="C20" s="17">
        <v>0</v>
      </c>
      <c r="D20" s="17">
        <v>0</v>
      </c>
      <c r="E20" s="17">
        <v>0</v>
      </c>
      <c r="F20" s="17">
        <v>0</v>
      </c>
      <c r="G20" s="17">
        <v>0</v>
      </c>
      <c r="H20" s="17">
        <v>0</v>
      </c>
      <c r="I20" s="17">
        <v>0</v>
      </c>
      <c r="J20" s="17">
        <v>0</v>
      </c>
      <c r="K20" s="17">
        <v>0</v>
      </c>
      <c r="L20" s="17">
        <v>0</v>
      </c>
      <c r="M20" s="17">
        <v>0</v>
      </c>
      <c r="N20" s="17">
        <v>0</v>
      </c>
      <c r="O20" s="17">
        <v>0</v>
      </c>
      <c r="P20" s="17">
        <v>0</v>
      </c>
      <c r="Q20" s="17">
        <v>0</v>
      </c>
      <c r="R20" s="17">
        <v>0</v>
      </c>
      <c r="S20" s="17">
        <v>0</v>
      </c>
      <c r="T20" s="17">
        <v>0</v>
      </c>
      <c r="U20" s="17">
        <v>0</v>
      </c>
      <c r="V20" s="17">
        <v>0</v>
      </c>
      <c r="W20" s="17">
        <v>0</v>
      </c>
      <c r="X20" s="17">
        <v>0</v>
      </c>
      <c r="Y20" s="17">
        <v>0</v>
      </c>
      <c r="Z20" s="17">
        <v>0</v>
      </c>
      <c r="AA20" s="17">
        <v>0</v>
      </c>
      <c r="AB20" s="17">
        <v>0</v>
      </c>
      <c r="AC20" s="17">
        <v>0</v>
      </c>
      <c r="AD20" s="17">
        <v>0</v>
      </c>
      <c r="AE20" s="17">
        <v>0</v>
      </c>
    </row>
    <row r="21" spans="1:33" ht="16.5" customHeight="1">
      <c r="A21" s="17" t="s">
        <v>215</v>
      </c>
      <c r="B21" s="17">
        <v>0</v>
      </c>
      <c r="C21" s="17">
        <v>0</v>
      </c>
      <c r="D21" s="17">
        <v>0</v>
      </c>
      <c r="E21" s="17">
        <v>0</v>
      </c>
      <c r="F21" s="17">
        <v>0</v>
      </c>
      <c r="G21" s="17">
        <v>0</v>
      </c>
      <c r="H21" s="17">
        <v>0</v>
      </c>
      <c r="I21" s="17">
        <v>0</v>
      </c>
      <c r="J21" s="17">
        <v>0</v>
      </c>
      <c r="K21" s="17">
        <v>0</v>
      </c>
      <c r="L21" s="17">
        <v>0</v>
      </c>
      <c r="M21" s="17">
        <v>0</v>
      </c>
      <c r="N21" s="17">
        <v>0</v>
      </c>
      <c r="O21" s="17">
        <v>0</v>
      </c>
      <c r="P21" s="17">
        <v>0</v>
      </c>
      <c r="Q21" s="17">
        <v>0</v>
      </c>
      <c r="R21" s="17">
        <v>0</v>
      </c>
      <c r="S21" s="17">
        <v>0</v>
      </c>
      <c r="T21" s="17">
        <v>0</v>
      </c>
      <c r="U21" s="17">
        <v>0</v>
      </c>
      <c r="V21" s="17">
        <v>0</v>
      </c>
      <c r="W21" s="17">
        <v>0</v>
      </c>
      <c r="X21" s="17">
        <v>0</v>
      </c>
      <c r="Y21" s="17">
        <v>0</v>
      </c>
      <c r="Z21" s="17">
        <v>0</v>
      </c>
      <c r="AA21" s="17">
        <v>0</v>
      </c>
      <c r="AB21" s="17">
        <v>0</v>
      </c>
      <c r="AC21" s="17">
        <v>0</v>
      </c>
      <c r="AD21" s="17">
        <v>0</v>
      </c>
      <c r="AE21" s="17">
        <v>0</v>
      </c>
    </row>
    <row r="22" spans="1:33" ht="16.5" customHeight="1">
      <c r="A22" s="41" t="s">
        <v>219</v>
      </c>
      <c r="B22" s="17">
        <v>0</v>
      </c>
      <c r="C22" s="17">
        <v>0</v>
      </c>
      <c r="D22" s="17">
        <v>0</v>
      </c>
      <c r="E22" s="17">
        <v>0</v>
      </c>
      <c r="F22" s="17">
        <v>0</v>
      </c>
      <c r="G22" s="17">
        <v>0</v>
      </c>
      <c r="H22" s="17">
        <v>0</v>
      </c>
      <c r="I22" s="17">
        <v>0</v>
      </c>
      <c r="J22" s="17">
        <v>0</v>
      </c>
      <c r="K22" s="17">
        <v>0</v>
      </c>
      <c r="L22" s="17">
        <v>0</v>
      </c>
      <c r="M22" s="17">
        <v>0</v>
      </c>
      <c r="N22" s="17">
        <v>0</v>
      </c>
      <c r="O22" s="17">
        <v>0</v>
      </c>
      <c r="P22" s="17">
        <v>0</v>
      </c>
      <c r="Q22" s="17">
        <v>0</v>
      </c>
      <c r="R22" s="17">
        <v>0</v>
      </c>
      <c r="S22" s="17">
        <v>0</v>
      </c>
      <c r="T22" s="17">
        <v>0</v>
      </c>
      <c r="U22" s="17">
        <v>0</v>
      </c>
      <c r="V22" s="17">
        <v>0</v>
      </c>
      <c r="W22" s="17">
        <v>0</v>
      </c>
      <c r="X22" s="17">
        <v>0</v>
      </c>
      <c r="Y22" s="17">
        <v>0</v>
      </c>
      <c r="Z22" s="17">
        <v>0</v>
      </c>
      <c r="AA22" s="17">
        <v>0</v>
      </c>
      <c r="AB22" s="17">
        <v>0</v>
      </c>
      <c r="AC22" s="17">
        <v>0</v>
      </c>
      <c r="AD22" s="17">
        <v>0</v>
      </c>
      <c r="AE22" s="17">
        <v>0</v>
      </c>
    </row>
    <row r="23" spans="1:33" ht="16.5" customHeight="1"/>
    <row r="24" spans="1:33" ht="16.5" customHeight="1"/>
    <row r="25" spans="1:33" ht="16.5" customHeight="1"/>
    <row r="26" spans="1:33" ht="16.5" customHeight="1"/>
    <row r="27" spans="1:33" ht="16.5" customHeight="1"/>
    <row r="28" spans="1:33" ht="16.5" customHeight="1"/>
    <row r="29" spans="1:33" ht="16.5" customHeight="1"/>
    <row r="30" spans="1:33" ht="16.5" customHeight="1"/>
    <row r="31" spans="1:33" ht="16.5" customHeight="1"/>
    <row r="32" spans="1:33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phoneticPr fontId="12" type="noConversion"/>
  <pageMargins left="0.7" right="0.7" top="0.75" bottom="0.75" header="0" footer="0"/>
  <pageSetup orientation="landscape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1F497D"/>
  </sheetPr>
  <dimension ref="A1:AG1000"/>
  <sheetViews>
    <sheetView workbookViewId="0"/>
  </sheetViews>
  <sheetFormatPr defaultColWidth="14.453125" defaultRowHeight="15" customHeight="1"/>
  <cols>
    <col min="1" max="1" width="26.453125" customWidth="1"/>
    <col min="2" max="2" width="11.7265625" customWidth="1"/>
    <col min="3" max="33" width="9.26953125" customWidth="1"/>
  </cols>
  <sheetData>
    <row r="1" spans="1:33" ht="16.5" customHeight="1">
      <c r="A1" s="17" t="s">
        <v>178</v>
      </c>
      <c r="B1" s="17">
        <v>2021</v>
      </c>
      <c r="C1" s="17">
        <v>2022</v>
      </c>
      <c r="D1" s="17">
        <v>2023</v>
      </c>
      <c r="E1" s="17">
        <v>2024</v>
      </c>
      <c r="F1" s="17">
        <v>2025</v>
      </c>
      <c r="G1" s="17">
        <v>2026</v>
      </c>
      <c r="H1" s="17">
        <v>2027</v>
      </c>
      <c r="I1" s="17">
        <v>2028</v>
      </c>
      <c r="J1" s="17">
        <v>2029</v>
      </c>
      <c r="K1" s="17">
        <v>2030</v>
      </c>
      <c r="L1" s="17">
        <v>2031</v>
      </c>
      <c r="M1" s="17">
        <v>2032</v>
      </c>
      <c r="N1" s="17">
        <v>2033</v>
      </c>
      <c r="O1" s="17">
        <v>2034</v>
      </c>
      <c r="P1" s="17">
        <v>2035</v>
      </c>
      <c r="Q1" s="17">
        <v>2036</v>
      </c>
      <c r="R1" s="17">
        <v>2037</v>
      </c>
      <c r="S1" s="17">
        <v>2038</v>
      </c>
      <c r="T1" s="17">
        <v>2039</v>
      </c>
      <c r="U1" s="17">
        <v>2040</v>
      </c>
      <c r="V1" s="17">
        <v>2041</v>
      </c>
      <c r="W1" s="17">
        <v>2042</v>
      </c>
      <c r="X1" s="17">
        <v>2043</v>
      </c>
      <c r="Y1" s="17">
        <v>2044</v>
      </c>
      <c r="Z1" s="17">
        <v>2045</v>
      </c>
      <c r="AA1" s="17">
        <v>2046</v>
      </c>
      <c r="AB1" s="17">
        <v>2047</v>
      </c>
      <c r="AC1" s="17">
        <v>2048</v>
      </c>
      <c r="AD1" s="17">
        <v>2049</v>
      </c>
      <c r="AE1" s="17">
        <v>2050</v>
      </c>
    </row>
    <row r="2" spans="1:33" ht="16.5" customHeight="1">
      <c r="A2" s="17" t="s">
        <v>199</v>
      </c>
      <c r="B2" s="17">
        <v>0</v>
      </c>
      <c r="C2" s="17">
        <v>0</v>
      </c>
      <c r="D2" s="17">
        <v>0</v>
      </c>
      <c r="E2" s="17">
        <v>0</v>
      </c>
      <c r="F2" s="17">
        <v>0</v>
      </c>
      <c r="G2" s="17">
        <v>0</v>
      </c>
      <c r="H2" s="17">
        <v>0</v>
      </c>
      <c r="I2" s="17">
        <v>0</v>
      </c>
      <c r="J2" s="17">
        <v>0</v>
      </c>
      <c r="K2" s="17">
        <v>0</v>
      </c>
      <c r="L2" s="17">
        <v>0</v>
      </c>
      <c r="M2" s="17">
        <v>0</v>
      </c>
      <c r="N2" s="17">
        <v>0</v>
      </c>
      <c r="O2" s="17">
        <v>0</v>
      </c>
      <c r="P2" s="17">
        <v>0</v>
      </c>
      <c r="Q2" s="17">
        <v>0</v>
      </c>
      <c r="R2" s="17">
        <v>0</v>
      </c>
      <c r="S2" s="17">
        <v>0</v>
      </c>
      <c r="T2" s="17">
        <v>0</v>
      </c>
      <c r="U2" s="17">
        <v>0</v>
      </c>
      <c r="V2" s="17">
        <v>0</v>
      </c>
      <c r="W2" s="17">
        <v>0</v>
      </c>
      <c r="X2" s="17">
        <v>0</v>
      </c>
      <c r="Y2" s="17">
        <v>0</v>
      </c>
      <c r="Z2" s="17">
        <v>0</v>
      </c>
      <c r="AA2" s="17">
        <v>0</v>
      </c>
      <c r="AB2" s="17">
        <v>0</v>
      </c>
      <c r="AC2" s="17">
        <v>0</v>
      </c>
      <c r="AD2" s="17">
        <v>0</v>
      </c>
      <c r="AE2" s="17">
        <v>0</v>
      </c>
    </row>
    <row r="3" spans="1:33" ht="16.5" customHeight="1">
      <c r="A3" s="17" t="s">
        <v>200</v>
      </c>
      <c r="B3" s="17">
        <v>0</v>
      </c>
      <c r="C3" s="17">
        <v>0</v>
      </c>
      <c r="D3" s="17">
        <v>0</v>
      </c>
      <c r="E3" s="17">
        <v>0</v>
      </c>
      <c r="F3" s="17">
        <v>0</v>
      </c>
      <c r="G3" s="17">
        <v>0</v>
      </c>
      <c r="H3" s="17">
        <v>0</v>
      </c>
      <c r="I3" s="17">
        <v>0</v>
      </c>
      <c r="J3" s="17">
        <v>0</v>
      </c>
      <c r="K3" s="17">
        <v>0</v>
      </c>
      <c r="L3" s="17">
        <v>0</v>
      </c>
      <c r="M3" s="17">
        <v>0</v>
      </c>
      <c r="N3" s="17">
        <v>0</v>
      </c>
      <c r="O3" s="17">
        <v>0</v>
      </c>
      <c r="P3" s="17">
        <v>0</v>
      </c>
      <c r="Q3" s="17">
        <v>0</v>
      </c>
      <c r="R3" s="17">
        <v>0</v>
      </c>
      <c r="S3" s="17">
        <v>0</v>
      </c>
      <c r="T3" s="17">
        <v>0</v>
      </c>
      <c r="U3" s="17">
        <v>0</v>
      </c>
      <c r="V3" s="17">
        <v>0</v>
      </c>
      <c r="W3" s="17">
        <v>0</v>
      </c>
      <c r="X3" s="17">
        <v>0</v>
      </c>
      <c r="Y3" s="17">
        <v>0</v>
      </c>
      <c r="Z3" s="17">
        <v>0</v>
      </c>
      <c r="AA3" s="17">
        <v>0</v>
      </c>
      <c r="AB3" s="17">
        <v>0</v>
      </c>
      <c r="AC3" s="17">
        <v>0</v>
      </c>
      <c r="AD3" s="17">
        <v>0</v>
      </c>
      <c r="AE3" s="17">
        <v>0</v>
      </c>
      <c r="AF3" s="40"/>
      <c r="AG3" s="40"/>
    </row>
    <row r="4" spans="1:33" ht="16.5" customHeight="1">
      <c r="A4" s="17" t="s">
        <v>201</v>
      </c>
      <c r="B4" s="17">
        <v>0</v>
      </c>
      <c r="C4" s="17">
        <v>0</v>
      </c>
      <c r="D4" s="17">
        <v>0</v>
      </c>
      <c r="E4" s="17">
        <v>0</v>
      </c>
      <c r="F4" s="17">
        <v>0</v>
      </c>
      <c r="G4" s="17">
        <v>0</v>
      </c>
      <c r="H4" s="17">
        <v>0</v>
      </c>
      <c r="I4" s="17">
        <v>0</v>
      </c>
      <c r="J4" s="17">
        <v>0</v>
      </c>
      <c r="K4" s="17">
        <v>0</v>
      </c>
      <c r="L4" s="17">
        <v>0</v>
      </c>
      <c r="M4" s="17">
        <v>0</v>
      </c>
      <c r="N4" s="17">
        <v>0</v>
      </c>
      <c r="O4" s="17">
        <v>0</v>
      </c>
      <c r="P4" s="17">
        <v>0</v>
      </c>
      <c r="Q4" s="17">
        <v>0</v>
      </c>
      <c r="R4" s="17">
        <v>0</v>
      </c>
      <c r="S4" s="17">
        <v>0</v>
      </c>
      <c r="T4" s="17">
        <v>0</v>
      </c>
      <c r="U4" s="17">
        <v>0</v>
      </c>
      <c r="V4" s="17">
        <v>0</v>
      </c>
      <c r="W4" s="17">
        <v>0</v>
      </c>
      <c r="X4" s="17">
        <v>0</v>
      </c>
      <c r="Y4" s="17">
        <v>0</v>
      </c>
      <c r="Z4" s="17">
        <v>0</v>
      </c>
      <c r="AA4" s="17">
        <v>0</v>
      </c>
      <c r="AB4" s="17">
        <v>0</v>
      </c>
      <c r="AC4" s="17">
        <v>0</v>
      </c>
      <c r="AD4" s="17">
        <v>0</v>
      </c>
      <c r="AE4" s="17">
        <v>0</v>
      </c>
      <c r="AF4" s="40"/>
      <c r="AG4" s="40"/>
    </row>
    <row r="5" spans="1:33" ht="16.5" customHeight="1">
      <c r="A5" s="17" t="s">
        <v>124</v>
      </c>
      <c r="B5" s="17">
        <v>0</v>
      </c>
      <c r="C5" s="17">
        <v>0</v>
      </c>
      <c r="D5" s="17">
        <v>0</v>
      </c>
      <c r="E5" s="17">
        <v>0</v>
      </c>
      <c r="F5" s="17">
        <v>0</v>
      </c>
      <c r="G5" s="17">
        <v>0</v>
      </c>
      <c r="H5" s="17">
        <v>0</v>
      </c>
      <c r="I5" s="17">
        <v>0</v>
      </c>
      <c r="J5" s="17">
        <v>0</v>
      </c>
      <c r="K5" s="17">
        <v>0</v>
      </c>
      <c r="L5" s="17">
        <v>0</v>
      </c>
      <c r="M5" s="17">
        <v>0</v>
      </c>
      <c r="N5" s="17">
        <v>0</v>
      </c>
      <c r="O5" s="17">
        <v>0</v>
      </c>
      <c r="P5" s="17">
        <v>0</v>
      </c>
      <c r="Q5" s="17">
        <v>0</v>
      </c>
      <c r="R5" s="17">
        <v>0</v>
      </c>
      <c r="S5" s="17">
        <v>0</v>
      </c>
      <c r="T5" s="17">
        <v>0</v>
      </c>
      <c r="U5" s="17">
        <v>0</v>
      </c>
      <c r="V5" s="17">
        <v>0</v>
      </c>
      <c r="W5" s="17">
        <v>0</v>
      </c>
      <c r="X5" s="17">
        <v>0</v>
      </c>
      <c r="Y5" s="17">
        <v>0</v>
      </c>
      <c r="Z5" s="17">
        <v>0</v>
      </c>
      <c r="AA5" s="17">
        <v>0</v>
      </c>
      <c r="AB5" s="17">
        <v>0</v>
      </c>
      <c r="AC5" s="17">
        <v>0</v>
      </c>
      <c r="AD5" s="17">
        <v>0</v>
      </c>
      <c r="AE5" s="17">
        <v>0</v>
      </c>
    </row>
    <row r="6" spans="1:33" ht="16.5" customHeight="1">
      <c r="A6" s="17" t="s">
        <v>123</v>
      </c>
      <c r="B6" s="17">
        <v>0</v>
      </c>
      <c r="C6" s="17">
        <v>0</v>
      </c>
      <c r="D6" s="17">
        <v>0</v>
      </c>
      <c r="E6" s="17">
        <v>0</v>
      </c>
      <c r="F6" s="17">
        <v>0</v>
      </c>
      <c r="G6" s="17">
        <v>0</v>
      </c>
      <c r="H6" s="17">
        <v>0</v>
      </c>
      <c r="I6" s="17">
        <v>0</v>
      </c>
      <c r="J6" s="17">
        <v>0</v>
      </c>
      <c r="K6" s="17">
        <v>0</v>
      </c>
      <c r="L6" s="17">
        <v>0</v>
      </c>
      <c r="M6" s="17">
        <v>0</v>
      </c>
      <c r="N6" s="17">
        <v>0</v>
      </c>
      <c r="O6" s="17">
        <v>0</v>
      </c>
      <c r="P6" s="17">
        <v>0</v>
      </c>
      <c r="Q6" s="17">
        <v>0</v>
      </c>
      <c r="R6" s="17">
        <v>0</v>
      </c>
      <c r="S6" s="17">
        <v>0</v>
      </c>
      <c r="T6" s="17">
        <v>0</v>
      </c>
      <c r="U6" s="17">
        <v>0</v>
      </c>
      <c r="V6" s="17">
        <v>0</v>
      </c>
      <c r="W6" s="17">
        <v>0</v>
      </c>
      <c r="X6" s="17">
        <v>0</v>
      </c>
      <c r="Y6" s="17">
        <v>0</v>
      </c>
      <c r="Z6" s="17">
        <v>0</v>
      </c>
      <c r="AA6" s="17">
        <v>0</v>
      </c>
      <c r="AB6" s="17">
        <v>0</v>
      </c>
      <c r="AC6" s="17">
        <v>0</v>
      </c>
      <c r="AD6" s="17">
        <v>0</v>
      </c>
      <c r="AE6" s="17">
        <v>0</v>
      </c>
    </row>
    <row r="7" spans="1:33" ht="16.5" customHeight="1">
      <c r="A7" s="17" t="s">
        <v>202</v>
      </c>
      <c r="B7" s="17">
        <v>0</v>
      </c>
      <c r="C7" s="17">
        <v>0</v>
      </c>
      <c r="D7" s="17">
        <v>0</v>
      </c>
      <c r="E7" s="17">
        <v>0</v>
      </c>
      <c r="F7" s="17">
        <v>0</v>
      </c>
      <c r="G7" s="17">
        <v>0</v>
      </c>
      <c r="H7" s="17">
        <v>0</v>
      </c>
      <c r="I7" s="17">
        <v>0</v>
      </c>
      <c r="J7" s="17">
        <v>0</v>
      </c>
      <c r="K7" s="17">
        <v>0</v>
      </c>
      <c r="L7" s="17">
        <v>0</v>
      </c>
      <c r="M7" s="17">
        <v>0</v>
      </c>
      <c r="N7" s="17">
        <v>0</v>
      </c>
      <c r="O7" s="17">
        <v>0</v>
      </c>
      <c r="P7" s="17">
        <v>0</v>
      </c>
      <c r="Q7" s="17">
        <v>0</v>
      </c>
      <c r="R7" s="17">
        <v>0</v>
      </c>
      <c r="S7" s="17">
        <v>0</v>
      </c>
      <c r="T7" s="17">
        <v>0</v>
      </c>
      <c r="U7" s="17">
        <v>0</v>
      </c>
      <c r="V7" s="17">
        <v>0</v>
      </c>
      <c r="W7" s="17">
        <v>0</v>
      </c>
      <c r="X7" s="17">
        <v>0</v>
      </c>
      <c r="Y7" s="17">
        <v>0</v>
      </c>
      <c r="Z7" s="17">
        <v>0</v>
      </c>
      <c r="AA7" s="17">
        <v>0</v>
      </c>
      <c r="AB7" s="17">
        <v>0</v>
      </c>
      <c r="AC7" s="17">
        <v>0</v>
      </c>
      <c r="AD7" s="17">
        <v>0</v>
      </c>
      <c r="AE7" s="17">
        <v>0</v>
      </c>
    </row>
    <row r="8" spans="1:33" ht="16.5" customHeight="1">
      <c r="A8" s="17" t="s">
        <v>203</v>
      </c>
      <c r="B8" s="17">
        <v>0</v>
      </c>
      <c r="C8" s="17">
        <v>0</v>
      </c>
      <c r="D8" s="17">
        <v>0</v>
      </c>
      <c r="E8" s="17">
        <v>0</v>
      </c>
      <c r="F8" s="17">
        <v>0</v>
      </c>
      <c r="G8" s="17">
        <v>0</v>
      </c>
      <c r="H8" s="17">
        <v>0</v>
      </c>
      <c r="I8" s="17">
        <v>0</v>
      </c>
      <c r="J8" s="17">
        <v>0</v>
      </c>
      <c r="K8" s="17">
        <v>0</v>
      </c>
      <c r="L8" s="17">
        <v>0</v>
      </c>
      <c r="M8" s="17">
        <v>0</v>
      </c>
      <c r="N8" s="17">
        <v>0</v>
      </c>
      <c r="O8" s="17">
        <v>0</v>
      </c>
      <c r="P8" s="17">
        <v>0</v>
      </c>
      <c r="Q8" s="17">
        <v>0</v>
      </c>
      <c r="R8" s="17">
        <v>0</v>
      </c>
      <c r="S8" s="17">
        <v>0</v>
      </c>
      <c r="T8" s="17">
        <v>0</v>
      </c>
      <c r="U8" s="17">
        <v>0</v>
      </c>
      <c r="V8" s="17">
        <v>0</v>
      </c>
      <c r="W8" s="17">
        <v>0</v>
      </c>
      <c r="X8" s="17">
        <v>0</v>
      </c>
      <c r="Y8" s="17">
        <v>0</v>
      </c>
      <c r="Z8" s="17">
        <v>0</v>
      </c>
      <c r="AA8" s="17">
        <v>0</v>
      </c>
      <c r="AB8" s="17">
        <v>0</v>
      </c>
      <c r="AC8" s="17">
        <v>0</v>
      </c>
      <c r="AD8" s="17">
        <v>0</v>
      </c>
      <c r="AE8" s="17">
        <v>0</v>
      </c>
    </row>
    <row r="9" spans="1:33" ht="16.5" customHeight="1">
      <c r="A9" s="17" t="s">
        <v>204</v>
      </c>
      <c r="B9" s="17">
        <v>0</v>
      </c>
      <c r="C9" s="17">
        <v>0</v>
      </c>
      <c r="D9" s="17">
        <v>0</v>
      </c>
      <c r="E9" s="17">
        <v>0</v>
      </c>
      <c r="F9" s="17">
        <v>0</v>
      </c>
      <c r="G9" s="17">
        <v>0</v>
      </c>
      <c r="H9" s="17">
        <v>0</v>
      </c>
      <c r="I9" s="17">
        <v>0</v>
      </c>
      <c r="J9" s="17">
        <v>0</v>
      </c>
      <c r="K9" s="17">
        <v>0</v>
      </c>
      <c r="L9" s="17">
        <v>0</v>
      </c>
      <c r="M9" s="17">
        <v>0</v>
      </c>
      <c r="N9" s="17">
        <v>0</v>
      </c>
      <c r="O9" s="17">
        <v>0</v>
      </c>
      <c r="P9" s="17">
        <v>0</v>
      </c>
      <c r="Q9" s="17">
        <v>0</v>
      </c>
      <c r="R9" s="17">
        <v>0</v>
      </c>
      <c r="S9" s="17">
        <v>0</v>
      </c>
      <c r="T9" s="17">
        <v>0</v>
      </c>
      <c r="U9" s="17">
        <v>0</v>
      </c>
      <c r="V9" s="17">
        <v>0</v>
      </c>
      <c r="W9" s="17">
        <v>0</v>
      </c>
      <c r="X9" s="17">
        <v>0</v>
      </c>
      <c r="Y9" s="17">
        <v>0</v>
      </c>
      <c r="Z9" s="17">
        <v>0</v>
      </c>
      <c r="AA9" s="17">
        <v>0</v>
      </c>
      <c r="AB9" s="17">
        <v>0</v>
      </c>
      <c r="AC9" s="17">
        <v>0</v>
      </c>
      <c r="AD9" s="17">
        <v>0</v>
      </c>
      <c r="AE9" s="17">
        <v>0</v>
      </c>
    </row>
    <row r="10" spans="1:33" ht="16.5" customHeight="1">
      <c r="A10" s="17" t="s">
        <v>205</v>
      </c>
      <c r="B10" s="17">
        <v>0</v>
      </c>
      <c r="C10" s="17">
        <v>0</v>
      </c>
      <c r="D10" s="17">
        <v>0</v>
      </c>
      <c r="E10" s="17">
        <v>0</v>
      </c>
      <c r="F10" s="17">
        <v>0</v>
      </c>
      <c r="G10" s="17">
        <v>0</v>
      </c>
      <c r="H10" s="17">
        <v>0</v>
      </c>
      <c r="I10" s="17">
        <v>0</v>
      </c>
      <c r="J10" s="17">
        <v>0</v>
      </c>
      <c r="K10" s="17">
        <v>0</v>
      </c>
      <c r="L10" s="17">
        <v>0</v>
      </c>
      <c r="M10" s="17">
        <v>0</v>
      </c>
      <c r="N10" s="17">
        <v>0</v>
      </c>
      <c r="O10" s="17">
        <v>0</v>
      </c>
      <c r="P10" s="17">
        <v>0</v>
      </c>
      <c r="Q10" s="17">
        <v>0</v>
      </c>
      <c r="R10" s="17">
        <v>0</v>
      </c>
      <c r="S10" s="17">
        <v>0</v>
      </c>
      <c r="T10" s="17">
        <v>0</v>
      </c>
      <c r="U10" s="17">
        <v>0</v>
      </c>
      <c r="V10" s="17">
        <v>0</v>
      </c>
      <c r="W10" s="17">
        <v>0</v>
      </c>
      <c r="X10" s="17">
        <v>0</v>
      </c>
      <c r="Y10" s="17">
        <v>0</v>
      </c>
      <c r="Z10" s="17">
        <v>0</v>
      </c>
      <c r="AA10" s="17">
        <v>0</v>
      </c>
      <c r="AB10" s="17">
        <v>0</v>
      </c>
      <c r="AC10" s="17">
        <v>0</v>
      </c>
      <c r="AD10" s="17">
        <v>0</v>
      </c>
      <c r="AE10" s="17">
        <v>0</v>
      </c>
      <c r="AF10" s="40"/>
      <c r="AG10" s="40"/>
    </row>
    <row r="11" spans="1:33" ht="16.5" customHeight="1">
      <c r="A11" s="17" t="s">
        <v>206</v>
      </c>
      <c r="B11" s="17">
        <v>0</v>
      </c>
      <c r="C11" s="17">
        <v>0</v>
      </c>
      <c r="D11" s="17">
        <v>0</v>
      </c>
      <c r="E11" s="17">
        <v>0</v>
      </c>
      <c r="F11" s="17">
        <v>0</v>
      </c>
      <c r="G11" s="17">
        <v>0</v>
      </c>
      <c r="H11" s="17">
        <v>0</v>
      </c>
      <c r="I11" s="17">
        <v>0</v>
      </c>
      <c r="J11" s="17">
        <v>0</v>
      </c>
      <c r="K11" s="17">
        <v>0</v>
      </c>
      <c r="L11" s="17">
        <v>0</v>
      </c>
      <c r="M11" s="17">
        <v>0</v>
      </c>
      <c r="N11" s="17">
        <v>0</v>
      </c>
      <c r="O11" s="17">
        <v>0</v>
      </c>
      <c r="P11" s="17">
        <v>0</v>
      </c>
      <c r="Q11" s="17">
        <v>0</v>
      </c>
      <c r="R11" s="17">
        <v>0</v>
      </c>
      <c r="S11" s="17">
        <v>0</v>
      </c>
      <c r="T11" s="17">
        <v>0</v>
      </c>
      <c r="U11" s="17">
        <v>0</v>
      </c>
      <c r="V11" s="17">
        <v>0</v>
      </c>
      <c r="W11" s="17">
        <v>0</v>
      </c>
      <c r="X11" s="17">
        <v>0</v>
      </c>
      <c r="Y11" s="17">
        <v>0</v>
      </c>
      <c r="Z11" s="17">
        <v>0</v>
      </c>
      <c r="AA11" s="17">
        <v>0</v>
      </c>
      <c r="AB11" s="17">
        <v>0</v>
      </c>
      <c r="AC11" s="17">
        <v>0</v>
      </c>
      <c r="AD11" s="17">
        <v>0</v>
      </c>
      <c r="AE11" s="17">
        <v>0</v>
      </c>
      <c r="AF11" s="40"/>
      <c r="AG11" s="40"/>
    </row>
    <row r="12" spans="1:33" ht="16.5" customHeight="1">
      <c r="A12" s="17" t="s">
        <v>207</v>
      </c>
      <c r="B12" s="17">
        <v>0</v>
      </c>
      <c r="C12" s="17">
        <v>0</v>
      </c>
      <c r="D12" s="17">
        <v>0</v>
      </c>
      <c r="E12" s="17">
        <v>0</v>
      </c>
      <c r="F12" s="17">
        <v>0</v>
      </c>
      <c r="G12" s="17">
        <v>0</v>
      </c>
      <c r="H12" s="17">
        <v>0</v>
      </c>
      <c r="I12" s="17">
        <v>0</v>
      </c>
      <c r="J12" s="17">
        <v>0</v>
      </c>
      <c r="K12" s="17">
        <v>0</v>
      </c>
      <c r="L12" s="17">
        <v>0</v>
      </c>
      <c r="M12" s="17">
        <v>0</v>
      </c>
      <c r="N12" s="17">
        <v>0</v>
      </c>
      <c r="O12" s="17">
        <v>0</v>
      </c>
      <c r="P12" s="17">
        <v>0</v>
      </c>
      <c r="Q12" s="17">
        <v>0</v>
      </c>
      <c r="R12" s="17">
        <v>0</v>
      </c>
      <c r="S12" s="17">
        <v>0</v>
      </c>
      <c r="T12" s="17">
        <v>0</v>
      </c>
      <c r="U12" s="17">
        <v>0</v>
      </c>
      <c r="V12" s="17">
        <v>0</v>
      </c>
      <c r="W12" s="17">
        <v>0</v>
      </c>
      <c r="X12" s="17">
        <v>0</v>
      </c>
      <c r="Y12" s="17">
        <v>0</v>
      </c>
      <c r="Z12" s="17">
        <v>0</v>
      </c>
      <c r="AA12" s="17">
        <v>0</v>
      </c>
      <c r="AB12" s="17">
        <v>0</v>
      </c>
      <c r="AC12" s="17">
        <v>0</v>
      </c>
      <c r="AD12" s="17">
        <v>0</v>
      </c>
      <c r="AE12" s="17">
        <v>0</v>
      </c>
    </row>
    <row r="13" spans="1:33" ht="16.5" customHeight="1">
      <c r="A13" s="17" t="s">
        <v>208</v>
      </c>
      <c r="B13" s="17">
        <v>0</v>
      </c>
      <c r="C13" s="17">
        <v>0</v>
      </c>
      <c r="D13" s="17">
        <v>0</v>
      </c>
      <c r="E13" s="17">
        <v>0</v>
      </c>
      <c r="F13" s="17">
        <v>0</v>
      </c>
      <c r="G13" s="17">
        <v>0</v>
      </c>
      <c r="H13" s="17">
        <v>0</v>
      </c>
      <c r="I13" s="17">
        <v>0</v>
      </c>
      <c r="J13" s="17">
        <v>0</v>
      </c>
      <c r="K13" s="17">
        <v>0</v>
      </c>
      <c r="L13" s="17">
        <v>0</v>
      </c>
      <c r="M13" s="17">
        <v>0</v>
      </c>
      <c r="N13" s="17">
        <v>0</v>
      </c>
      <c r="O13" s="17">
        <v>0</v>
      </c>
      <c r="P13" s="17">
        <v>0</v>
      </c>
      <c r="Q13" s="17">
        <v>0</v>
      </c>
      <c r="R13" s="17">
        <v>0</v>
      </c>
      <c r="S13" s="17">
        <v>0</v>
      </c>
      <c r="T13" s="17">
        <v>0</v>
      </c>
      <c r="U13" s="17">
        <v>0</v>
      </c>
      <c r="V13" s="17">
        <v>0</v>
      </c>
      <c r="W13" s="17">
        <v>0</v>
      </c>
      <c r="X13" s="17">
        <v>0</v>
      </c>
      <c r="Y13" s="17">
        <v>0</v>
      </c>
      <c r="Z13" s="17">
        <v>0</v>
      </c>
      <c r="AA13" s="17">
        <v>0</v>
      </c>
      <c r="AB13" s="17">
        <v>0</v>
      </c>
      <c r="AC13" s="17">
        <v>0</v>
      </c>
      <c r="AD13" s="17">
        <v>0</v>
      </c>
      <c r="AE13" s="17">
        <v>0</v>
      </c>
    </row>
    <row r="14" spans="1:33" ht="16.5" customHeight="1">
      <c r="A14" s="17" t="s">
        <v>209</v>
      </c>
      <c r="B14" s="17">
        <v>0</v>
      </c>
      <c r="C14" s="17">
        <v>0</v>
      </c>
      <c r="D14" s="17">
        <v>0</v>
      </c>
      <c r="E14" s="17">
        <v>0</v>
      </c>
      <c r="F14" s="17">
        <v>0</v>
      </c>
      <c r="G14" s="17">
        <v>0</v>
      </c>
      <c r="H14" s="17">
        <v>0</v>
      </c>
      <c r="I14" s="17">
        <v>0</v>
      </c>
      <c r="J14" s="17">
        <v>0</v>
      </c>
      <c r="K14" s="17">
        <v>0</v>
      </c>
      <c r="L14" s="17">
        <v>0</v>
      </c>
      <c r="M14" s="17">
        <v>0</v>
      </c>
      <c r="N14" s="17">
        <v>0</v>
      </c>
      <c r="O14" s="17">
        <v>0</v>
      </c>
      <c r="P14" s="17">
        <v>0</v>
      </c>
      <c r="Q14" s="17">
        <v>0</v>
      </c>
      <c r="R14" s="17">
        <v>0</v>
      </c>
      <c r="S14" s="17">
        <v>0</v>
      </c>
      <c r="T14" s="17">
        <v>0</v>
      </c>
      <c r="U14" s="17">
        <v>0</v>
      </c>
      <c r="V14" s="17">
        <v>0</v>
      </c>
      <c r="W14" s="17">
        <v>0</v>
      </c>
      <c r="X14" s="17">
        <v>0</v>
      </c>
      <c r="Y14" s="17">
        <v>0</v>
      </c>
      <c r="Z14" s="17">
        <v>0</v>
      </c>
      <c r="AA14" s="17">
        <v>0</v>
      </c>
      <c r="AB14" s="17">
        <v>0</v>
      </c>
      <c r="AC14" s="17">
        <v>0</v>
      </c>
      <c r="AD14" s="17">
        <v>0</v>
      </c>
      <c r="AE14" s="17">
        <v>0</v>
      </c>
      <c r="AF14" s="40"/>
      <c r="AG14" s="40"/>
    </row>
    <row r="15" spans="1:33" ht="16.5" customHeight="1">
      <c r="A15" s="17" t="s">
        <v>210</v>
      </c>
      <c r="B15" s="17">
        <v>0</v>
      </c>
      <c r="C15" s="17">
        <v>0</v>
      </c>
      <c r="D15" s="17">
        <v>0</v>
      </c>
      <c r="E15" s="17">
        <v>0</v>
      </c>
      <c r="F15" s="17">
        <v>0</v>
      </c>
      <c r="G15" s="17">
        <v>0</v>
      </c>
      <c r="H15" s="17">
        <v>0</v>
      </c>
      <c r="I15" s="17">
        <v>0</v>
      </c>
      <c r="J15" s="17">
        <v>0</v>
      </c>
      <c r="K15" s="17">
        <v>0</v>
      </c>
      <c r="L15" s="17">
        <v>0</v>
      </c>
      <c r="M15" s="17">
        <v>0</v>
      </c>
      <c r="N15" s="17">
        <v>0</v>
      </c>
      <c r="O15" s="17">
        <v>0</v>
      </c>
      <c r="P15" s="17">
        <v>0</v>
      </c>
      <c r="Q15" s="17">
        <v>0</v>
      </c>
      <c r="R15" s="17">
        <v>0</v>
      </c>
      <c r="S15" s="17">
        <v>0</v>
      </c>
      <c r="T15" s="17">
        <v>0</v>
      </c>
      <c r="U15" s="17">
        <v>0</v>
      </c>
      <c r="V15" s="17">
        <v>0</v>
      </c>
      <c r="W15" s="17">
        <v>0</v>
      </c>
      <c r="X15" s="17">
        <v>0</v>
      </c>
      <c r="Y15" s="17">
        <v>0</v>
      </c>
      <c r="Z15" s="17">
        <v>0</v>
      </c>
      <c r="AA15" s="17">
        <v>0</v>
      </c>
      <c r="AB15" s="17">
        <v>0</v>
      </c>
      <c r="AC15" s="17">
        <v>0</v>
      </c>
      <c r="AD15" s="17">
        <v>0</v>
      </c>
      <c r="AE15" s="17">
        <v>0</v>
      </c>
    </row>
    <row r="16" spans="1:33" ht="16.5" customHeight="1">
      <c r="A16" s="17" t="s">
        <v>129</v>
      </c>
      <c r="B16" s="17">
        <v>0</v>
      </c>
      <c r="C16" s="17">
        <v>0</v>
      </c>
      <c r="D16" s="17">
        <v>0</v>
      </c>
      <c r="E16" s="17">
        <v>0</v>
      </c>
      <c r="F16" s="17">
        <v>0</v>
      </c>
      <c r="G16" s="17">
        <v>0</v>
      </c>
      <c r="H16" s="17">
        <v>0</v>
      </c>
      <c r="I16" s="17">
        <v>0</v>
      </c>
      <c r="J16" s="17">
        <v>0</v>
      </c>
      <c r="K16" s="17">
        <v>0</v>
      </c>
      <c r="L16" s="17">
        <v>0</v>
      </c>
      <c r="M16" s="17">
        <v>0</v>
      </c>
      <c r="N16" s="17">
        <v>0</v>
      </c>
      <c r="O16" s="17">
        <v>0</v>
      </c>
      <c r="P16" s="17">
        <v>0</v>
      </c>
      <c r="Q16" s="17">
        <v>0</v>
      </c>
      <c r="R16" s="17">
        <v>0</v>
      </c>
      <c r="S16" s="17">
        <v>0</v>
      </c>
      <c r="T16" s="17">
        <v>0</v>
      </c>
      <c r="U16" s="17">
        <v>0</v>
      </c>
      <c r="V16" s="17">
        <v>0</v>
      </c>
      <c r="W16" s="17">
        <v>0</v>
      </c>
      <c r="X16" s="17">
        <v>0</v>
      </c>
      <c r="Y16" s="17">
        <v>0</v>
      </c>
      <c r="Z16" s="17">
        <v>0</v>
      </c>
      <c r="AA16" s="17">
        <v>0</v>
      </c>
      <c r="AB16" s="17">
        <v>0</v>
      </c>
      <c r="AC16" s="17">
        <v>0</v>
      </c>
      <c r="AD16" s="17">
        <v>0</v>
      </c>
      <c r="AE16" s="17">
        <v>0</v>
      </c>
    </row>
    <row r="17" spans="1:33" ht="16.5" customHeight="1">
      <c r="A17" s="17" t="s">
        <v>211</v>
      </c>
      <c r="B17" s="17">
        <v>0</v>
      </c>
      <c r="C17" s="17">
        <v>0</v>
      </c>
      <c r="D17" s="17">
        <v>0</v>
      </c>
      <c r="E17" s="17">
        <v>0</v>
      </c>
      <c r="F17" s="17">
        <v>0</v>
      </c>
      <c r="G17" s="17">
        <v>0</v>
      </c>
      <c r="H17" s="17">
        <v>0</v>
      </c>
      <c r="I17" s="17">
        <v>0</v>
      </c>
      <c r="J17" s="17">
        <v>0</v>
      </c>
      <c r="K17" s="17">
        <v>0</v>
      </c>
      <c r="L17" s="17">
        <v>0</v>
      </c>
      <c r="M17" s="17">
        <v>0</v>
      </c>
      <c r="N17" s="17">
        <v>0</v>
      </c>
      <c r="O17" s="17">
        <v>0</v>
      </c>
      <c r="P17" s="17">
        <v>0</v>
      </c>
      <c r="Q17" s="17">
        <v>0</v>
      </c>
      <c r="R17" s="17">
        <v>0</v>
      </c>
      <c r="S17" s="17">
        <v>0</v>
      </c>
      <c r="T17" s="17">
        <v>0</v>
      </c>
      <c r="U17" s="17">
        <v>0</v>
      </c>
      <c r="V17" s="17">
        <v>0</v>
      </c>
      <c r="W17" s="17">
        <v>0</v>
      </c>
      <c r="X17" s="17">
        <v>0</v>
      </c>
      <c r="Y17" s="17">
        <v>0</v>
      </c>
      <c r="Z17" s="17">
        <v>0</v>
      </c>
      <c r="AA17" s="17">
        <v>0</v>
      </c>
      <c r="AB17" s="17">
        <v>0</v>
      </c>
      <c r="AC17" s="17">
        <v>0</v>
      </c>
      <c r="AD17" s="17">
        <v>0</v>
      </c>
      <c r="AE17" s="17">
        <v>0</v>
      </c>
      <c r="AF17" s="40"/>
      <c r="AG17" s="40"/>
    </row>
    <row r="18" spans="1:33" ht="16.5" customHeight="1">
      <c r="A18" s="17" t="s">
        <v>212</v>
      </c>
      <c r="B18" s="17">
        <v>0</v>
      </c>
      <c r="C18" s="17">
        <v>0</v>
      </c>
      <c r="D18" s="17">
        <v>0</v>
      </c>
      <c r="E18" s="17">
        <v>0</v>
      </c>
      <c r="F18" s="17">
        <v>0</v>
      </c>
      <c r="G18" s="17">
        <v>0</v>
      </c>
      <c r="H18" s="17">
        <v>0</v>
      </c>
      <c r="I18" s="17">
        <v>0</v>
      </c>
      <c r="J18" s="17">
        <v>0</v>
      </c>
      <c r="K18" s="17">
        <v>0</v>
      </c>
      <c r="L18" s="17">
        <v>0</v>
      </c>
      <c r="M18" s="17">
        <v>0</v>
      </c>
      <c r="N18" s="17">
        <v>0</v>
      </c>
      <c r="O18" s="17">
        <v>0</v>
      </c>
      <c r="P18" s="17">
        <v>0</v>
      </c>
      <c r="Q18" s="17">
        <v>0</v>
      </c>
      <c r="R18" s="17">
        <v>0</v>
      </c>
      <c r="S18" s="17">
        <v>0</v>
      </c>
      <c r="T18" s="17">
        <v>0</v>
      </c>
      <c r="U18" s="17">
        <v>0</v>
      </c>
      <c r="V18" s="17">
        <v>0</v>
      </c>
      <c r="W18" s="17">
        <v>0</v>
      </c>
      <c r="X18" s="17">
        <v>0</v>
      </c>
      <c r="Y18" s="17">
        <v>0</v>
      </c>
      <c r="Z18" s="17">
        <v>0</v>
      </c>
      <c r="AA18" s="17">
        <v>0</v>
      </c>
      <c r="AB18" s="17">
        <v>0</v>
      </c>
      <c r="AC18" s="17">
        <v>0</v>
      </c>
      <c r="AD18" s="17">
        <v>0</v>
      </c>
      <c r="AE18" s="17">
        <v>0</v>
      </c>
      <c r="AF18" s="40"/>
      <c r="AG18" s="40"/>
    </row>
    <row r="19" spans="1:33" ht="16.5" customHeight="1">
      <c r="A19" s="17" t="s">
        <v>213</v>
      </c>
      <c r="B19" s="17">
        <v>0</v>
      </c>
      <c r="C19" s="17">
        <v>0</v>
      </c>
      <c r="D19" s="17">
        <v>0</v>
      </c>
      <c r="E19" s="17">
        <v>0</v>
      </c>
      <c r="F19" s="17">
        <v>0</v>
      </c>
      <c r="G19" s="17">
        <v>0</v>
      </c>
      <c r="H19" s="17">
        <v>0</v>
      </c>
      <c r="I19" s="17">
        <v>0</v>
      </c>
      <c r="J19" s="17">
        <v>0</v>
      </c>
      <c r="K19" s="17">
        <v>0</v>
      </c>
      <c r="L19" s="17">
        <v>0</v>
      </c>
      <c r="M19" s="17">
        <v>0</v>
      </c>
      <c r="N19" s="17">
        <v>0</v>
      </c>
      <c r="O19" s="17">
        <v>0</v>
      </c>
      <c r="P19" s="17">
        <v>0</v>
      </c>
      <c r="Q19" s="17">
        <v>0</v>
      </c>
      <c r="R19" s="17">
        <v>0</v>
      </c>
      <c r="S19" s="17">
        <v>0</v>
      </c>
      <c r="T19" s="17">
        <v>0</v>
      </c>
      <c r="U19" s="17">
        <v>0</v>
      </c>
      <c r="V19" s="17">
        <v>0</v>
      </c>
      <c r="W19" s="17">
        <v>0</v>
      </c>
      <c r="X19" s="17">
        <v>0</v>
      </c>
      <c r="Y19" s="17">
        <v>0</v>
      </c>
      <c r="Z19" s="17">
        <v>0</v>
      </c>
      <c r="AA19" s="17">
        <v>0</v>
      </c>
      <c r="AB19" s="17">
        <v>0</v>
      </c>
      <c r="AC19" s="17">
        <v>0</v>
      </c>
      <c r="AD19" s="17">
        <v>0</v>
      </c>
      <c r="AE19" s="17">
        <v>0</v>
      </c>
      <c r="AF19" s="40"/>
      <c r="AG19" s="40"/>
    </row>
    <row r="20" spans="1:33" ht="16.5" customHeight="1">
      <c r="A20" s="17" t="s">
        <v>214</v>
      </c>
      <c r="B20" s="17">
        <v>0</v>
      </c>
      <c r="C20" s="17">
        <v>0</v>
      </c>
      <c r="D20" s="17">
        <v>0</v>
      </c>
      <c r="E20" s="17">
        <v>0</v>
      </c>
      <c r="F20" s="17">
        <v>0</v>
      </c>
      <c r="G20" s="17">
        <v>0</v>
      </c>
      <c r="H20" s="17">
        <v>0</v>
      </c>
      <c r="I20" s="17">
        <v>0</v>
      </c>
      <c r="J20" s="17">
        <v>0</v>
      </c>
      <c r="K20" s="17">
        <v>0</v>
      </c>
      <c r="L20" s="17">
        <v>0</v>
      </c>
      <c r="M20" s="17">
        <v>0</v>
      </c>
      <c r="N20" s="17">
        <v>0</v>
      </c>
      <c r="O20" s="17">
        <v>0</v>
      </c>
      <c r="P20" s="17">
        <v>0</v>
      </c>
      <c r="Q20" s="17">
        <v>0</v>
      </c>
      <c r="R20" s="17">
        <v>0</v>
      </c>
      <c r="S20" s="17">
        <v>0</v>
      </c>
      <c r="T20" s="17">
        <v>0</v>
      </c>
      <c r="U20" s="17">
        <v>0</v>
      </c>
      <c r="V20" s="17">
        <v>0</v>
      </c>
      <c r="W20" s="17">
        <v>0</v>
      </c>
      <c r="X20" s="17">
        <v>0</v>
      </c>
      <c r="Y20" s="17">
        <v>0</v>
      </c>
      <c r="Z20" s="17">
        <v>0</v>
      </c>
      <c r="AA20" s="17">
        <v>0</v>
      </c>
      <c r="AB20" s="17">
        <v>0</v>
      </c>
      <c r="AC20" s="17">
        <v>0</v>
      </c>
      <c r="AD20" s="17">
        <v>0</v>
      </c>
      <c r="AE20" s="17">
        <v>0</v>
      </c>
    </row>
    <row r="21" spans="1:33" ht="16.5" customHeight="1">
      <c r="A21" s="17" t="s">
        <v>215</v>
      </c>
      <c r="B21" s="17">
        <v>0</v>
      </c>
      <c r="C21" s="17">
        <v>0</v>
      </c>
      <c r="D21" s="17">
        <v>0</v>
      </c>
      <c r="E21" s="17">
        <v>0</v>
      </c>
      <c r="F21" s="17">
        <v>0</v>
      </c>
      <c r="G21" s="17">
        <v>0</v>
      </c>
      <c r="H21" s="17">
        <v>0</v>
      </c>
      <c r="I21" s="17">
        <v>0</v>
      </c>
      <c r="J21" s="17">
        <v>0</v>
      </c>
      <c r="K21" s="17">
        <v>0</v>
      </c>
      <c r="L21" s="17">
        <v>0</v>
      </c>
      <c r="M21" s="17">
        <v>0</v>
      </c>
      <c r="N21" s="17">
        <v>0</v>
      </c>
      <c r="O21" s="17">
        <v>0</v>
      </c>
      <c r="P21" s="17">
        <v>0</v>
      </c>
      <c r="Q21" s="17">
        <v>0</v>
      </c>
      <c r="R21" s="17">
        <v>0</v>
      </c>
      <c r="S21" s="17">
        <v>0</v>
      </c>
      <c r="T21" s="17">
        <v>0</v>
      </c>
      <c r="U21" s="17">
        <v>0</v>
      </c>
      <c r="V21" s="17">
        <v>0</v>
      </c>
      <c r="W21" s="17">
        <v>0</v>
      </c>
      <c r="X21" s="17">
        <v>0</v>
      </c>
      <c r="Y21" s="17">
        <v>0</v>
      </c>
      <c r="Z21" s="17">
        <v>0</v>
      </c>
      <c r="AA21" s="17">
        <v>0</v>
      </c>
      <c r="AB21" s="17">
        <v>0</v>
      </c>
      <c r="AC21" s="17">
        <v>0</v>
      </c>
      <c r="AD21" s="17">
        <v>0</v>
      </c>
      <c r="AE21" s="17">
        <v>0</v>
      </c>
    </row>
    <row r="22" spans="1:33" ht="16.5" customHeight="1">
      <c r="A22" s="41" t="s">
        <v>219</v>
      </c>
      <c r="B22" s="17">
        <v>0</v>
      </c>
      <c r="C22" s="17">
        <v>0</v>
      </c>
      <c r="D22" s="17">
        <v>0</v>
      </c>
      <c r="E22" s="17">
        <v>0</v>
      </c>
      <c r="F22" s="17">
        <v>0</v>
      </c>
      <c r="G22" s="17">
        <v>0</v>
      </c>
      <c r="H22" s="17">
        <v>0</v>
      </c>
      <c r="I22" s="17">
        <v>0</v>
      </c>
      <c r="J22" s="17">
        <v>0</v>
      </c>
      <c r="K22" s="17">
        <v>0</v>
      </c>
      <c r="L22" s="17">
        <v>0</v>
      </c>
      <c r="M22" s="17">
        <v>0</v>
      </c>
      <c r="N22" s="17">
        <v>0</v>
      </c>
      <c r="O22" s="17">
        <v>0</v>
      </c>
      <c r="P22" s="17">
        <v>0</v>
      </c>
      <c r="Q22" s="17">
        <v>0</v>
      </c>
      <c r="R22" s="17">
        <v>0</v>
      </c>
      <c r="S22" s="17">
        <v>0</v>
      </c>
      <c r="T22" s="17">
        <v>0</v>
      </c>
      <c r="U22" s="17">
        <v>0</v>
      </c>
      <c r="V22" s="17">
        <v>0</v>
      </c>
      <c r="W22" s="17">
        <v>0</v>
      </c>
      <c r="X22" s="17">
        <v>0</v>
      </c>
      <c r="Y22" s="17">
        <v>0</v>
      </c>
      <c r="Z22" s="17">
        <v>0</v>
      </c>
      <c r="AA22" s="17">
        <v>0</v>
      </c>
      <c r="AB22" s="17">
        <v>0</v>
      </c>
      <c r="AC22" s="17">
        <v>0</v>
      </c>
      <c r="AD22" s="17">
        <v>0</v>
      </c>
      <c r="AE22" s="17">
        <v>0</v>
      </c>
    </row>
    <row r="23" spans="1:33" ht="16.5" customHeight="1"/>
    <row r="24" spans="1:33" ht="16.5" customHeight="1"/>
    <row r="25" spans="1:33" ht="16.5" customHeight="1"/>
    <row r="26" spans="1:33" ht="16.5" customHeight="1"/>
    <row r="27" spans="1:33" ht="16.5" customHeight="1"/>
    <row r="28" spans="1:33" ht="16.5" customHeight="1"/>
    <row r="29" spans="1:33" ht="16.5" customHeight="1"/>
    <row r="30" spans="1:33" ht="16.5" customHeight="1"/>
    <row r="31" spans="1:33" ht="16.5" customHeight="1"/>
    <row r="32" spans="1:33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phoneticPr fontId="12" type="noConversion"/>
  <pageMargins left="0.7" right="0.7" top="0.75" bottom="0.75" header="0" footer="0"/>
  <pageSetup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1F497D"/>
  </sheetPr>
  <dimension ref="A1:AG1000"/>
  <sheetViews>
    <sheetView workbookViewId="0"/>
  </sheetViews>
  <sheetFormatPr defaultColWidth="14.453125" defaultRowHeight="15" customHeight="1"/>
  <cols>
    <col min="1" max="1" width="26.453125" customWidth="1"/>
    <col min="2" max="2" width="11.7265625" customWidth="1"/>
    <col min="3" max="33" width="9.26953125" customWidth="1"/>
  </cols>
  <sheetData>
    <row r="1" spans="1:33" ht="16.5" customHeight="1">
      <c r="A1" s="17" t="s">
        <v>178</v>
      </c>
      <c r="B1" s="17">
        <v>2021</v>
      </c>
      <c r="C1" s="17">
        <v>2022</v>
      </c>
      <c r="D1" s="17">
        <v>2023</v>
      </c>
      <c r="E1" s="17">
        <v>2024</v>
      </c>
      <c r="F1" s="17">
        <v>2025</v>
      </c>
      <c r="G1" s="17">
        <v>2026</v>
      </c>
      <c r="H1" s="17">
        <v>2027</v>
      </c>
      <c r="I1" s="17">
        <v>2028</v>
      </c>
      <c r="J1" s="17">
        <v>2029</v>
      </c>
      <c r="K1" s="17">
        <v>2030</v>
      </c>
      <c r="L1" s="17">
        <v>2031</v>
      </c>
      <c r="M1" s="17">
        <v>2032</v>
      </c>
      <c r="N1" s="17">
        <v>2033</v>
      </c>
      <c r="O1" s="17">
        <v>2034</v>
      </c>
      <c r="P1" s="17">
        <v>2035</v>
      </c>
      <c r="Q1" s="17">
        <v>2036</v>
      </c>
      <c r="R1" s="17">
        <v>2037</v>
      </c>
      <c r="S1" s="17">
        <v>2038</v>
      </c>
      <c r="T1" s="17">
        <v>2039</v>
      </c>
      <c r="U1" s="17">
        <v>2040</v>
      </c>
      <c r="V1" s="17">
        <v>2041</v>
      </c>
      <c r="W1" s="17">
        <v>2042</v>
      </c>
      <c r="X1" s="17">
        <v>2043</v>
      </c>
      <c r="Y1" s="17">
        <v>2044</v>
      </c>
      <c r="Z1" s="17">
        <v>2045</v>
      </c>
      <c r="AA1" s="17">
        <v>2046</v>
      </c>
      <c r="AB1" s="17">
        <v>2047</v>
      </c>
      <c r="AC1" s="17">
        <v>2048</v>
      </c>
      <c r="AD1" s="17">
        <v>2049</v>
      </c>
      <c r="AE1" s="17">
        <v>2050</v>
      </c>
    </row>
    <row r="2" spans="1:33" ht="16.5" customHeight="1">
      <c r="A2" s="17" t="s">
        <v>199</v>
      </c>
      <c r="B2" s="17">
        <v>0</v>
      </c>
      <c r="C2" s="17">
        <v>0</v>
      </c>
      <c r="D2" s="17">
        <v>0</v>
      </c>
      <c r="E2" s="17">
        <v>0</v>
      </c>
      <c r="F2" s="17">
        <v>0</v>
      </c>
      <c r="G2" s="17">
        <v>0</v>
      </c>
      <c r="H2" s="17">
        <v>0</v>
      </c>
      <c r="I2" s="17">
        <v>0</v>
      </c>
      <c r="J2" s="17">
        <v>0</v>
      </c>
      <c r="K2" s="17">
        <v>0</v>
      </c>
      <c r="L2" s="17">
        <v>0</v>
      </c>
      <c r="M2" s="17">
        <v>0</v>
      </c>
      <c r="N2" s="17">
        <v>0</v>
      </c>
      <c r="O2" s="17">
        <v>0</v>
      </c>
      <c r="P2" s="17">
        <v>0</v>
      </c>
      <c r="Q2" s="17">
        <v>0</v>
      </c>
      <c r="R2" s="17">
        <v>0</v>
      </c>
      <c r="S2" s="17">
        <v>0</v>
      </c>
      <c r="T2" s="17">
        <v>0</v>
      </c>
      <c r="U2" s="17">
        <v>0</v>
      </c>
      <c r="V2" s="17">
        <v>0</v>
      </c>
      <c r="W2" s="17">
        <v>0</v>
      </c>
      <c r="X2" s="17">
        <v>0</v>
      </c>
      <c r="Y2" s="17">
        <v>0</v>
      </c>
      <c r="Z2" s="17">
        <v>0</v>
      </c>
      <c r="AA2" s="17">
        <v>0</v>
      </c>
      <c r="AB2" s="17">
        <v>0</v>
      </c>
      <c r="AC2" s="17">
        <v>0</v>
      </c>
      <c r="AD2" s="17">
        <v>0</v>
      </c>
      <c r="AE2" s="17">
        <v>0</v>
      </c>
    </row>
    <row r="3" spans="1:33" ht="16.5" customHeight="1">
      <c r="A3" s="17" t="s">
        <v>200</v>
      </c>
      <c r="B3" s="17">
        <v>0</v>
      </c>
      <c r="C3" s="17">
        <v>0</v>
      </c>
      <c r="D3" s="17">
        <v>0</v>
      </c>
      <c r="E3" s="17">
        <v>0</v>
      </c>
      <c r="F3" s="17">
        <v>0</v>
      </c>
      <c r="G3" s="17">
        <v>0</v>
      </c>
      <c r="H3" s="17">
        <v>0</v>
      </c>
      <c r="I3" s="17">
        <v>0</v>
      </c>
      <c r="J3" s="17">
        <v>0</v>
      </c>
      <c r="K3" s="17">
        <v>0</v>
      </c>
      <c r="L3" s="17">
        <v>0</v>
      </c>
      <c r="M3" s="17">
        <v>0</v>
      </c>
      <c r="N3" s="17">
        <v>0</v>
      </c>
      <c r="O3" s="17">
        <v>0</v>
      </c>
      <c r="P3" s="17">
        <v>0</v>
      </c>
      <c r="Q3" s="17">
        <v>0</v>
      </c>
      <c r="R3" s="17">
        <v>0</v>
      </c>
      <c r="S3" s="17">
        <v>0</v>
      </c>
      <c r="T3" s="17">
        <v>0</v>
      </c>
      <c r="U3" s="17">
        <v>0</v>
      </c>
      <c r="V3" s="17">
        <v>0</v>
      </c>
      <c r="W3" s="17">
        <v>0</v>
      </c>
      <c r="X3" s="17">
        <v>0</v>
      </c>
      <c r="Y3" s="17">
        <v>0</v>
      </c>
      <c r="Z3" s="17">
        <v>0</v>
      </c>
      <c r="AA3" s="17">
        <v>0</v>
      </c>
      <c r="AB3" s="17">
        <v>0</v>
      </c>
      <c r="AC3" s="17">
        <v>0</v>
      </c>
      <c r="AD3" s="17">
        <v>0</v>
      </c>
      <c r="AE3" s="17">
        <v>0</v>
      </c>
      <c r="AF3" s="40"/>
      <c r="AG3" s="40"/>
    </row>
    <row r="4" spans="1:33" ht="16.5" customHeight="1">
      <c r="A4" s="17" t="s">
        <v>201</v>
      </c>
      <c r="B4" s="17">
        <v>0</v>
      </c>
      <c r="C4" s="17">
        <v>0</v>
      </c>
      <c r="D4" s="17">
        <v>0</v>
      </c>
      <c r="E4" s="17">
        <v>0</v>
      </c>
      <c r="F4" s="17">
        <v>0</v>
      </c>
      <c r="G4" s="17">
        <v>0</v>
      </c>
      <c r="H4" s="17">
        <v>0</v>
      </c>
      <c r="I4" s="17">
        <v>0</v>
      </c>
      <c r="J4" s="17">
        <v>0</v>
      </c>
      <c r="K4" s="17">
        <v>0</v>
      </c>
      <c r="L4" s="17">
        <v>0</v>
      </c>
      <c r="M4" s="17">
        <v>0</v>
      </c>
      <c r="N4" s="17">
        <v>0</v>
      </c>
      <c r="O4" s="17">
        <v>0</v>
      </c>
      <c r="P4" s="17">
        <v>0</v>
      </c>
      <c r="Q4" s="17">
        <v>0</v>
      </c>
      <c r="R4" s="17">
        <v>0</v>
      </c>
      <c r="S4" s="17">
        <v>0</v>
      </c>
      <c r="T4" s="17">
        <v>0</v>
      </c>
      <c r="U4" s="17">
        <v>0</v>
      </c>
      <c r="V4" s="17">
        <v>0</v>
      </c>
      <c r="W4" s="17">
        <v>0</v>
      </c>
      <c r="X4" s="17">
        <v>0</v>
      </c>
      <c r="Y4" s="17">
        <v>0</v>
      </c>
      <c r="Z4" s="17">
        <v>0</v>
      </c>
      <c r="AA4" s="17">
        <v>0</v>
      </c>
      <c r="AB4" s="17">
        <v>0</v>
      </c>
      <c r="AC4" s="17">
        <v>0</v>
      </c>
      <c r="AD4" s="17">
        <v>0</v>
      </c>
      <c r="AE4" s="17">
        <v>0</v>
      </c>
      <c r="AF4" s="40"/>
      <c r="AG4" s="40"/>
    </row>
    <row r="5" spans="1:33" ht="16.5" customHeight="1">
      <c r="A5" s="17" t="s">
        <v>124</v>
      </c>
      <c r="B5" s="17">
        <v>0</v>
      </c>
      <c r="C5" s="17">
        <v>0</v>
      </c>
      <c r="D5" s="17">
        <v>0</v>
      </c>
      <c r="E5" s="17">
        <v>0</v>
      </c>
      <c r="F5" s="17">
        <v>0</v>
      </c>
      <c r="G5" s="17">
        <v>0</v>
      </c>
      <c r="H5" s="17">
        <v>0</v>
      </c>
      <c r="I5" s="17">
        <v>0</v>
      </c>
      <c r="J5" s="17">
        <v>0</v>
      </c>
      <c r="K5" s="17">
        <v>0</v>
      </c>
      <c r="L5" s="17">
        <v>0</v>
      </c>
      <c r="M5" s="17">
        <v>0</v>
      </c>
      <c r="N5" s="17">
        <v>0</v>
      </c>
      <c r="O5" s="17">
        <v>0</v>
      </c>
      <c r="P5" s="17">
        <v>0</v>
      </c>
      <c r="Q5" s="17">
        <v>0</v>
      </c>
      <c r="R5" s="17">
        <v>0</v>
      </c>
      <c r="S5" s="17">
        <v>0</v>
      </c>
      <c r="T5" s="17">
        <v>0</v>
      </c>
      <c r="U5" s="17">
        <v>0</v>
      </c>
      <c r="V5" s="17">
        <v>0</v>
      </c>
      <c r="W5" s="17">
        <v>0</v>
      </c>
      <c r="X5" s="17">
        <v>0</v>
      </c>
      <c r="Y5" s="17">
        <v>0</v>
      </c>
      <c r="Z5" s="17">
        <v>0</v>
      </c>
      <c r="AA5" s="17">
        <v>0</v>
      </c>
      <c r="AB5" s="17">
        <v>0</v>
      </c>
      <c r="AC5" s="17">
        <v>0</v>
      </c>
      <c r="AD5" s="17">
        <v>0</v>
      </c>
      <c r="AE5" s="17">
        <v>0</v>
      </c>
    </row>
    <row r="6" spans="1:33" ht="16.5" customHeight="1">
      <c r="A6" s="17" t="s">
        <v>123</v>
      </c>
      <c r="B6" s="17">
        <v>0</v>
      </c>
      <c r="C6" s="17">
        <v>0</v>
      </c>
      <c r="D6" s="17">
        <v>0</v>
      </c>
      <c r="E6" s="17">
        <v>0</v>
      </c>
      <c r="F6" s="17">
        <v>0</v>
      </c>
      <c r="G6" s="17">
        <v>0</v>
      </c>
      <c r="H6" s="17">
        <v>0</v>
      </c>
      <c r="I6" s="17">
        <v>0</v>
      </c>
      <c r="J6" s="17">
        <v>0</v>
      </c>
      <c r="K6" s="17">
        <v>0</v>
      </c>
      <c r="L6" s="17">
        <v>0</v>
      </c>
      <c r="M6" s="17">
        <v>0</v>
      </c>
      <c r="N6" s="17">
        <v>0</v>
      </c>
      <c r="O6" s="17">
        <v>0</v>
      </c>
      <c r="P6" s="17">
        <v>0</v>
      </c>
      <c r="Q6" s="17">
        <v>0</v>
      </c>
      <c r="R6" s="17">
        <v>0</v>
      </c>
      <c r="S6" s="17">
        <v>0</v>
      </c>
      <c r="T6" s="17">
        <v>0</v>
      </c>
      <c r="U6" s="17">
        <v>0</v>
      </c>
      <c r="V6" s="17">
        <v>0</v>
      </c>
      <c r="W6" s="17">
        <v>0</v>
      </c>
      <c r="X6" s="17">
        <v>0</v>
      </c>
      <c r="Y6" s="17">
        <v>0</v>
      </c>
      <c r="Z6" s="17">
        <v>0</v>
      </c>
      <c r="AA6" s="17">
        <v>0</v>
      </c>
      <c r="AB6" s="17">
        <v>0</v>
      </c>
      <c r="AC6" s="17">
        <v>0</v>
      </c>
      <c r="AD6" s="17">
        <v>0</v>
      </c>
      <c r="AE6" s="17">
        <v>0</v>
      </c>
    </row>
    <row r="7" spans="1:33" ht="16.5" customHeight="1">
      <c r="A7" s="17" t="s">
        <v>202</v>
      </c>
      <c r="B7" s="17">
        <v>0</v>
      </c>
      <c r="C7" s="17">
        <v>0</v>
      </c>
      <c r="D7" s="17">
        <v>0</v>
      </c>
      <c r="E7" s="17">
        <v>0</v>
      </c>
      <c r="F7" s="17">
        <v>0</v>
      </c>
      <c r="G7" s="17">
        <v>0</v>
      </c>
      <c r="H7" s="17">
        <v>0</v>
      </c>
      <c r="I7" s="17">
        <v>0</v>
      </c>
      <c r="J7" s="17">
        <v>0</v>
      </c>
      <c r="K7" s="17">
        <v>0</v>
      </c>
      <c r="L7" s="17">
        <v>0</v>
      </c>
      <c r="M7" s="17">
        <v>0</v>
      </c>
      <c r="N7" s="17">
        <v>0</v>
      </c>
      <c r="O7" s="17">
        <v>0</v>
      </c>
      <c r="P7" s="17">
        <v>0</v>
      </c>
      <c r="Q7" s="17">
        <v>0</v>
      </c>
      <c r="R7" s="17">
        <v>0</v>
      </c>
      <c r="S7" s="17">
        <v>0</v>
      </c>
      <c r="T7" s="17">
        <v>0</v>
      </c>
      <c r="U7" s="17">
        <v>0</v>
      </c>
      <c r="V7" s="17">
        <v>0</v>
      </c>
      <c r="W7" s="17">
        <v>0</v>
      </c>
      <c r="X7" s="17">
        <v>0</v>
      </c>
      <c r="Y7" s="17">
        <v>0</v>
      </c>
      <c r="Z7" s="17">
        <v>0</v>
      </c>
      <c r="AA7" s="17">
        <v>0</v>
      </c>
      <c r="AB7" s="17">
        <v>0</v>
      </c>
      <c r="AC7" s="17">
        <v>0</v>
      </c>
      <c r="AD7" s="17">
        <v>0</v>
      </c>
      <c r="AE7" s="17">
        <v>0</v>
      </c>
    </row>
    <row r="8" spans="1:33" ht="16.5" customHeight="1">
      <c r="A8" s="17" t="s">
        <v>203</v>
      </c>
      <c r="B8" s="17">
        <v>0</v>
      </c>
      <c r="C8" s="17">
        <v>0</v>
      </c>
      <c r="D8" s="17">
        <v>0</v>
      </c>
      <c r="E8" s="17">
        <v>0</v>
      </c>
      <c r="F8" s="17">
        <v>0</v>
      </c>
      <c r="G8" s="17">
        <v>0</v>
      </c>
      <c r="H8" s="17">
        <v>0</v>
      </c>
      <c r="I8" s="17">
        <v>0</v>
      </c>
      <c r="J8" s="17">
        <v>0</v>
      </c>
      <c r="K8" s="17">
        <v>0</v>
      </c>
      <c r="L8" s="17">
        <v>0</v>
      </c>
      <c r="M8" s="17">
        <v>0</v>
      </c>
      <c r="N8" s="17">
        <v>0</v>
      </c>
      <c r="O8" s="17">
        <v>0</v>
      </c>
      <c r="P8" s="17">
        <v>0</v>
      </c>
      <c r="Q8" s="17">
        <v>0</v>
      </c>
      <c r="R8" s="17">
        <v>0</v>
      </c>
      <c r="S8" s="17">
        <v>0</v>
      </c>
      <c r="T8" s="17">
        <v>0</v>
      </c>
      <c r="U8" s="17">
        <v>0</v>
      </c>
      <c r="V8" s="17">
        <v>0</v>
      </c>
      <c r="W8" s="17">
        <v>0</v>
      </c>
      <c r="X8" s="17">
        <v>0</v>
      </c>
      <c r="Y8" s="17">
        <v>0</v>
      </c>
      <c r="Z8" s="17">
        <v>0</v>
      </c>
      <c r="AA8" s="17">
        <v>0</v>
      </c>
      <c r="AB8" s="17">
        <v>0</v>
      </c>
      <c r="AC8" s="17">
        <v>0</v>
      </c>
      <c r="AD8" s="17">
        <v>0</v>
      </c>
      <c r="AE8" s="17">
        <v>0</v>
      </c>
    </row>
    <row r="9" spans="1:33" ht="16.5" customHeight="1">
      <c r="A9" s="17" t="s">
        <v>204</v>
      </c>
      <c r="B9" s="17">
        <v>0</v>
      </c>
      <c r="C9" s="17">
        <v>0</v>
      </c>
      <c r="D9" s="17">
        <v>0</v>
      </c>
      <c r="E9" s="17">
        <v>0</v>
      </c>
      <c r="F9" s="17">
        <v>0</v>
      </c>
      <c r="G9" s="17">
        <v>0</v>
      </c>
      <c r="H9" s="17">
        <v>0</v>
      </c>
      <c r="I9" s="17">
        <v>0</v>
      </c>
      <c r="J9" s="17">
        <v>0</v>
      </c>
      <c r="K9" s="17">
        <v>0</v>
      </c>
      <c r="L9" s="17">
        <v>0</v>
      </c>
      <c r="M9" s="17">
        <v>0</v>
      </c>
      <c r="N9" s="17">
        <v>0</v>
      </c>
      <c r="O9" s="17">
        <v>0</v>
      </c>
      <c r="P9" s="17">
        <v>0</v>
      </c>
      <c r="Q9" s="17">
        <v>0</v>
      </c>
      <c r="R9" s="17">
        <v>0</v>
      </c>
      <c r="S9" s="17">
        <v>0</v>
      </c>
      <c r="T9" s="17">
        <v>0</v>
      </c>
      <c r="U9" s="17">
        <v>0</v>
      </c>
      <c r="V9" s="17">
        <v>0</v>
      </c>
      <c r="W9" s="17">
        <v>0</v>
      </c>
      <c r="X9" s="17">
        <v>0</v>
      </c>
      <c r="Y9" s="17">
        <v>0</v>
      </c>
      <c r="Z9" s="17">
        <v>0</v>
      </c>
      <c r="AA9" s="17">
        <v>0</v>
      </c>
      <c r="AB9" s="17">
        <v>0</v>
      </c>
      <c r="AC9" s="17">
        <v>0</v>
      </c>
      <c r="AD9" s="17">
        <v>0</v>
      </c>
      <c r="AE9" s="17">
        <v>0</v>
      </c>
    </row>
    <row r="10" spans="1:33" ht="16.5" customHeight="1">
      <c r="A10" s="17" t="s">
        <v>205</v>
      </c>
      <c r="B10" s="17">
        <v>0</v>
      </c>
      <c r="C10" s="17">
        <v>0</v>
      </c>
      <c r="D10" s="17">
        <v>0</v>
      </c>
      <c r="E10" s="17">
        <v>0</v>
      </c>
      <c r="F10" s="17">
        <v>0</v>
      </c>
      <c r="G10" s="17">
        <v>0</v>
      </c>
      <c r="H10" s="17">
        <v>0</v>
      </c>
      <c r="I10" s="17">
        <v>0</v>
      </c>
      <c r="J10" s="17">
        <v>0</v>
      </c>
      <c r="K10" s="17">
        <v>0</v>
      </c>
      <c r="L10" s="17">
        <v>0</v>
      </c>
      <c r="M10" s="17">
        <v>0</v>
      </c>
      <c r="N10" s="17">
        <v>0</v>
      </c>
      <c r="O10" s="17">
        <v>0</v>
      </c>
      <c r="P10" s="17">
        <v>0</v>
      </c>
      <c r="Q10" s="17">
        <v>0</v>
      </c>
      <c r="R10" s="17">
        <v>0</v>
      </c>
      <c r="S10" s="17">
        <v>0</v>
      </c>
      <c r="T10" s="17">
        <v>0</v>
      </c>
      <c r="U10" s="17">
        <v>0</v>
      </c>
      <c r="V10" s="17">
        <v>0</v>
      </c>
      <c r="W10" s="17">
        <v>0</v>
      </c>
      <c r="X10" s="17">
        <v>0</v>
      </c>
      <c r="Y10" s="17">
        <v>0</v>
      </c>
      <c r="Z10" s="17">
        <v>0</v>
      </c>
      <c r="AA10" s="17">
        <v>0</v>
      </c>
      <c r="AB10" s="17">
        <v>0</v>
      </c>
      <c r="AC10" s="17">
        <v>0</v>
      </c>
      <c r="AD10" s="17">
        <v>0</v>
      </c>
      <c r="AE10" s="17">
        <v>0</v>
      </c>
      <c r="AF10" s="40"/>
      <c r="AG10" s="40"/>
    </row>
    <row r="11" spans="1:33" ht="16.5" customHeight="1">
      <c r="A11" s="17" t="s">
        <v>206</v>
      </c>
      <c r="B11" s="17">
        <v>0</v>
      </c>
      <c r="C11" s="17">
        <v>0</v>
      </c>
      <c r="D11" s="17">
        <v>0</v>
      </c>
      <c r="E11" s="17">
        <v>0</v>
      </c>
      <c r="F11" s="17">
        <v>0</v>
      </c>
      <c r="G11" s="17">
        <v>0</v>
      </c>
      <c r="H11" s="17">
        <v>0</v>
      </c>
      <c r="I11" s="17">
        <v>0</v>
      </c>
      <c r="J11" s="17">
        <v>0</v>
      </c>
      <c r="K11" s="17">
        <v>0</v>
      </c>
      <c r="L11" s="17">
        <v>0</v>
      </c>
      <c r="M11" s="17">
        <v>0</v>
      </c>
      <c r="N11" s="17">
        <v>0</v>
      </c>
      <c r="O11" s="17">
        <v>0</v>
      </c>
      <c r="P11" s="17">
        <v>0</v>
      </c>
      <c r="Q11" s="17">
        <v>0</v>
      </c>
      <c r="R11" s="17">
        <v>0</v>
      </c>
      <c r="S11" s="17">
        <v>0</v>
      </c>
      <c r="T11" s="17">
        <v>0</v>
      </c>
      <c r="U11" s="17">
        <v>0</v>
      </c>
      <c r="V11" s="17">
        <v>0</v>
      </c>
      <c r="W11" s="17">
        <v>0</v>
      </c>
      <c r="X11" s="17">
        <v>0</v>
      </c>
      <c r="Y11" s="17">
        <v>0</v>
      </c>
      <c r="Z11" s="17">
        <v>0</v>
      </c>
      <c r="AA11" s="17">
        <v>0</v>
      </c>
      <c r="AB11" s="17">
        <v>0</v>
      </c>
      <c r="AC11" s="17">
        <v>0</v>
      </c>
      <c r="AD11" s="17">
        <v>0</v>
      </c>
      <c r="AE11" s="17">
        <v>0</v>
      </c>
      <c r="AF11" s="40"/>
      <c r="AG11" s="40"/>
    </row>
    <row r="12" spans="1:33" ht="16.5" customHeight="1">
      <c r="A12" s="17" t="s">
        <v>207</v>
      </c>
      <c r="B12" s="17">
        <v>0</v>
      </c>
      <c r="C12" s="17">
        <v>0</v>
      </c>
      <c r="D12" s="17">
        <v>0</v>
      </c>
      <c r="E12" s="17">
        <v>0</v>
      </c>
      <c r="F12" s="17">
        <v>0</v>
      </c>
      <c r="G12" s="17">
        <v>0</v>
      </c>
      <c r="H12" s="17">
        <v>0</v>
      </c>
      <c r="I12" s="17">
        <v>0</v>
      </c>
      <c r="J12" s="17">
        <v>0</v>
      </c>
      <c r="K12" s="17">
        <v>0</v>
      </c>
      <c r="L12" s="17">
        <v>0</v>
      </c>
      <c r="M12" s="17">
        <v>0</v>
      </c>
      <c r="N12" s="17">
        <v>0</v>
      </c>
      <c r="O12" s="17">
        <v>0</v>
      </c>
      <c r="P12" s="17">
        <v>0</v>
      </c>
      <c r="Q12" s="17">
        <v>0</v>
      </c>
      <c r="R12" s="17">
        <v>0</v>
      </c>
      <c r="S12" s="17">
        <v>0</v>
      </c>
      <c r="T12" s="17">
        <v>0</v>
      </c>
      <c r="U12" s="17">
        <v>0</v>
      </c>
      <c r="V12" s="17">
        <v>0</v>
      </c>
      <c r="W12" s="17">
        <v>0</v>
      </c>
      <c r="X12" s="17">
        <v>0</v>
      </c>
      <c r="Y12" s="17">
        <v>0</v>
      </c>
      <c r="Z12" s="17">
        <v>0</v>
      </c>
      <c r="AA12" s="17">
        <v>0</v>
      </c>
      <c r="AB12" s="17">
        <v>0</v>
      </c>
      <c r="AC12" s="17">
        <v>0</v>
      </c>
      <c r="AD12" s="17">
        <v>0</v>
      </c>
      <c r="AE12" s="17">
        <v>0</v>
      </c>
    </row>
    <row r="13" spans="1:33" ht="16.5" customHeight="1">
      <c r="A13" s="17" t="s">
        <v>208</v>
      </c>
      <c r="B13" s="17">
        <v>0</v>
      </c>
      <c r="C13" s="17">
        <v>0</v>
      </c>
      <c r="D13" s="17">
        <v>0</v>
      </c>
      <c r="E13" s="17">
        <v>0</v>
      </c>
      <c r="F13" s="17">
        <v>0</v>
      </c>
      <c r="G13" s="17">
        <v>0</v>
      </c>
      <c r="H13" s="17">
        <v>0</v>
      </c>
      <c r="I13" s="17">
        <v>0</v>
      </c>
      <c r="J13" s="17">
        <v>0</v>
      </c>
      <c r="K13" s="17">
        <v>0</v>
      </c>
      <c r="L13" s="17">
        <v>0</v>
      </c>
      <c r="M13" s="17">
        <v>0</v>
      </c>
      <c r="N13" s="17">
        <v>0</v>
      </c>
      <c r="O13" s="17">
        <v>0</v>
      </c>
      <c r="P13" s="17">
        <v>0</v>
      </c>
      <c r="Q13" s="17">
        <v>0</v>
      </c>
      <c r="R13" s="17">
        <v>0</v>
      </c>
      <c r="S13" s="17">
        <v>0</v>
      </c>
      <c r="T13" s="17">
        <v>0</v>
      </c>
      <c r="U13" s="17">
        <v>0</v>
      </c>
      <c r="V13" s="17">
        <v>0</v>
      </c>
      <c r="W13" s="17">
        <v>0</v>
      </c>
      <c r="X13" s="17">
        <v>0</v>
      </c>
      <c r="Y13" s="17">
        <v>0</v>
      </c>
      <c r="Z13" s="17">
        <v>0</v>
      </c>
      <c r="AA13" s="17">
        <v>0</v>
      </c>
      <c r="AB13" s="17">
        <v>0</v>
      </c>
      <c r="AC13" s="17">
        <v>0</v>
      </c>
      <c r="AD13" s="17">
        <v>0</v>
      </c>
      <c r="AE13" s="17">
        <v>0</v>
      </c>
    </row>
    <row r="14" spans="1:33" ht="16.5" customHeight="1">
      <c r="A14" s="17" t="s">
        <v>209</v>
      </c>
      <c r="B14" s="17">
        <v>0</v>
      </c>
      <c r="C14" s="17">
        <v>0</v>
      </c>
      <c r="D14" s="17">
        <v>0</v>
      </c>
      <c r="E14" s="17">
        <v>0</v>
      </c>
      <c r="F14" s="17">
        <v>0</v>
      </c>
      <c r="G14" s="17">
        <v>0</v>
      </c>
      <c r="H14" s="17">
        <v>0</v>
      </c>
      <c r="I14" s="17">
        <v>0</v>
      </c>
      <c r="J14" s="17">
        <v>0</v>
      </c>
      <c r="K14" s="17">
        <v>0</v>
      </c>
      <c r="L14" s="17">
        <v>0</v>
      </c>
      <c r="M14" s="17">
        <v>0</v>
      </c>
      <c r="N14" s="17">
        <v>0</v>
      </c>
      <c r="O14" s="17">
        <v>0</v>
      </c>
      <c r="P14" s="17">
        <v>0</v>
      </c>
      <c r="Q14" s="17">
        <v>0</v>
      </c>
      <c r="R14" s="17">
        <v>0</v>
      </c>
      <c r="S14" s="17">
        <v>0</v>
      </c>
      <c r="T14" s="17">
        <v>0</v>
      </c>
      <c r="U14" s="17">
        <v>0</v>
      </c>
      <c r="V14" s="17">
        <v>0</v>
      </c>
      <c r="W14" s="17">
        <v>0</v>
      </c>
      <c r="X14" s="17">
        <v>0</v>
      </c>
      <c r="Y14" s="17">
        <v>0</v>
      </c>
      <c r="Z14" s="17">
        <v>0</v>
      </c>
      <c r="AA14" s="17">
        <v>0</v>
      </c>
      <c r="AB14" s="17">
        <v>0</v>
      </c>
      <c r="AC14" s="17">
        <v>0</v>
      </c>
      <c r="AD14" s="17">
        <v>0</v>
      </c>
      <c r="AE14" s="17">
        <v>0</v>
      </c>
      <c r="AF14" s="40"/>
      <c r="AG14" s="40"/>
    </row>
    <row r="15" spans="1:33" ht="16.5" customHeight="1">
      <c r="A15" s="17" t="s">
        <v>210</v>
      </c>
      <c r="B15" s="17">
        <v>0</v>
      </c>
      <c r="C15" s="17">
        <v>0</v>
      </c>
      <c r="D15" s="17">
        <v>0</v>
      </c>
      <c r="E15" s="17">
        <v>0</v>
      </c>
      <c r="F15" s="17">
        <v>0</v>
      </c>
      <c r="G15" s="17">
        <v>0</v>
      </c>
      <c r="H15" s="17">
        <v>0</v>
      </c>
      <c r="I15" s="17">
        <v>0</v>
      </c>
      <c r="J15" s="17">
        <v>0</v>
      </c>
      <c r="K15" s="17">
        <v>0</v>
      </c>
      <c r="L15" s="17">
        <v>0</v>
      </c>
      <c r="M15" s="17">
        <v>0</v>
      </c>
      <c r="N15" s="17">
        <v>0</v>
      </c>
      <c r="O15" s="17">
        <v>0</v>
      </c>
      <c r="P15" s="17">
        <v>0</v>
      </c>
      <c r="Q15" s="17">
        <v>0</v>
      </c>
      <c r="R15" s="17">
        <v>0</v>
      </c>
      <c r="S15" s="17">
        <v>0</v>
      </c>
      <c r="T15" s="17">
        <v>0</v>
      </c>
      <c r="U15" s="17">
        <v>0</v>
      </c>
      <c r="V15" s="17">
        <v>0</v>
      </c>
      <c r="W15" s="17">
        <v>0</v>
      </c>
      <c r="X15" s="17">
        <v>0</v>
      </c>
      <c r="Y15" s="17">
        <v>0</v>
      </c>
      <c r="Z15" s="17">
        <v>0</v>
      </c>
      <c r="AA15" s="17">
        <v>0</v>
      </c>
      <c r="AB15" s="17">
        <v>0</v>
      </c>
      <c r="AC15" s="17">
        <v>0</v>
      </c>
      <c r="AD15" s="17">
        <v>0</v>
      </c>
      <c r="AE15" s="17">
        <v>0</v>
      </c>
    </row>
    <row r="16" spans="1:33" ht="16.5" customHeight="1">
      <c r="A16" s="17" t="s">
        <v>129</v>
      </c>
      <c r="B16" s="17">
        <v>0</v>
      </c>
      <c r="C16" s="17">
        <v>0</v>
      </c>
      <c r="D16" s="17">
        <v>0</v>
      </c>
      <c r="E16" s="17">
        <v>0</v>
      </c>
      <c r="F16" s="17">
        <v>0</v>
      </c>
      <c r="G16" s="17">
        <v>0</v>
      </c>
      <c r="H16" s="17">
        <v>0</v>
      </c>
      <c r="I16" s="17">
        <v>0</v>
      </c>
      <c r="J16" s="17">
        <v>0</v>
      </c>
      <c r="K16" s="17">
        <v>0</v>
      </c>
      <c r="L16" s="17">
        <v>0</v>
      </c>
      <c r="M16" s="17">
        <v>0</v>
      </c>
      <c r="N16" s="17">
        <v>0</v>
      </c>
      <c r="O16" s="17">
        <v>0</v>
      </c>
      <c r="P16" s="17">
        <v>0</v>
      </c>
      <c r="Q16" s="17">
        <v>0</v>
      </c>
      <c r="R16" s="17">
        <v>0</v>
      </c>
      <c r="S16" s="17">
        <v>0</v>
      </c>
      <c r="T16" s="17">
        <v>0</v>
      </c>
      <c r="U16" s="17">
        <v>0</v>
      </c>
      <c r="V16" s="17">
        <v>0</v>
      </c>
      <c r="W16" s="17">
        <v>0</v>
      </c>
      <c r="X16" s="17">
        <v>0</v>
      </c>
      <c r="Y16" s="17">
        <v>0</v>
      </c>
      <c r="Z16" s="17">
        <v>0</v>
      </c>
      <c r="AA16" s="17">
        <v>0</v>
      </c>
      <c r="AB16" s="17">
        <v>0</v>
      </c>
      <c r="AC16" s="17">
        <v>0</v>
      </c>
      <c r="AD16" s="17">
        <v>0</v>
      </c>
      <c r="AE16" s="17">
        <v>0</v>
      </c>
    </row>
    <row r="17" spans="1:33" ht="16.5" customHeight="1">
      <c r="A17" s="17" t="s">
        <v>211</v>
      </c>
      <c r="B17" s="17">
        <v>0</v>
      </c>
      <c r="C17" s="17">
        <v>0</v>
      </c>
      <c r="D17" s="17">
        <v>0</v>
      </c>
      <c r="E17" s="17">
        <v>0</v>
      </c>
      <c r="F17" s="17">
        <v>0</v>
      </c>
      <c r="G17" s="17">
        <v>0</v>
      </c>
      <c r="H17" s="17">
        <v>0</v>
      </c>
      <c r="I17" s="17">
        <v>0</v>
      </c>
      <c r="J17" s="17">
        <v>0</v>
      </c>
      <c r="K17" s="17">
        <v>0</v>
      </c>
      <c r="L17" s="17">
        <v>0</v>
      </c>
      <c r="M17" s="17">
        <v>0</v>
      </c>
      <c r="N17" s="17">
        <v>0</v>
      </c>
      <c r="O17" s="17">
        <v>0</v>
      </c>
      <c r="P17" s="17">
        <v>0</v>
      </c>
      <c r="Q17" s="17">
        <v>0</v>
      </c>
      <c r="R17" s="17">
        <v>0</v>
      </c>
      <c r="S17" s="17">
        <v>0</v>
      </c>
      <c r="T17" s="17">
        <v>0</v>
      </c>
      <c r="U17" s="17">
        <v>0</v>
      </c>
      <c r="V17" s="17">
        <v>0</v>
      </c>
      <c r="W17" s="17">
        <v>0</v>
      </c>
      <c r="X17" s="17">
        <v>0</v>
      </c>
      <c r="Y17" s="17">
        <v>0</v>
      </c>
      <c r="Z17" s="17">
        <v>0</v>
      </c>
      <c r="AA17" s="17">
        <v>0</v>
      </c>
      <c r="AB17" s="17">
        <v>0</v>
      </c>
      <c r="AC17" s="17">
        <v>0</v>
      </c>
      <c r="AD17" s="17">
        <v>0</v>
      </c>
      <c r="AE17" s="17">
        <v>0</v>
      </c>
      <c r="AF17" s="40"/>
      <c r="AG17" s="40"/>
    </row>
    <row r="18" spans="1:33" ht="16.5" customHeight="1">
      <c r="A18" s="17" t="s">
        <v>212</v>
      </c>
      <c r="B18" s="17">
        <v>0</v>
      </c>
      <c r="C18" s="17">
        <v>0</v>
      </c>
      <c r="D18" s="17">
        <v>0</v>
      </c>
      <c r="E18" s="17">
        <v>0</v>
      </c>
      <c r="F18" s="17">
        <v>0</v>
      </c>
      <c r="G18" s="17">
        <v>0</v>
      </c>
      <c r="H18" s="17">
        <v>0</v>
      </c>
      <c r="I18" s="17">
        <v>0</v>
      </c>
      <c r="J18" s="17">
        <v>0</v>
      </c>
      <c r="K18" s="17">
        <v>0</v>
      </c>
      <c r="L18" s="17">
        <v>0</v>
      </c>
      <c r="M18" s="17">
        <v>0</v>
      </c>
      <c r="N18" s="17">
        <v>0</v>
      </c>
      <c r="O18" s="17">
        <v>0</v>
      </c>
      <c r="P18" s="17">
        <v>0</v>
      </c>
      <c r="Q18" s="17">
        <v>0</v>
      </c>
      <c r="R18" s="17">
        <v>0</v>
      </c>
      <c r="S18" s="17">
        <v>0</v>
      </c>
      <c r="T18" s="17">
        <v>0</v>
      </c>
      <c r="U18" s="17">
        <v>0</v>
      </c>
      <c r="V18" s="17">
        <v>0</v>
      </c>
      <c r="W18" s="17">
        <v>0</v>
      </c>
      <c r="X18" s="17">
        <v>0</v>
      </c>
      <c r="Y18" s="17">
        <v>0</v>
      </c>
      <c r="Z18" s="17">
        <v>0</v>
      </c>
      <c r="AA18" s="17">
        <v>0</v>
      </c>
      <c r="AB18" s="17">
        <v>0</v>
      </c>
      <c r="AC18" s="17">
        <v>0</v>
      </c>
      <c r="AD18" s="17">
        <v>0</v>
      </c>
      <c r="AE18" s="17">
        <v>0</v>
      </c>
      <c r="AF18" s="40"/>
      <c r="AG18" s="40"/>
    </row>
    <row r="19" spans="1:33" ht="16.5" customHeight="1">
      <c r="A19" s="17" t="s">
        <v>213</v>
      </c>
      <c r="B19" s="17">
        <v>0</v>
      </c>
      <c r="C19" s="17">
        <v>0</v>
      </c>
      <c r="D19" s="17">
        <v>0</v>
      </c>
      <c r="E19" s="17">
        <v>0</v>
      </c>
      <c r="F19" s="17">
        <v>0</v>
      </c>
      <c r="G19" s="17">
        <v>0</v>
      </c>
      <c r="H19" s="17">
        <v>0</v>
      </c>
      <c r="I19" s="17">
        <v>0</v>
      </c>
      <c r="J19" s="17">
        <v>0</v>
      </c>
      <c r="K19" s="17">
        <v>0</v>
      </c>
      <c r="L19" s="17">
        <v>0</v>
      </c>
      <c r="M19" s="17">
        <v>0</v>
      </c>
      <c r="N19" s="17">
        <v>0</v>
      </c>
      <c r="O19" s="17">
        <v>0</v>
      </c>
      <c r="P19" s="17">
        <v>0</v>
      </c>
      <c r="Q19" s="17">
        <v>0</v>
      </c>
      <c r="R19" s="17">
        <v>0</v>
      </c>
      <c r="S19" s="17">
        <v>0</v>
      </c>
      <c r="T19" s="17">
        <v>0</v>
      </c>
      <c r="U19" s="17">
        <v>0</v>
      </c>
      <c r="V19" s="17">
        <v>0</v>
      </c>
      <c r="W19" s="17">
        <v>0</v>
      </c>
      <c r="X19" s="17">
        <v>0</v>
      </c>
      <c r="Y19" s="17">
        <v>0</v>
      </c>
      <c r="Z19" s="17">
        <v>0</v>
      </c>
      <c r="AA19" s="17">
        <v>0</v>
      </c>
      <c r="AB19" s="17">
        <v>0</v>
      </c>
      <c r="AC19" s="17">
        <v>0</v>
      </c>
      <c r="AD19" s="17">
        <v>0</v>
      </c>
      <c r="AE19" s="17">
        <v>0</v>
      </c>
      <c r="AF19" s="40"/>
      <c r="AG19" s="40"/>
    </row>
    <row r="20" spans="1:33" ht="16.5" customHeight="1">
      <c r="A20" s="17" t="s">
        <v>214</v>
      </c>
      <c r="B20" s="17">
        <v>0</v>
      </c>
      <c r="C20" s="17">
        <v>0</v>
      </c>
      <c r="D20" s="17">
        <v>0</v>
      </c>
      <c r="E20" s="17">
        <v>0</v>
      </c>
      <c r="F20" s="17">
        <v>0</v>
      </c>
      <c r="G20" s="17">
        <v>0</v>
      </c>
      <c r="H20" s="17">
        <v>0</v>
      </c>
      <c r="I20" s="17">
        <v>0</v>
      </c>
      <c r="J20" s="17">
        <v>0</v>
      </c>
      <c r="K20" s="17">
        <v>0</v>
      </c>
      <c r="L20" s="17">
        <v>0</v>
      </c>
      <c r="M20" s="17">
        <v>0</v>
      </c>
      <c r="N20" s="17">
        <v>0</v>
      </c>
      <c r="O20" s="17">
        <v>0</v>
      </c>
      <c r="P20" s="17">
        <v>0</v>
      </c>
      <c r="Q20" s="17">
        <v>0</v>
      </c>
      <c r="R20" s="17">
        <v>0</v>
      </c>
      <c r="S20" s="17">
        <v>0</v>
      </c>
      <c r="T20" s="17">
        <v>0</v>
      </c>
      <c r="U20" s="17">
        <v>0</v>
      </c>
      <c r="V20" s="17">
        <v>0</v>
      </c>
      <c r="W20" s="17">
        <v>0</v>
      </c>
      <c r="X20" s="17">
        <v>0</v>
      </c>
      <c r="Y20" s="17">
        <v>0</v>
      </c>
      <c r="Z20" s="17">
        <v>0</v>
      </c>
      <c r="AA20" s="17">
        <v>0</v>
      </c>
      <c r="AB20" s="17">
        <v>0</v>
      </c>
      <c r="AC20" s="17">
        <v>0</v>
      </c>
      <c r="AD20" s="17">
        <v>0</v>
      </c>
      <c r="AE20" s="17">
        <v>0</v>
      </c>
    </row>
    <row r="21" spans="1:33" ht="16.5" customHeight="1">
      <c r="A21" s="17" t="s">
        <v>215</v>
      </c>
      <c r="B21" s="17">
        <v>0</v>
      </c>
      <c r="C21" s="17">
        <v>0</v>
      </c>
      <c r="D21" s="17">
        <v>0</v>
      </c>
      <c r="E21" s="17">
        <v>0</v>
      </c>
      <c r="F21" s="17">
        <v>0</v>
      </c>
      <c r="G21" s="17">
        <v>0</v>
      </c>
      <c r="H21" s="17">
        <v>0</v>
      </c>
      <c r="I21" s="17">
        <v>0</v>
      </c>
      <c r="J21" s="17">
        <v>0</v>
      </c>
      <c r="K21" s="17">
        <v>0</v>
      </c>
      <c r="L21" s="17">
        <v>0</v>
      </c>
      <c r="M21" s="17">
        <v>0</v>
      </c>
      <c r="N21" s="17">
        <v>0</v>
      </c>
      <c r="O21" s="17">
        <v>0</v>
      </c>
      <c r="P21" s="17">
        <v>0</v>
      </c>
      <c r="Q21" s="17">
        <v>0</v>
      </c>
      <c r="R21" s="17">
        <v>0</v>
      </c>
      <c r="S21" s="17">
        <v>0</v>
      </c>
      <c r="T21" s="17">
        <v>0</v>
      </c>
      <c r="U21" s="17">
        <v>0</v>
      </c>
      <c r="V21" s="17">
        <v>0</v>
      </c>
      <c r="W21" s="17">
        <v>0</v>
      </c>
      <c r="X21" s="17">
        <v>0</v>
      </c>
      <c r="Y21" s="17">
        <v>0</v>
      </c>
      <c r="Z21" s="17">
        <v>0</v>
      </c>
      <c r="AA21" s="17">
        <v>0</v>
      </c>
      <c r="AB21" s="17">
        <v>0</v>
      </c>
      <c r="AC21" s="17">
        <v>0</v>
      </c>
      <c r="AD21" s="17">
        <v>0</v>
      </c>
      <c r="AE21" s="17">
        <v>0</v>
      </c>
    </row>
    <row r="22" spans="1:33" ht="16.5" customHeight="1">
      <c r="A22" s="41" t="s">
        <v>219</v>
      </c>
      <c r="B22" s="17">
        <v>0</v>
      </c>
      <c r="C22" s="17">
        <v>0</v>
      </c>
      <c r="D22" s="17">
        <v>0</v>
      </c>
      <c r="E22" s="17">
        <v>0</v>
      </c>
      <c r="F22" s="17">
        <v>0</v>
      </c>
      <c r="G22" s="17">
        <v>0</v>
      </c>
      <c r="H22" s="17">
        <v>0</v>
      </c>
      <c r="I22" s="17">
        <v>0</v>
      </c>
      <c r="J22" s="17">
        <v>0</v>
      </c>
      <c r="K22" s="17">
        <v>0</v>
      </c>
      <c r="L22" s="17">
        <v>0</v>
      </c>
      <c r="M22" s="17">
        <v>0</v>
      </c>
      <c r="N22" s="17">
        <v>0</v>
      </c>
      <c r="O22" s="17">
        <v>0</v>
      </c>
      <c r="P22" s="17">
        <v>0</v>
      </c>
      <c r="Q22" s="17">
        <v>0</v>
      </c>
      <c r="R22" s="17">
        <v>0</v>
      </c>
      <c r="S22" s="17">
        <v>0</v>
      </c>
      <c r="T22" s="17">
        <v>0</v>
      </c>
      <c r="U22" s="17">
        <v>0</v>
      </c>
      <c r="V22" s="17">
        <v>0</v>
      </c>
      <c r="W22" s="17">
        <v>0</v>
      </c>
      <c r="X22" s="17">
        <v>0</v>
      </c>
      <c r="Y22" s="17">
        <v>0</v>
      </c>
      <c r="Z22" s="17">
        <v>0</v>
      </c>
      <c r="AA22" s="17">
        <v>0</v>
      </c>
      <c r="AB22" s="17">
        <v>0</v>
      </c>
      <c r="AC22" s="17">
        <v>0</v>
      </c>
      <c r="AD22" s="17">
        <v>0</v>
      </c>
      <c r="AE22" s="17">
        <v>0</v>
      </c>
    </row>
    <row r="23" spans="1:33" ht="16.5" customHeight="1"/>
    <row r="24" spans="1:33" ht="16.5" customHeight="1"/>
    <row r="25" spans="1:33" ht="16.5" customHeight="1"/>
    <row r="26" spans="1:33" ht="16.5" customHeight="1"/>
    <row r="27" spans="1:33" ht="16.5" customHeight="1"/>
    <row r="28" spans="1:33" ht="16.5" customHeight="1"/>
    <row r="29" spans="1:33" ht="16.5" customHeight="1"/>
    <row r="30" spans="1:33" ht="16.5" customHeight="1"/>
    <row r="31" spans="1:33" ht="16.5" customHeight="1"/>
    <row r="32" spans="1:33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phoneticPr fontId="12" type="noConversion"/>
  <pageMargins left="0.7" right="0.7" top="0.75" bottom="0.75" header="0" footer="0"/>
  <pageSetup orientation="landscape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1F497D"/>
  </sheetPr>
  <dimension ref="A1:AG1000"/>
  <sheetViews>
    <sheetView workbookViewId="0"/>
  </sheetViews>
  <sheetFormatPr defaultColWidth="14.453125" defaultRowHeight="15" customHeight="1"/>
  <cols>
    <col min="1" max="1" width="26.453125" customWidth="1"/>
    <col min="2" max="2" width="11.7265625" customWidth="1"/>
    <col min="3" max="33" width="9.26953125" customWidth="1"/>
  </cols>
  <sheetData>
    <row r="1" spans="1:33" ht="16.5" customHeight="1">
      <c r="A1" s="17" t="s">
        <v>178</v>
      </c>
      <c r="B1" s="17">
        <v>2021</v>
      </c>
      <c r="C1" s="17">
        <v>2022</v>
      </c>
      <c r="D1" s="17">
        <v>2023</v>
      </c>
      <c r="E1" s="17">
        <v>2024</v>
      </c>
      <c r="F1" s="17">
        <v>2025</v>
      </c>
      <c r="G1" s="17">
        <v>2026</v>
      </c>
      <c r="H1" s="17">
        <v>2027</v>
      </c>
      <c r="I1" s="17">
        <v>2028</v>
      </c>
      <c r="J1" s="17">
        <v>2029</v>
      </c>
      <c r="K1" s="17">
        <v>2030</v>
      </c>
      <c r="L1" s="17">
        <v>2031</v>
      </c>
      <c r="M1" s="17">
        <v>2032</v>
      </c>
      <c r="N1" s="17">
        <v>2033</v>
      </c>
      <c r="O1" s="17">
        <v>2034</v>
      </c>
      <c r="P1" s="17">
        <v>2035</v>
      </c>
      <c r="Q1" s="17">
        <v>2036</v>
      </c>
      <c r="R1" s="17">
        <v>2037</v>
      </c>
      <c r="S1" s="17">
        <v>2038</v>
      </c>
      <c r="T1" s="17">
        <v>2039</v>
      </c>
      <c r="U1" s="17">
        <v>2040</v>
      </c>
      <c r="V1" s="17">
        <v>2041</v>
      </c>
      <c r="W1" s="17">
        <v>2042</v>
      </c>
      <c r="X1" s="17">
        <v>2043</v>
      </c>
      <c r="Y1" s="17">
        <v>2044</v>
      </c>
      <c r="Z1" s="17">
        <v>2045</v>
      </c>
      <c r="AA1" s="17">
        <v>2046</v>
      </c>
      <c r="AB1" s="17">
        <v>2047</v>
      </c>
      <c r="AC1" s="17">
        <v>2048</v>
      </c>
      <c r="AD1" s="17">
        <v>2049</v>
      </c>
      <c r="AE1" s="17">
        <v>2050</v>
      </c>
    </row>
    <row r="2" spans="1:33" ht="16.5" customHeight="1">
      <c r="A2" s="17" t="s">
        <v>199</v>
      </c>
      <c r="B2" s="17">
        <v>0</v>
      </c>
      <c r="C2" s="17">
        <v>0</v>
      </c>
      <c r="D2" s="17">
        <v>0</v>
      </c>
      <c r="E2" s="17">
        <v>0</v>
      </c>
      <c r="F2" s="17">
        <v>0</v>
      </c>
      <c r="G2" s="17">
        <v>0</v>
      </c>
      <c r="H2" s="17">
        <v>0</v>
      </c>
      <c r="I2" s="17">
        <v>0</v>
      </c>
      <c r="J2" s="17">
        <v>0</v>
      </c>
      <c r="K2" s="17">
        <v>0</v>
      </c>
      <c r="L2" s="17">
        <v>0</v>
      </c>
      <c r="M2" s="17">
        <v>0</v>
      </c>
      <c r="N2" s="17">
        <v>0</v>
      </c>
      <c r="O2" s="17">
        <v>0</v>
      </c>
      <c r="P2" s="17">
        <v>0</v>
      </c>
      <c r="Q2" s="17">
        <v>0</v>
      </c>
      <c r="R2" s="17">
        <v>0</v>
      </c>
      <c r="S2" s="17">
        <v>0</v>
      </c>
      <c r="T2" s="17">
        <v>0</v>
      </c>
      <c r="U2" s="17">
        <v>0</v>
      </c>
      <c r="V2" s="17">
        <v>0</v>
      </c>
      <c r="W2" s="17">
        <v>0</v>
      </c>
      <c r="X2" s="17">
        <v>0</v>
      </c>
      <c r="Y2" s="17">
        <v>0</v>
      </c>
      <c r="Z2" s="17">
        <v>0</v>
      </c>
      <c r="AA2" s="17">
        <v>0</v>
      </c>
      <c r="AB2" s="17">
        <v>0</v>
      </c>
      <c r="AC2" s="17">
        <v>0</v>
      </c>
      <c r="AD2" s="17">
        <v>0</v>
      </c>
      <c r="AE2" s="17">
        <v>0</v>
      </c>
    </row>
    <row r="3" spans="1:33" ht="16.5" customHeight="1">
      <c r="A3" s="17" t="s">
        <v>200</v>
      </c>
      <c r="B3" s="17">
        <v>0</v>
      </c>
      <c r="C3" s="17">
        <v>0</v>
      </c>
      <c r="D3" s="17">
        <v>0</v>
      </c>
      <c r="E3" s="17">
        <v>0</v>
      </c>
      <c r="F3" s="17">
        <v>0</v>
      </c>
      <c r="G3" s="17">
        <v>0</v>
      </c>
      <c r="H3" s="17">
        <v>0</v>
      </c>
      <c r="I3" s="17">
        <v>0</v>
      </c>
      <c r="J3" s="17">
        <v>0</v>
      </c>
      <c r="K3" s="17">
        <v>0</v>
      </c>
      <c r="L3" s="17">
        <v>0</v>
      </c>
      <c r="M3" s="17">
        <v>0</v>
      </c>
      <c r="N3" s="17">
        <v>0</v>
      </c>
      <c r="O3" s="17">
        <v>0</v>
      </c>
      <c r="P3" s="17">
        <v>0</v>
      </c>
      <c r="Q3" s="17">
        <v>0</v>
      </c>
      <c r="R3" s="17">
        <v>0</v>
      </c>
      <c r="S3" s="17">
        <v>0</v>
      </c>
      <c r="T3" s="17">
        <v>0</v>
      </c>
      <c r="U3" s="17">
        <v>0</v>
      </c>
      <c r="V3" s="17">
        <v>0</v>
      </c>
      <c r="W3" s="17">
        <v>0</v>
      </c>
      <c r="X3" s="17">
        <v>0</v>
      </c>
      <c r="Y3" s="17">
        <v>0</v>
      </c>
      <c r="Z3" s="17">
        <v>0</v>
      </c>
      <c r="AA3" s="17">
        <v>0</v>
      </c>
      <c r="AB3" s="17">
        <v>0</v>
      </c>
      <c r="AC3" s="17">
        <v>0</v>
      </c>
      <c r="AD3" s="17">
        <v>0</v>
      </c>
      <c r="AE3" s="17">
        <v>0</v>
      </c>
      <c r="AF3" s="40"/>
      <c r="AG3" s="40"/>
    </row>
    <row r="4" spans="1:33" ht="16.5" customHeight="1">
      <c r="A4" s="17" t="s">
        <v>201</v>
      </c>
      <c r="B4" s="17">
        <v>0</v>
      </c>
      <c r="C4" s="17">
        <v>0</v>
      </c>
      <c r="D4" s="17">
        <v>0</v>
      </c>
      <c r="E4" s="17">
        <v>0</v>
      </c>
      <c r="F4" s="17">
        <v>0</v>
      </c>
      <c r="G4" s="17">
        <v>0</v>
      </c>
      <c r="H4" s="17">
        <v>0</v>
      </c>
      <c r="I4" s="17">
        <v>0</v>
      </c>
      <c r="J4" s="17">
        <v>0</v>
      </c>
      <c r="K4" s="17">
        <v>0</v>
      </c>
      <c r="L4" s="17">
        <v>0</v>
      </c>
      <c r="M4" s="17">
        <v>0</v>
      </c>
      <c r="N4" s="17">
        <v>0</v>
      </c>
      <c r="O4" s="17">
        <v>0</v>
      </c>
      <c r="P4" s="17">
        <v>0</v>
      </c>
      <c r="Q4" s="17">
        <v>0</v>
      </c>
      <c r="R4" s="17">
        <v>0</v>
      </c>
      <c r="S4" s="17">
        <v>0</v>
      </c>
      <c r="T4" s="17">
        <v>0</v>
      </c>
      <c r="U4" s="17">
        <v>0</v>
      </c>
      <c r="V4" s="17">
        <v>0</v>
      </c>
      <c r="W4" s="17">
        <v>0</v>
      </c>
      <c r="X4" s="17">
        <v>0</v>
      </c>
      <c r="Y4" s="17">
        <v>0</v>
      </c>
      <c r="Z4" s="17">
        <v>0</v>
      </c>
      <c r="AA4" s="17">
        <v>0</v>
      </c>
      <c r="AB4" s="17">
        <v>0</v>
      </c>
      <c r="AC4" s="17">
        <v>0</v>
      </c>
      <c r="AD4" s="17">
        <v>0</v>
      </c>
      <c r="AE4" s="17">
        <v>0</v>
      </c>
      <c r="AF4" s="40"/>
      <c r="AG4" s="40"/>
    </row>
    <row r="5" spans="1:33" ht="16.5" customHeight="1">
      <c r="A5" s="17" t="s">
        <v>124</v>
      </c>
      <c r="B5" s="17">
        <v>0</v>
      </c>
      <c r="C5" s="17">
        <v>0</v>
      </c>
      <c r="D5" s="17">
        <v>0</v>
      </c>
      <c r="E5" s="17">
        <v>0</v>
      </c>
      <c r="F5" s="17">
        <v>0</v>
      </c>
      <c r="G5" s="17">
        <v>0</v>
      </c>
      <c r="H5" s="17">
        <v>0</v>
      </c>
      <c r="I5" s="17">
        <v>0</v>
      </c>
      <c r="J5" s="17">
        <v>0</v>
      </c>
      <c r="K5" s="17">
        <v>0</v>
      </c>
      <c r="L5" s="17">
        <v>0</v>
      </c>
      <c r="M5" s="17">
        <v>0</v>
      </c>
      <c r="N5" s="17">
        <v>0</v>
      </c>
      <c r="O5" s="17">
        <v>0</v>
      </c>
      <c r="P5" s="17">
        <v>0</v>
      </c>
      <c r="Q5" s="17">
        <v>0</v>
      </c>
      <c r="R5" s="17">
        <v>0</v>
      </c>
      <c r="S5" s="17">
        <v>0</v>
      </c>
      <c r="T5" s="17">
        <v>0</v>
      </c>
      <c r="U5" s="17">
        <v>0</v>
      </c>
      <c r="V5" s="17">
        <v>0</v>
      </c>
      <c r="W5" s="17">
        <v>0</v>
      </c>
      <c r="X5" s="17">
        <v>0</v>
      </c>
      <c r="Y5" s="17">
        <v>0</v>
      </c>
      <c r="Z5" s="17">
        <v>0</v>
      </c>
      <c r="AA5" s="17">
        <v>0</v>
      </c>
      <c r="AB5" s="17">
        <v>0</v>
      </c>
      <c r="AC5" s="17">
        <v>0</v>
      </c>
      <c r="AD5" s="17">
        <v>0</v>
      </c>
      <c r="AE5" s="17">
        <v>0</v>
      </c>
    </row>
    <row r="6" spans="1:33" ht="16.5" customHeight="1">
      <c r="A6" s="17" t="s">
        <v>123</v>
      </c>
      <c r="B6" s="17">
        <v>0</v>
      </c>
      <c r="C6" s="17">
        <v>0</v>
      </c>
      <c r="D6" s="17">
        <v>0</v>
      </c>
      <c r="E6" s="17">
        <v>0</v>
      </c>
      <c r="F6" s="17">
        <v>0</v>
      </c>
      <c r="G6" s="17">
        <v>0</v>
      </c>
      <c r="H6" s="17">
        <v>0</v>
      </c>
      <c r="I6" s="17">
        <v>0</v>
      </c>
      <c r="J6" s="17">
        <v>0</v>
      </c>
      <c r="K6" s="17">
        <v>0</v>
      </c>
      <c r="L6" s="17">
        <v>0</v>
      </c>
      <c r="M6" s="17">
        <v>0</v>
      </c>
      <c r="N6" s="17">
        <v>0</v>
      </c>
      <c r="O6" s="17">
        <v>0</v>
      </c>
      <c r="P6" s="17">
        <v>0</v>
      </c>
      <c r="Q6" s="17">
        <v>0</v>
      </c>
      <c r="R6" s="17">
        <v>0</v>
      </c>
      <c r="S6" s="17">
        <v>0</v>
      </c>
      <c r="T6" s="17">
        <v>0</v>
      </c>
      <c r="U6" s="17">
        <v>0</v>
      </c>
      <c r="V6" s="17">
        <v>0</v>
      </c>
      <c r="W6" s="17">
        <v>0</v>
      </c>
      <c r="X6" s="17">
        <v>0</v>
      </c>
      <c r="Y6" s="17">
        <v>0</v>
      </c>
      <c r="Z6" s="17">
        <v>0</v>
      </c>
      <c r="AA6" s="17">
        <v>0</v>
      </c>
      <c r="AB6" s="17">
        <v>0</v>
      </c>
      <c r="AC6" s="17">
        <v>0</v>
      </c>
      <c r="AD6" s="17">
        <v>0</v>
      </c>
      <c r="AE6" s="17">
        <v>0</v>
      </c>
    </row>
    <row r="7" spans="1:33" ht="16.5" customHeight="1">
      <c r="A7" s="17" t="s">
        <v>202</v>
      </c>
      <c r="B7" s="17">
        <v>0</v>
      </c>
      <c r="C7" s="17">
        <v>0</v>
      </c>
      <c r="D7" s="17">
        <v>0</v>
      </c>
      <c r="E7" s="17">
        <v>0</v>
      </c>
      <c r="F7" s="17">
        <v>0</v>
      </c>
      <c r="G7" s="17">
        <v>0</v>
      </c>
      <c r="H7" s="17">
        <v>0</v>
      </c>
      <c r="I7" s="17">
        <v>0</v>
      </c>
      <c r="J7" s="17">
        <v>0</v>
      </c>
      <c r="K7" s="17">
        <v>0</v>
      </c>
      <c r="L7" s="17">
        <v>0</v>
      </c>
      <c r="M7" s="17">
        <v>0</v>
      </c>
      <c r="N7" s="17">
        <v>0</v>
      </c>
      <c r="O7" s="17">
        <v>0</v>
      </c>
      <c r="P7" s="17">
        <v>0</v>
      </c>
      <c r="Q7" s="17">
        <v>0</v>
      </c>
      <c r="R7" s="17">
        <v>0</v>
      </c>
      <c r="S7" s="17">
        <v>0</v>
      </c>
      <c r="T7" s="17">
        <v>0</v>
      </c>
      <c r="U7" s="17">
        <v>0</v>
      </c>
      <c r="V7" s="17">
        <v>0</v>
      </c>
      <c r="W7" s="17">
        <v>0</v>
      </c>
      <c r="X7" s="17">
        <v>0</v>
      </c>
      <c r="Y7" s="17">
        <v>0</v>
      </c>
      <c r="Z7" s="17">
        <v>0</v>
      </c>
      <c r="AA7" s="17">
        <v>0</v>
      </c>
      <c r="AB7" s="17">
        <v>0</v>
      </c>
      <c r="AC7" s="17">
        <v>0</v>
      </c>
      <c r="AD7" s="17">
        <v>0</v>
      </c>
      <c r="AE7" s="17">
        <v>0</v>
      </c>
    </row>
    <row r="8" spans="1:33" ht="16.5" customHeight="1">
      <c r="A8" s="17" t="s">
        <v>203</v>
      </c>
      <c r="B8" s="17">
        <v>0</v>
      </c>
      <c r="C8" s="17">
        <v>0</v>
      </c>
      <c r="D8" s="17">
        <v>0</v>
      </c>
      <c r="E8" s="17">
        <v>0</v>
      </c>
      <c r="F8" s="17">
        <v>0</v>
      </c>
      <c r="G8" s="17">
        <v>0</v>
      </c>
      <c r="H8" s="17">
        <v>0</v>
      </c>
      <c r="I8" s="17">
        <v>0</v>
      </c>
      <c r="J8" s="17">
        <v>0</v>
      </c>
      <c r="K8" s="17">
        <v>0</v>
      </c>
      <c r="L8" s="17">
        <v>0</v>
      </c>
      <c r="M8" s="17">
        <v>0</v>
      </c>
      <c r="N8" s="17">
        <v>0</v>
      </c>
      <c r="O8" s="17">
        <v>0</v>
      </c>
      <c r="P8" s="17">
        <v>0</v>
      </c>
      <c r="Q8" s="17">
        <v>0</v>
      </c>
      <c r="R8" s="17">
        <v>0</v>
      </c>
      <c r="S8" s="17">
        <v>0</v>
      </c>
      <c r="T8" s="17">
        <v>0</v>
      </c>
      <c r="U8" s="17">
        <v>0</v>
      </c>
      <c r="V8" s="17">
        <v>0</v>
      </c>
      <c r="W8" s="17">
        <v>0</v>
      </c>
      <c r="X8" s="17">
        <v>0</v>
      </c>
      <c r="Y8" s="17">
        <v>0</v>
      </c>
      <c r="Z8" s="17">
        <v>0</v>
      </c>
      <c r="AA8" s="17">
        <v>0</v>
      </c>
      <c r="AB8" s="17">
        <v>0</v>
      </c>
      <c r="AC8" s="17">
        <v>0</v>
      </c>
      <c r="AD8" s="17">
        <v>0</v>
      </c>
      <c r="AE8" s="17">
        <v>0</v>
      </c>
    </row>
    <row r="9" spans="1:33" ht="16.5" customHeight="1">
      <c r="A9" s="17" t="s">
        <v>204</v>
      </c>
      <c r="B9" s="17">
        <v>0</v>
      </c>
      <c r="C9" s="17">
        <v>0</v>
      </c>
      <c r="D9" s="17">
        <v>0</v>
      </c>
      <c r="E9" s="17">
        <v>0</v>
      </c>
      <c r="F9" s="17">
        <v>0</v>
      </c>
      <c r="G9" s="17">
        <v>0</v>
      </c>
      <c r="H9" s="17">
        <v>0</v>
      </c>
      <c r="I9" s="17">
        <v>0</v>
      </c>
      <c r="J9" s="17">
        <v>0</v>
      </c>
      <c r="K9" s="17">
        <v>0</v>
      </c>
      <c r="L9" s="17">
        <v>0</v>
      </c>
      <c r="M9" s="17">
        <v>0</v>
      </c>
      <c r="N9" s="17">
        <v>0</v>
      </c>
      <c r="O9" s="17">
        <v>0</v>
      </c>
      <c r="P9" s="17">
        <v>0</v>
      </c>
      <c r="Q9" s="17">
        <v>0</v>
      </c>
      <c r="R9" s="17">
        <v>0</v>
      </c>
      <c r="S9" s="17">
        <v>0</v>
      </c>
      <c r="T9" s="17">
        <v>0</v>
      </c>
      <c r="U9" s="17">
        <v>0</v>
      </c>
      <c r="V9" s="17">
        <v>0</v>
      </c>
      <c r="W9" s="17">
        <v>0</v>
      </c>
      <c r="X9" s="17">
        <v>0</v>
      </c>
      <c r="Y9" s="17">
        <v>0</v>
      </c>
      <c r="Z9" s="17">
        <v>0</v>
      </c>
      <c r="AA9" s="17">
        <v>0</v>
      </c>
      <c r="AB9" s="17">
        <v>0</v>
      </c>
      <c r="AC9" s="17">
        <v>0</v>
      </c>
      <c r="AD9" s="17">
        <v>0</v>
      </c>
      <c r="AE9" s="17">
        <v>0</v>
      </c>
    </row>
    <row r="10" spans="1:33" ht="16.5" customHeight="1">
      <c r="A10" s="17" t="s">
        <v>205</v>
      </c>
      <c r="B10" s="17">
        <v>0</v>
      </c>
      <c r="C10" s="17">
        <v>0</v>
      </c>
      <c r="D10" s="17">
        <v>0</v>
      </c>
      <c r="E10" s="17">
        <v>0</v>
      </c>
      <c r="F10" s="17">
        <v>0</v>
      </c>
      <c r="G10" s="17">
        <v>0</v>
      </c>
      <c r="H10" s="17">
        <v>0</v>
      </c>
      <c r="I10" s="17">
        <v>0</v>
      </c>
      <c r="J10" s="17">
        <v>0</v>
      </c>
      <c r="K10" s="17">
        <v>0</v>
      </c>
      <c r="L10" s="17">
        <v>0</v>
      </c>
      <c r="M10" s="17">
        <v>0</v>
      </c>
      <c r="N10" s="17">
        <v>0</v>
      </c>
      <c r="O10" s="17">
        <v>0</v>
      </c>
      <c r="P10" s="17">
        <v>0</v>
      </c>
      <c r="Q10" s="17">
        <v>0</v>
      </c>
      <c r="R10" s="17">
        <v>0</v>
      </c>
      <c r="S10" s="17">
        <v>0</v>
      </c>
      <c r="T10" s="17">
        <v>0</v>
      </c>
      <c r="U10" s="17">
        <v>0</v>
      </c>
      <c r="V10" s="17">
        <v>0</v>
      </c>
      <c r="W10" s="17">
        <v>0</v>
      </c>
      <c r="X10" s="17">
        <v>0</v>
      </c>
      <c r="Y10" s="17">
        <v>0</v>
      </c>
      <c r="Z10" s="17">
        <v>0</v>
      </c>
      <c r="AA10" s="17">
        <v>0</v>
      </c>
      <c r="AB10" s="17">
        <v>0</v>
      </c>
      <c r="AC10" s="17">
        <v>0</v>
      </c>
      <c r="AD10" s="17">
        <v>0</v>
      </c>
      <c r="AE10" s="17">
        <v>0</v>
      </c>
      <c r="AF10" s="40"/>
      <c r="AG10" s="40"/>
    </row>
    <row r="11" spans="1:33" ht="16.5" customHeight="1">
      <c r="A11" s="17" t="s">
        <v>206</v>
      </c>
      <c r="B11" s="17">
        <v>0</v>
      </c>
      <c r="C11" s="17">
        <v>0</v>
      </c>
      <c r="D11" s="17">
        <v>0</v>
      </c>
      <c r="E11" s="17">
        <v>0</v>
      </c>
      <c r="F11" s="17">
        <v>0</v>
      </c>
      <c r="G11" s="17">
        <v>0</v>
      </c>
      <c r="H11" s="17">
        <v>0</v>
      </c>
      <c r="I11" s="17">
        <v>0</v>
      </c>
      <c r="J11" s="17">
        <v>0</v>
      </c>
      <c r="K11" s="17">
        <v>0</v>
      </c>
      <c r="L11" s="17">
        <v>0</v>
      </c>
      <c r="M11" s="17">
        <v>0</v>
      </c>
      <c r="N11" s="17">
        <v>0</v>
      </c>
      <c r="O11" s="17">
        <v>0</v>
      </c>
      <c r="P11" s="17">
        <v>0</v>
      </c>
      <c r="Q11" s="17">
        <v>0</v>
      </c>
      <c r="R11" s="17">
        <v>0</v>
      </c>
      <c r="S11" s="17">
        <v>0</v>
      </c>
      <c r="T11" s="17">
        <v>0</v>
      </c>
      <c r="U11" s="17">
        <v>0</v>
      </c>
      <c r="V11" s="17">
        <v>0</v>
      </c>
      <c r="W11" s="17">
        <v>0</v>
      </c>
      <c r="X11" s="17">
        <v>0</v>
      </c>
      <c r="Y11" s="17">
        <v>0</v>
      </c>
      <c r="Z11" s="17">
        <v>0</v>
      </c>
      <c r="AA11" s="17">
        <v>0</v>
      </c>
      <c r="AB11" s="17">
        <v>0</v>
      </c>
      <c r="AC11" s="17">
        <v>0</v>
      </c>
      <c r="AD11" s="17">
        <v>0</v>
      </c>
      <c r="AE11" s="17">
        <v>0</v>
      </c>
      <c r="AF11" s="40"/>
      <c r="AG11" s="40"/>
    </row>
    <row r="12" spans="1:33" ht="16.5" customHeight="1">
      <c r="A12" s="17" t="s">
        <v>207</v>
      </c>
      <c r="B12" s="17">
        <v>0</v>
      </c>
      <c r="C12" s="17">
        <v>0</v>
      </c>
      <c r="D12" s="17">
        <v>0</v>
      </c>
      <c r="E12" s="17">
        <v>0</v>
      </c>
      <c r="F12" s="17">
        <v>0</v>
      </c>
      <c r="G12" s="17">
        <v>0</v>
      </c>
      <c r="H12" s="17">
        <v>0</v>
      </c>
      <c r="I12" s="17">
        <v>0</v>
      </c>
      <c r="J12" s="17">
        <v>0</v>
      </c>
      <c r="K12" s="17">
        <v>0</v>
      </c>
      <c r="L12" s="17">
        <v>0</v>
      </c>
      <c r="M12" s="17">
        <v>0</v>
      </c>
      <c r="N12" s="17">
        <v>0</v>
      </c>
      <c r="O12" s="17">
        <v>0</v>
      </c>
      <c r="P12" s="17">
        <v>0</v>
      </c>
      <c r="Q12" s="17">
        <v>0</v>
      </c>
      <c r="R12" s="17">
        <v>0</v>
      </c>
      <c r="S12" s="17">
        <v>0</v>
      </c>
      <c r="T12" s="17">
        <v>0</v>
      </c>
      <c r="U12" s="17">
        <v>0</v>
      </c>
      <c r="V12" s="17">
        <v>0</v>
      </c>
      <c r="W12" s="17">
        <v>0</v>
      </c>
      <c r="X12" s="17">
        <v>0</v>
      </c>
      <c r="Y12" s="17">
        <v>0</v>
      </c>
      <c r="Z12" s="17">
        <v>0</v>
      </c>
      <c r="AA12" s="17">
        <v>0</v>
      </c>
      <c r="AB12" s="17">
        <v>0</v>
      </c>
      <c r="AC12" s="17">
        <v>0</v>
      </c>
      <c r="AD12" s="17">
        <v>0</v>
      </c>
      <c r="AE12" s="17">
        <v>0</v>
      </c>
    </row>
    <row r="13" spans="1:33" ht="16.5" customHeight="1">
      <c r="A13" s="17" t="s">
        <v>208</v>
      </c>
      <c r="B13" s="17">
        <v>0</v>
      </c>
      <c r="C13" s="17">
        <v>0</v>
      </c>
      <c r="D13" s="17">
        <v>0</v>
      </c>
      <c r="E13" s="17">
        <v>0</v>
      </c>
      <c r="F13" s="17">
        <v>0</v>
      </c>
      <c r="G13" s="17">
        <v>0</v>
      </c>
      <c r="H13" s="17">
        <v>0</v>
      </c>
      <c r="I13" s="17">
        <v>0</v>
      </c>
      <c r="J13" s="17">
        <v>0</v>
      </c>
      <c r="K13" s="17">
        <v>0</v>
      </c>
      <c r="L13" s="17">
        <v>0</v>
      </c>
      <c r="M13" s="17">
        <v>0</v>
      </c>
      <c r="N13" s="17">
        <v>0</v>
      </c>
      <c r="O13" s="17">
        <v>0</v>
      </c>
      <c r="P13" s="17">
        <v>0</v>
      </c>
      <c r="Q13" s="17">
        <v>0</v>
      </c>
      <c r="R13" s="17">
        <v>0</v>
      </c>
      <c r="S13" s="17">
        <v>0</v>
      </c>
      <c r="T13" s="17">
        <v>0</v>
      </c>
      <c r="U13" s="17">
        <v>0</v>
      </c>
      <c r="V13" s="17">
        <v>0</v>
      </c>
      <c r="W13" s="17">
        <v>0</v>
      </c>
      <c r="X13" s="17">
        <v>0</v>
      </c>
      <c r="Y13" s="17">
        <v>0</v>
      </c>
      <c r="Z13" s="17">
        <v>0</v>
      </c>
      <c r="AA13" s="17">
        <v>0</v>
      </c>
      <c r="AB13" s="17">
        <v>0</v>
      </c>
      <c r="AC13" s="17">
        <v>0</v>
      </c>
      <c r="AD13" s="17">
        <v>0</v>
      </c>
      <c r="AE13" s="17">
        <v>0</v>
      </c>
    </row>
    <row r="14" spans="1:33" ht="16.5" customHeight="1">
      <c r="A14" s="17" t="s">
        <v>209</v>
      </c>
      <c r="B14" s="17">
        <v>0</v>
      </c>
      <c r="C14" s="17">
        <v>0</v>
      </c>
      <c r="D14" s="17">
        <v>0</v>
      </c>
      <c r="E14" s="17">
        <v>0</v>
      </c>
      <c r="F14" s="17">
        <v>0</v>
      </c>
      <c r="G14" s="17">
        <v>0</v>
      </c>
      <c r="H14" s="17">
        <v>0</v>
      </c>
      <c r="I14" s="17">
        <v>0</v>
      </c>
      <c r="J14" s="17">
        <v>0</v>
      </c>
      <c r="K14" s="17">
        <v>0</v>
      </c>
      <c r="L14" s="17">
        <v>0</v>
      </c>
      <c r="M14" s="17">
        <v>0</v>
      </c>
      <c r="N14" s="17">
        <v>0</v>
      </c>
      <c r="O14" s="17">
        <v>0</v>
      </c>
      <c r="P14" s="17">
        <v>0</v>
      </c>
      <c r="Q14" s="17">
        <v>0</v>
      </c>
      <c r="R14" s="17">
        <v>0</v>
      </c>
      <c r="S14" s="17">
        <v>0</v>
      </c>
      <c r="T14" s="17">
        <v>0</v>
      </c>
      <c r="U14" s="17">
        <v>0</v>
      </c>
      <c r="V14" s="17">
        <v>0</v>
      </c>
      <c r="W14" s="17">
        <v>0</v>
      </c>
      <c r="X14" s="17">
        <v>0</v>
      </c>
      <c r="Y14" s="17">
        <v>0</v>
      </c>
      <c r="Z14" s="17">
        <v>0</v>
      </c>
      <c r="AA14" s="17">
        <v>0</v>
      </c>
      <c r="AB14" s="17">
        <v>0</v>
      </c>
      <c r="AC14" s="17">
        <v>0</v>
      </c>
      <c r="AD14" s="17">
        <v>0</v>
      </c>
      <c r="AE14" s="17">
        <v>0</v>
      </c>
      <c r="AF14" s="40"/>
      <c r="AG14" s="40"/>
    </row>
    <row r="15" spans="1:33" ht="16.5" customHeight="1">
      <c r="A15" s="17" t="s">
        <v>210</v>
      </c>
      <c r="B15" s="17">
        <v>0</v>
      </c>
      <c r="C15" s="17">
        <v>0</v>
      </c>
      <c r="D15" s="17">
        <v>0</v>
      </c>
      <c r="E15" s="17">
        <v>0</v>
      </c>
      <c r="F15" s="17">
        <v>0</v>
      </c>
      <c r="G15" s="17">
        <v>0</v>
      </c>
      <c r="H15" s="17">
        <v>0</v>
      </c>
      <c r="I15" s="17">
        <v>0</v>
      </c>
      <c r="J15" s="17">
        <v>0</v>
      </c>
      <c r="K15" s="17">
        <v>0</v>
      </c>
      <c r="L15" s="17">
        <v>0</v>
      </c>
      <c r="M15" s="17">
        <v>0</v>
      </c>
      <c r="N15" s="17">
        <v>0</v>
      </c>
      <c r="O15" s="17">
        <v>0</v>
      </c>
      <c r="P15" s="17">
        <v>0</v>
      </c>
      <c r="Q15" s="17">
        <v>0</v>
      </c>
      <c r="R15" s="17">
        <v>0</v>
      </c>
      <c r="S15" s="17">
        <v>0</v>
      </c>
      <c r="T15" s="17">
        <v>0</v>
      </c>
      <c r="U15" s="17">
        <v>0</v>
      </c>
      <c r="V15" s="17">
        <v>0</v>
      </c>
      <c r="W15" s="17">
        <v>0</v>
      </c>
      <c r="X15" s="17">
        <v>0</v>
      </c>
      <c r="Y15" s="17">
        <v>0</v>
      </c>
      <c r="Z15" s="17">
        <v>0</v>
      </c>
      <c r="AA15" s="17">
        <v>0</v>
      </c>
      <c r="AB15" s="17">
        <v>0</v>
      </c>
      <c r="AC15" s="17">
        <v>0</v>
      </c>
      <c r="AD15" s="17">
        <v>0</v>
      </c>
      <c r="AE15" s="17">
        <v>0</v>
      </c>
    </row>
    <row r="16" spans="1:33" ht="16.5" customHeight="1">
      <c r="A16" s="17" t="s">
        <v>129</v>
      </c>
      <c r="B16" s="17">
        <v>0</v>
      </c>
      <c r="C16" s="17">
        <v>0</v>
      </c>
      <c r="D16" s="17">
        <v>0</v>
      </c>
      <c r="E16" s="17">
        <v>0</v>
      </c>
      <c r="F16" s="17">
        <v>0</v>
      </c>
      <c r="G16" s="17">
        <v>0</v>
      </c>
      <c r="H16" s="17">
        <v>0</v>
      </c>
      <c r="I16" s="17">
        <v>0</v>
      </c>
      <c r="J16" s="17">
        <v>0</v>
      </c>
      <c r="K16" s="17">
        <v>0</v>
      </c>
      <c r="L16" s="17">
        <v>0</v>
      </c>
      <c r="M16" s="17">
        <v>0</v>
      </c>
      <c r="N16" s="17">
        <v>0</v>
      </c>
      <c r="O16" s="17">
        <v>0</v>
      </c>
      <c r="P16" s="17">
        <v>0</v>
      </c>
      <c r="Q16" s="17">
        <v>0</v>
      </c>
      <c r="R16" s="17">
        <v>0</v>
      </c>
      <c r="S16" s="17">
        <v>0</v>
      </c>
      <c r="T16" s="17">
        <v>0</v>
      </c>
      <c r="U16" s="17">
        <v>0</v>
      </c>
      <c r="V16" s="17">
        <v>0</v>
      </c>
      <c r="W16" s="17">
        <v>0</v>
      </c>
      <c r="X16" s="17">
        <v>0</v>
      </c>
      <c r="Y16" s="17">
        <v>0</v>
      </c>
      <c r="Z16" s="17">
        <v>0</v>
      </c>
      <c r="AA16" s="17">
        <v>0</v>
      </c>
      <c r="AB16" s="17">
        <v>0</v>
      </c>
      <c r="AC16" s="17">
        <v>0</v>
      </c>
      <c r="AD16" s="17">
        <v>0</v>
      </c>
      <c r="AE16" s="17">
        <v>0</v>
      </c>
    </row>
    <row r="17" spans="1:33" ht="16.5" customHeight="1">
      <c r="A17" s="17" t="s">
        <v>211</v>
      </c>
      <c r="B17" s="17">
        <v>0</v>
      </c>
      <c r="C17" s="17">
        <v>0</v>
      </c>
      <c r="D17" s="17">
        <v>0</v>
      </c>
      <c r="E17" s="17">
        <v>0</v>
      </c>
      <c r="F17" s="17">
        <v>0</v>
      </c>
      <c r="G17" s="17">
        <v>0</v>
      </c>
      <c r="H17" s="17">
        <v>0</v>
      </c>
      <c r="I17" s="17">
        <v>0</v>
      </c>
      <c r="J17" s="17">
        <v>0</v>
      </c>
      <c r="K17" s="17">
        <v>0</v>
      </c>
      <c r="L17" s="17">
        <v>0</v>
      </c>
      <c r="M17" s="17">
        <v>0</v>
      </c>
      <c r="N17" s="17">
        <v>0</v>
      </c>
      <c r="O17" s="17">
        <v>0</v>
      </c>
      <c r="P17" s="17">
        <v>0</v>
      </c>
      <c r="Q17" s="17">
        <v>0</v>
      </c>
      <c r="R17" s="17">
        <v>0</v>
      </c>
      <c r="S17" s="17">
        <v>0</v>
      </c>
      <c r="T17" s="17">
        <v>0</v>
      </c>
      <c r="U17" s="17">
        <v>0</v>
      </c>
      <c r="V17" s="17">
        <v>0</v>
      </c>
      <c r="W17" s="17">
        <v>0</v>
      </c>
      <c r="X17" s="17">
        <v>0</v>
      </c>
      <c r="Y17" s="17">
        <v>0</v>
      </c>
      <c r="Z17" s="17">
        <v>0</v>
      </c>
      <c r="AA17" s="17">
        <v>0</v>
      </c>
      <c r="AB17" s="17">
        <v>0</v>
      </c>
      <c r="AC17" s="17">
        <v>0</v>
      </c>
      <c r="AD17" s="17">
        <v>0</v>
      </c>
      <c r="AE17" s="17">
        <v>0</v>
      </c>
      <c r="AF17" s="40"/>
      <c r="AG17" s="40"/>
    </row>
    <row r="18" spans="1:33" ht="16.5" customHeight="1">
      <c r="A18" s="17" t="s">
        <v>212</v>
      </c>
      <c r="B18" s="17">
        <v>0</v>
      </c>
      <c r="C18" s="17">
        <v>0</v>
      </c>
      <c r="D18" s="17">
        <v>0</v>
      </c>
      <c r="E18" s="17">
        <v>0</v>
      </c>
      <c r="F18" s="17">
        <v>0</v>
      </c>
      <c r="G18" s="17">
        <v>0</v>
      </c>
      <c r="H18" s="17">
        <v>0</v>
      </c>
      <c r="I18" s="17">
        <v>0</v>
      </c>
      <c r="J18" s="17">
        <v>0</v>
      </c>
      <c r="K18" s="17">
        <v>0</v>
      </c>
      <c r="L18" s="17">
        <v>0</v>
      </c>
      <c r="M18" s="17">
        <v>0</v>
      </c>
      <c r="N18" s="17">
        <v>0</v>
      </c>
      <c r="O18" s="17">
        <v>0</v>
      </c>
      <c r="P18" s="17">
        <v>0</v>
      </c>
      <c r="Q18" s="17">
        <v>0</v>
      </c>
      <c r="R18" s="17">
        <v>0</v>
      </c>
      <c r="S18" s="17">
        <v>0</v>
      </c>
      <c r="T18" s="17">
        <v>0</v>
      </c>
      <c r="U18" s="17">
        <v>0</v>
      </c>
      <c r="V18" s="17">
        <v>0</v>
      </c>
      <c r="W18" s="17">
        <v>0</v>
      </c>
      <c r="X18" s="17">
        <v>0</v>
      </c>
      <c r="Y18" s="17">
        <v>0</v>
      </c>
      <c r="Z18" s="17">
        <v>0</v>
      </c>
      <c r="AA18" s="17">
        <v>0</v>
      </c>
      <c r="AB18" s="17">
        <v>0</v>
      </c>
      <c r="AC18" s="17">
        <v>0</v>
      </c>
      <c r="AD18" s="17">
        <v>0</v>
      </c>
      <c r="AE18" s="17">
        <v>0</v>
      </c>
      <c r="AF18" s="40"/>
      <c r="AG18" s="40"/>
    </row>
    <row r="19" spans="1:33" ht="16.5" customHeight="1">
      <c r="A19" s="17" t="s">
        <v>213</v>
      </c>
      <c r="B19" s="17">
        <v>0</v>
      </c>
      <c r="C19" s="17">
        <v>0</v>
      </c>
      <c r="D19" s="17">
        <v>0</v>
      </c>
      <c r="E19" s="17">
        <v>0</v>
      </c>
      <c r="F19" s="17">
        <v>0</v>
      </c>
      <c r="G19" s="17">
        <v>0</v>
      </c>
      <c r="H19" s="17">
        <v>0</v>
      </c>
      <c r="I19" s="17">
        <v>0</v>
      </c>
      <c r="J19" s="17">
        <v>0</v>
      </c>
      <c r="K19" s="17">
        <v>0</v>
      </c>
      <c r="L19" s="17">
        <v>0</v>
      </c>
      <c r="M19" s="17">
        <v>0</v>
      </c>
      <c r="N19" s="17">
        <v>0</v>
      </c>
      <c r="O19" s="17">
        <v>0</v>
      </c>
      <c r="P19" s="17">
        <v>0</v>
      </c>
      <c r="Q19" s="17">
        <v>0</v>
      </c>
      <c r="R19" s="17">
        <v>0</v>
      </c>
      <c r="S19" s="17">
        <v>0</v>
      </c>
      <c r="T19" s="17">
        <v>0</v>
      </c>
      <c r="U19" s="17">
        <v>0</v>
      </c>
      <c r="V19" s="17">
        <v>0</v>
      </c>
      <c r="W19" s="17">
        <v>0</v>
      </c>
      <c r="X19" s="17">
        <v>0</v>
      </c>
      <c r="Y19" s="17">
        <v>0</v>
      </c>
      <c r="Z19" s="17">
        <v>0</v>
      </c>
      <c r="AA19" s="17">
        <v>0</v>
      </c>
      <c r="AB19" s="17">
        <v>0</v>
      </c>
      <c r="AC19" s="17">
        <v>0</v>
      </c>
      <c r="AD19" s="17">
        <v>0</v>
      </c>
      <c r="AE19" s="17">
        <v>0</v>
      </c>
      <c r="AF19" s="40"/>
      <c r="AG19" s="40"/>
    </row>
    <row r="20" spans="1:33" ht="16.5" customHeight="1">
      <c r="A20" s="17" t="s">
        <v>214</v>
      </c>
      <c r="B20" s="17">
        <v>0</v>
      </c>
      <c r="C20" s="17">
        <v>0</v>
      </c>
      <c r="D20" s="17">
        <v>0</v>
      </c>
      <c r="E20" s="17">
        <v>0</v>
      </c>
      <c r="F20" s="17">
        <v>0</v>
      </c>
      <c r="G20" s="17">
        <v>0</v>
      </c>
      <c r="H20" s="17">
        <v>0</v>
      </c>
      <c r="I20" s="17">
        <v>0</v>
      </c>
      <c r="J20" s="17">
        <v>0</v>
      </c>
      <c r="K20" s="17">
        <v>0</v>
      </c>
      <c r="L20" s="17">
        <v>0</v>
      </c>
      <c r="M20" s="17">
        <v>0</v>
      </c>
      <c r="N20" s="17">
        <v>0</v>
      </c>
      <c r="O20" s="17">
        <v>0</v>
      </c>
      <c r="P20" s="17">
        <v>0</v>
      </c>
      <c r="Q20" s="17">
        <v>0</v>
      </c>
      <c r="R20" s="17">
        <v>0</v>
      </c>
      <c r="S20" s="17">
        <v>0</v>
      </c>
      <c r="T20" s="17">
        <v>0</v>
      </c>
      <c r="U20" s="17">
        <v>0</v>
      </c>
      <c r="V20" s="17">
        <v>0</v>
      </c>
      <c r="W20" s="17">
        <v>0</v>
      </c>
      <c r="X20" s="17">
        <v>0</v>
      </c>
      <c r="Y20" s="17">
        <v>0</v>
      </c>
      <c r="Z20" s="17">
        <v>0</v>
      </c>
      <c r="AA20" s="17">
        <v>0</v>
      </c>
      <c r="AB20" s="17">
        <v>0</v>
      </c>
      <c r="AC20" s="17">
        <v>0</v>
      </c>
      <c r="AD20" s="17">
        <v>0</v>
      </c>
      <c r="AE20" s="17">
        <v>0</v>
      </c>
    </row>
    <row r="21" spans="1:33" ht="16.5" customHeight="1">
      <c r="A21" s="17" t="s">
        <v>215</v>
      </c>
      <c r="B21" s="17">
        <v>0</v>
      </c>
      <c r="C21" s="17">
        <v>0</v>
      </c>
      <c r="D21" s="17">
        <v>0</v>
      </c>
      <c r="E21" s="17">
        <v>0</v>
      </c>
      <c r="F21" s="17">
        <v>0</v>
      </c>
      <c r="G21" s="17">
        <v>0</v>
      </c>
      <c r="H21" s="17">
        <v>0</v>
      </c>
      <c r="I21" s="17">
        <v>0</v>
      </c>
      <c r="J21" s="17">
        <v>0</v>
      </c>
      <c r="K21" s="17">
        <v>0</v>
      </c>
      <c r="L21" s="17">
        <v>0</v>
      </c>
      <c r="M21" s="17">
        <v>0</v>
      </c>
      <c r="N21" s="17">
        <v>0</v>
      </c>
      <c r="O21" s="17">
        <v>0</v>
      </c>
      <c r="P21" s="17">
        <v>0</v>
      </c>
      <c r="Q21" s="17">
        <v>0</v>
      </c>
      <c r="R21" s="17">
        <v>0</v>
      </c>
      <c r="S21" s="17">
        <v>0</v>
      </c>
      <c r="T21" s="17">
        <v>0</v>
      </c>
      <c r="U21" s="17">
        <v>0</v>
      </c>
      <c r="V21" s="17">
        <v>0</v>
      </c>
      <c r="W21" s="17">
        <v>0</v>
      </c>
      <c r="X21" s="17">
        <v>0</v>
      </c>
      <c r="Y21" s="17">
        <v>0</v>
      </c>
      <c r="Z21" s="17">
        <v>0</v>
      </c>
      <c r="AA21" s="17">
        <v>0</v>
      </c>
      <c r="AB21" s="17">
        <v>0</v>
      </c>
      <c r="AC21" s="17">
        <v>0</v>
      </c>
      <c r="AD21" s="17">
        <v>0</v>
      </c>
      <c r="AE21" s="17">
        <v>0</v>
      </c>
    </row>
    <row r="22" spans="1:33" ht="16.5" customHeight="1">
      <c r="A22" s="41" t="s">
        <v>219</v>
      </c>
      <c r="B22" s="17">
        <v>0</v>
      </c>
      <c r="C22" s="17">
        <v>0</v>
      </c>
      <c r="D22" s="17">
        <v>0</v>
      </c>
      <c r="E22" s="17">
        <v>0</v>
      </c>
      <c r="F22" s="17">
        <v>0</v>
      </c>
      <c r="G22" s="17">
        <v>0</v>
      </c>
      <c r="H22" s="17">
        <v>0</v>
      </c>
      <c r="I22" s="17">
        <v>0</v>
      </c>
      <c r="J22" s="17">
        <v>0</v>
      </c>
      <c r="K22" s="17">
        <v>0</v>
      </c>
      <c r="L22" s="17">
        <v>0</v>
      </c>
      <c r="M22" s="17">
        <v>0</v>
      </c>
      <c r="N22" s="17">
        <v>0</v>
      </c>
      <c r="O22" s="17">
        <v>0</v>
      </c>
      <c r="P22" s="17">
        <v>0</v>
      </c>
      <c r="Q22" s="17">
        <v>0</v>
      </c>
      <c r="R22" s="17">
        <v>0</v>
      </c>
      <c r="S22" s="17">
        <v>0</v>
      </c>
      <c r="T22" s="17">
        <v>0</v>
      </c>
      <c r="U22" s="17">
        <v>0</v>
      </c>
      <c r="V22" s="17">
        <v>0</v>
      </c>
      <c r="W22" s="17">
        <v>0</v>
      </c>
      <c r="X22" s="17">
        <v>0</v>
      </c>
      <c r="Y22" s="17">
        <v>0</v>
      </c>
      <c r="Z22" s="17">
        <v>0</v>
      </c>
      <c r="AA22" s="17">
        <v>0</v>
      </c>
      <c r="AB22" s="17">
        <v>0</v>
      </c>
      <c r="AC22" s="17">
        <v>0</v>
      </c>
      <c r="AD22" s="17">
        <v>0</v>
      </c>
      <c r="AE22" s="17">
        <v>0</v>
      </c>
    </row>
    <row r="23" spans="1:33" ht="16.5" customHeight="1"/>
    <row r="24" spans="1:33" ht="16.5" customHeight="1"/>
    <row r="25" spans="1:33" ht="16.5" customHeight="1"/>
    <row r="26" spans="1:33" ht="16.5" customHeight="1"/>
    <row r="27" spans="1:33" ht="16.5" customHeight="1"/>
    <row r="28" spans="1:33" ht="16.5" customHeight="1"/>
    <row r="29" spans="1:33" ht="16.5" customHeight="1"/>
    <row r="30" spans="1:33" ht="16.5" customHeight="1"/>
    <row r="31" spans="1:33" ht="16.5" customHeight="1"/>
    <row r="32" spans="1:33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phoneticPr fontId="12" type="noConversion"/>
  <pageMargins left="0.7" right="0.7" top="0.75" bottom="0.75" header="0" footer="0"/>
  <pageSetup orientation="landscape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1F497D"/>
  </sheetPr>
  <dimension ref="A1:AG1000"/>
  <sheetViews>
    <sheetView workbookViewId="0"/>
  </sheetViews>
  <sheetFormatPr defaultColWidth="14.453125" defaultRowHeight="15" customHeight="1"/>
  <cols>
    <col min="1" max="1" width="26.453125" customWidth="1"/>
    <col min="2" max="2" width="11.7265625" customWidth="1"/>
    <col min="3" max="33" width="9.26953125" customWidth="1"/>
  </cols>
  <sheetData>
    <row r="1" spans="1:33" ht="16.5" customHeight="1">
      <c r="A1" s="17" t="s">
        <v>178</v>
      </c>
      <c r="B1" s="17">
        <v>2021</v>
      </c>
      <c r="C1" s="17">
        <v>2022</v>
      </c>
      <c r="D1" s="17">
        <v>2023</v>
      </c>
      <c r="E1" s="17">
        <v>2024</v>
      </c>
      <c r="F1" s="17">
        <v>2025</v>
      </c>
      <c r="G1" s="17">
        <v>2026</v>
      </c>
      <c r="H1" s="17">
        <v>2027</v>
      </c>
      <c r="I1" s="17">
        <v>2028</v>
      </c>
      <c r="J1" s="17">
        <v>2029</v>
      </c>
      <c r="K1" s="17">
        <v>2030</v>
      </c>
      <c r="L1" s="17">
        <v>2031</v>
      </c>
      <c r="M1" s="17">
        <v>2032</v>
      </c>
      <c r="N1" s="17">
        <v>2033</v>
      </c>
      <c r="O1" s="17">
        <v>2034</v>
      </c>
      <c r="P1" s="17">
        <v>2035</v>
      </c>
      <c r="Q1" s="17">
        <v>2036</v>
      </c>
      <c r="R1" s="17">
        <v>2037</v>
      </c>
      <c r="S1" s="17">
        <v>2038</v>
      </c>
      <c r="T1" s="17">
        <v>2039</v>
      </c>
      <c r="U1" s="17">
        <v>2040</v>
      </c>
      <c r="V1" s="17">
        <v>2041</v>
      </c>
      <c r="W1" s="17">
        <v>2042</v>
      </c>
      <c r="X1" s="17">
        <v>2043</v>
      </c>
      <c r="Y1" s="17">
        <v>2044</v>
      </c>
      <c r="Z1" s="17">
        <v>2045</v>
      </c>
      <c r="AA1" s="17">
        <v>2046</v>
      </c>
      <c r="AB1" s="17">
        <v>2047</v>
      </c>
      <c r="AC1" s="17">
        <v>2048</v>
      </c>
      <c r="AD1" s="17">
        <v>2049</v>
      </c>
      <c r="AE1" s="17">
        <v>2050</v>
      </c>
    </row>
    <row r="2" spans="1:33" ht="16.5" customHeight="1">
      <c r="A2" s="17" t="s">
        <v>199</v>
      </c>
      <c r="B2" s="17">
        <v>0</v>
      </c>
      <c r="C2" s="17">
        <v>0</v>
      </c>
      <c r="D2" s="17">
        <v>0</v>
      </c>
      <c r="E2" s="17">
        <v>0</v>
      </c>
      <c r="F2" s="17">
        <v>0</v>
      </c>
      <c r="G2" s="17">
        <v>0</v>
      </c>
      <c r="H2" s="17">
        <v>0</v>
      </c>
      <c r="I2" s="17">
        <v>0</v>
      </c>
      <c r="J2" s="17">
        <v>0</v>
      </c>
      <c r="K2" s="17">
        <v>0</v>
      </c>
      <c r="L2" s="17">
        <v>0</v>
      </c>
      <c r="M2" s="17">
        <v>0</v>
      </c>
      <c r="N2" s="17">
        <v>0</v>
      </c>
      <c r="O2" s="17">
        <v>0</v>
      </c>
      <c r="P2" s="17">
        <v>0</v>
      </c>
      <c r="Q2" s="17">
        <v>0</v>
      </c>
      <c r="R2" s="17">
        <v>0</v>
      </c>
      <c r="S2" s="17">
        <v>0</v>
      </c>
      <c r="T2" s="17">
        <v>0</v>
      </c>
      <c r="U2" s="17">
        <v>0</v>
      </c>
      <c r="V2" s="17">
        <v>0</v>
      </c>
      <c r="W2" s="17">
        <v>0</v>
      </c>
      <c r="X2" s="17">
        <v>0</v>
      </c>
      <c r="Y2" s="17">
        <v>0</v>
      </c>
      <c r="Z2" s="17">
        <v>0</v>
      </c>
      <c r="AA2" s="17">
        <v>0</v>
      </c>
      <c r="AB2" s="17">
        <v>0</v>
      </c>
      <c r="AC2" s="17">
        <v>0</v>
      </c>
      <c r="AD2" s="17">
        <v>0</v>
      </c>
      <c r="AE2" s="17">
        <v>0</v>
      </c>
    </row>
    <row r="3" spans="1:33" ht="16.5" customHeight="1">
      <c r="A3" s="17" t="s">
        <v>200</v>
      </c>
      <c r="B3" s="17">
        <v>0</v>
      </c>
      <c r="C3" s="17">
        <v>0</v>
      </c>
      <c r="D3" s="17">
        <v>0</v>
      </c>
      <c r="E3" s="17">
        <v>0</v>
      </c>
      <c r="F3" s="17">
        <v>0</v>
      </c>
      <c r="G3" s="17">
        <v>0</v>
      </c>
      <c r="H3" s="17">
        <v>0</v>
      </c>
      <c r="I3" s="17">
        <v>0</v>
      </c>
      <c r="J3" s="17">
        <v>0</v>
      </c>
      <c r="K3" s="17">
        <v>0</v>
      </c>
      <c r="L3" s="17">
        <v>0</v>
      </c>
      <c r="M3" s="17">
        <v>0</v>
      </c>
      <c r="N3" s="17">
        <v>0</v>
      </c>
      <c r="O3" s="17">
        <v>0</v>
      </c>
      <c r="P3" s="17">
        <v>0</v>
      </c>
      <c r="Q3" s="17">
        <v>0</v>
      </c>
      <c r="R3" s="17">
        <v>0</v>
      </c>
      <c r="S3" s="17">
        <v>0</v>
      </c>
      <c r="T3" s="17">
        <v>0</v>
      </c>
      <c r="U3" s="17">
        <v>0</v>
      </c>
      <c r="V3" s="17">
        <v>0</v>
      </c>
      <c r="W3" s="17">
        <v>0</v>
      </c>
      <c r="X3" s="17">
        <v>0</v>
      </c>
      <c r="Y3" s="17">
        <v>0</v>
      </c>
      <c r="Z3" s="17">
        <v>0</v>
      </c>
      <c r="AA3" s="17">
        <v>0</v>
      </c>
      <c r="AB3" s="17">
        <v>0</v>
      </c>
      <c r="AC3" s="17">
        <v>0</v>
      </c>
      <c r="AD3" s="17">
        <v>0</v>
      </c>
      <c r="AE3" s="17">
        <v>0</v>
      </c>
      <c r="AF3" s="40"/>
      <c r="AG3" s="40"/>
    </row>
    <row r="4" spans="1:33" ht="16.5" customHeight="1">
      <c r="A4" s="17" t="s">
        <v>201</v>
      </c>
      <c r="B4" s="17">
        <v>0</v>
      </c>
      <c r="C4" s="17">
        <v>0</v>
      </c>
      <c r="D4" s="17">
        <v>0</v>
      </c>
      <c r="E4" s="17">
        <v>0</v>
      </c>
      <c r="F4" s="17">
        <v>0</v>
      </c>
      <c r="G4" s="17">
        <v>0</v>
      </c>
      <c r="H4" s="17">
        <v>0</v>
      </c>
      <c r="I4" s="17">
        <v>0</v>
      </c>
      <c r="J4" s="17">
        <v>0</v>
      </c>
      <c r="K4" s="17">
        <v>0</v>
      </c>
      <c r="L4" s="17">
        <v>0</v>
      </c>
      <c r="M4" s="17">
        <v>0</v>
      </c>
      <c r="N4" s="17">
        <v>0</v>
      </c>
      <c r="O4" s="17">
        <v>0</v>
      </c>
      <c r="P4" s="17">
        <v>0</v>
      </c>
      <c r="Q4" s="17">
        <v>0</v>
      </c>
      <c r="R4" s="17">
        <v>0</v>
      </c>
      <c r="S4" s="17">
        <v>0</v>
      </c>
      <c r="T4" s="17">
        <v>0</v>
      </c>
      <c r="U4" s="17">
        <v>0</v>
      </c>
      <c r="V4" s="17">
        <v>0</v>
      </c>
      <c r="W4" s="17">
        <v>0</v>
      </c>
      <c r="X4" s="17">
        <v>0</v>
      </c>
      <c r="Y4" s="17">
        <v>0</v>
      </c>
      <c r="Z4" s="17">
        <v>0</v>
      </c>
      <c r="AA4" s="17">
        <v>0</v>
      </c>
      <c r="AB4" s="17">
        <v>0</v>
      </c>
      <c r="AC4" s="17">
        <v>0</v>
      </c>
      <c r="AD4" s="17">
        <v>0</v>
      </c>
      <c r="AE4" s="17">
        <v>0</v>
      </c>
      <c r="AF4" s="40"/>
      <c r="AG4" s="40"/>
    </row>
    <row r="5" spans="1:33" ht="16.5" customHeight="1">
      <c r="A5" s="17" t="s">
        <v>124</v>
      </c>
      <c r="B5" s="17">
        <v>0</v>
      </c>
      <c r="C5" s="17">
        <v>0</v>
      </c>
      <c r="D5" s="17">
        <v>0</v>
      </c>
      <c r="E5" s="17">
        <v>0</v>
      </c>
      <c r="F5" s="17">
        <v>0</v>
      </c>
      <c r="G5" s="17">
        <v>0</v>
      </c>
      <c r="H5" s="17">
        <v>0</v>
      </c>
      <c r="I5" s="17">
        <v>0</v>
      </c>
      <c r="J5" s="17">
        <v>0</v>
      </c>
      <c r="K5" s="17">
        <v>0</v>
      </c>
      <c r="L5" s="17">
        <v>0</v>
      </c>
      <c r="M5" s="17">
        <v>0</v>
      </c>
      <c r="N5" s="17">
        <v>0</v>
      </c>
      <c r="O5" s="17">
        <v>0</v>
      </c>
      <c r="P5" s="17">
        <v>0</v>
      </c>
      <c r="Q5" s="17">
        <v>0</v>
      </c>
      <c r="R5" s="17">
        <v>0</v>
      </c>
      <c r="S5" s="17">
        <v>0</v>
      </c>
      <c r="T5" s="17">
        <v>0</v>
      </c>
      <c r="U5" s="17">
        <v>0</v>
      </c>
      <c r="V5" s="17">
        <v>0</v>
      </c>
      <c r="W5" s="17">
        <v>0</v>
      </c>
      <c r="X5" s="17">
        <v>0</v>
      </c>
      <c r="Y5" s="17">
        <v>0</v>
      </c>
      <c r="Z5" s="17">
        <v>0</v>
      </c>
      <c r="AA5" s="17">
        <v>0</v>
      </c>
      <c r="AB5" s="17">
        <v>0</v>
      </c>
      <c r="AC5" s="17">
        <v>0</v>
      </c>
      <c r="AD5" s="17">
        <v>0</v>
      </c>
      <c r="AE5" s="17">
        <v>0</v>
      </c>
    </row>
    <row r="6" spans="1:33" ht="16.5" customHeight="1">
      <c r="A6" s="17" t="s">
        <v>123</v>
      </c>
      <c r="B6" s="17">
        <v>0</v>
      </c>
      <c r="C6" s="17">
        <v>0</v>
      </c>
      <c r="D6" s="17">
        <v>0</v>
      </c>
      <c r="E6" s="17">
        <v>0</v>
      </c>
      <c r="F6" s="17">
        <v>0</v>
      </c>
      <c r="G6" s="17">
        <v>0</v>
      </c>
      <c r="H6" s="17">
        <v>0</v>
      </c>
      <c r="I6" s="17">
        <v>0</v>
      </c>
      <c r="J6" s="17">
        <v>0</v>
      </c>
      <c r="K6" s="17">
        <v>0</v>
      </c>
      <c r="L6" s="17">
        <v>0</v>
      </c>
      <c r="M6" s="17">
        <v>0</v>
      </c>
      <c r="N6" s="17">
        <v>0</v>
      </c>
      <c r="O6" s="17">
        <v>0</v>
      </c>
      <c r="P6" s="17">
        <v>0</v>
      </c>
      <c r="Q6" s="17">
        <v>0</v>
      </c>
      <c r="R6" s="17">
        <v>0</v>
      </c>
      <c r="S6" s="17">
        <v>0</v>
      </c>
      <c r="T6" s="17">
        <v>0</v>
      </c>
      <c r="U6" s="17">
        <v>0</v>
      </c>
      <c r="V6" s="17">
        <v>0</v>
      </c>
      <c r="W6" s="17">
        <v>0</v>
      </c>
      <c r="X6" s="17">
        <v>0</v>
      </c>
      <c r="Y6" s="17">
        <v>0</v>
      </c>
      <c r="Z6" s="17">
        <v>0</v>
      </c>
      <c r="AA6" s="17">
        <v>0</v>
      </c>
      <c r="AB6" s="17">
        <v>0</v>
      </c>
      <c r="AC6" s="17">
        <v>0</v>
      </c>
      <c r="AD6" s="17">
        <v>0</v>
      </c>
      <c r="AE6" s="17">
        <v>0</v>
      </c>
    </row>
    <row r="7" spans="1:33" ht="16.5" customHeight="1">
      <c r="A7" s="17" t="s">
        <v>202</v>
      </c>
      <c r="B7" s="17">
        <v>0</v>
      </c>
      <c r="C7" s="17">
        <v>0</v>
      </c>
      <c r="D7" s="17">
        <v>0</v>
      </c>
      <c r="E7" s="17">
        <v>0</v>
      </c>
      <c r="F7" s="17">
        <v>0</v>
      </c>
      <c r="G7" s="17">
        <v>0</v>
      </c>
      <c r="H7" s="17">
        <v>0</v>
      </c>
      <c r="I7" s="17">
        <v>0</v>
      </c>
      <c r="J7" s="17">
        <v>0</v>
      </c>
      <c r="K7" s="17">
        <v>0</v>
      </c>
      <c r="L7" s="17">
        <v>0</v>
      </c>
      <c r="M7" s="17">
        <v>0</v>
      </c>
      <c r="N7" s="17">
        <v>0</v>
      </c>
      <c r="O7" s="17">
        <v>0</v>
      </c>
      <c r="P7" s="17">
        <v>0</v>
      </c>
      <c r="Q7" s="17">
        <v>0</v>
      </c>
      <c r="R7" s="17">
        <v>0</v>
      </c>
      <c r="S7" s="17">
        <v>0</v>
      </c>
      <c r="T7" s="17">
        <v>0</v>
      </c>
      <c r="U7" s="17">
        <v>0</v>
      </c>
      <c r="V7" s="17">
        <v>0</v>
      </c>
      <c r="W7" s="17">
        <v>0</v>
      </c>
      <c r="X7" s="17">
        <v>0</v>
      </c>
      <c r="Y7" s="17">
        <v>0</v>
      </c>
      <c r="Z7" s="17">
        <v>0</v>
      </c>
      <c r="AA7" s="17">
        <v>0</v>
      </c>
      <c r="AB7" s="17">
        <v>0</v>
      </c>
      <c r="AC7" s="17">
        <v>0</v>
      </c>
      <c r="AD7" s="17">
        <v>0</v>
      </c>
      <c r="AE7" s="17">
        <v>0</v>
      </c>
    </row>
    <row r="8" spans="1:33" ht="16.5" customHeight="1">
      <c r="A8" s="17" t="s">
        <v>203</v>
      </c>
      <c r="B8" s="17">
        <v>0</v>
      </c>
      <c r="C8" s="17">
        <v>0</v>
      </c>
      <c r="D8" s="17">
        <v>0</v>
      </c>
      <c r="E8" s="17">
        <v>0</v>
      </c>
      <c r="F8" s="17">
        <v>0</v>
      </c>
      <c r="G8" s="17">
        <v>0</v>
      </c>
      <c r="H8" s="17">
        <v>0</v>
      </c>
      <c r="I8" s="17">
        <v>0</v>
      </c>
      <c r="J8" s="17">
        <v>0</v>
      </c>
      <c r="K8" s="17">
        <v>0</v>
      </c>
      <c r="L8" s="17">
        <v>0</v>
      </c>
      <c r="M8" s="17">
        <v>0</v>
      </c>
      <c r="N8" s="17">
        <v>0</v>
      </c>
      <c r="O8" s="17">
        <v>0</v>
      </c>
      <c r="P8" s="17">
        <v>0</v>
      </c>
      <c r="Q8" s="17">
        <v>0</v>
      </c>
      <c r="R8" s="17">
        <v>0</v>
      </c>
      <c r="S8" s="17">
        <v>0</v>
      </c>
      <c r="T8" s="17">
        <v>0</v>
      </c>
      <c r="U8" s="17">
        <v>0</v>
      </c>
      <c r="V8" s="17">
        <v>0</v>
      </c>
      <c r="W8" s="17">
        <v>0</v>
      </c>
      <c r="X8" s="17">
        <v>0</v>
      </c>
      <c r="Y8" s="17">
        <v>0</v>
      </c>
      <c r="Z8" s="17">
        <v>0</v>
      </c>
      <c r="AA8" s="17">
        <v>0</v>
      </c>
      <c r="AB8" s="17">
        <v>0</v>
      </c>
      <c r="AC8" s="17">
        <v>0</v>
      </c>
      <c r="AD8" s="17">
        <v>0</v>
      </c>
      <c r="AE8" s="17">
        <v>0</v>
      </c>
    </row>
    <row r="9" spans="1:33" ht="16.5" customHeight="1">
      <c r="A9" s="17" t="s">
        <v>204</v>
      </c>
      <c r="B9" s="17">
        <v>0</v>
      </c>
      <c r="C9" s="17">
        <v>0</v>
      </c>
      <c r="D9" s="17">
        <v>0</v>
      </c>
      <c r="E9" s="17">
        <v>0</v>
      </c>
      <c r="F9" s="17">
        <v>0</v>
      </c>
      <c r="G9" s="17">
        <v>0</v>
      </c>
      <c r="H9" s="17">
        <v>0</v>
      </c>
      <c r="I9" s="17">
        <v>0</v>
      </c>
      <c r="J9" s="17">
        <v>0</v>
      </c>
      <c r="K9" s="17">
        <v>0</v>
      </c>
      <c r="L9" s="17">
        <v>0</v>
      </c>
      <c r="M9" s="17">
        <v>0</v>
      </c>
      <c r="N9" s="17">
        <v>0</v>
      </c>
      <c r="O9" s="17">
        <v>0</v>
      </c>
      <c r="P9" s="17">
        <v>0</v>
      </c>
      <c r="Q9" s="17">
        <v>0</v>
      </c>
      <c r="R9" s="17">
        <v>0</v>
      </c>
      <c r="S9" s="17">
        <v>0</v>
      </c>
      <c r="T9" s="17">
        <v>0</v>
      </c>
      <c r="U9" s="17">
        <v>0</v>
      </c>
      <c r="V9" s="17">
        <v>0</v>
      </c>
      <c r="W9" s="17">
        <v>0</v>
      </c>
      <c r="X9" s="17">
        <v>0</v>
      </c>
      <c r="Y9" s="17">
        <v>0</v>
      </c>
      <c r="Z9" s="17">
        <v>0</v>
      </c>
      <c r="AA9" s="17">
        <v>0</v>
      </c>
      <c r="AB9" s="17">
        <v>0</v>
      </c>
      <c r="AC9" s="17">
        <v>0</v>
      </c>
      <c r="AD9" s="17">
        <v>0</v>
      </c>
      <c r="AE9" s="17">
        <v>0</v>
      </c>
    </row>
    <row r="10" spans="1:33" ht="16.5" customHeight="1">
      <c r="A10" s="17" t="s">
        <v>205</v>
      </c>
      <c r="B10" s="17">
        <v>0</v>
      </c>
      <c r="C10" s="17">
        <v>0</v>
      </c>
      <c r="D10" s="17">
        <v>0</v>
      </c>
      <c r="E10" s="17">
        <v>0</v>
      </c>
      <c r="F10" s="17">
        <v>0</v>
      </c>
      <c r="G10" s="17">
        <v>0</v>
      </c>
      <c r="H10" s="17">
        <v>0</v>
      </c>
      <c r="I10" s="17">
        <v>0</v>
      </c>
      <c r="J10" s="17">
        <v>0</v>
      </c>
      <c r="K10" s="17">
        <v>0</v>
      </c>
      <c r="L10" s="17">
        <v>0</v>
      </c>
      <c r="M10" s="17">
        <v>0</v>
      </c>
      <c r="N10" s="17">
        <v>0</v>
      </c>
      <c r="O10" s="17">
        <v>0</v>
      </c>
      <c r="P10" s="17">
        <v>0</v>
      </c>
      <c r="Q10" s="17">
        <v>0</v>
      </c>
      <c r="R10" s="17">
        <v>0</v>
      </c>
      <c r="S10" s="17">
        <v>0</v>
      </c>
      <c r="T10" s="17">
        <v>0</v>
      </c>
      <c r="U10" s="17">
        <v>0</v>
      </c>
      <c r="V10" s="17">
        <v>0</v>
      </c>
      <c r="W10" s="17">
        <v>0</v>
      </c>
      <c r="X10" s="17">
        <v>0</v>
      </c>
      <c r="Y10" s="17">
        <v>0</v>
      </c>
      <c r="Z10" s="17">
        <v>0</v>
      </c>
      <c r="AA10" s="17">
        <v>0</v>
      </c>
      <c r="AB10" s="17">
        <v>0</v>
      </c>
      <c r="AC10" s="17">
        <v>0</v>
      </c>
      <c r="AD10" s="17">
        <v>0</v>
      </c>
      <c r="AE10" s="17">
        <v>0</v>
      </c>
      <c r="AF10" s="40"/>
      <c r="AG10" s="40"/>
    </row>
    <row r="11" spans="1:33" ht="16.5" customHeight="1">
      <c r="A11" s="17" t="s">
        <v>206</v>
      </c>
      <c r="B11" s="17">
        <v>0</v>
      </c>
      <c r="C11" s="17">
        <v>0</v>
      </c>
      <c r="D11" s="17">
        <v>0</v>
      </c>
      <c r="E11" s="17">
        <v>0</v>
      </c>
      <c r="F11" s="17">
        <v>0</v>
      </c>
      <c r="G11" s="17">
        <v>0</v>
      </c>
      <c r="H11" s="17">
        <v>0</v>
      </c>
      <c r="I11" s="17">
        <v>0</v>
      </c>
      <c r="J11" s="17">
        <v>0</v>
      </c>
      <c r="K11" s="17">
        <v>0</v>
      </c>
      <c r="L11" s="17">
        <v>0</v>
      </c>
      <c r="M11" s="17">
        <v>0</v>
      </c>
      <c r="N11" s="17">
        <v>0</v>
      </c>
      <c r="O11" s="17">
        <v>0</v>
      </c>
      <c r="P11" s="17">
        <v>0</v>
      </c>
      <c r="Q11" s="17">
        <v>0</v>
      </c>
      <c r="R11" s="17">
        <v>0</v>
      </c>
      <c r="S11" s="17">
        <v>0</v>
      </c>
      <c r="T11" s="17">
        <v>0</v>
      </c>
      <c r="U11" s="17">
        <v>0</v>
      </c>
      <c r="V11" s="17">
        <v>0</v>
      </c>
      <c r="W11" s="17">
        <v>0</v>
      </c>
      <c r="X11" s="17">
        <v>0</v>
      </c>
      <c r="Y11" s="17">
        <v>0</v>
      </c>
      <c r="Z11" s="17">
        <v>0</v>
      </c>
      <c r="AA11" s="17">
        <v>0</v>
      </c>
      <c r="AB11" s="17">
        <v>0</v>
      </c>
      <c r="AC11" s="17">
        <v>0</v>
      </c>
      <c r="AD11" s="17">
        <v>0</v>
      </c>
      <c r="AE11" s="17">
        <v>0</v>
      </c>
      <c r="AF11" s="40"/>
      <c r="AG11" s="40"/>
    </row>
    <row r="12" spans="1:33" ht="16.5" customHeight="1">
      <c r="A12" s="17" t="s">
        <v>207</v>
      </c>
      <c r="B12" s="17">
        <v>0</v>
      </c>
      <c r="C12" s="17">
        <v>0</v>
      </c>
      <c r="D12" s="17">
        <v>0</v>
      </c>
      <c r="E12" s="17">
        <v>0</v>
      </c>
      <c r="F12" s="17">
        <v>0</v>
      </c>
      <c r="G12" s="17">
        <v>0</v>
      </c>
      <c r="H12" s="17">
        <v>0</v>
      </c>
      <c r="I12" s="17">
        <v>0</v>
      </c>
      <c r="J12" s="17">
        <v>0</v>
      </c>
      <c r="K12" s="17">
        <v>0</v>
      </c>
      <c r="L12" s="17">
        <v>0</v>
      </c>
      <c r="M12" s="17">
        <v>0</v>
      </c>
      <c r="N12" s="17">
        <v>0</v>
      </c>
      <c r="O12" s="17">
        <v>0</v>
      </c>
      <c r="P12" s="17">
        <v>0</v>
      </c>
      <c r="Q12" s="17">
        <v>0</v>
      </c>
      <c r="R12" s="17">
        <v>0</v>
      </c>
      <c r="S12" s="17">
        <v>0</v>
      </c>
      <c r="T12" s="17">
        <v>0</v>
      </c>
      <c r="U12" s="17">
        <v>0</v>
      </c>
      <c r="V12" s="17">
        <v>0</v>
      </c>
      <c r="W12" s="17">
        <v>0</v>
      </c>
      <c r="X12" s="17">
        <v>0</v>
      </c>
      <c r="Y12" s="17">
        <v>0</v>
      </c>
      <c r="Z12" s="17">
        <v>0</v>
      </c>
      <c r="AA12" s="17">
        <v>0</v>
      </c>
      <c r="AB12" s="17">
        <v>0</v>
      </c>
      <c r="AC12" s="17">
        <v>0</v>
      </c>
      <c r="AD12" s="17">
        <v>0</v>
      </c>
      <c r="AE12" s="17">
        <v>0</v>
      </c>
    </row>
    <row r="13" spans="1:33" ht="16.5" customHeight="1">
      <c r="A13" s="17" t="s">
        <v>208</v>
      </c>
      <c r="B13" s="17">
        <v>0</v>
      </c>
      <c r="C13" s="17">
        <v>0</v>
      </c>
      <c r="D13" s="17">
        <v>0</v>
      </c>
      <c r="E13" s="17">
        <v>0</v>
      </c>
      <c r="F13" s="17">
        <v>0</v>
      </c>
      <c r="G13" s="17">
        <v>0</v>
      </c>
      <c r="H13" s="17">
        <v>0</v>
      </c>
      <c r="I13" s="17">
        <v>0</v>
      </c>
      <c r="J13" s="17">
        <v>0</v>
      </c>
      <c r="K13" s="17">
        <v>0</v>
      </c>
      <c r="L13" s="17">
        <v>0</v>
      </c>
      <c r="M13" s="17">
        <v>0</v>
      </c>
      <c r="N13" s="17">
        <v>0</v>
      </c>
      <c r="O13" s="17">
        <v>0</v>
      </c>
      <c r="P13" s="17">
        <v>0</v>
      </c>
      <c r="Q13" s="17">
        <v>0</v>
      </c>
      <c r="R13" s="17">
        <v>0</v>
      </c>
      <c r="S13" s="17">
        <v>0</v>
      </c>
      <c r="T13" s="17">
        <v>0</v>
      </c>
      <c r="U13" s="17">
        <v>0</v>
      </c>
      <c r="V13" s="17">
        <v>0</v>
      </c>
      <c r="W13" s="17">
        <v>0</v>
      </c>
      <c r="X13" s="17">
        <v>0</v>
      </c>
      <c r="Y13" s="17">
        <v>0</v>
      </c>
      <c r="Z13" s="17">
        <v>0</v>
      </c>
      <c r="AA13" s="17">
        <v>0</v>
      </c>
      <c r="AB13" s="17">
        <v>0</v>
      </c>
      <c r="AC13" s="17">
        <v>0</v>
      </c>
      <c r="AD13" s="17">
        <v>0</v>
      </c>
      <c r="AE13" s="17">
        <v>0</v>
      </c>
    </row>
    <row r="14" spans="1:33" ht="16.5" customHeight="1">
      <c r="A14" s="17" t="s">
        <v>209</v>
      </c>
      <c r="B14" s="17">
        <v>0</v>
      </c>
      <c r="C14" s="17">
        <v>0</v>
      </c>
      <c r="D14" s="17">
        <v>0</v>
      </c>
      <c r="E14" s="17">
        <v>0</v>
      </c>
      <c r="F14" s="17">
        <v>0</v>
      </c>
      <c r="G14" s="17">
        <v>0</v>
      </c>
      <c r="H14" s="17">
        <v>0</v>
      </c>
      <c r="I14" s="17">
        <v>0</v>
      </c>
      <c r="J14" s="17">
        <v>0</v>
      </c>
      <c r="K14" s="17">
        <v>0</v>
      </c>
      <c r="L14" s="17">
        <v>0</v>
      </c>
      <c r="M14" s="17">
        <v>0</v>
      </c>
      <c r="N14" s="17">
        <v>0</v>
      </c>
      <c r="O14" s="17">
        <v>0</v>
      </c>
      <c r="P14" s="17">
        <v>0</v>
      </c>
      <c r="Q14" s="17">
        <v>0</v>
      </c>
      <c r="R14" s="17">
        <v>0</v>
      </c>
      <c r="S14" s="17">
        <v>0</v>
      </c>
      <c r="T14" s="17">
        <v>0</v>
      </c>
      <c r="U14" s="17">
        <v>0</v>
      </c>
      <c r="V14" s="17">
        <v>0</v>
      </c>
      <c r="W14" s="17">
        <v>0</v>
      </c>
      <c r="X14" s="17">
        <v>0</v>
      </c>
      <c r="Y14" s="17">
        <v>0</v>
      </c>
      <c r="Z14" s="17">
        <v>0</v>
      </c>
      <c r="AA14" s="17">
        <v>0</v>
      </c>
      <c r="AB14" s="17">
        <v>0</v>
      </c>
      <c r="AC14" s="17">
        <v>0</v>
      </c>
      <c r="AD14" s="17">
        <v>0</v>
      </c>
      <c r="AE14" s="17">
        <v>0</v>
      </c>
      <c r="AF14" s="40"/>
      <c r="AG14" s="40"/>
    </row>
    <row r="15" spans="1:33" ht="16.5" customHeight="1">
      <c r="A15" s="17" t="s">
        <v>210</v>
      </c>
      <c r="B15" s="17">
        <v>0</v>
      </c>
      <c r="C15" s="17">
        <v>0</v>
      </c>
      <c r="D15" s="17">
        <v>0</v>
      </c>
      <c r="E15" s="17">
        <v>0</v>
      </c>
      <c r="F15" s="17">
        <v>0</v>
      </c>
      <c r="G15" s="17">
        <v>0</v>
      </c>
      <c r="H15" s="17">
        <v>0</v>
      </c>
      <c r="I15" s="17">
        <v>0</v>
      </c>
      <c r="J15" s="17">
        <v>0</v>
      </c>
      <c r="K15" s="17">
        <v>0</v>
      </c>
      <c r="L15" s="17">
        <v>0</v>
      </c>
      <c r="M15" s="17">
        <v>0</v>
      </c>
      <c r="N15" s="17">
        <v>0</v>
      </c>
      <c r="O15" s="17">
        <v>0</v>
      </c>
      <c r="P15" s="17">
        <v>0</v>
      </c>
      <c r="Q15" s="17">
        <v>0</v>
      </c>
      <c r="R15" s="17">
        <v>0</v>
      </c>
      <c r="S15" s="17">
        <v>0</v>
      </c>
      <c r="T15" s="17">
        <v>0</v>
      </c>
      <c r="U15" s="17">
        <v>0</v>
      </c>
      <c r="V15" s="17">
        <v>0</v>
      </c>
      <c r="W15" s="17">
        <v>0</v>
      </c>
      <c r="X15" s="17">
        <v>0</v>
      </c>
      <c r="Y15" s="17">
        <v>0</v>
      </c>
      <c r="Z15" s="17">
        <v>0</v>
      </c>
      <c r="AA15" s="17">
        <v>0</v>
      </c>
      <c r="AB15" s="17">
        <v>0</v>
      </c>
      <c r="AC15" s="17">
        <v>0</v>
      </c>
      <c r="AD15" s="17">
        <v>0</v>
      </c>
      <c r="AE15" s="17">
        <v>0</v>
      </c>
    </row>
    <row r="16" spans="1:33" ht="16.5" customHeight="1">
      <c r="A16" s="17" t="s">
        <v>129</v>
      </c>
      <c r="B16" s="17">
        <v>0</v>
      </c>
      <c r="C16" s="17">
        <v>0</v>
      </c>
      <c r="D16" s="17">
        <v>0</v>
      </c>
      <c r="E16" s="17">
        <v>0</v>
      </c>
      <c r="F16" s="17">
        <v>0</v>
      </c>
      <c r="G16" s="17">
        <v>0</v>
      </c>
      <c r="H16" s="17">
        <v>0</v>
      </c>
      <c r="I16" s="17">
        <v>0</v>
      </c>
      <c r="J16" s="17">
        <v>0</v>
      </c>
      <c r="K16" s="17">
        <v>0</v>
      </c>
      <c r="L16" s="17">
        <v>0</v>
      </c>
      <c r="M16" s="17">
        <v>0</v>
      </c>
      <c r="N16" s="17">
        <v>0</v>
      </c>
      <c r="O16" s="17">
        <v>0</v>
      </c>
      <c r="P16" s="17">
        <v>0</v>
      </c>
      <c r="Q16" s="17">
        <v>0</v>
      </c>
      <c r="R16" s="17">
        <v>0</v>
      </c>
      <c r="S16" s="17">
        <v>0</v>
      </c>
      <c r="T16" s="17">
        <v>0</v>
      </c>
      <c r="U16" s="17">
        <v>0</v>
      </c>
      <c r="V16" s="17">
        <v>0</v>
      </c>
      <c r="W16" s="17">
        <v>0</v>
      </c>
      <c r="X16" s="17">
        <v>0</v>
      </c>
      <c r="Y16" s="17">
        <v>0</v>
      </c>
      <c r="Z16" s="17">
        <v>0</v>
      </c>
      <c r="AA16" s="17">
        <v>0</v>
      </c>
      <c r="AB16" s="17">
        <v>0</v>
      </c>
      <c r="AC16" s="17">
        <v>0</v>
      </c>
      <c r="AD16" s="17">
        <v>0</v>
      </c>
      <c r="AE16" s="17">
        <v>0</v>
      </c>
    </row>
    <row r="17" spans="1:33" ht="16.5" customHeight="1">
      <c r="A17" s="17" t="s">
        <v>211</v>
      </c>
      <c r="B17" s="17">
        <v>0</v>
      </c>
      <c r="C17" s="17">
        <v>0</v>
      </c>
      <c r="D17" s="17">
        <v>0</v>
      </c>
      <c r="E17" s="17">
        <v>0</v>
      </c>
      <c r="F17" s="17">
        <v>0</v>
      </c>
      <c r="G17" s="17">
        <v>0</v>
      </c>
      <c r="H17" s="17">
        <v>0</v>
      </c>
      <c r="I17" s="17">
        <v>0</v>
      </c>
      <c r="J17" s="17">
        <v>0</v>
      </c>
      <c r="K17" s="17">
        <v>0</v>
      </c>
      <c r="L17" s="17">
        <v>0</v>
      </c>
      <c r="M17" s="17">
        <v>0</v>
      </c>
      <c r="N17" s="17">
        <v>0</v>
      </c>
      <c r="O17" s="17">
        <v>0</v>
      </c>
      <c r="P17" s="17">
        <v>0</v>
      </c>
      <c r="Q17" s="17">
        <v>0</v>
      </c>
      <c r="R17" s="17">
        <v>0</v>
      </c>
      <c r="S17" s="17">
        <v>0</v>
      </c>
      <c r="T17" s="17">
        <v>0</v>
      </c>
      <c r="U17" s="17">
        <v>0</v>
      </c>
      <c r="V17" s="17">
        <v>0</v>
      </c>
      <c r="W17" s="17">
        <v>0</v>
      </c>
      <c r="X17" s="17">
        <v>0</v>
      </c>
      <c r="Y17" s="17">
        <v>0</v>
      </c>
      <c r="Z17" s="17">
        <v>0</v>
      </c>
      <c r="AA17" s="17">
        <v>0</v>
      </c>
      <c r="AB17" s="17">
        <v>0</v>
      </c>
      <c r="AC17" s="17">
        <v>0</v>
      </c>
      <c r="AD17" s="17">
        <v>0</v>
      </c>
      <c r="AE17" s="17">
        <v>0</v>
      </c>
      <c r="AF17" s="40"/>
      <c r="AG17" s="40"/>
    </row>
    <row r="18" spans="1:33" ht="16.5" customHeight="1">
      <c r="A18" s="17" t="s">
        <v>212</v>
      </c>
      <c r="B18" s="17">
        <v>0</v>
      </c>
      <c r="C18" s="17">
        <v>0</v>
      </c>
      <c r="D18" s="17">
        <v>0</v>
      </c>
      <c r="E18" s="17">
        <v>0</v>
      </c>
      <c r="F18" s="17">
        <v>0</v>
      </c>
      <c r="G18" s="17">
        <v>0</v>
      </c>
      <c r="H18" s="17">
        <v>0</v>
      </c>
      <c r="I18" s="17">
        <v>0</v>
      </c>
      <c r="J18" s="17">
        <v>0</v>
      </c>
      <c r="K18" s="17">
        <v>0</v>
      </c>
      <c r="L18" s="17">
        <v>0</v>
      </c>
      <c r="M18" s="17">
        <v>0</v>
      </c>
      <c r="N18" s="17">
        <v>0</v>
      </c>
      <c r="O18" s="17">
        <v>0</v>
      </c>
      <c r="P18" s="17">
        <v>0</v>
      </c>
      <c r="Q18" s="17">
        <v>0</v>
      </c>
      <c r="R18" s="17">
        <v>0</v>
      </c>
      <c r="S18" s="17">
        <v>0</v>
      </c>
      <c r="T18" s="17">
        <v>0</v>
      </c>
      <c r="U18" s="17">
        <v>0</v>
      </c>
      <c r="V18" s="17">
        <v>0</v>
      </c>
      <c r="W18" s="17">
        <v>0</v>
      </c>
      <c r="X18" s="17">
        <v>0</v>
      </c>
      <c r="Y18" s="17">
        <v>0</v>
      </c>
      <c r="Z18" s="17">
        <v>0</v>
      </c>
      <c r="AA18" s="17">
        <v>0</v>
      </c>
      <c r="AB18" s="17">
        <v>0</v>
      </c>
      <c r="AC18" s="17">
        <v>0</v>
      </c>
      <c r="AD18" s="17">
        <v>0</v>
      </c>
      <c r="AE18" s="17">
        <v>0</v>
      </c>
      <c r="AF18" s="40"/>
      <c r="AG18" s="40"/>
    </row>
    <row r="19" spans="1:33" ht="16.5" customHeight="1">
      <c r="A19" s="17" t="s">
        <v>213</v>
      </c>
      <c r="B19" s="17">
        <v>0</v>
      </c>
      <c r="C19" s="17">
        <v>0</v>
      </c>
      <c r="D19" s="17">
        <v>0</v>
      </c>
      <c r="E19" s="17">
        <v>0</v>
      </c>
      <c r="F19" s="17">
        <v>0</v>
      </c>
      <c r="G19" s="17">
        <v>0</v>
      </c>
      <c r="H19" s="17">
        <v>0</v>
      </c>
      <c r="I19" s="17">
        <v>0</v>
      </c>
      <c r="J19" s="17">
        <v>0</v>
      </c>
      <c r="K19" s="17">
        <v>0</v>
      </c>
      <c r="L19" s="17">
        <v>0</v>
      </c>
      <c r="M19" s="17">
        <v>0</v>
      </c>
      <c r="N19" s="17">
        <v>0</v>
      </c>
      <c r="O19" s="17">
        <v>0</v>
      </c>
      <c r="P19" s="17">
        <v>0</v>
      </c>
      <c r="Q19" s="17">
        <v>0</v>
      </c>
      <c r="R19" s="17">
        <v>0</v>
      </c>
      <c r="S19" s="17">
        <v>0</v>
      </c>
      <c r="T19" s="17">
        <v>0</v>
      </c>
      <c r="U19" s="17">
        <v>0</v>
      </c>
      <c r="V19" s="17">
        <v>0</v>
      </c>
      <c r="W19" s="17">
        <v>0</v>
      </c>
      <c r="X19" s="17">
        <v>0</v>
      </c>
      <c r="Y19" s="17">
        <v>0</v>
      </c>
      <c r="Z19" s="17">
        <v>0</v>
      </c>
      <c r="AA19" s="17">
        <v>0</v>
      </c>
      <c r="AB19" s="17">
        <v>0</v>
      </c>
      <c r="AC19" s="17">
        <v>0</v>
      </c>
      <c r="AD19" s="17">
        <v>0</v>
      </c>
      <c r="AE19" s="17">
        <v>0</v>
      </c>
      <c r="AF19" s="40"/>
      <c r="AG19" s="40"/>
    </row>
    <row r="20" spans="1:33" ht="16.5" customHeight="1">
      <c r="A20" s="17" t="s">
        <v>214</v>
      </c>
      <c r="B20" s="17">
        <v>0</v>
      </c>
      <c r="C20" s="17">
        <v>0</v>
      </c>
      <c r="D20" s="17">
        <v>0</v>
      </c>
      <c r="E20" s="17">
        <v>0</v>
      </c>
      <c r="F20" s="17">
        <v>0</v>
      </c>
      <c r="G20" s="17">
        <v>0</v>
      </c>
      <c r="H20" s="17">
        <v>0</v>
      </c>
      <c r="I20" s="17">
        <v>0</v>
      </c>
      <c r="J20" s="17">
        <v>0</v>
      </c>
      <c r="K20" s="17">
        <v>0</v>
      </c>
      <c r="L20" s="17">
        <v>0</v>
      </c>
      <c r="M20" s="17">
        <v>0</v>
      </c>
      <c r="N20" s="17">
        <v>0</v>
      </c>
      <c r="O20" s="17">
        <v>0</v>
      </c>
      <c r="P20" s="17">
        <v>0</v>
      </c>
      <c r="Q20" s="17">
        <v>0</v>
      </c>
      <c r="R20" s="17">
        <v>0</v>
      </c>
      <c r="S20" s="17">
        <v>0</v>
      </c>
      <c r="T20" s="17">
        <v>0</v>
      </c>
      <c r="U20" s="17">
        <v>0</v>
      </c>
      <c r="V20" s="17">
        <v>0</v>
      </c>
      <c r="W20" s="17">
        <v>0</v>
      </c>
      <c r="X20" s="17">
        <v>0</v>
      </c>
      <c r="Y20" s="17">
        <v>0</v>
      </c>
      <c r="Z20" s="17">
        <v>0</v>
      </c>
      <c r="AA20" s="17">
        <v>0</v>
      </c>
      <c r="AB20" s="17">
        <v>0</v>
      </c>
      <c r="AC20" s="17">
        <v>0</v>
      </c>
      <c r="AD20" s="17">
        <v>0</v>
      </c>
      <c r="AE20" s="17">
        <v>0</v>
      </c>
    </row>
    <row r="21" spans="1:33" ht="16.5" customHeight="1">
      <c r="A21" s="17" t="s">
        <v>215</v>
      </c>
      <c r="B21" s="17">
        <v>0</v>
      </c>
      <c r="C21" s="17">
        <v>0</v>
      </c>
      <c r="D21" s="17">
        <v>0</v>
      </c>
      <c r="E21" s="17">
        <v>0</v>
      </c>
      <c r="F21" s="17">
        <v>0</v>
      </c>
      <c r="G21" s="17">
        <v>0</v>
      </c>
      <c r="H21" s="17">
        <v>0</v>
      </c>
      <c r="I21" s="17">
        <v>0</v>
      </c>
      <c r="J21" s="17">
        <v>0</v>
      </c>
      <c r="K21" s="17">
        <v>0</v>
      </c>
      <c r="L21" s="17">
        <v>0</v>
      </c>
      <c r="M21" s="17">
        <v>0</v>
      </c>
      <c r="N21" s="17">
        <v>0</v>
      </c>
      <c r="O21" s="17">
        <v>0</v>
      </c>
      <c r="P21" s="17">
        <v>0</v>
      </c>
      <c r="Q21" s="17">
        <v>0</v>
      </c>
      <c r="R21" s="17">
        <v>0</v>
      </c>
      <c r="S21" s="17">
        <v>0</v>
      </c>
      <c r="T21" s="17">
        <v>0</v>
      </c>
      <c r="U21" s="17">
        <v>0</v>
      </c>
      <c r="V21" s="17">
        <v>0</v>
      </c>
      <c r="W21" s="17">
        <v>0</v>
      </c>
      <c r="X21" s="17">
        <v>0</v>
      </c>
      <c r="Y21" s="17">
        <v>0</v>
      </c>
      <c r="Z21" s="17">
        <v>0</v>
      </c>
      <c r="AA21" s="17">
        <v>0</v>
      </c>
      <c r="AB21" s="17">
        <v>0</v>
      </c>
      <c r="AC21" s="17">
        <v>0</v>
      </c>
      <c r="AD21" s="17">
        <v>0</v>
      </c>
      <c r="AE21" s="17">
        <v>0</v>
      </c>
    </row>
    <row r="22" spans="1:33" ht="16.5" customHeight="1">
      <c r="A22" s="41" t="s">
        <v>219</v>
      </c>
      <c r="B22" s="17">
        <v>0</v>
      </c>
      <c r="C22" s="17">
        <v>0</v>
      </c>
      <c r="D22" s="17">
        <v>0</v>
      </c>
      <c r="E22" s="17">
        <v>0</v>
      </c>
      <c r="F22" s="17">
        <v>0</v>
      </c>
      <c r="G22" s="17">
        <v>0</v>
      </c>
      <c r="H22" s="17">
        <v>0</v>
      </c>
      <c r="I22" s="17">
        <v>0</v>
      </c>
      <c r="J22" s="17">
        <v>0</v>
      </c>
      <c r="K22" s="17">
        <v>0</v>
      </c>
      <c r="L22" s="17">
        <v>0</v>
      </c>
      <c r="M22" s="17">
        <v>0</v>
      </c>
      <c r="N22" s="17">
        <v>0</v>
      </c>
      <c r="O22" s="17">
        <v>0</v>
      </c>
      <c r="P22" s="17">
        <v>0</v>
      </c>
      <c r="Q22" s="17">
        <v>0</v>
      </c>
      <c r="R22" s="17">
        <v>0</v>
      </c>
      <c r="S22" s="17">
        <v>0</v>
      </c>
      <c r="T22" s="17">
        <v>0</v>
      </c>
      <c r="U22" s="17">
        <v>0</v>
      </c>
      <c r="V22" s="17">
        <v>0</v>
      </c>
      <c r="W22" s="17">
        <v>0</v>
      </c>
      <c r="X22" s="17">
        <v>0</v>
      </c>
      <c r="Y22" s="17">
        <v>0</v>
      </c>
      <c r="Z22" s="17">
        <v>0</v>
      </c>
      <c r="AA22" s="17">
        <v>0</v>
      </c>
      <c r="AB22" s="17">
        <v>0</v>
      </c>
      <c r="AC22" s="17">
        <v>0</v>
      </c>
      <c r="AD22" s="17">
        <v>0</v>
      </c>
      <c r="AE22" s="17">
        <v>0</v>
      </c>
    </row>
    <row r="23" spans="1:33" ht="16.5" customHeight="1"/>
    <row r="24" spans="1:33" ht="16.5" customHeight="1"/>
    <row r="25" spans="1:33" ht="16.5" customHeight="1"/>
    <row r="26" spans="1:33" ht="16.5" customHeight="1"/>
    <row r="27" spans="1:33" ht="16.5" customHeight="1"/>
    <row r="28" spans="1:33" ht="16.5" customHeight="1"/>
    <row r="29" spans="1:33" ht="16.5" customHeight="1"/>
    <row r="30" spans="1:33" ht="16.5" customHeight="1"/>
    <row r="31" spans="1:33" ht="16.5" customHeight="1"/>
    <row r="32" spans="1:33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phoneticPr fontId="12" type="noConversion"/>
  <pageMargins left="0.7" right="0.7" top="0.75" bottom="0.75" header="0" footer="0"/>
  <pageSetup orientation="landscape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FE009-20FC-43CD-80A3-551F1CD9640D}">
  <sheetPr>
    <tabColor rgb="FF1F497D"/>
  </sheetPr>
  <dimension ref="A1:AG1000"/>
  <sheetViews>
    <sheetView workbookViewId="0">
      <selection sqref="A1:XFD1048576"/>
    </sheetView>
  </sheetViews>
  <sheetFormatPr defaultColWidth="14.453125" defaultRowHeight="15" customHeight="1"/>
  <cols>
    <col min="1" max="1" width="32.453125" style="90" customWidth="1"/>
    <col min="2" max="33" width="9.26953125" style="90" customWidth="1"/>
    <col min="34" max="16384" width="14.453125" style="90"/>
  </cols>
  <sheetData>
    <row r="1" spans="1:33" ht="16.5" customHeight="1">
      <c r="A1" s="89" t="s">
        <v>178</v>
      </c>
      <c r="B1" s="89">
        <v>2021</v>
      </c>
      <c r="C1" s="89">
        <v>2022</v>
      </c>
      <c r="D1" s="89">
        <v>2023</v>
      </c>
      <c r="E1" s="89">
        <v>2024</v>
      </c>
      <c r="F1" s="89">
        <v>2025</v>
      </c>
      <c r="G1" s="89">
        <v>2026</v>
      </c>
      <c r="H1" s="89">
        <v>2027</v>
      </c>
      <c r="I1" s="89">
        <v>2028</v>
      </c>
      <c r="J1" s="89">
        <v>2029</v>
      </c>
      <c r="K1" s="89">
        <v>2030</v>
      </c>
      <c r="L1" s="89">
        <v>2031</v>
      </c>
      <c r="M1" s="89">
        <v>2032</v>
      </c>
      <c r="N1" s="89">
        <v>2033</v>
      </c>
      <c r="O1" s="89">
        <v>2034</v>
      </c>
      <c r="P1" s="89">
        <v>2035</v>
      </c>
      <c r="Q1" s="89">
        <v>2036</v>
      </c>
      <c r="R1" s="89">
        <v>2037</v>
      </c>
      <c r="S1" s="89">
        <v>2038</v>
      </c>
      <c r="T1" s="89">
        <v>2039</v>
      </c>
      <c r="U1" s="89">
        <v>2040</v>
      </c>
      <c r="V1" s="89">
        <v>2041</v>
      </c>
      <c r="W1" s="89">
        <v>2042</v>
      </c>
      <c r="X1" s="89">
        <v>2043</v>
      </c>
      <c r="Y1" s="89">
        <v>2044</v>
      </c>
      <c r="Z1" s="89">
        <v>2045</v>
      </c>
      <c r="AA1" s="89">
        <v>2046</v>
      </c>
      <c r="AB1" s="89">
        <v>2047</v>
      </c>
      <c r="AC1" s="89">
        <v>2048</v>
      </c>
      <c r="AD1" s="89">
        <v>2049</v>
      </c>
      <c r="AE1" s="89">
        <v>2050</v>
      </c>
    </row>
    <row r="2" spans="1:33" ht="16.5" customHeight="1">
      <c r="A2" s="89" t="s">
        <v>220</v>
      </c>
      <c r="B2" s="93">
        <v>0</v>
      </c>
      <c r="C2" s="93">
        <v>0</v>
      </c>
      <c r="D2" s="93">
        <v>0</v>
      </c>
      <c r="E2" s="93">
        <v>0</v>
      </c>
      <c r="F2" s="93">
        <v>0</v>
      </c>
      <c r="G2" s="93">
        <v>0</v>
      </c>
      <c r="H2" s="93">
        <v>0</v>
      </c>
      <c r="I2" s="93">
        <v>0</v>
      </c>
      <c r="J2" s="93">
        <v>0</v>
      </c>
      <c r="K2" s="93">
        <v>0</v>
      </c>
      <c r="L2" s="93">
        <v>0</v>
      </c>
      <c r="M2" s="93">
        <v>0</v>
      </c>
      <c r="N2" s="93">
        <v>0</v>
      </c>
      <c r="O2" s="93">
        <v>0</v>
      </c>
      <c r="P2" s="93">
        <v>0</v>
      </c>
      <c r="Q2" s="93">
        <v>0</v>
      </c>
      <c r="R2" s="93">
        <v>0</v>
      </c>
      <c r="S2" s="93">
        <v>0</v>
      </c>
      <c r="T2" s="93">
        <v>0</v>
      </c>
      <c r="U2" s="93">
        <v>0</v>
      </c>
      <c r="V2" s="93">
        <v>0</v>
      </c>
      <c r="W2" s="93">
        <v>0</v>
      </c>
      <c r="X2" s="93">
        <v>0</v>
      </c>
      <c r="Y2" s="93">
        <v>0</v>
      </c>
      <c r="Z2" s="93">
        <v>0</v>
      </c>
      <c r="AA2" s="93">
        <v>0</v>
      </c>
      <c r="AB2" s="93">
        <v>0</v>
      </c>
      <c r="AC2" s="93">
        <v>0</v>
      </c>
      <c r="AD2" s="93">
        <v>0</v>
      </c>
      <c r="AE2" s="93">
        <v>0</v>
      </c>
      <c r="AF2" s="91"/>
      <c r="AG2" s="91"/>
    </row>
    <row r="3" spans="1:33" ht="16.5" customHeight="1">
      <c r="A3" s="89" t="s">
        <v>221</v>
      </c>
      <c r="B3" s="93">
        <v>0</v>
      </c>
      <c r="C3" s="93">
        <v>0</v>
      </c>
      <c r="D3" s="93">
        <v>0</v>
      </c>
      <c r="E3" s="93">
        <v>0</v>
      </c>
      <c r="F3" s="93">
        <v>0</v>
      </c>
      <c r="G3" s="93">
        <v>0</v>
      </c>
      <c r="H3" s="93">
        <v>0</v>
      </c>
      <c r="I3" s="93">
        <v>0</v>
      </c>
      <c r="J3" s="93">
        <v>0</v>
      </c>
      <c r="K3" s="93">
        <v>0</v>
      </c>
      <c r="L3" s="93">
        <v>0</v>
      </c>
      <c r="M3" s="93">
        <v>0</v>
      </c>
      <c r="N3" s="93">
        <v>0</v>
      </c>
      <c r="O3" s="93">
        <v>0</v>
      </c>
      <c r="P3" s="93">
        <v>0</v>
      </c>
      <c r="Q3" s="93">
        <v>0</v>
      </c>
      <c r="R3" s="93">
        <v>0</v>
      </c>
      <c r="S3" s="93">
        <v>0</v>
      </c>
      <c r="T3" s="93">
        <v>0</v>
      </c>
      <c r="U3" s="93">
        <v>0</v>
      </c>
      <c r="V3" s="93">
        <v>0</v>
      </c>
      <c r="W3" s="93">
        <v>0</v>
      </c>
      <c r="X3" s="93">
        <v>0</v>
      </c>
      <c r="Y3" s="93">
        <v>0</v>
      </c>
      <c r="Z3" s="93">
        <v>0</v>
      </c>
      <c r="AA3" s="93">
        <v>0</v>
      </c>
      <c r="AB3" s="93">
        <v>0</v>
      </c>
      <c r="AC3" s="93">
        <v>0</v>
      </c>
      <c r="AD3" s="93">
        <v>0</v>
      </c>
      <c r="AE3" s="93">
        <v>0</v>
      </c>
    </row>
    <row r="4" spans="1:33" ht="16.5" customHeight="1">
      <c r="A4" s="89" t="s">
        <v>222</v>
      </c>
      <c r="B4" s="93">
        <v>0</v>
      </c>
      <c r="C4" s="93">
        <v>0</v>
      </c>
      <c r="D4" s="93">
        <v>0</v>
      </c>
      <c r="E4" s="93">
        <v>0</v>
      </c>
      <c r="F4" s="93">
        <v>0</v>
      </c>
      <c r="G4" s="93">
        <v>0</v>
      </c>
      <c r="H4" s="93">
        <v>0</v>
      </c>
      <c r="I4" s="93">
        <v>0</v>
      </c>
      <c r="J4" s="93">
        <v>0</v>
      </c>
      <c r="K4" s="93">
        <v>0</v>
      </c>
      <c r="L4" s="93">
        <v>0</v>
      </c>
      <c r="M4" s="93">
        <v>0</v>
      </c>
      <c r="N4" s="93">
        <v>0</v>
      </c>
      <c r="O4" s="93">
        <v>0</v>
      </c>
      <c r="P4" s="93">
        <v>0</v>
      </c>
      <c r="Q4" s="93">
        <v>0</v>
      </c>
      <c r="R4" s="93">
        <v>0</v>
      </c>
      <c r="S4" s="93">
        <v>0</v>
      </c>
      <c r="T4" s="93">
        <v>0</v>
      </c>
      <c r="U4" s="93">
        <v>0</v>
      </c>
      <c r="V4" s="93">
        <v>0</v>
      </c>
      <c r="W4" s="93">
        <v>0</v>
      </c>
      <c r="X4" s="93">
        <v>0</v>
      </c>
      <c r="Y4" s="93">
        <v>0</v>
      </c>
      <c r="Z4" s="93">
        <v>0</v>
      </c>
      <c r="AA4" s="93">
        <v>0</v>
      </c>
      <c r="AB4" s="93">
        <v>0</v>
      </c>
      <c r="AC4" s="93">
        <v>0</v>
      </c>
      <c r="AD4" s="93">
        <v>0</v>
      </c>
      <c r="AE4" s="93">
        <v>0</v>
      </c>
      <c r="AF4" s="91"/>
      <c r="AG4" s="91"/>
    </row>
    <row r="5" spans="1:33" ht="16.5" customHeight="1">
      <c r="A5" s="89" t="s">
        <v>124</v>
      </c>
      <c r="B5" s="93">
        <v>0</v>
      </c>
      <c r="C5" s="93">
        <v>0</v>
      </c>
      <c r="D5" s="93">
        <v>0</v>
      </c>
      <c r="E5" s="93">
        <v>0</v>
      </c>
      <c r="F5" s="93">
        <v>0</v>
      </c>
      <c r="G5" s="93">
        <v>0</v>
      </c>
      <c r="H5" s="93">
        <v>0</v>
      </c>
      <c r="I5" s="93">
        <v>0</v>
      </c>
      <c r="J5" s="93">
        <v>0</v>
      </c>
      <c r="K5" s="93">
        <v>0</v>
      </c>
      <c r="L5" s="93">
        <v>0</v>
      </c>
      <c r="M5" s="93">
        <v>0</v>
      </c>
      <c r="N5" s="93">
        <v>0</v>
      </c>
      <c r="O5" s="93">
        <v>0</v>
      </c>
      <c r="P5" s="93">
        <v>0</v>
      </c>
      <c r="Q5" s="93">
        <v>0</v>
      </c>
      <c r="R5" s="93">
        <v>0</v>
      </c>
      <c r="S5" s="93">
        <v>0</v>
      </c>
      <c r="T5" s="93">
        <v>0</v>
      </c>
      <c r="U5" s="93">
        <v>0</v>
      </c>
      <c r="V5" s="93">
        <v>0</v>
      </c>
      <c r="W5" s="93">
        <v>0</v>
      </c>
      <c r="X5" s="93">
        <v>0</v>
      </c>
      <c r="Y5" s="93">
        <v>0</v>
      </c>
      <c r="Z5" s="93">
        <v>0</v>
      </c>
      <c r="AA5" s="93">
        <v>0</v>
      </c>
      <c r="AB5" s="93">
        <v>0</v>
      </c>
      <c r="AC5" s="93">
        <v>0</v>
      </c>
      <c r="AD5" s="93">
        <v>0</v>
      </c>
      <c r="AE5" s="93">
        <v>0</v>
      </c>
      <c r="AF5" s="91"/>
      <c r="AG5" s="91"/>
    </row>
    <row r="6" spans="1:33" ht="16.5" customHeight="1">
      <c r="A6" s="89" t="s">
        <v>123</v>
      </c>
      <c r="B6" s="93">
        <v>0</v>
      </c>
      <c r="C6" s="93">
        <v>0</v>
      </c>
      <c r="D6" s="93">
        <v>0</v>
      </c>
      <c r="E6" s="93">
        <v>0</v>
      </c>
      <c r="F6" s="93">
        <v>0</v>
      </c>
      <c r="G6" s="93">
        <v>0</v>
      </c>
      <c r="H6" s="93">
        <v>0</v>
      </c>
      <c r="I6" s="93">
        <v>0</v>
      </c>
      <c r="J6" s="93">
        <v>0</v>
      </c>
      <c r="K6" s="93">
        <v>0</v>
      </c>
      <c r="L6" s="93">
        <v>0</v>
      </c>
      <c r="M6" s="93">
        <v>0</v>
      </c>
      <c r="N6" s="93">
        <v>0</v>
      </c>
      <c r="O6" s="93">
        <v>0</v>
      </c>
      <c r="P6" s="93">
        <v>0</v>
      </c>
      <c r="Q6" s="93">
        <v>0</v>
      </c>
      <c r="R6" s="93">
        <v>0</v>
      </c>
      <c r="S6" s="93">
        <v>0</v>
      </c>
      <c r="T6" s="93">
        <v>0</v>
      </c>
      <c r="U6" s="93">
        <v>0</v>
      </c>
      <c r="V6" s="93">
        <v>0</v>
      </c>
      <c r="W6" s="93">
        <v>0</v>
      </c>
      <c r="X6" s="93">
        <v>0</v>
      </c>
      <c r="Y6" s="93">
        <v>0</v>
      </c>
      <c r="Z6" s="93">
        <v>0</v>
      </c>
      <c r="AA6" s="93">
        <v>0</v>
      </c>
      <c r="AB6" s="93">
        <v>0</v>
      </c>
      <c r="AC6" s="93">
        <v>0</v>
      </c>
      <c r="AD6" s="93">
        <v>0</v>
      </c>
      <c r="AE6" s="93">
        <v>0</v>
      </c>
      <c r="AF6" s="91"/>
      <c r="AG6" s="91"/>
    </row>
    <row r="7" spans="1:33" ht="16.5" customHeight="1">
      <c r="A7" s="89" t="s">
        <v>128</v>
      </c>
      <c r="B7" s="93">
        <v>0</v>
      </c>
      <c r="C7" s="93">
        <v>0</v>
      </c>
      <c r="D7" s="93">
        <v>0</v>
      </c>
      <c r="E7" s="93">
        <v>0</v>
      </c>
      <c r="F7" s="93">
        <v>0</v>
      </c>
      <c r="G7" s="93">
        <v>0</v>
      </c>
      <c r="H7" s="93">
        <v>0</v>
      </c>
      <c r="I7" s="93">
        <v>0</v>
      </c>
      <c r="J7" s="93">
        <v>0</v>
      </c>
      <c r="K7" s="93">
        <v>0</v>
      </c>
      <c r="L7" s="93">
        <v>0</v>
      </c>
      <c r="M7" s="93">
        <v>0</v>
      </c>
      <c r="N7" s="93">
        <v>0</v>
      </c>
      <c r="O7" s="93">
        <v>0</v>
      </c>
      <c r="P7" s="93">
        <v>0</v>
      </c>
      <c r="Q7" s="93">
        <v>0</v>
      </c>
      <c r="R7" s="93">
        <v>0</v>
      </c>
      <c r="S7" s="93">
        <v>0</v>
      </c>
      <c r="T7" s="93">
        <v>0</v>
      </c>
      <c r="U7" s="93">
        <v>0</v>
      </c>
      <c r="V7" s="93">
        <v>0</v>
      </c>
      <c r="W7" s="93">
        <v>0</v>
      </c>
      <c r="X7" s="93">
        <v>0</v>
      </c>
      <c r="Y7" s="93">
        <v>0</v>
      </c>
      <c r="Z7" s="93">
        <v>0</v>
      </c>
      <c r="AA7" s="93">
        <v>0</v>
      </c>
      <c r="AB7" s="93">
        <v>0</v>
      </c>
      <c r="AC7" s="93">
        <v>0</v>
      </c>
      <c r="AD7" s="93">
        <v>0</v>
      </c>
      <c r="AE7" s="93">
        <v>0</v>
      </c>
    </row>
    <row r="8" spans="1:33" ht="16.5" customHeight="1">
      <c r="A8" s="89" t="s">
        <v>223</v>
      </c>
      <c r="B8" s="93">
        <v>0</v>
      </c>
      <c r="C8" s="93">
        <v>0</v>
      </c>
      <c r="D8" s="93">
        <v>0</v>
      </c>
      <c r="E8" s="93">
        <v>0</v>
      </c>
      <c r="F8" s="93">
        <v>0</v>
      </c>
      <c r="G8" s="93">
        <v>0</v>
      </c>
      <c r="H8" s="93">
        <v>0</v>
      </c>
      <c r="I8" s="93">
        <v>0</v>
      </c>
      <c r="J8" s="93">
        <v>0</v>
      </c>
      <c r="K8" s="93">
        <v>0</v>
      </c>
      <c r="L8" s="93">
        <v>0</v>
      </c>
      <c r="M8" s="93">
        <v>0</v>
      </c>
      <c r="N8" s="93">
        <v>0</v>
      </c>
      <c r="O8" s="93">
        <v>0</v>
      </c>
      <c r="P8" s="93">
        <v>0</v>
      </c>
      <c r="Q8" s="93">
        <v>0</v>
      </c>
      <c r="R8" s="93">
        <v>0</v>
      </c>
      <c r="S8" s="93">
        <v>0</v>
      </c>
      <c r="T8" s="93">
        <v>0</v>
      </c>
      <c r="U8" s="93">
        <v>0</v>
      </c>
      <c r="V8" s="93">
        <v>0</v>
      </c>
      <c r="W8" s="93">
        <v>0</v>
      </c>
      <c r="X8" s="93">
        <v>0</v>
      </c>
      <c r="Y8" s="93">
        <v>0</v>
      </c>
      <c r="Z8" s="93">
        <v>0</v>
      </c>
      <c r="AA8" s="93">
        <v>0</v>
      </c>
      <c r="AB8" s="93">
        <v>0</v>
      </c>
      <c r="AC8" s="93">
        <v>0</v>
      </c>
      <c r="AD8" s="93">
        <v>0</v>
      </c>
      <c r="AE8" s="93">
        <v>0</v>
      </c>
    </row>
    <row r="9" spans="1:33" ht="16.5" customHeight="1">
      <c r="A9" s="89" t="s">
        <v>224</v>
      </c>
      <c r="B9" s="93">
        <v>0</v>
      </c>
      <c r="C9" s="93">
        <v>0</v>
      </c>
      <c r="D9" s="93">
        <v>0</v>
      </c>
      <c r="E9" s="93">
        <v>0</v>
      </c>
      <c r="F9" s="93">
        <v>0</v>
      </c>
      <c r="G9" s="93">
        <v>0</v>
      </c>
      <c r="H9" s="93">
        <v>0</v>
      </c>
      <c r="I9" s="93">
        <v>0</v>
      </c>
      <c r="J9" s="93">
        <v>0</v>
      </c>
      <c r="K9" s="93">
        <v>0</v>
      </c>
      <c r="L9" s="93">
        <v>0</v>
      </c>
      <c r="M9" s="93">
        <v>0</v>
      </c>
      <c r="N9" s="93">
        <v>0</v>
      </c>
      <c r="O9" s="93">
        <v>0</v>
      </c>
      <c r="P9" s="93">
        <v>0</v>
      </c>
      <c r="Q9" s="93">
        <v>0</v>
      </c>
      <c r="R9" s="93">
        <v>0</v>
      </c>
      <c r="S9" s="93">
        <v>0</v>
      </c>
      <c r="T9" s="93">
        <v>0</v>
      </c>
      <c r="U9" s="93">
        <v>0</v>
      </c>
      <c r="V9" s="93">
        <v>0</v>
      </c>
      <c r="W9" s="93">
        <v>0</v>
      </c>
      <c r="X9" s="93">
        <v>0</v>
      </c>
      <c r="Y9" s="93">
        <v>0</v>
      </c>
      <c r="Z9" s="93">
        <v>0</v>
      </c>
      <c r="AA9" s="93">
        <v>0</v>
      </c>
      <c r="AB9" s="93">
        <v>0</v>
      </c>
      <c r="AC9" s="93">
        <v>0</v>
      </c>
      <c r="AD9" s="93">
        <v>0</v>
      </c>
      <c r="AE9" s="93">
        <v>0</v>
      </c>
      <c r="AF9" s="91"/>
      <c r="AG9" s="91"/>
    </row>
    <row r="10" spans="1:33" ht="16.5" customHeight="1">
      <c r="A10" s="89" t="s">
        <v>117</v>
      </c>
      <c r="B10" s="93">
        <v>0</v>
      </c>
      <c r="C10" s="93">
        <v>0</v>
      </c>
      <c r="D10" s="93">
        <v>0</v>
      </c>
      <c r="E10" s="93">
        <v>0</v>
      </c>
      <c r="F10" s="93">
        <v>0</v>
      </c>
      <c r="G10" s="93">
        <v>0</v>
      </c>
      <c r="H10" s="93">
        <v>0</v>
      </c>
      <c r="I10" s="93">
        <v>0</v>
      </c>
      <c r="J10" s="93">
        <v>0</v>
      </c>
      <c r="K10" s="93">
        <v>0</v>
      </c>
      <c r="L10" s="93">
        <v>0</v>
      </c>
      <c r="M10" s="93">
        <v>0</v>
      </c>
      <c r="N10" s="93">
        <v>0</v>
      </c>
      <c r="O10" s="93">
        <v>0</v>
      </c>
      <c r="P10" s="93">
        <v>0</v>
      </c>
      <c r="Q10" s="93">
        <v>0</v>
      </c>
      <c r="R10" s="93">
        <v>0</v>
      </c>
      <c r="S10" s="93">
        <v>0</v>
      </c>
      <c r="T10" s="93">
        <v>0</v>
      </c>
      <c r="U10" s="93">
        <v>0</v>
      </c>
      <c r="V10" s="93">
        <v>0</v>
      </c>
      <c r="W10" s="93">
        <v>0</v>
      </c>
      <c r="X10" s="93">
        <v>0</v>
      </c>
      <c r="Y10" s="93">
        <v>0</v>
      </c>
      <c r="Z10" s="93">
        <v>0</v>
      </c>
      <c r="AA10" s="93">
        <v>0</v>
      </c>
      <c r="AB10" s="93">
        <v>0</v>
      </c>
      <c r="AC10" s="93">
        <v>0</v>
      </c>
      <c r="AD10" s="93">
        <v>0</v>
      </c>
      <c r="AE10" s="93">
        <v>0</v>
      </c>
    </row>
    <row r="11" spans="1:33" ht="16.5" customHeight="1">
      <c r="A11" s="89" t="s">
        <v>129</v>
      </c>
      <c r="B11" s="93">
        <v>0</v>
      </c>
      <c r="C11" s="93">
        <v>0</v>
      </c>
      <c r="D11" s="93">
        <v>0</v>
      </c>
      <c r="E11" s="93">
        <v>0</v>
      </c>
      <c r="F11" s="93">
        <v>0</v>
      </c>
      <c r="G11" s="93">
        <v>0</v>
      </c>
      <c r="H11" s="93">
        <v>0</v>
      </c>
      <c r="I11" s="93">
        <v>0</v>
      </c>
      <c r="J11" s="93">
        <v>0</v>
      </c>
      <c r="K11" s="93">
        <v>0</v>
      </c>
      <c r="L11" s="93">
        <v>0</v>
      </c>
      <c r="M11" s="93">
        <v>0</v>
      </c>
      <c r="N11" s="93">
        <v>0</v>
      </c>
      <c r="O11" s="93">
        <v>0</v>
      </c>
      <c r="P11" s="93">
        <v>0</v>
      </c>
      <c r="Q11" s="93">
        <v>0</v>
      </c>
      <c r="R11" s="93">
        <v>0</v>
      </c>
      <c r="S11" s="93">
        <v>0</v>
      </c>
      <c r="T11" s="93">
        <v>0</v>
      </c>
      <c r="U11" s="93">
        <v>0</v>
      </c>
      <c r="V11" s="93">
        <v>0</v>
      </c>
      <c r="W11" s="93">
        <v>0</v>
      </c>
      <c r="X11" s="93">
        <v>0</v>
      </c>
      <c r="Y11" s="93">
        <v>0</v>
      </c>
      <c r="Z11" s="93">
        <v>0</v>
      </c>
      <c r="AA11" s="93">
        <v>0</v>
      </c>
      <c r="AB11" s="93">
        <v>0</v>
      </c>
      <c r="AC11" s="93">
        <v>0</v>
      </c>
      <c r="AD11" s="93">
        <v>0</v>
      </c>
      <c r="AE11" s="93">
        <v>0</v>
      </c>
    </row>
    <row r="12" spans="1:33" ht="16.5" customHeight="1">
      <c r="A12" s="89" t="s">
        <v>225</v>
      </c>
      <c r="B12" s="93">
        <v>0</v>
      </c>
      <c r="C12" s="93">
        <v>0</v>
      </c>
      <c r="D12" s="93">
        <v>0</v>
      </c>
      <c r="E12" s="93">
        <v>0</v>
      </c>
      <c r="F12" s="93">
        <v>0</v>
      </c>
      <c r="G12" s="93">
        <v>0</v>
      </c>
      <c r="H12" s="93">
        <v>0</v>
      </c>
      <c r="I12" s="93">
        <v>0</v>
      </c>
      <c r="J12" s="93">
        <v>0</v>
      </c>
      <c r="K12" s="93">
        <v>0</v>
      </c>
      <c r="L12" s="93">
        <v>0</v>
      </c>
      <c r="M12" s="93">
        <v>0</v>
      </c>
      <c r="N12" s="93">
        <v>0</v>
      </c>
      <c r="O12" s="93">
        <v>0</v>
      </c>
      <c r="P12" s="93">
        <v>0</v>
      </c>
      <c r="Q12" s="93">
        <v>0</v>
      </c>
      <c r="R12" s="93">
        <v>0</v>
      </c>
      <c r="S12" s="93">
        <v>0</v>
      </c>
      <c r="T12" s="93">
        <v>0</v>
      </c>
      <c r="U12" s="93">
        <v>0</v>
      </c>
      <c r="V12" s="93">
        <v>0</v>
      </c>
      <c r="W12" s="93">
        <v>0</v>
      </c>
      <c r="X12" s="93">
        <v>0</v>
      </c>
      <c r="Y12" s="93">
        <v>0</v>
      </c>
      <c r="Z12" s="93">
        <v>0</v>
      </c>
      <c r="AA12" s="93">
        <v>0</v>
      </c>
      <c r="AB12" s="93">
        <v>0</v>
      </c>
      <c r="AC12" s="93">
        <v>0</v>
      </c>
      <c r="AD12" s="93">
        <v>0</v>
      </c>
      <c r="AE12" s="93">
        <v>0</v>
      </c>
    </row>
    <row r="13" spans="1:33" ht="16.5" customHeight="1">
      <c r="A13" s="89" t="s">
        <v>226</v>
      </c>
      <c r="B13" s="93">
        <v>0</v>
      </c>
      <c r="C13" s="93">
        <v>0</v>
      </c>
      <c r="D13" s="93">
        <v>0</v>
      </c>
      <c r="E13" s="93">
        <v>0</v>
      </c>
      <c r="F13" s="93">
        <v>0</v>
      </c>
      <c r="G13" s="93">
        <v>0</v>
      </c>
      <c r="H13" s="93">
        <v>0</v>
      </c>
      <c r="I13" s="93">
        <v>0</v>
      </c>
      <c r="J13" s="93">
        <v>0</v>
      </c>
      <c r="K13" s="93">
        <v>0</v>
      </c>
      <c r="L13" s="93">
        <v>0</v>
      </c>
      <c r="M13" s="93">
        <v>0</v>
      </c>
      <c r="N13" s="93">
        <v>0</v>
      </c>
      <c r="O13" s="93">
        <v>0</v>
      </c>
      <c r="P13" s="93">
        <v>0</v>
      </c>
      <c r="Q13" s="93">
        <v>0</v>
      </c>
      <c r="R13" s="93">
        <v>0</v>
      </c>
      <c r="S13" s="93">
        <v>0</v>
      </c>
      <c r="T13" s="93">
        <v>0</v>
      </c>
      <c r="U13" s="93">
        <v>0</v>
      </c>
      <c r="V13" s="93">
        <v>0</v>
      </c>
      <c r="W13" s="93">
        <v>0</v>
      </c>
      <c r="X13" s="93">
        <v>0</v>
      </c>
      <c r="Y13" s="93">
        <v>0</v>
      </c>
      <c r="Z13" s="93">
        <v>0</v>
      </c>
      <c r="AA13" s="93">
        <v>0</v>
      </c>
      <c r="AB13" s="93">
        <v>0</v>
      </c>
      <c r="AC13" s="93">
        <v>0</v>
      </c>
      <c r="AD13" s="93">
        <v>0</v>
      </c>
      <c r="AE13" s="93">
        <v>0</v>
      </c>
      <c r="AF13" s="91"/>
      <c r="AG13" s="91"/>
    </row>
    <row r="14" spans="1:33" ht="16.5" customHeight="1">
      <c r="A14" s="89" t="s">
        <v>227</v>
      </c>
      <c r="B14" s="93">
        <f>B2*'Subsidies Paid'!$G$13</f>
        <v>0</v>
      </c>
      <c r="C14" s="93">
        <f t="shared" ref="C14:AE14" si="0">B14</f>
        <v>0</v>
      </c>
      <c r="D14" s="93">
        <f t="shared" si="0"/>
        <v>0</v>
      </c>
      <c r="E14" s="93">
        <f t="shared" si="0"/>
        <v>0</v>
      </c>
      <c r="F14" s="93">
        <f t="shared" si="0"/>
        <v>0</v>
      </c>
      <c r="G14" s="93">
        <f t="shared" si="0"/>
        <v>0</v>
      </c>
      <c r="H14" s="93">
        <f t="shared" si="0"/>
        <v>0</v>
      </c>
      <c r="I14" s="93">
        <f t="shared" si="0"/>
        <v>0</v>
      </c>
      <c r="J14" s="93">
        <f t="shared" si="0"/>
        <v>0</v>
      </c>
      <c r="K14" s="93">
        <f t="shared" si="0"/>
        <v>0</v>
      </c>
      <c r="L14" s="93">
        <f t="shared" si="0"/>
        <v>0</v>
      </c>
      <c r="M14" s="93">
        <f t="shared" si="0"/>
        <v>0</v>
      </c>
      <c r="N14" s="93">
        <f t="shared" si="0"/>
        <v>0</v>
      </c>
      <c r="O14" s="93">
        <f t="shared" si="0"/>
        <v>0</v>
      </c>
      <c r="P14" s="93">
        <f t="shared" si="0"/>
        <v>0</v>
      </c>
      <c r="Q14" s="93">
        <f t="shared" si="0"/>
        <v>0</v>
      </c>
      <c r="R14" s="93">
        <f t="shared" si="0"/>
        <v>0</v>
      </c>
      <c r="S14" s="93">
        <f t="shared" si="0"/>
        <v>0</v>
      </c>
      <c r="T14" s="93">
        <f t="shared" si="0"/>
        <v>0</v>
      </c>
      <c r="U14" s="93">
        <f t="shared" si="0"/>
        <v>0</v>
      </c>
      <c r="V14" s="93">
        <f t="shared" si="0"/>
        <v>0</v>
      </c>
      <c r="W14" s="93">
        <f t="shared" si="0"/>
        <v>0</v>
      </c>
      <c r="X14" s="93">
        <f t="shared" si="0"/>
        <v>0</v>
      </c>
      <c r="Y14" s="93">
        <f t="shared" si="0"/>
        <v>0</v>
      </c>
      <c r="Z14" s="93">
        <f t="shared" si="0"/>
        <v>0</v>
      </c>
      <c r="AA14" s="93">
        <f t="shared" si="0"/>
        <v>0</v>
      </c>
      <c r="AB14" s="93">
        <f t="shared" si="0"/>
        <v>0</v>
      </c>
      <c r="AC14" s="93">
        <f t="shared" si="0"/>
        <v>0</v>
      </c>
      <c r="AD14" s="93">
        <f t="shared" si="0"/>
        <v>0</v>
      </c>
      <c r="AE14" s="93">
        <f t="shared" si="0"/>
        <v>0</v>
      </c>
      <c r="AF14" s="91"/>
      <c r="AG14" s="91"/>
    </row>
    <row r="15" spans="1:33" ht="16.5" customHeight="1">
      <c r="A15" s="89" t="s">
        <v>127</v>
      </c>
      <c r="B15" s="93">
        <v>0</v>
      </c>
      <c r="C15" s="93">
        <v>0</v>
      </c>
      <c r="D15" s="93">
        <v>0</v>
      </c>
      <c r="E15" s="93">
        <v>0</v>
      </c>
      <c r="F15" s="93">
        <v>0</v>
      </c>
      <c r="G15" s="93">
        <v>0</v>
      </c>
      <c r="H15" s="93">
        <v>0</v>
      </c>
      <c r="I15" s="93">
        <v>0</v>
      </c>
      <c r="J15" s="93">
        <v>0</v>
      </c>
      <c r="K15" s="93">
        <v>0</v>
      </c>
      <c r="L15" s="93">
        <v>0</v>
      </c>
      <c r="M15" s="93">
        <v>0</v>
      </c>
      <c r="N15" s="93">
        <v>0</v>
      </c>
      <c r="O15" s="93">
        <v>0</v>
      </c>
      <c r="P15" s="93">
        <v>0</v>
      </c>
      <c r="Q15" s="93">
        <v>0</v>
      </c>
      <c r="R15" s="93">
        <v>0</v>
      </c>
      <c r="S15" s="93">
        <v>0</v>
      </c>
      <c r="T15" s="93">
        <v>0</v>
      </c>
      <c r="U15" s="93">
        <v>0</v>
      </c>
      <c r="V15" s="93">
        <v>0</v>
      </c>
      <c r="W15" s="93">
        <v>0</v>
      </c>
      <c r="X15" s="93">
        <v>0</v>
      </c>
      <c r="Y15" s="93">
        <v>0</v>
      </c>
      <c r="Z15" s="93">
        <v>0</v>
      </c>
      <c r="AA15" s="93">
        <v>0</v>
      </c>
      <c r="AB15" s="93">
        <v>0</v>
      </c>
      <c r="AC15" s="93">
        <v>0</v>
      </c>
      <c r="AD15" s="93">
        <v>0</v>
      </c>
      <c r="AE15" s="93">
        <v>0</v>
      </c>
    </row>
    <row r="16" spans="1:33" ht="16.5" customHeight="1">
      <c r="A16" s="89" t="s">
        <v>212</v>
      </c>
      <c r="B16" s="93">
        <f t="shared" ref="B16:AE16" si="1">B12</f>
        <v>0</v>
      </c>
      <c r="C16" s="93">
        <f t="shared" si="1"/>
        <v>0</v>
      </c>
      <c r="D16" s="93">
        <f t="shared" si="1"/>
        <v>0</v>
      </c>
      <c r="E16" s="93">
        <f t="shared" si="1"/>
        <v>0</v>
      </c>
      <c r="F16" s="93">
        <f t="shared" si="1"/>
        <v>0</v>
      </c>
      <c r="G16" s="93">
        <f t="shared" si="1"/>
        <v>0</v>
      </c>
      <c r="H16" s="93">
        <f t="shared" si="1"/>
        <v>0</v>
      </c>
      <c r="I16" s="93">
        <f t="shared" si="1"/>
        <v>0</v>
      </c>
      <c r="J16" s="93">
        <f t="shared" si="1"/>
        <v>0</v>
      </c>
      <c r="K16" s="93">
        <f t="shared" si="1"/>
        <v>0</v>
      </c>
      <c r="L16" s="93">
        <f t="shared" si="1"/>
        <v>0</v>
      </c>
      <c r="M16" s="93">
        <f t="shared" si="1"/>
        <v>0</v>
      </c>
      <c r="N16" s="93">
        <f t="shared" si="1"/>
        <v>0</v>
      </c>
      <c r="O16" s="93">
        <f t="shared" si="1"/>
        <v>0</v>
      </c>
      <c r="P16" s="93">
        <f t="shared" si="1"/>
        <v>0</v>
      </c>
      <c r="Q16" s="93">
        <f t="shared" si="1"/>
        <v>0</v>
      </c>
      <c r="R16" s="93">
        <f t="shared" si="1"/>
        <v>0</v>
      </c>
      <c r="S16" s="93">
        <f t="shared" si="1"/>
        <v>0</v>
      </c>
      <c r="T16" s="93">
        <f t="shared" si="1"/>
        <v>0</v>
      </c>
      <c r="U16" s="93">
        <f t="shared" si="1"/>
        <v>0</v>
      </c>
      <c r="V16" s="93">
        <f t="shared" si="1"/>
        <v>0</v>
      </c>
      <c r="W16" s="93">
        <f t="shared" si="1"/>
        <v>0</v>
      </c>
      <c r="X16" s="93">
        <f t="shared" si="1"/>
        <v>0</v>
      </c>
      <c r="Y16" s="93">
        <f t="shared" si="1"/>
        <v>0</v>
      </c>
      <c r="Z16" s="93">
        <f t="shared" si="1"/>
        <v>0</v>
      </c>
      <c r="AA16" s="93">
        <f t="shared" si="1"/>
        <v>0</v>
      </c>
      <c r="AB16" s="93">
        <f t="shared" si="1"/>
        <v>0</v>
      </c>
      <c r="AC16" s="93">
        <f t="shared" si="1"/>
        <v>0</v>
      </c>
      <c r="AD16" s="93">
        <f t="shared" si="1"/>
        <v>0</v>
      </c>
      <c r="AE16" s="93">
        <f t="shared" si="1"/>
        <v>0</v>
      </c>
    </row>
    <row r="17" spans="1:31" ht="16.5" customHeight="1">
      <c r="A17" s="89" t="s">
        <v>228</v>
      </c>
      <c r="B17" s="93">
        <f t="shared" ref="B17:AE17" si="2">B12</f>
        <v>0</v>
      </c>
      <c r="C17" s="93">
        <f t="shared" si="2"/>
        <v>0</v>
      </c>
      <c r="D17" s="93">
        <f t="shared" si="2"/>
        <v>0</v>
      </c>
      <c r="E17" s="93">
        <f t="shared" si="2"/>
        <v>0</v>
      </c>
      <c r="F17" s="93">
        <f t="shared" si="2"/>
        <v>0</v>
      </c>
      <c r="G17" s="93">
        <f t="shared" si="2"/>
        <v>0</v>
      </c>
      <c r="H17" s="93">
        <f t="shared" si="2"/>
        <v>0</v>
      </c>
      <c r="I17" s="93">
        <f t="shared" si="2"/>
        <v>0</v>
      </c>
      <c r="J17" s="93">
        <f t="shared" si="2"/>
        <v>0</v>
      </c>
      <c r="K17" s="93">
        <f t="shared" si="2"/>
        <v>0</v>
      </c>
      <c r="L17" s="93">
        <f t="shared" si="2"/>
        <v>0</v>
      </c>
      <c r="M17" s="93">
        <f t="shared" si="2"/>
        <v>0</v>
      </c>
      <c r="N17" s="93">
        <f t="shared" si="2"/>
        <v>0</v>
      </c>
      <c r="O17" s="93">
        <f t="shared" si="2"/>
        <v>0</v>
      </c>
      <c r="P17" s="93">
        <f t="shared" si="2"/>
        <v>0</v>
      </c>
      <c r="Q17" s="93">
        <f t="shared" si="2"/>
        <v>0</v>
      </c>
      <c r="R17" s="93">
        <f t="shared" si="2"/>
        <v>0</v>
      </c>
      <c r="S17" s="93">
        <f t="shared" si="2"/>
        <v>0</v>
      </c>
      <c r="T17" s="93">
        <f t="shared" si="2"/>
        <v>0</v>
      </c>
      <c r="U17" s="93">
        <f t="shared" si="2"/>
        <v>0</v>
      </c>
      <c r="V17" s="93">
        <f t="shared" si="2"/>
        <v>0</v>
      </c>
      <c r="W17" s="93">
        <f t="shared" si="2"/>
        <v>0</v>
      </c>
      <c r="X17" s="93">
        <f t="shared" si="2"/>
        <v>0</v>
      </c>
      <c r="Y17" s="93">
        <f t="shared" si="2"/>
        <v>0</v>
      </c>
      <c r="Z17" s="93">
        <f t="shared" si="2"/>
        <v>0</v>
      </c>
      <c r="AA17" s="93">
        <f t="shared" si="2"/>
        <v>0</v>
      </c>
      <c r="AB17" s="93">
        <f t="shared" si="2"/>
        <v>0</v>
      </c>
      <c r="AC17" s="93">
        <f t="shared" si="2"/>
        <v>0</v>
      </c>
      <c r="AD17" s="93">
        <f t="shared" si="2"/>
        <v>0</v>
      </c>
      <c r="AE17" s="93">
        <f t="shared" si="2"/>
        <v>0</v>
      </c>
    </row>
    <row r="18" spans="1:31" ht="16.5" customHeight="1">
      <c r="A18" s="89" t="s">
        <v>215</v>
      </c>
      <c r="B18" s="93">
        <v>0</v>
      </c>
      <c r="C18" s="93">
        <v>0</v>
      </c>
      <c r="D18" s="93">
        <v>0</v>
      </c>
      <c r="E18" s="93">
        <v>0</v>
      </c>
      <c r="F18" s="93">
        <v>0</v>
      </c>
      <c r="G18" s="93">
        <v>0</v>
      </c>
      <c r="H18" s="93">
        <v>0</v>
      </c>
      <c r="I18" s="93">
        <v>0</v>
      </c>
      <c r="J18" s="93">
        <v>0</v>
      </c>
      <c r="K18" s="93">
        <v>0</v>
      </c>
      <c r="L18" s="93">
        <v>0</v>
      </c>
      <c r="M18" s="93">
        <v>0</v>
      </c>
      <c r="N18" s="93">
        <v>0</v>
      </c>
      <c r="O18" s="93">
        <v>0</v>
      </c>
      <c r="P18" s="93">
        <v>0</v>
      </c>
      <c r="Q18" s="93">
        <v>0</v>
      </c>
      <c r="R18" s="93">
        <v>0</v>
      </c>
      <c r="S18" s="93">
        <v>0</v>
      </c>
      <c r="T18" s="93">
        <v>0</v>
      </c>
      <c r="U18" s="93">
        <v>0</v>
      </c>
      <c r="V18" s="93">
        <v>0</v>
      </c>
      <c r="W18" s="93">
        <v>0</v>
      </c>
      <c r="X18" s="93">
        <v>0</v>
      </c>
      <c r="Y18" s="93">
        <v>0</v>
      </c>
      <c r="Z18" s="93">
        <v>0</v>
      </c>
      <c r="AA18" s="93">
        <v>0</v>
      </c>
      <c r="AB18" s="93">
        <v>0</v>
      </c>
      <c r="AC18" s="93">
        <v>0</v>
      </c>
      <c r="AD18" s="93">
        <v>0</v>
      </c>
      <c r="AE18" s="93">
        <v>0</v>
      </c>
    </row>
    <row r="19" spans="1:31" ht="16.5" customHeight="1">
      <c r="A19" s="89" t="s">
        <v>229</v>
      </c>
      <c r="B19" s="93">
        <v>0</v>
      </c>
      <c r="C19" s="93">
        <v>0</v>
      </c>
      <c r="D19" s="93">
        <v>0</v>
      </c>
      <c r="E19" s="93">
        <v>0</v>
      </c>
      <c r="F19" s="93">
        <v>0</v>
      </c>
      <c r="G19" s="93">
        <v>0</v>
      </c>
      <c r="H19" s="93">
        <v>0</v>
      </c>
      <c r="I19" s="93">
        <v>0</v>
      </c>
      <c r="J19" s="93">
        <v>0</v>
      </c>
      <c r="K19" s="93">
        <v>0</v>
      </c>
      <c r="L19" s="93">
        <v>0</v>
      </c>
      <c r="M19" s="93">
        <v>0</v>
      </c>
      <c r="N19" s="93">
        <v>0</v>
      </c>
      <c r="O19" s="93">
        <v>0</v>
      </c>
      <c r="P19" s="93">
        <v>0</v>
      </c>
      <c r="Q19" s="93">
        <v>0</v>
      </c>
      <c r="R19" s="93">
        <v>0</v>
      </c>
      <c r="S19" s="93">
        <v>0</v>
      </c>
      <c r="T19" s="93">
        <v>0</v>
      </c>
      <c r="U19" s="93">
        <v>0</v>
      </c>
      <c r="V19" s="93">
        <v>0</v>
      </c>
      <c r="W19" s="93">
        <v>0</v>
      </c>
      <c r="X19" s="93">
        <v>0</v>
      </c>
      <c r="Y19" s="93">
        <v>0</v>
      </c>
      <c r="Z19" s="93">
        <v>0</v>
      </c>
      <c r="AA19" s="93">
        <v>0</v>
      </c>
      <c r="AB19" s="93">
        <v>0</v>
      </c>
      <c r="AC19" s="93">
        <v>0</v>
      </c>
      <c r="AD19" s="93">
        <v>0</v>
      </c>
      <c r="AE19" s="93">
        <v>0</v>
      </c>
    </row>
    <row r="20" spans="1:31" ht="16.5" customHeight="1">
      <c r="A20" s="89" t="s">
        <v>230</v>
      </c>
      <c r="B20" s="93">
        <v>0</v>
      </c>
      <c r="C20" s="93">
        <v>0</v>
      </c>
      <c r="D20" s="93">
        <v>0</v>
      </c>
      <c r="E20" s="93">
        <v>0</v>
      </c>
      <c r="F20" s="93">
        <v>0</v>
      </c>
      <c r="G20" s="93">
        <v>0</v>
      </c>
      <c r="H20" s="93">
        <v>0</v>
      </c>
      <c r="I20" s="93">
        <v>0</v>
      </c>
      <c r="J20" s="93">
        <v>0</v>
      </c>
      <c r="K20" s="93">
        <v>0</v>
      </c>
      <c r="L20" s="93">
        <v>0</v>
      </c>
      <c r="M20" s="93">
        <v>0</v>
      </c>
      <c r="N20" s="93">
        <v>0</v>
      </c>
      <c r="O20" s="93">
        <v>0</v>
      </c>
      <c r="P20" s="93">
        <v>0</v>
      </c>
      <c r="Q20" s="93">
        <v>0</v>
      </c>
      <c r="R20" s="93">
        <v>0</v>
      </c>
      <c r="S20" s="93">
        <v>0</v>
      </c>
      <c r="T20" s="93">
        <v>0</v>
      </c>
      <c r="U20" s="93">
        <v>0</v>
      </c>
      <c r="V20" s="93">
        <v>0</v>
      </c>
      <c r="W20" s="93">
        <v>0</v>
      </c>
      <c r="X20" s="93">
        <v>0</v>
      </c>
      <c r="Y20" s="93">
        <v>0</v>
      </c>
      <c r="Z20" s="93">
        <v>0</v>
      </c>
      <c r="AA20" s="93">
        <v>0</v>
      </c>
      <c r="AB20" s="93">
        <v>0</v>
      </c>
      <c r="AC20" s="93">
        <v>0</v>
      </c>
      <c r="AD20" s="93">
        <v>0</v>
      </c>
      <c r="AE20" s="93">
        <v>0</v>
      </c>
    </row>
    <row r="21" spans="1:31" ht="16.5" customHeight="1">
      <c r="A21" s="89" t="s">
        <v>231</v>
      </c>
      <c r="B21" s="93">
        <v>0</v>
      </c>
      <c r="C21" s="93">
        <v>0</v>
      </c>
      <c r="D21" s="93">
        <v>0</v>
      </c>
      <c r="E21" s="93">
        <v>0</v>
      </c>
      <c r="F21" s="93">
        <v>0</v>
      </c>
      <c r="G21" s="93">
        <v>0</v>
      </c>
      <c r="H21" s="93">
        <v>0</v>
      </c>
      <c r="I21" s="93">
        <v>0</v>
      </c>
      <c r="J21" s="93">
        <v>0</v>
      </c>
      <c r="K21" s="93">
        <v>0</v>
      </c>
      <c r="L21" s="93">
        <v>0</v>
      </c>
      <c r="M21" s="93">
        <v>0</v>
      </c>
      <c r="N21" s="93">
        <v>0</v>
      </c>
      <c r="O21" s="93">
        <v>0</v>
      </c>
      <c r="P21" s="93">
        <v>0</v>
      </c>
      <c r="Q21" s="93">
        <v>0</v>
      </c>
      <c r="R21" s="93">
        <v>0</v>
      </c>
      <c r="S21" s="93">
        <v>0</v>
      </c>
      <c r="T21" s="93">
        <v>0</v>
      </c>
      <c r="U21" s="93">
        <v>0</v>
      </c>
      <c r="V21" s="93">
        <v>0</v>
      </c>
      <c r="W21" s="93">
        <v>0</v>
      </c>
      <c r="X21" s="93">
        <v>0</v>
      </c>
      <c r="Y21" s="93">
        <v>0</v>
      </c>
      <c r="Z21" s="93">
        <v>0</v>
      </c>
      <c r="AA21" s="93">
        <v>0</v>
      </c>
      <c r="AB21" s="93">
        <v>0</v>
      </c>
      <c r="AC21" s="93">
        <v>0</v>
      </c>
      <c r="AD21" s="93">
        <v>0</v>
      </c>
      <c r="AE21" s="93">
        <v>0</v>
      </c>
    </row>
    <row r="22" spans="1:31" ht="16.5" customHeight="1">
      <c r="A22" s="89" t="s">
        <v>232</v>
      </c>
      <c r="B22" s="93">
        <v>0</v>
      </c>
      <c r="C22" s="93">
        <v>0</v>
      </c>
      <c r="D22" s="93">
        <v>0</v>
      </c>
      <c r="E22" s="93">
        <v>0</v>
      </c>
      <c r="F22" s="93">
        <v>0</v>
      </c>
      <c r="G22" s="93">
        <v>0</v>
      </c>
      <c r="H22" s="93">
        <v>0</v>
      </c>
      <c r="I22" s="93">
        <v>0</v>
      </c>
      <c r="J22" s="93">
        <v>0</v>
      </c>
      <c r="K22" s="93">
        <v>0</v>
      </c>
      <c r="L22" s="93">
        <v>0</v>
      </c>
      <c r="M22" s="93">
        <v>0</v>
      </c>
      <c r="N22" s="93">
        <v>0</v>
      </c>
      <c r="O22" s="93">
        <v>0</v>
      </c>
      <c r="P22" s="93">
        <v>0</v>
      </c>
      <c r="Q22" s="93">
        <v>0</v>
      </c>
      <c r="R22" s="93">
        <v>0</v>
      </c>
      <c r="S22" s="93">
        <v>0</v>
      </c>
      <c r="T22" s="93">
        <v>0</v>
      </c>
      <c r="U22" s="93">
        <v>0</v>
      </c>
      <c r="V22" s="93">
        <v>0</v>
      </c>
      <c r="W22" s="93">
        <v>0</v>
      </c>
      <c r="X22" s="93">
        <v>0</v>
      </c>
      <c r="Y22" s="93">
        <v>0</v>
      </c>
      <c r="Z22" s="93">
        <v>0</v>
      </c>
      <c r="AA22" s="93">
        <v>0</v>
      </c>
      <c r="AB22" s="93">
        <v>0</v>
      </c>
      <c r="AC22" s="93">
        <v>0</v>
      </c>
      <c r="AD22" s="93">
        <v>0</v>
      </c>
      <c r="AE22" s="93">
        <v>0</v>
      </c>
    </row>
    <row r="23" spans="1:31" ht="16.5" customHeight="1">
      <c r="A23" s="89" t="s">
        <v>233</v>
      </c>
      <c r="B23" s="93">
        <v>0</v>
      </c>
      <c r="C23" s="93">
        <v>0</v>
      </c>
      <c r="D23" s="93">
        <v>0</v>
      </c>
      <c r="E23" s="93">
        <v>0</v>
      </c>
      <c r="F23" s="93">
        <v>0</v>
      </c>
      <c r="G23" s="93">
        <v>0</v>
      </c>
      <c r="H23" s="93">
        <v>0</v>
      </c>
      <c r="I23" s="93">
        <v>0</v>
      </c>
      <c r="J23" s="93">
        <v>0</v>
      </c>
      <c r="K23" s="93">
        <v>0</v>
      </c>
      <c r="L23" s="93">
        <v>0</v>
      </c>
      <c r="M23" s="93">
        <v>0</v>
      </c>
      <c r="N23" s="93">
        <v>0</v>
      </c>
      <c r="O23" s="93">
        <v>0</v>
      </c>
      <c r="P23" s="93">
        <v>0</v>
      </c>
      <c r="Q23" s="93">
        <v>0</v>
      </c>
      <c r="R23" s="93">
        <v>0</v>
      </c>
      <c r="S23" s="93">
        <v>0</v>
      </c>
      <c r="T23" s="93">
        <v>0</v>
      </c>
      <c r="U23" s="93">
        <v>0</v>
      </c>
      <c r="V23" s="93">
        <v>0</v>
      </c>
      <c r="W23" s="93">
        <v>0</v>
      </c>
      <c r="X23" s="93">
        <v>0</v>
      </c>
      <c r="Y23" s="93">
        <v>0</v>
      </c>
      <c r="Z23" s="93">
        <v>0</v>
      </c>
      <c r="AA23" s="93">
        <v>0</v>
      </c>
      <c r="AB23" s="93">
        <v>0</v>
      </c>
      <c r="AC23" s="93">
        <v>0</v>
      </c>
      <c r="AD23" s="93">
        <v>0</v>
      </c>
      <c r="AE23" s="93">
        <v>0</v>
      </c>
    </row>
    <row r="24" spans="1:31" ht="16.5" customHeight="1">
      <c r="A24" s="92" t="s">
        <v>234</v>
      </c>
      <c r="B24" s="93">
        <v>0</v>
      </c>
      <c r="C24" s="93">
        <v>0</v>
      </c>
      <c r="D24" s="93">
        <v>0</v>
      </c>
      <c r="E24" s="93">
        <v>0</v>
      </c>
      <c r="F24" s="93">
        <v>0</v>
      </c>
      <c r="G24" s="93">
        <v>0</v>
      </c>
      <c r="H24" s="93">
        <v>0</v>
      </c>
      <c r="I24" s="93">
        <v>0</v>
      </c>
      <c r="J24" s="93">
        <v>0</v>
      </c>
      <c r="K24" s="93">
        <v>0</v>
      </c>
      <c r="L24" s="93">
        <v>0</v>
      </c>
      <c r="M24" s="93">
        <v>0</v>
      </c>
      <c r="N24" s="93">
        <v>0</v>
      </c>
      <c r="O24" s="93">
        <v>0</v>
      </c>
      <c r="P24" s="93">
        <v>0</v>
      </c>
      <c r="Q24" s="93">
        <v>0</v>
      </c>
      <c r="R24" s="93">
        <v>0</v>
      </c>
      <c r="S24" s="93">
        <v>0</v>
      </c>
      <c r="T24" s="93">
        <v>0</v>
      </c>
      <c r="U24" s="93">
        <v>0</v>
      </c>
      <c r="V24" s="93">
        <v>0</v>
      </c>
      <c r="W24" s="93">
        <v>0</v>
      </c>
      <c r="X24" s="93">
        <v>0</v>
      </c>
      <c r="Y24" s="93">
        <v>0</v>
      </c>
      <c r="Z24" s="93">
        <v>0</v>
      </c>
      <c r="AA24" s="93">
        <v>0</v>
      </c>
      <c r="AB24" s="93">
        <v>0</v>
      </c>
      <c r="AC24" s="93">
        <v>0</v>
      </c>
      <c r="AD24" s="93">
        <v>0</v>
      </c>
      <c r="AE24" s="93">
        <v>0</v>
      </c>
    </row>
    <row r="25" spans="1:31" ht="16.5" customHeight="1">
      <c r="A25" s="92" t="s">
        <v>235</v>
      </c>
      <c r="B25" s="93">
        <v>0</v>
      </c>
      <c r="C25" s="93">
        <v>0</v>
      </c>
      <c r="D25" s="93">
        <v>0</v>
      </c>
      <c r="E25" s="93">
        <v>0</v>
      </c>
      <c r="F25" s="93">
        <v>0</v>
      </c>
      <c r="G25" s="93">
        <v>0</v>
      </c>
      <c r="H25" s="93">
        <v>0</v>
      </c>
      <c r="I25" s="93">
        <v>0</v>
      </c>
      <c r="J25" s="93">
        <v>0</v>
      </c>
      <c r="K25" s="93">
        <v>0</v>
      </c>
      <c r="L25" s="93">
        <v>0</v>
      </c>
      <c r="M25" s="93">
        <v>0</v>
      </c>
      <c r="N25" s="93">
        <v>0</v>
      </c>
      <c r="O25" s="93">
        <v>0</v>
      </c>
      <c r="P25" s="93">
        <v>0</v>
      </c>
      <c r="Q25" s="93">
        <v>0</v>
      </c>
      <c r="R25" s="93">
        <v>0</v>
      </c>
      <c r="S25" s="93">
        <v>0</v>
      </c>
      <c r="T25" s="93">
        <v>0</v>
      </c>
      <c r="U25" s="93">
        <v>0</v>
      </c>
      <c r="V25" s="93">
        <v>0</v>
      </c>
      <c r="W25" s="93">
        <v>0</v>
      </c>
      <c r="X25" s="93">
        <v>0</v>
      </c>
      <c r="Y25" s="93">
        <v>0</v>
      </c>
      <c r="Z25" s="93">
        <v>0</v>
      </c>
      <c r="AA25" s="93">
        <v>0</v>
      </c>
      <c r="AB25" s="93">
        <v>0</v>
      </c>
      <c r="AC25" s="93">
        <v>0</v>
      </c>
      <c r="AD25" s="93">
        <v>0</v>
      </c>
      <c r="AE25" s="93">
        <v>0</v>
      </c>
    </row>
    <row r="26" spans="1:31" ht="16.5" customHeight="1"/>
    <row r="27" spans="1:31" ht="16.5" customHeight="1"/>
    <row r="28" spans="1:31" ht="16.5" customHeight="1"/>
    <row r="29" spans="1:31" ht="16.5" customHeight="1"/>
    <row r="30" spans="1:31" ht="16.5" customHeight="1"/>
    <row r="31" spans="1:31" ht="16.5" customHeight="1"/>
    <row r="32" spans="1:31" ht="16.5" customHeight="1"/>
    <row r="33" s="90" customFormat="1" ht="16.5" customHeight="1"/>
    <row r="34" s="90" customFormat="1" ht="16.5" customHeight="1"/>
    <row r="35" s="90" customFormat="1" ht="16.5" customHeight="1"/>
    <row r="36" s="90" customFormat="1" ht="16.5" customHeight="1"/>
    <row r="37" s="90" customFormat="1" ht="16.5" customHeight="1"/>
    <row r="38" s="90" customFormat="1" ht="16.5" customHeight="1"/>
    <row r="39" s="90" customFormat="1" ht="16.5" customHeight="1"/>
    <row r="40" s="90" customFormat="1" ht="16.5" customHeight="1"/>
    <row r="41" s="90" customFormat="1" ht="16.5" customHeight="1"/>
    <row r="42" s="90" customFormat="1" ht="16.5" customHeight="1"/>
    <row r="43" s="90" customFormat="1" ht="16.5" customHeight="1"/>
    <row r="44" s="90" customFormat="1" ht="16.5" customHeight="1"/>
    <row r="45" s="90" customFormat="1" ht="16.5" customHeight="1"/>
    <row r="46" s="90" customFormat="1" ht="16.5" customHeight="1"/>
    <row r="47" s="90" customFormat="1" ht="16.5" customHeight="1"/>
    <row r="48" s="90" customFormat="1" ht="16.5" customHeight="1"/>
    <row r="49" s="90" customFormat="1" ht="16.5" customHeight="1"/>
    <row r="50" s="90" customFormat="1" ht="16.5" customHeight="1"/>
    <row r="51" s="90" customFormat="1" ht="16.5" customHeight="1"/>
    <row r="52" s="90" customFormat="1" ht="16.5" customHeight="1"/>
    <row r="53" s="90" customFormat="1" ht="16.5" customHeight="1"/>
    <row r="54" s="90" customFormat="1" ht="16.5" customHeight="1"/>
    <row r="55" s="90" customFormat="1" ht="16.5" customHeight="1"/>
    <row r="56" s="90" customFormat="1" ht="16.5" customHeight="1"/>
    <row r="57" s="90" customFormat="1" ht="16.5" customHeight="1"/>
    <row r="58" s="90" customFormat="1" ht="16.5" customHeight="1"/>
    <row r="59" s="90" customFormat="1" ht="16.5" customHeight="1"/>
    <row r="60" s="90" customFormat="1" ht="16.5" customHeight="1"/>
    <row r="61" s="90" customFormat="1" ht="16.5" customHeight="1"/>
    <row r="62" s="90" customFormat="1" ht="16.5" customHeight="1"/>
    <row r="63" s="90" customFormat="1" ht="16.5" customHeight="1"/>
    <row r="64" s="90" customFormat="1" ht="16.5" customHeight="1"/>
    <row r="65" s="90" customFormat="1" ht="16.5" customHeight="1"/>
    <row r="66" s="90" customFormat="1" ht="16.5" customHeight="1"/>
    <row r="67" s="90" customFormat="1" ht="16.5" customHeight="1"/>
    <row r="68" s="90" customFormat="1" ht="16.5" customHeight="1"/>
    <row r="69" s="90" customFormat="1" ht="16.5" customHeight="1"/>
    <row r="70" s="90" customFormat="1" ht="16.5" customHeight="1"/>
    <row r="71" s="90" customFormat="1" ht="16.5" customHeight="1"/>
    <row r="72" s="90" customFormat="1" ht="16.5" customHeight="1"/>
    <row r="73" s="90" customFormat="1" ht="16.5" customHeight="1"/>
    <row r="74" s="90" customFormat="1" ht="16.5" customHeight="1"/>
    <row r="75" s="90" customFormat="1" ht="16.5" customHeight="1"/>
    <row r="76" s="90" customFormat="1" ht="16.5" customHeight="1"/>
    <row r="77" s="90" customFormat="1" ht="16.5" customHeight="1"/>
    <row r="78" s="90" customFormat="1" ht="16.5" customHeight="1"/>
    <row r="79" s="90" customFormat="1" ht="16.5" customHeight="1"/>
    <row r="80" s="90" customFormat="1" ht="16.5" customHeight="1"/>
    <row r="81" s="90" customFormat="1" ht="16.5" customHeight="1"/>
    <row r="82" s="90" customFormat="1" ht="16.5" customHeight="1"/>
    <row r="83" s="90" customFormat="1" ht="16.5" customHeight="1"/>
    <row r="84" s="90" customFormat="1" ht="16.5" customHeight="1"/>
    <row r="85" s="90" customFormat="1" ht="16.5" customHeight="1"/>
    <row r="86" s="90" customFormat="1" ht="16.5" customHeight="1"/>
    <row r="87" s="90" customFormat="1" ht="16.5" customHeight="1"/>
    <row r="88" s="90" customFormat="1" ht="16.5" customHeight="1"/>
    <row r="89" s="90" customFormat="1" ht="16.5" customHeight="1"/>
    <row r="90" s="90" customFormat="1" ht="16.5" customHeight="1"/>
    <row r="91" s="90" customFormat="1" ht="16.5" customHeight="1"/>
    <row r="92" s="90" customFormat="1" ht="16.5" customHeight="1"/>
    <row r="93" s="90" customFormat="1" ht="16.5" customHeight="1"/>
    <row r="94" s="90" customFormat="1" ht="16.5" customHeight="1"/>
    <row r="95" s="90" customFormat="1" ht="16.5" customHeight="1"/>
    <row r="96" s="90" customFormat="1" ht="16.5" customHeight="1"/>
    <row r="97" s="90" customFormat="1" ht="16.5" customHeight="1"/>
    <row r="98" s="90" customFormat="1" ht="16.5" customHeight="1"/>
    <row r="99" s="90" customFormat="1" ht="16.5" customHeight="1"/>
    <row r="100" s="90" customFormat="1" ht="16.5" customHeight="1"/>
    <row r="101" s="90" customFormat="1" ht="16.5" customHeight="1"/>
    <row r="102" s="90" customFormat="1" ht="16.5" customHeight="1"/>
    <row r="103" s="90" customFormat="1" ht="16.5" customHeight="1"/>
    <row r="104" s="90" customFormat="1" ht="16.5" customHeight="1"/>
    <row r="105" s="90" customFormat="1" ht="16.5" customHeight="1"/>
    <row r="106" s="90" customFormat="1" ht="16.5" customHeight="1"/>
    <row r="107" s="90" customFormat="1" ht="16.5" customHeight="1"/>
    <row r="108" s="90" customFormat="1" ht="16.5" customHeight="1"/>
    <row r="109" s="90" customFormat="1" ht="16.5" customHeight="1"/>
    <row r="110" s="90" customFormat="1" ht="16.5" customHeight="1"/>
    <row r="111" s="90" customFormat="1" ht="16.5" customHeight="1"/>
    <row r="112" s="90" customFormat="1" ht="16.5" customHeight="1"/>
    <row r="113" s="90" customFormat="1" ht="16.5" customHeight="1"/>
    <row r="114" s="90" customFormat="1" ht="16.5" customHeight="1"/>
    <row r="115" s="90" customFormat="1" ht="16.5" customHeight="1"/>
    <row r="116" s="90" customFormat="1" ht="16.5" customHeight="1"/>
    <row r="117" s="90" customFormat="1" ht="16.5" customHeight="1"/>
    <row r="118" s="90" customFormat="1" ht="16.5" customHeight="1"/>
    <row r="119" s="90" customFormat="1" ht="16.5" customHeight="1"/>
    <row r="120" s="90" customFormat="1" ht="16.5" customHeight="1"/>
    <row r="121" s="90" customFormat="1" ht="16.5" customHeight="1"/>
    <row r="122" s="90" customFormat="1" ht="16.5" customHeight="1"/>
    <row r="123" s="90" customFormat="1" ht="16.5" customHeight="1"/>
    <row r="124" s="90" customFormat="1" ht="16.5" customHeight="1"/>
    <row r="125" s="90" customFormat="1" ht="16.5" customHeight="1"/>
    <row r="126" s="90" customFormat="1" ht="16.5" customHeight="1"/>
    <row r="127" s="90" customFormat="1" ht="16.5" customHeight="1"/>
    <row r="128" s="90" customFormat="1" ht="16.5" customHeight="1"/>
    <row r="129" s="90" customFormat="1" ht="16.5" customHeight="1"/>
    <row r="130" s="90" customFormat="1" ht="16.5" customHeight="1"/>
    <row r="131" s="90" customFormat="1" ht="16.5" customHeight="1"/>
    <row r="132" s="90" customFormat="1" ht="16.5" customHeight="1"/>
    <row r="133" s="90" customFormat="1" ht="16.5" customHeight="1"/>
    <row r="134" s="90" customFormat="1" ht="16.5" customHeight="1"/>
    <row r="135" s="90" customFormat="1" ht="16.5" customHeight="1"/>
    <row r="136" s="90" customFormat="1" ht="16.5" customHeight="1"/>
    <row r="137" s="90" customFormat="1" ht="16.5" customHeight="1"/>
    <row r="138" s="90" customFormat="1" ht="16.5" customHeight="1"/>
    <row r="139" s="90" customFormat="1" ht="16.5" customHeight="1"/>
    <row r="140" s="90" customFormat="1" ht="16.5" customHeight="1"/>
    <row r="141" s="90" customFormat="1" ht="16.5" customHeight="1"/>
    <row r="142" s="90" customFormat="1" ht="16.5" customHeight="1"/>
    <row r="143" s="90" customFormat="1" ht="16.5" customHeight="1"/>
    <row r="144" s="90" customFormat="1" ht="16.5" customHeight="1"/>
    <row r="145" s="90" customFormat="1" ht="16.5" customHeight="1"/>
    <row r="146" s="90" customFormat="1" ht="16.5" customHeight="1"/>
    <row r="147" s="90" customFormat="1" ht="16.5" customHeight="1"/>
    <row r="148" s="90" customFormat="1" ht="16.5" customHeight="1"/>
    <row r="149" s="90" customFormat="1" ht="16.5" customHeight="1"/>
    <row r="150" s="90" customFormat="1" ht="16.5" customHeight="1"/>
    <row r="151" s="90" customFormat="1" ht="16.5" customHeight="1"/>
    <row r="152" s="90" customFormat="1" ht="16.5" customHeight="1"/>
    <row r="153" s="90" customFormat="1" ht="16.5" customHeight="1"/>
    <row r="154" s="90" customFormat="1" ht="16.5" customHeight="1"/>
    <row r="155" s="90" customFormat="1" ht="16.5" customHeight="1"/>
    <row r="156" s="90" customFormat="1" ht="16.5" customHeight="1"/>
    <row r="157" s="90" customFormat="1" ht="16.5" customHeight="1"/>
    <row r="158" s="90" customFormat="1" ht="16.5" customHeight="1"/>
    <row r="159" s="90" customFormat="1" ht="16.5" customHeight="1"/>
    <row r="160" s="90" customFormat="1" ht="16.5" customHeight="1"/>
    <row r="161" s="90" customFormat="1" ht="16.5" customHeight="1"/>
    <row r="162" s="90" customFormat="1" ht="16.5" customHeight="1"/>
    <row r="163" s="90" customFormat="1" ht="16.5" customHeight="1"/>
    <row r="164" s="90" customFormat="1" ht="16.5" customHeight="1"/>
    <row r="165" s="90" customFormat="1" ht="16.5" customHeight="1"/>
    <row r="166" s="90" customFormat="1" ht="16.5" customHeight="1"/>
    <row r="167" s="90" customFormat="1" ht="16.5" customHeight="1"/>
    <row r="168" s="90" customFormat="1" ht="16.5" customHeight="1"/>
    <row r="169" s="90" customFormat="1" ht="16.5" customHeight="1"/>
    <row r="170" s="90" customFormat="1" ht="16.5" customHeight="1"/>
    <row r="171" s="90" customFormat="1" ht="16.5" customHeight="1"/>
    <row r="172" s="90" customFormat="1" ht="16.5" customHeight="1"/>
    <row r="173" s="90" customFormat="1" ht="16.5" customHeight="1"/>
    <row r="174" s="90" customFormat="1" ht="16.5" customHeight="1"/>
    <row r="175" s="90" customFormat="1" ht="16.5" customHeight="1"/>
    <row r="176" s="90" customFormat="1" ht="16.5" customHeight="1"/>
    <row r="177" s="90" customFormat="1" ht="16.5" customHeight="1"/>
    <row r="178" s="90" customFormat="1" ht="16.5" customHeight="1"/>
    <row r="179" s="90" customFormat="1" ht="16.5" customHeight="1"/>
    <row r="180" s="90" customFormat="1" ht="16.5" customHeight="1"/>
    <row r="181" s="90" customFormat="1" ht="16.5" customHeight="1"/>
    <row r="182" s="90" customFormat="1" ht="16.5" customHeight="1"/>
    <row r="183" s="90" customFormat="1" ht="16.5" customHeight="1"/>
    <row r="184" s="90" customFormat="1" ht="16.5" customHeight="1"/>
    <row r="185" s="90" customFormat="1" ht="16.5" customHeight="1"/>
    <row r="186" s="90" customFormat="1" ht="16.5" customHeight="1"/>
    <row r="187" s="90" customFormat="1" ht="16.5" customHeight="1"/>
    <row r="188" s="90" customFormat="1" ht="16.5" customHeight="1"/>
    <row r="189" s="90" customFormat="1" ht="16.5" customHeight="1"/>
    <row r="190" s="90" customFormat="1" ht="16.5" customHeight="1"/>
    <row r="191" s="90" customFormat="1" ht="16.5" customHeight="1"/>
    <row r="192" s="90" customFormat="1" ht="16.5" customHeight="1"/>
    <row r="193" s="90" customFormat="1" ht="16.5" customHeight="1"/>
    <row r="194" s="90" customFormat="1" ht="16.5" customHeight="1"/>
    <row r="195" s="90" customFormat="1" ht="16.5" customHeight="1"/>
    <row r="196" s="90" customFormat="1" ht="16.5" customHeight="1"/>
    <row r="197" s="90" customFormat="1" ht="16.5" customHeight="1"/>
    <row r="198" s="90" customFormat="1" ht="16.5" customHeight="1"/>
    <row r="199" s="90" customFormat="1" ht="16.5" customHeight="1"/>
    <row r="200" s="90" customFormat="1" ht="16.5" customHeight="1"/>
    <row r="201" s="90" customFormat="1" ht="16.5" customHeight="1"/>
    <row r="202" s="90" customFormat="1" ht="16.5" customHeight="1"/>
    <row r="203" s="90" customFormat="1" ht="16.5" customHeight="1"/>
    <row r="204" s="90" customFormat="1" ht="16.5" customHeight="1"/>
    <row r="205" s="90" customFormat="1" ht="16.5" customHeight="1"/>
    <row r="206" s="90" customFormat="1" ht="16.5" customHeight="1"/>
    <row r="207" s="90" customFormat="1" ht="16.5" customHeight="1"/>
    <row r="208" s="90" customFormat="1" ht="16.5" customHeight="1"/>
    <row r="209" s="90" customFormat="1" ht="16.5" customHeight="1"/>
    <row r="210" s="90" customFormat="1" ht="16.5" customHeight="1"/>
    <row r="211" s="90" customFormat="1" ht="16.5" customHeight="1"/>
    <row r="212" s="90" customFormat="1" ht="16.5" customHeight="1"/>
    <row r="213" s="90" customFormat="1" ht="16.5" customHeight="1"/>
    <row r="214" s="90" customFormat="1" ht="16.5" customHeight="1"/>
    <row r="215" s="90" customFormat="1" ht="16.5" customHeight="1"/>
    <row r="216" s="90" customFormat="1" ht="16.5" customHeight="1"/>
    <row r="217" s="90" customFormat="1" ht="16.5" customHeight="1"/>
    <row r="218" s="90" customFormat="1" ht="16.5" customHeight="1"/>
    <row r="219" s="90" customFormat="1" ht="16.5" customHeight="1"/>
    <row r="220" s="90" customFormat="1" ht="16.5" customHeight="1"/>
    <row r="221" s="90" customFormat="1" ht="16.5" customHeight="1"/>
    <row r="222" s="90" customFormat="1" ht="16.5" customHeight="1"/>
    <row r="223" s="90" customFormat="1" ht="16.5" customHeight="1"/>
    <row r="224" s="90" customFormat="1" ht="16.5" customHeight="1"/>
    <row r="225" s="90" customFormat="1" ht="16.5" customHeight="1"/>
    <row r="226" s="90" customFormat="1" ht="16.5" customHeight="1"/>
    <row r="227" s="90" customFormat="1" ht="16.5" customHeight="1"/>
    <row r="228" s="90" customFormat="1" ht="16.5" customHeight="1"/>
    <row r="229" s="90" customFormat="1" ht="16.5" customHeight="1"/>
    <row r="230" s="90" customFormat="1" ht="16.5" customHeight="1"/>
    <row r="231" s="90" customFormat="1" ht="16.5" customHeight="1"/>
    <row r="232" s="90" customFormat="1" ht="16.5" customHeight="1"/>
    <row r="233" s="90" customFormat="1" ht="16.5" customHeight="1"/>
    <row r="234" s="90" customFormat="1" ht="16.5" customHeight="1"/>
    <row r="235" s="90" customFormat="1" ht="16.5" customHeight="1"/>
    <row r="236" s="90" customFormat="1" ht="16.5" customHeight="1"/>
    <row r="237" s="90" customFormat="1" ht="16.5" customHeight="1"/>
    <row r="238" s="90" customFormat="1" ht="16.5" customHeight="1"/>
    <row r="239" s="90" customFormat="1" ht="16.5" customHeight="1"/>
    <row r="240" s="90" customFormat="1" ht="16.5" customHeight="1"/>
    <row r="241" s="90" customFormat="1" ht="16.5" customHeight="1"/>
    <row r="242" s="90" customFormat="1" ht="16.5" customHeight="1"/>
    <row r="243" s="90" customFormat="1" ht="16.5" customHeight="1"/>
    <row r="244" s="90" customFormat="1" ht="16.5" customHeight="1"/>
    <row r="245" s="90" customFormat="1" ht="16.5" customHeight="1"/>
    <row r="246" s="90" customFormat="1" ht="16.5" customHeight="1"/>
    <row r="247" s="90" customFormat="1" ht="16.5" customHeight="1"/>
    <row r="248" s="90" customFormat="1" ht="16.5" customHeight="1"/>
    <row r="249" s="90" customFormat="1" ht="16.5" customHeight="1"/>
    <row r="250" s="90" customFormat="1" ht="16.5" customHeight="1"/>
    <row r="251" s="90" customFormat="1" ht="16.5" customHeight="1"/>
    <row r="252" s="90" customFormat="1" ht="16.5" customHeight="1"/>
    <row r="253" s="90" customFormat="1" ht="16.5" customHeight="1"/>
    <row r="254" s="90" customFormat="1" ht="16.5" customHeight="1"/>
    <row r="255" s="90" customFormat="1" ht="16.5" customHeight="1"/>
    <row r="256" s="90" customFormat="1" ht="16.5" customHeight="1"/>
    <row r="257" s="90" customFormat="1" ht="16.5" customHeight="1"/>
    <row r="258" s="90" customFormat="1" ht="16.5" customHeight="1"/>
    <row r="259" s="90" customFormat="1" ht="16.5" customHeight="1"/>
    <row r="260" s="90" customFormat="1" ht="16.5" customHeight="1"/>
    <row r="261" s="90" customFormat="1" ht="16.5" customHeight="1"/>
    <row r="262" s="90" customFormat="1" ht="16.5" customHeight="1"/>
    <row r="263" s="90" customFormat="1" ht="16.5" customHeight="1"/>
    <row r="264" s="90" customFormat="1" ht="16.5" customHeight="1"/>
    <row r="265" s="90" customFormat="1" ht="16.5" customHeight="1"/>
    <row r="266" s="90" customFormat="1" ht="16.5" customHeight="1"/>
    <row r="267" s="90" customFormat="1" ht="16.5" customHeight="1"/>
    <row r="268" s="90" customFormat="1" ht="16.5" customHeight="1"/>
    <row r="269" s="90" customFormat="1" ht="16.5" customHeight="1"/>
    <row r="270" s="90" customFormat="1" ht="16.5" customHeight="1"/>
    <row r="271" s="90" customFormat="1" ht="16.5" customHeight="1"/>
    <row r="272" s="90" customFormat="1" ht="16.5" customHeight="1"/>
    <row r="273" s="90" customFormat="1" ht="16.5" customHeight="1"/>
    <row r="274" s="90" customFormat="1" ht="16.5" customHeight="1"/>
    <row r="275" s="90" customFormat="1" ht="16.5" customHeight="1"/>
    <row r="276" s="90" customFormat="1" ht="16.5" customHeight="1"/>
    <row r="277" s="90" customFormat="1" ht="16.5" customHeight="1"/>
    <row r="278" s="90" customFormat="1" ht="16.5" customHeight="1"/>
    <row r="279" s="90" customFormat="1" ht="16.5" customHeight="1"/>
    <row r="280" s="90" customFormat="1" ht="16.5" customHeight="1"/>
    <row r="281" s="90" customFormat="1" ht="16.5" customHeight="1"/>
    <row r="282" s="90" customFormat="1" ht="16.5" customHeight="1"/>
    <row r="283" s="90" customFormat="1" ht="16.5" customHeight="1"/>
    <row r="284" s="90" customFormat="1" ht="16.5" customHeight="1"/>
    <row r="285" s="90" customFormat="1" ht="16.5" customHeight="1"/>
    <row r="286" s="90" customFormat="1" ht="16.5" customHeight="1"/>
    <row r="287" s="90" customFormat="1" ht="16.5" customHeight="1"/>
    <row r="288" s="90" customFormat="1" ht="16.5" customHeight="1"/>
    <row r="289" s="90" customFormat="1" ht="16.5" customHeight="1"/>
    <row r="290" s="90" customFormat="1" ht="16.5" customHeight="1"/>
    <row r="291" s="90" customFormat="1" ht="16.5" customHeight="1"/>
    <row r="292" s="90" customFormat="1" ht="16.5" customHeight="1"/>
    <row r="293" s="90" customFormat="1" ht="16.5" customHeight="1"/>
    <row r="294" s="90" customFormat="1" ht="16.5" customHeight="1"/>
    <row r="295" s="90" customFormat="1" ht="16.5" customHeight="1"/>
    <row r="296" s="90" customFormat="1" ht="16.5" customHeight="1"/>
    <row r="297" s="90" customFormat="1" ht="16.5" customHeight="1"/>
    <row r="298" s="90" customFormat="1" ht="16.5" customHeight="1"/>
    <row r="299" s="90" customFormat="1" ht="16.5" customHeight="1"/>
    <row r="300" s="90" customFormat="1" ht="16.5" customHeight="1"/>
    <row r="301" s="90" customFormat="1" ht="16.5" customHeight="1"/>
    <row r="302" s="90" customFormat="1" ht="16.5" customHeight="1"/>
    <row r="303" s="90" customFormat="1" ht="16.5" customHeight="1"/>
    <row r="304" s="90" customFormat="1" ht="16.5" customHeight="1"/>
    <row r="305" s="90" customFormat="1" ht="16.5" customHeight="1"/>
    <row r="306" s="90" customFormat="1" ht="16.5" customHeight="1"/>
    <row r="307" s="90" customFormat="1" ht="16.5" customHeight="1"/>
    <row r="308" s="90" customFormat="1" ht="16.5" customHeight="1"/>
    <row r="309" s="90" customFormat="1" ht="16.5" customHeight="1"/>
    <row r="310" s="90" customFormat="1" ht="16.5" customHeight="1"/>
    <row r="311" s="90" customFormat="1" ht="16.5" customHeight="1"/>
    <row r="312" s="90" customFormat="1" ht="16.5" customHeight="1"/>
    <row r="313" s="90" customFormat="1" ht="16.5" customHeight="1"/>
    <row r="314" s="90" customFormat="1" ht="16.5" customHeight="1"/>
    <row r="315" s="90" customFormat="1" ht="16.5" customHeight="1"/>
    <row r="316" s="90" customFormat="1" ht="16.5" customHeight="1"/>
    <row r="317" s="90" customFormat="1" ht="16.5" customHeight="1"/>
    <row r="318" s="90" customFormat="1" ht="16.5" customHeight="1"/>
    <row r="319" s="90" customFormat="1" ht="16.5" customHeight="1"/>
    <row r="320" s="90" customFormat="1" ht="16.5" customHeight="1"/>
    <row r="321" s="90" customFormat="1" ht="16.5" customHeight="1"/>
    <row r="322" s="90" customFormat="1" ht="16.5" customHeight="1"/>
    <row r="323" s="90" customFormat="1" ht="16.5" customHeight="1"/>
    <row r="324" s="90" customFormat="1" ht="16.5" customHeight="1"/>
    <row r="325" s="90" customFormat="1" ht="16.5" customHeight="1"/>
    <row r="326" s="90" customFormat="1" ht="16.5" customHeight="1"/>
    <row r="327" s="90" customFormat="1" ht="16.5" customHeight="1"/>
    <row r="328" s="90" customFormat="1" ht="16.5" customHeight="1"/>
    <row r="329" s="90" customFormat="1" ht="16.5" customHeight="1"/>
    <row r="330" s="90" customFormat="1" ht="16.5" customHeight="1"/>
    <row r="331" s="90" customFormat="1" ht="16.5" customHeight="1"/>
    <row r="332" s="90" customFormat="1" ht="16.5" customHeight="1"/>
    <row r="333" s="90" customFormat="1" ht="16.5" customHeight="1"/>
    <row r="334" s="90" customFormat="1" ht="16.5" customHeight="1"/>
    <row r="335" s="90" customFormat="1" ht="16.5" customHeight="1"/>
    <row r="336" s="90" customFormat="1" ht="16.5" customHeight="1"/>
    <row r="337" s="90" customFormat="1" ht="16.5" customHeight="1"/>
    <row r="338" s="90" customFormat="1" ht="16.5" customHeight="1"/>
    <row r="339" s="90" customFormat="1" ht="16.5" customHeight="1"/>
    <row r="340" s="90" customFormat="1" ht="16.5" customHeight="1"/>
    <row r="341" s="90" customFormat="1" ht="16.5" customHeight="1"/>
    <row r="342" s="90" customFormat="1" ht="16.5" customHeight="1"/>
    <row r="343" s="90" customFormat="1" ht="16.5" customHeight="1"/>
    <row r="344" s="90" customFormat="1" ht="16.5" customHeight="1"/>
    <row r="345" s="90" customFormat="1" ht="16.5" customHeight="1"/>
    <row r="346" s="90" customFormat="1" ht="16.5" customHeight="1"/>
    <row r="347" s="90" customFormat="1" ht="16.5" customHeight="1"/>
    <row r="348" s="90" customFormat="1" ht="16.5" customHeight="1"/>
    <row r="349" s="90" customFormat="1" ht="16.5" customHeight="1"/>
    <row r="350" s="90" customFormat="1" ht="16.5" customHeight="1"/>
    <row r="351" s="90" customFormat="1" ht="16.5" customHeight="1"/>
    <row r="352" s="90" customFormat="1" ht="16.5" customHeight="1"/>
    <row r="353" s="90" customFormat="1" ht="16.5" customHeight="1"/>
    <row r="354" s="90" customFormat="1" ht="16.5" customHeight="1"/>
    <row r="355" s="90" customFormat="1" ht="16.5" customHeight="1"/>
    <row r="356" s="90" customFormat="1" ht="16.5" customHeight="1"/>
    <row r="357" s="90" customFormat="1" ht="16.5" customHeight="1"/>
    <row r="358" s="90" customFormat="1" ht="16.5" customHeight="1"/>
    <row r="359" s="90" customFormat="1" ht="16.5" customHeight="1"/>
    <row r="360" s="90" customFormat="1" ht="16.5" customHeight="1"/>
    <row r="361" s="90" customFormat="1" ht="16.5" customHeight="1"/>
    <row r="362" s="90" customFormat="1" ht="16.5" customHeight="1"/>
    <row r="363" s="90" customFormat="1" ht="16.5" customHeight="1"/>
    <row r="364" s="90" customFormat="1" ht="16.5" customHeight="1"/>
    <row r="365" s="90" customFormat="1" ht="16.5" customHeight="1"/>
    <row r="366" s="90" customFormat="1" ht="16.5" customHeight="1"/>
    <row r="367" s="90" customFormat="1" ht="16.5" customHeight="1"/>
    <row r="368" s="90" customFormat="1" ht="16.5" customHeight="1"/>
    <row r="369" s="90" customFormat="1" ht="16.5" customHeight="1"/>
    <row r="370" s="90" customFormat="1" ht="16.5" customHeight="1"/>
    <row r="371" s="90" customFormat="1" ht="16.5" customHeight="1"/>
    <row r="372" s="90" customFormat="1" ht="16.5" customHeight="1"/>
    <row r="373" s="90" customFormat="1" ht="16.5" customHeight="1"/>
    <row r="374" s="90" customFormat="1" ht="16.5" customHeight="1"/>
    <row r="375" s="90" customFormat="1" ht="16.5" customHeight="1"/>
    <row r="376" s="90" customFormat="1" ht="16.5" customHeight="1"/>
    <row r="377" s="90" customFormat="1" ht="16.5" customHeight="1"/>
    <row r="378" s="90" customFormat="1" ht="16.5" customHeight="1"/>
    <row r="379" s="90" customFormat="1" ht="16.5" customHeight="1"/>
    <row r="380" s="90" customFormat="1" ht="16.5" customHeight="1"/>
    <row r="381" s="90" customFormat="1" ht="16.5" customHeight="1"/>
    <row r="382" s="90" customFormat="1" ht="16.5" customHeight="1"/>
    <row r="383" s="90" customFormat="1" ht="16.5" customHeight="1"/>
    <row r="384" s="90" customFormat="1" ht="16.5" customHeight="1"/>
    <row r="385" s="90" customFormat="1" ht="16.5" customHeight="1"/>
    <row r="386" s="90" customFormat="1" ht="16.5" customHeight="1"/>
    <row r="387" s="90" customFormat="1" ht="16.5" customHeight="1"/>
    <row r="388" s="90" customFormat="1" ht="16.5" customHeight="1"/>
    <row r="389" s="90" customFormat="1" ht="16.5" customHeight="1"/>
    <row r="390" s="90" customFormat="1" ht="16.5" customHeight="1"/>
    <row r="391" s="90" customFormat="1" ht="16.5" customHeight="1"/>
    <row r="392" s="90" customFormat="1" ht="16.5" customHeight="1"/>
    <row r="393" s="90" customFormat="1" ht="16.5" customHeight="1"/>
    <row r="394" s="90" customFormat="1" ht="16.5" customHeight="1"/>
    <row r="395" s="90" customFormat="1" ht="16.5" customHeight="1"/>
    <row r="396" s="90" customFormat="1" ht="16.5" customHeight="1"/>
    <row r="397" s="90" customFormat="1" ht="16.5" customHeight="1"/>
    <row r="398" s="90" customFormat="1" ht="16.5" customHeight="1"/>
    <row r="399" s="90" customFormat="1" ht="16.5" customHeight="1"/>
    <row r="400" s="90" customFormat="1" ht="16.5" customHeight="1"/>
    <row r="401" s="90" customFormat="1" ht="16.5" customHeight="1"/>
    <row r="402" s="90" customFormat="1" ht="16.5" customHeight="1"/>
    <row r="403" s="90" customFormat="1" ht="16.5" customHeight="1"/>
    <row r="404" s="90" customFormat="1" ht="16.5" customHeight="1"/>
    <row r="405" s="90" customFormat="1" ht="16.5" customHeight="1"/>
    <row r="406" s="90" customFormat="1" ht="16.5" customHeight="1"/>
    <row r="407" s="90" customFormat="1" ht="16.5" customHeight="1"/>
    <row r="408" s="90" customFormat="1" ht="16.5" customHeight="1"/>
    <row r="409" s="90" customFormat="1" ht="16.5" customHeight="1"/>
    <row r="410" s="90" customFormat="1" ht="16.5" customHeight="1"/>
    <row r="411" s="90" customFormat="1" ht="16.5" customHeight="1"/>
    <row r="412" s="90" customFormat="1" ht="16.5" customHeight="1"/>
    <row r="413" s="90" customFormat="1" ht="16.5" customHeight="1"/>
    <row r="414" s="90" customFormat="1" ht="16.5" customHeight="1"/>
    <row r="415" s="90" customFormat="1" ht="16.5" customHeight="1"/>
    <row r="416" s="90" customFormat="1" ht="16.5" customHeight="1"/>
    <row r="417" s="90" customFormat="1" ht="16.5" customHeight="1"/>
    <row r="418" s="90" customFormat="1" ht="16.5" customHeight="1"/>
    <row r="419" s="90" customFormat="1" ht="16.5" customHeight="1"/>
    <row r="420" s="90" customFormat="1" ht="16.5" customHeight="1"/>
    <row r="421" s="90" customFormat="1" ht="16.5" customHeight="1"/>
    <row r="422" s="90" customFormat="1" ht="16.5" customHeight="1"/>
    <row r="423" s="90" customFormat="1" ht="16.5" customHeight="1"/>
    <row r="424" s="90" customFormat="1" ht="16.5" customHeight="1"/>
    <row r="425" s="90" customFormat="1" ht="16.5" customHeight="1"/>
    <row r="426" s="90" customFormat="1" ht="16.5" customHeight="1"/>
    <row r="427" s="90" customFormat="1" ht="16.5" customHeight="1"/>
    <row r="428" s="90" customFormat="1" ht="16.5" customHeight="1"/>
    <row r="429" s="90" customFormat="1" ht="16.5" customHeight="1"/>
    <row r="430" s="90" customFormat="1" ht="16.5" customHeight="1"/>
    <row r="431" s="90" customFormat="1" ht="16.5" customHeight="1"/>
    <row r="432" s="90" customFormat="1" ht="16.5" customHeight="1"/>
    <row r="433" s="90" customFormat="1" ht="16.5" customHeight="1"/>
    <row r="434" s="90" customFormat="1" ht="16.5" customHeight="1"/>
    <row r="435" s="90" customFormat="1" ht="16.5" customHeight="1"/>
    <row r="436" s="90" customFormat="1" ht="16.5" customHeight="1"/>
    <row r="437" s="90" customFormat="1" ht="16.5" customHeight="1"/>
    <row r="438" s="90" customFormat="1" ht="16.5" customHeight="1"/>
    <row r="439" s="90" customFormat="1" ht="16.5" customHeight="1"/>
    <row r="440" s="90" customFormat="1" ht="16.5" customHeight="1"/>
    <row r="441" s="90" customFormat="1" ht="16.5" customHeight="1"/>
    <row r="442" s="90" customFormat="1" ht="16.5" customHeight="1"/>
    <row r="443" s="90" customFormat="1" ht="16.5" customHeight="1"/>
    <row r="444" s="90" customFormat="1" ht="16.5" customHeight="1"/>
    <row r="445" s="90" customFormat="1" ht="16.5" customHeight="1"/>
    <row r="446" s="90" customFormat="1" ht="16.5" customHeight="1"/>
    <row r="447" s="90" customFormat="1" ht="16.5" customHeight="1"/>
    <row r="448" s="90" customFormat="1" ht="16.5" customHeight="1"/>
    <row r="449" s="90" customFormat="1" ht="16.5" customHeight="1"/>
    <row r="450" s="90" customFormat="1" ht="16.5" customHeight="1"/>
    <row r="451" s="90" customFormat="1" ht="16.5" customHeight="1"/>
    <row r="452" s="90" customFormat="1" ht="16.5" customHeight="1"/>
    <row r="453" s="90" customFormat="1" ht="16.5" customHeight="1"/>
    <row r="454" s="90" customFormat="1" ht="16.5" customHeight="1"/>
    <row r="455" s="90" customFormat="1" ht="16.5" customHeight="1"/>
    <row r="456" s="90" customFormat="1" ht="16.5" customHeight="1"/>
    <row r="457" s="90" customFormat="1" ht="16.5" customHeight="1"/>
    <row r="458" s="90" customFormat="1" ht="16.5" customHeight="1"/>
    <row r="459" s="90" customFormat="1" ht="16.5" customHeight="1"/>
    <row r="460" s="90" customFormat="1" ht="16.5" customHeight="1"/>
    <row r="461" s="90" customFormat="1" ht="16.5" customHeight="1"/>
    <row r="462" s="90" customFormat="1" ht="16.5" customHeight="1"/>
    <row r="463" s="90" customFormat="1" ht="16.5" customHeight="1"/>
    <row r="464" s="90" customFormat="1" ht="16.5" customHeight="1"/>
    <row r="465" s="90" customFormat="1" ht="16.5" customHeight="1"/>
    <row r="466" s="90" customFormat="1" ht="16.5" customHeight="1"/>
    <row r="467" s="90" customFormat="1" ht="16.5" customHeight="1"/>
    <row r="468" s="90" customFormat="1" ht="16.5" customHeight="1"/>
    <row r="469" s="90" customFormat="1" ht="16.5" customHeight="1"/>
    <row r="470" s="90" customFormat="1" ht="16.5" customHeight="1"/>
    <row r="471" s="90" customFormat="1" ht="16.5" customHeight="1"/>
    <row r="472" s="90" customFormat="1" ht="16.5" customHeight="1"/>
    <row r="473" s="90" customFormat="1" ht="16.5" customHeight="1"/>
    <row r="474" s="90" customFormat="1" ht="16.5" customHeight="1"/>
    <row r="475" s="90" customFormat="1" ht="16.5" customHeight="1"/>
    <row r="476" s="90" customFormat="1" ht="16.5" customHeight="1"/>
    <row r="477" s="90" customFormat="1" ht="16.5" customHeight="1"/>
    <row r="478" s="90" customFormat="1" ht="16.5" customHeight="1"/>
    <row r="479" s="90" customFormat="1" ht="16.5" customHeight="1"/>
    <row r="480" s="90" customFormat="1" ht="16.5" customHeight="1"/>
    <row r="481" s="90" customFormat="1" ht="16.5" customHeight="1"/>
    <row r="482" s="90" customFormat="1" ht="16.5" customHeight="1"/>
    <row r="483" s="90" customFormat="1" ht="16.5" customHeight="1"/>
    <row r="484" s="90" customFormat="1" ht="16.5" customHeight="1"/>
    <row r="485" s="90" customFormat="1" ht="16.5" customHeight="1"/>
    <row r="486" s="90" customFormat="1" ht="16.5" customHeight="1"/>
    <row r="487" s="90" customFormat="1" ht="16.5" customHeight="1"/>
    <row r="488" s="90" customFormat="1" ht="16.5" customHeight="1"/>
    <row r="489" s="90" customFormat="1" ht="16.5" customHeight="1"/>
    <row r="490" s="90" customFormat="1" ht="16.5" customHeight="1"/>
    <row r="491" s="90" customFormat="1" ht="16.5" customHeight="1"/>
    <row r="492" s="90" customFormat="1" ht="16.5" customHeight="1"/>
    <row r="493" s="90" customFormat="1" ht="16.5" customHeight="1"/>
    <row r="494" s="90" customFormat="1" ht="16.5" customHeight="1"/>
    <row r="495" s="90" customFormat="1" ht="16.5" customHeight="1"/>
    <row r="496" s="90" customFormat="1" ht="16.5" customHeight="1"/>
    <row r="497" s="90" customFormat="1" ht="16.5" customHeight="1"/>
    <row r="498" s="90" customFormat="1" ht="16.5" customHeight="1"/>
    <row r="499" s="90" customFormat="1" ht="16.5" customHeight="1"/>
    <row r="500" s="90" customFormat="1" ht="16.5" customHeight="1"/>
    <row r="501" s="90" customFormat="1" ht="16.5" customHeight="1"/>
    <row r="502" s="90" customFormat="1" ht="16.5" customHeight="1"/>
    <row r="503" s="90" customFormat="1" ht="16.5" customHeight="1"/>
    <row r="504" s="90" customFormat="1" ht="16.5" customHeight="1"/>
    <row r="505" s="90" customFormat="1" ht="16.5" customHeight="1"/>
    <row r="506" s="90" customFormat="1" ht="16.5" customHeight="1"/>
    <row r="507" s="90" customFormat="1" ht="16.5" customHeight="1"/>
    <row r="508" s="90" customFormat="1" ht="16.5" customHeight="1"/>
    <row r="509" s="90" customFormat="1" ht="16.5" customHeight="1"/>
    <row r="510" s="90" customFormat="1" ht="16.5" customHeight="1"/>
    <row r="511" s="90" customFormat="1" ht="16.5" customHeight="1"/>
    <row r="512" s="90" customFormat="1" ht="16.5" customHeight="1"/>
    <row r="513" s="90" customFormat="1" ht="16.5" customHeight="1"/>
    <row r="514" s="90" customFormat="1" ht="16.5" customHeight="1"/>
    <row r="515" s="90" customFormat="1" ht="16.5" customHeight="1"/>
    <row r="516" s="90" customFormat="1" ht="16.5" customHeight="1"/>
    <row r="517" s="90" customFormat="1" ht="16.5" customHeight="1"/>
    <row r="518" s="90" customFormat="1" ht="16.5" customHeight="1"/>
    <row r="519" s="90" customFormat="1" ht="16.5" customHeight="1"/>
    <row r="520" s="90" customFormat="1" ht="16.5" customHeight="1"/>
    <row r="521" s="90" customFormat="1" ht="16.5" customHeight="1"/>
    <row r="522" s="90" customFormat="1" ht="16.5" customHeight="1"/>
    <row r="523" s="90" customFormat="1" ht="16.5" customHeight="1"/>
    <row r="524" s="90" customFormat="1" ht="16.5" customHeight="1"/>
    <row r="525" s="90" customFormat="1" ht="16.5" customHeight="1"/>
    <row r="526" s="90" customFormat="1" ht="16.5" customHeight="1"/>
    <row r="527" s="90" customFormat="1" ht="16.5" customHeight="1"/>
    <row r="528" s="90" customFormat="1" ht="16.5" customHeight="1"/>
    <row r="529" s="90" customFormat="1" ht="16.5" customHeight="1"/>
    <row r="530" s="90" customFormat="1" ht="16.5" customHeight="1"/>
    <row r="531" s="90" customFormat="1" ht="16.5" customHeight="1"/>
    <row r="532" s="90" customFormat="1" ht="16.5" customHeight="1"/>
    <row r="533" s="90" customFormat="1" ht="16.5" customHeight="1"/>
    <row r="534" s="90" customFormat="1" ht="16.5" customHeight="1"/>
    <row r="535" s="90" customFormat="1" ht="16.5" customHeight="1"/>
    <row r="536" s="90" customFormat="1" ht="16.5" customHeight="1"/>
    <row r="537" s="90" customFormat="1" ht="16.5" customHeight="1"/>
    <row r="538" s="90" customFormat="1" ht="16.5" customHeight="1"/>
    <row r="539" s="90" customFormat="1" ht="16.5" customHeight="1"/>
    <row r="540" s="90" customFormat="1" ht="16.5" customHeight="1"/>
    <row r="541" s="90" customFormat="1" ht="16.5" customHeight="1"/>
    <row r="542" s="90" customFormat="1" ht="16.5" customHeight="1"/>
    <row r="543" s="90" customFormat="1" ht="16.5" customHeight="1"/>
    <row r="544" s="90" customFormat="1" ht="16.5" customHeight="1"/>
    <row r="545" s="90" customFormat="1" ht="16.5" customHeight="1"/>
    <row r="546" s="90" customFormat="1" ht="16.5" customHeight="1"/>
    <row r="547" s="90" customFormat="1" ht="16.5" customHeight="1"/>
    <row r="548" s="90" customFormat="1" ht="16.5" customHeight="1"/>
    <row r="549" s="90" customFormat="1" ht="16.5" customHeight="1"/>
    <row r="550" s="90" customFormat="1" ht="16.5" customHeight="1"/>
    <row r="551" s="90" customFormat="1" ht="16.5" customHeight="1"/>
    <row r="552" s="90" customFormat="1" ht="16.5" customHeight="1"/>
    <row r="553" s="90" customFormat="1" ht="16.5" customHeight="1"/>
    <row r="554" s="90" customFormat="1" ht="16.5" customHeight="1"/>
    <row r="555" s="90" customFormat="1" ht="16.5" customHeight="1"/>
    <row r="556" s="90" customFormat="1" ht="16.5" customHeight="1"/>
    <row r="557" s="90" customFormat="1" ht="16.5" customHeight="1"/>
    <row r="558" s="90" customFormat="1" ht="16.5" customHeight="1"/>
    <row r="559" s="90" customFormat="1" ht="16.5" customHeight="1"/>
    <row r="560" s="90" customFormat="1" ht="16.5" customHeight="1"/>
    <row r="561" s="90" customFormat="1" ht="16.5" customHeight="1"/>
    <row r="562" s="90" customFormat="1" ht="16.5" customHeight="1"/>
    <row r="563" s="90" customFormat="1" ht="16.5" customHeight="1"/>
    <row r="564" s="90" customFormat="1" ht="16.5" customHeight="1"/>
    <row r="565" s="90" customFormat="1" ht="16.5" customHeight="1"/>
    <row r="566" s="90" customFormat="1" ht="16.5" customHeight="1"/>
    <row r="567" s="90" customFormat="1" ht="16.5" customHeight="1"/>
    <row r="568" s="90" customFormat="1" ht="16.5" customHeight="1"/>
    <row r="569" s="90" customFormat="1" ht="16.5" customHeight="1"/>
    <row r="570" s="90" customFormat="1" ht="16.5" customHeight="1"/>
    <row r="571" s="90" customFormat="1" ht="16.5" customHeight="1"/>
    <row r="572" s="90" customFormat="1" ht="16.5" customHeight="1"/>
    <row r="573" s="90" customFormat="1" ht="16.5" customHeight="1"/>
    <row r="574" s="90" customFormat="1" ht="16.5" customHeight="1"/>
    <row r="575" s="90" customFormat="1" ht="16.5" customHeight="1"/>
    <row r="576" s="90" customFormat="1" ht="16.5" customHeight="1"/>
    <row r="577" s="90" customFormat="1" ht="16.5" customHeight="1"/>
    <row r="578" s="90" customFormat="1" ht="16.5" customHeight="1"/>
    <row r="579" s="90" customFormat="1" ht="16.5" customHeight="1"/>
    <row r="580" s="90" customFormat="1" ht="16.5" customHeight="1"/>
    <row r="581" s="90" customFormat="1" ht="16.5" customHeight="1"/>
    <row r="582" s="90" customFormat="1" ht="16.5" customHeight="1"/>
    <row r="583" s="90" customFormat="1" ht="16.5" customHeight="1"/>
    <row r="584" s="90" customFormat="1" ht="16.5" customHeight="1"/>
    <row r="585" s="90" customFormat="1" ht="16.5" customHeight="1"/>
    <row r="586" s="90" customFormat="1" ht="16.5" customHeight="1"/>
    <row r="587" s="90" customFormat="1" ht="16.5" customHeight="1"/>
    <row r="588" s="90" customFormat="1" ht="16.5" customHeight="1"/>
    <row r="589" s="90" customFormat="1" ht="16.5" customHeight="1"/>
    <row r="590" s="90" customFormat="1" ht="16.5" customHeight="1"/>
    <row r="591" s="90" customFormat="1" ht="16.5" customHeight="1"/>
    <row r="592" s="90" customFormat="1" ht="16.5" customHeight="1"/>
    <row r="593" s="90" customFormat="1" ht="16.5" customHeight="1"/>
    <row r="594" s="90" customFormat="1" ht="16.5" customHeight="1"/>
    <row r="595" s="90" customFormat="1" ht="16.5" customHeight="1"/>
    <row r="596" s="90" customFormat="1" ht="16.5" customHeight="1"/>
    <row r="597" s="90" customFormat="1" ht="16.5" customHeight="1"/>
    <row r="598" s="90" customFormat="1" ht="16.5" customHeight="1"/>
    <row r="599" s="90" customFormat="1" ht="16.5" customHeight="1"/>
    <row r="600" s="90" customFormat="1" ht="16.5" customHeight="1"/>
    <row r="601" s="90" customFormat="1" ht="16.5" customHeight="1"/>
    <row r="602" s="90" customFormat="1" ht="16.5" customHeight="1"/>
    <row r="603" s="90" customFormat="1" ht="16.5" customHeight="1"/>
    <row r="604" s="90" customFormat="1" ht="16.5" customHeight="1"/>
    <row r="605" s="90" customFormat="1" ht="16.5" customHeight="1"/>
    <row r="606" s="90" customFormat="1" ht="16.5" customHeight="1"/>
    <row r="607" s="90" customFormat="1" ht="16.5" customHeight="1"/>
    <row r="608" s="90" customFormat="1" ht="16.5" customHeight="1"/>
    <row r="609" s="90" customFormat="1" ht="16.5" customHeight="1"/>
    <row r="610" s="90" customFormat="1" ht="16.5" customHeight="1"/>
    <row r="611" s="90" customFormat="1" ht="16.5" customHeight="1"/>
    <row r="612" s="90" customFormat="1" ht="16.5" customHeight="1"/>
    <row r="613" s="90" customFormat="1" ht="16.5" customHeight="1"/>
    <row r="614" s="90" customFormat="1" ht="16.5" customHeight="1"/>
    <row r="615" s="90" customFormat="1" ht="16.5" customHeight="1"/>
    <row r="616" s="90" customFormat="1" ht="16.5" customHeight="1"/>
    <row r="617" s="90" customFormat="1" ht="16.5" customHeight="1"/>
    <row r="618" s="90" customFormat="1" ht="16.5" customHeight="1"/>
    <row r="619" s="90" customFormat="1" ht="16.5" customHeight="1"/>
    <row r="620" s="90" customFormat="1" ht="16.5" customHeight="1"/>
    <row r="621" s="90" customFormat="1" ht="16.5" customHeight="1"/>
    <row r="622" s="90" customFormat="1" ht="16.5" customHeight="1"/>
    <row r="623" s="90" customFormat="1" ht="16.5" customHeight="1"/>
    <row r="624" s="90" customFormat="1" ht="16.5" customHeight="1"/>
    <row r="625" s="90" customFormat="1" ht="16.5" customHeight="1"/>
    <row r="626" s="90" customFormat="1" ht="16.5" customHeight="1"/>
    <row r="627" s="90" customFormat="1" ht="16.5" customHeight="1"/>
    <row r="628" s="90" customFormat="1" ht="16.5" customHeight="1"/>
    <row r="629" s="90" customFormat="1" ht="16.5" customHeight="1"/>
    <row r="630" s="90" customFormat="1" ht="16.5" customHeight="1"/>
    <row r="631" s="90" customFormat="1" ht="16.5" customHeight="1"/>
    <row r="632" s="90" customFormat="1" ht="16.5" customHeight="1"/>
    <row r="633" s="90" customFormat="1" ht="16.5" customHeight="1"/>
    <row r="634" s="90" customFormat="1" ht="16.5" customHeight="1"/>
    <row r="635" s="90" customFormat="1" ht="16.5" customHeight="1"/>
    <row r="636" s="90" customFormat="1" ht="16.5" customHeight="1"/>
    <row r="637" s="90" customFormat="1" ht="16.5" customHeight="1"/>
    <row r="638" s="90" customFormat="1" ht="16.5" customHeight="1"/>
    <row r="639" s="90" customFormat="1" ht="16.5" customHeight="1"/>
    <row r="640" s="90" customFormat="1" ht="16.5" customHeight="1"/>
    <row r="641" s="90" customFormat="1" ht="16.5" customHeight="1"/>
    <row r="642" s="90" customFormat="1" ht="16.5" customHeight="1"/>
    <row r="643" s="90" customFormat="1" ht="16.5" customHeight="1"/>
    <row r="644" s="90" customFormat="1" ht="16.5" customHeight="1"/>
    <row r="645" s="90" customFormat="1" ht="16.5" customHeight="1"/>
    <row r="646" s="90" customFormat="1" ht="16.5" customHeight="1"/>
    <row r="647" s="90" customFormat="1" ht="16.5" customHeight="1"/>
    <row r="648" s="90" customFormat="1" ht="16.5" customHeight="1"/>
    <row r="649" s="90" customFormat="1" ht="16.5" customHeight="1"/>
    <row r="650" s="90" customFormat="1" ht="16.5" customHeight="1"/>
    <row r="651" s="90" customFormat="1" ht="16.5" customHeight="1"/>
    <row r="652" s="90" customFormat="1" ht="16.5" customHeight="1"/>
    <row r="653" s="90" customFormat="1" ht="16.5" customHeight="1"/>
    <row r="654" s="90" customFormat="1" ht="16.5" customHeight="1"/>
    <row r="655" s="90" customFormat="1" ht="16.5" customHeight="1"/>
    <row r="656" s="90" customFormat="1" ht="16.5" customHeight="1"/>
    <row r="657" s="90" customFormat="1" ht="16.5" customHeight="1"/>
    <row r="658" s="90" customFormat="1" ht="16.5" customHeight="1"/>
    <row r="659" s="90" customFormat="1" ht="16.5" customHeight="1"/>
    <row r="660" s="90" customFormat="1" ht="16.5" customHeight="1"/>
    <row r="661" s="90" customFormat="1" ht="16.5" customHeight="1"/>
    <row r="662" s="90" customFormat="1" ht="16.5" customHeight="1"/>
    <row r="663" s="90" customFormat="1" ht="16.5" customHeight="1"/>
    <row r="664" s="90" customFormat="1" ht="16.5" customHeight="1"/>
    <row r="665" s="90" customFormat="1" ht="16.5" customHeight="1"/>
    <row r="666" s="90" customFormat="1" ht="16.5" customHeight="1"/>
    <row r="667" s="90" customFormat="1" ht="16.5" customHeight="1"/>
    <row r="668" s="90" customFormat="1" ht="16.5" customHeight="1"/>
    <row r="669" s="90" customFormat="1" ht="16.5" customHeight="1"/>
    <row r="670" s="90" customFormat="1" ht="16.5" customHeight="1"/>
    <row r="671" s="90" customFormat="1" ht="16.5" customHeight="1"/>
    <row r="672" s="90" customFormat="1" ht="16.5" customHeight="1"/>
    <row r="673" s="90" customFormat="1" ht="16.5" customHeight="1"/>
    <row r="674" s="90" customFormat="1" ht="16.5" customHeight="1"/>
    <row r="675" s="90" customFormat="1" ht="16.5" customHeight="1"/>
    <row r="676" s="90" customFormat="1" ht="16.5" customHeight="1"/>
    <row r="677" s="90" customFormat="1" ht="16.5" customHeight="1"/>
    <row r="678" s="90" customFormat="1" ht="16.5" customHeight="1"/>
    <row r="679" s="90" customFormat="1" ht="16.5" customHeight="1"/>
    <row r="680" s="90" customFormat="1" ht="16.5" customHeight="1"/>
    <row r="681" s="90" customFormat="1" ht="16.5" customHeight="1"/>
    <row r="682" s="90" customFormat="1" ht="16.5" customHeight="1"/>
    <row r="683" s="90" customFormat="1" ht="16.5" customHeight="1"/>
    <row r="684" s="90" customFormat="1" ht="16.5" customHeight="1"/>
    <row r="685" s="90" customFormat="1" ht="16.5" customHeight="1"/>
    <row r="686" s="90" customFormat="1" ht="16.5" customHeight="1"/>
    <row r="687" s="90" customFormat="1" ht="16.5" customHeight="1"/>
    <row r="688" s="90" customFormat="1" ht="16.5" customHeight="1"/>
    <row r="689" s="90" customFormat="1" ht="16.5" customHeight="1"/>
    <row r="690" s="90" customFormat="1" ht="16.5" customHeight="1"/>
    <row r="691" s="90" customFormat="1" ht="16.5" customHeight="1"/>
    <row r="692" s="90" customFormat="1" ht="16.5" customHeight="1"/>
    <row r="693" s="90" customFormat="1" ht="16.5" customHeight="1"/>
    <row r="694" s="90" customFormat="1" ht="16.5" customHeight="1"/>
    <row r="695" s="90" customFormat="1" ht="16.5" customHeight="1"/>
    <row r="696" s="90" customFormat="1" ht="16.5" customHeight="1"/>
    <row r="697" s="90" customFormat="1" ht="16.5" customHeight="1"/>
    <row r="698" s="90" customFormat="1" ht="16.5" customHeight="1"/>
    <row r="699" s="90" customFormat="1" ht="16.5" customHeight="1"/>
    <row r="700" s="90" customFormat="1" ht="16.5" customHeight="1"/>
    <row r="701" s="90" customFormat="1" ht="16.5" customHeight="1"/>
    <row r="702" s="90" customFormat="1" ht="16.5" customHeight="1"/>
    <row r="703" s="90" customFormat="1" ht="16.5" customHeight="1"/>
    <row r="704" s="90" customFormat="1" ht="16.5" customHeight="1"/>
    <row r="705" s="90" customFormat="1" ht="16.5" customHeight="1"/>
    <row r="706" s="90" customFormat="1" ht="16.5" customHeight="1"/>
    <row r="707" s="90" customFormat="1" ht="16.5" customHeight="1"/>
    <row r="708" s="90" customFormat="1" ht="16.5" customHeight="1"/>
    <row r="709" s="90" customFormat="1" ht="16.5" customHeight="1"/>
    <row r="710" s="90" customFormat="1" ht="16.5" customHeight="1"/>
    <row r="711" s="90" customFormat="1" ht="16.5" customHeight="1"/>
    <row r="712" s="90" customFormat="1" ht="16.5" customHeight="1"/>
    <row r="713" s="90" customFormat="1" ht="16.5" customHeight="1"/>
    <row r="714" s="90" customFormat="1" ht="16.5" customHeight="1"/>
    <row r="715" s="90" customFormat="1" ht="16.5" customHeight="1"/>
    <row r="716" s="90" customFormat="1" ht="16.5" customHeight="1"/>
    <row r="717" s="90" customFormat="1" ht="16.5" customHeight="1"/>
    <row r="718" s="90" customFormat="1" ht="16.5" customHeight="1"/>
    <row r="719" s="90" customFormat="1" ht="16.5" customHeight="1"/>
    <row r="720" s="90" customFormat="1" ht="16.5" customHeight="1"/>
    <row r="721" s="90" customFormat="1" ht="16.5" customHeight="1"/>
    <row r="722" s="90" customFormat="1" ht="16.5" customHeight="1"/>
    <row r="723" s="90" customFormat="1" ht="16.5" customHeight="1"/>
    <row r="724" s="90" customFormat="1" ht="16.5" customHeight="1"/>
    <row r="725" s="90" customFormat="1" ht="16.5" customHeight="1"/>
    <row r="726" s="90" customFormat="1" ht="16.5" customHeight="1"/>
    <row r="727" s="90" customFormat="1" ht="16.5" customHeight="1"/>
    <row r="728" s="90" customFormat="1" ht="16.5" customHeight="1"/>
    <row r="729" s="90" customFormat="1" ht="16.5" customHeight="1"/>
    <row r="730" s="90" customFormat="1" ht="16.5" customHeight="1"/>
    <row r="731" s="90" customFormat="1" ht="16.5" customHeight="1"/>
    <row r="732" s="90" customFormat="1" ht="16.5" customHeight="1"/>
    <row r="733" s="90" customFormat="1" ht="16.5" customHeight="1"/>
    <row r="734" s="90" customFormat="1" ht="16.5" customHeight="1"/>
    <row r="735" s="90" customFormat="1" ht="16.5" customHeight="1"/>
    <row r="736" s="90" customFormat="1" ht="16.5" customHeight="1"/>
    <row r="737" s="90" customFormat="1" ht="16.5" customHeight="1"/>
    <row r="738" s="90" customFormat="1" ht="16.5" customHeight="1"/>
    <row r="739" s="90" customFormat="1" ht="16.5" customHeight="1"/>
    <row r="740" s="90" customFormat="1" ht="16.5" customHeight="1"/>
    <row r="741" s="90" customFormat="1" ht="16.5" customHeight="1"/>
    <row r="742" s="90" customFormat="1" ht="16.5" customHeight="1"/>
    <row r="743" s="90" customFormat="1" ht="16.5" customHeight="1"/>
    <row r="744" s="90" customFormat="1" ht="16.5" customHeight="1"/>
    <row r="745" s="90" customFormat="1" ht="16.5" customHeight="1"/>
    <row r="746" s="90" customFormat="1" ht="16.5" customHeight="1"/>
    <row r="747" s="90" customFormat="1" ht="16.5" customHeight="1"/>
    <row r="748" s="90" customFormat="1" ht="16.5" customHeight="1"/>
    <row r="749" s="90" customFormat="1" ht="16.5" customHeight="1"/>
    <row r="750" s="90" customFormat="1" ht="16.5" customHeight="1"/>
    <row r="751" s="90" customFormat="1" ht="16.5" customHeight="1"/>
    <row r="752" s="90" customFormat="1" ht="16.5" customHeight="1"/>
    <row r="753" s="90" customFormat="1" ht="16.5" customHeight="1"/>
    <row r="754" s="90" customFormat="1" ht="16.5" customHeight="1"/>
    <row r="755" s="90" customFormat="1" ht="16.5" customHeight="1"/>
    <row r="756" s="90" customFormat="1" ht="16.5" customHeight="1"/>
    <row r="757" s="90" customFormat="1" ht="16.5" customHeight="1"/>
    <row r="758" s="90" customFormat="1" ht="16.5" customHeight="1"/>
    <row r="759" s="90" customFormat="1" ht="16.5" customHeight="1"/>
    <row r="760" s="90" customFormat="1" ht="16.5" customHeight="1"/>
    <row r="761" s="90" customFormat="1" ht="16.5" customHeight="1"/>
    <row r="762" s="90" customFormat="1" ht="16.5" customHeight="1"/>
    <row r="763" s="90" customFormat="1" ht="16.5" customHeight="1"/>
    <row r="764" s="90" customFormat="1" ht="16.5" customHeight="1"/>
    <row r="765" s="90" customFormat="1" ht="16.5" customHeight="1"/>
    <row r="766" s="90" customFormat="1" ht="16.5" customHeight="1"/>
    <row r="767" s="90" customFormat="1" ht="16.5" customHeight="1"/>
    <row r="768" s="90" customFormat="1" ht="16.5" customHeight="1"/>
    <row r="769" s="90" customFormat="1" ht="16.5" customHeight="1"/>
    <row r="770" s="90" customFormat="1" ht="16.5" customHeight="1"/>
    <row r="771" s="90" customFormat="1" ht="16.5" customHeight="1"/>
    <row r="772" s="90" customFormat="1" ht="16.5" customHeight="1"/>
    <row r="773" s="90" customFormat="1" ht="16.5" customHeight="1"/>
    <row r="774" s="90" customFormat="1" ht="16.5" customHeight="1"/>
    <row r="775" s="90" customFormat="1" ht="16.5" customHeight="1"/>
    <row r="776" s="90" customFormat="1" ht="16.5" customHeight="1"/>
    <row r="777" s="90" customFormat="1" ht="16.5" customHeight="1"/>
    <row r="778" s="90" customFormat="1" ht="16.5" customHeight="1"/>
    <row r="779" s="90" customFormat="1" ht="16.5" customHeight="1"/>
    <row r="780" s="90" customFormat="1" ht="16.5" customHeight="1"/>
    <row r="781" s="90" customFormat="1" ht="16.5" customHeight="1"/>
    <row r="782" s="90" customFormat="1" ht="16.5" customHeight="1"/>
    <row r="783" s="90" customFormat="1" ht="16.5" customHeight="1"/>
    <row r="784" s="90" customFormat="1" ht="16.5" customHeight="1"/>
    <row r="785" s="90" customFormat="1" ht="16.5" customHeight="1"/>
    <row r="786" s="90" customFormat="1" ht="16.5" customHeight="1"/>
    <row r="787" s="90" customFormat="1" ht="16.5" customHeight="1"/>
    <row r="788" s="90" customFormat="1" ht="16.5" customHeight="1"/>
    <row r="789" s="90" customFormat="1" ht="16.5" customHeight="1"/>
    <row r="790" s="90" customFormat="1" ht="16.5" customHeight="1"/>
    <row r="791" s="90" customFormat="1" ht="16.5" customHeight="1"/>
    <row r="792" s="90" customFormat="1" ht="16.5" customHeight="1"/>
    <row r="793" s="90" customFormat="1" ht="16.5" customHeight="1"/>
    <row r="794" s="90" customFormat="1" ht="16.5" customHeight="1"/>
    <row r="795" s="90" customFormat="1" ht="16.5" customHeight="1"/>
    <row r="796" s="90" customFormat="1" ht="16.5" customHeight="1"/>
    <row r="797" s="90" customFormat="1" ht="16.5" customHeight="1"/>
    <row r="798" s="90" customFormat="1" ht="16.5" customHeight="1"/>
    <row r="799" s="90" customFormat="1" ht="16.5" customHeight="1"/>
    <row r="800" s="90" customFormat="1" ht="16.5" customHeight="1"/>
    <row r="801" s="90" customFormat="1" ht="16.5" customHeight="1"/>
    <row r="802" s="90" customFormat="1" ht="16.5" customHeight="1"/>
    <row r="803" s="90" customFormat="1" ht="16.5" customHeight="1"/>
    <row r="804" s="90" customFormat="1" ht="16.5" customHeight="1"/>
    <row r="805" s="90" customFormat="1" ht="16.5" customHeight="1"/>
    <row r="806" s="90" customFormat="1" ht="16.5" customHeight="1"/>
    <row r="807" s="90" customFormat="1" ht="16.5" customHeight="1"/>
    <row r="808" s="90" customFormat="1" ht="16.5" customHeight="1"/>
    <row r="809" s="90" customFormat="1" ht="16.5" customHeight="1"/>
    <row r="810" s="90" customFormat="1" ht="16.5" customHeight="1"/>
    <row r="811" s="90" customFormat="1" ht="16.5" customHeight="1"/>
    <row r="812" s="90" customFormat="1" ht="16.5" customHeight="1"/>
    <row r="813" s="90" customFormat="1" ht="16.5" customHeight="1"/>
    <row r="814" s="90" customFormat="1" ht="16.5" customHeight="1"/>
    <row r="815" s="90" customFormat="1" ht="16.5" customHeight="1"/>
    <row r="816" s="90" customFormat="1" ht="16.5" customHeight="1"/>
    <row r="817" s="90" customFormat="1" ht="16.5" customHeight="1"/>
    <row r="818" s="90" customFormat="1" ht="16.5" customHeight="1"/>
    <row r="819" s="90" customFormat="1" ht="16.5" customHeight="1"/>
    <row r="820" s="90" customFormat="1" ht="16.5" customHeight="1"/>
    <row r="821" s="90" customFormat="1" ht="16.5" customHeight="1"/>
    <row r="822" s="90" customFormat="1" ht="16.5" customHeight="1"/>
    <row r="823" s="90" customFormat="1" ht="16.5" customHeight="1"/>
    <row r="824" s="90" customFormat="1" ht="16.5" customHeight="1"/>
    <row r="825" s="90" customFormat="1" ht="16.5" customHeight="1"/>
    <row r="826" s="90" customFormat="1" ht="16.5" customHeight="1"/>
    <row r="827" s="90" customFormat="1" ht="16.5" customHeight="1"/>
    <row r="828" s="90" customFormat="1" ht="16.5" customHeight="1"/>
    <row r="829" s="90" customFormat="1" ht="16.5" customHeight="1"/>
    <row r="830" s="90" customFormat="1" ht="16.5" customHeight="1"/>
    <row r="831" s="90" customFormat="1" ht="16.5" customHeight="1"/>
    <row r="832" s="90" customFormat="1" ht="16.5" customHeight="1"/>
    <row r="833" s="90" customFormat="1" ht="16.5" customHeight="1"/>
    <row r="834" s="90" customFormat="1" ht="16.5" customHeight="1"/>
    <row r="835" s="90" customFormat="1" ht="16.5" customHeight="1"/>
    <row r="836" s="90" customFormat="1" ht="16.5" customHeight="1"/>
    <row r="837" s="90" customFormat="1" ht="16.5" customHeight="1"/>
    <row r="838" s="90" customFormat="1" ht="16.5" customHeight="1"/>
    <row r="839" s="90" customFormat="1" ht="16.5" customHeight="1"/>
    <row r="840" s="90" customFormat="1" ht="16.5" customHeight="1"/>
    <row r="841" s="90" customFormat="1" ht="16.5" customHeight="1"/>
    <row r="842" s="90" customFormat="1" ht="16.5" customHeight="1"/>
    <row r="843" s="90" customFormat="1" ht="16.5" customHeight="1"/>
    <row r="844" s="90" customFormat="1" ht="16.5" customHeight="1"/>
    <row r="845" s="90" customFormat="1" ht="16.5" customHeight="1"/>
    <row r="846" s="90" customFormat="1" ht="16.5" customHeight="1"/>
    <row r="847" s="90" customFormat="1" ht="16.5" customHeight="1"/>
    <row r="848" s="90" customFormat="1" ht="16.5" customHeight="1"/>
    <row r="849" s="90" customFormat="1" ht="16.5" customHeight="1"/>
    <row r="850" s="90" customFormat="1" ht="16.5" customHeight="1"/>
    <row r="851" s="90" customFormat="1" ht="16.5" customHeight="1"/>
    <row r="852" s="90" customFormat="1" ht="16.5" customHeight="1"/>
    <row r="853" s="90" customFormat="1" ht="16.5" customHeight="1"/>
    <row r="854" s="90" customFormat="1" ht="16.5" customHeight="1"/>
    <row r="855" s="90" customFormat="1" ht="16.5" customHeight="1"/>
    <row r="856" s="90" customFormat="1" ht="16.5" customHeight="1"/>
    <row r="857" s="90" customFormat="1" ht="16.5" customHeight="1"/>
    <row r="858" s="90" customFormat="1" ht="16.5" customHeight="1"/>
    <row r="859" s="90" customFormat="1" ht="16.5" customHeight="1"/>
    <row r="860" s="90" customFormat="1" ht="16.5" customHeight="1"/>
    <row r="861" s="90" customFormat="1" ht="16.5" customHeight="1"/>
    <row r="862" s="90" customFormat="1" ht="16.5" customHeight="1"/>
    <row r="863" s="90" customFormat="1" ht="16.5" customHeight="1"/>
    <row r="864" s="90" customFormat="1" ht="16.5" customHeight="1"/>
    <row r="865" s="90" customFormat="1" ht="16.5" customHeight="1"/>
    <row r="866" s="90" customFormat="1" ht="16.5" customHeight="1"/>
    <row r="867" s="90" customFormat="1" ht="16.5" customHeight="1"/>
    <row r="868" s="90" customFormat="1" ht="16.5" customHeight="1"/>
    <row r="869" s="90" customFormat="1" ht="16.5" customHeight="1"/>
    <row r="870" s="90" customFormat="1" ht="16.5" customHeight="1"/>
    <row r="871" s="90" customFormat="1" ht="16.5" customHeight="1"/>
    <row r="872" s="90" customFormat="1" ht="16.5" customHeight="1"/>
    <row r="873" s="90" customFormat="1" ht="16.5" customHeight="1"/>
    <row r="874" s="90" customFormat="1" ht="16.5" customHeight="1"/>
    <row r="875" s="90" customFormat="1" ht="16.5" customHeight="1"/>
    <row r="876" s="90" customFormat="1" ht="16.5" customHeight="1"/>
    <row r="877" s="90" customFormat="1" ht="16.5" customHeight="1"/>
    <row r="878" s="90" customFormat="1" ht="16.5" customHeight="1"/>
    <row r="879" s="90" customFormat="1" ht="16.5" customHeight="1"/>
    <row r="880" s="90" customFormat="1" ht="16.5" customHeight="1"/>
    <row r="881" s="90" customFormat="1" ht="16.5" customHeight="1"/>
    <row r="882" s="90" customFormat="1" ht="16.5" customHeight="1"/>
    <row r="883" s="90" customFormat="1" ht="16.5" customHeight="1"/>
    <row r="884" s="90" customFormat="1" ht="16.5" customHeight="1"/>
    <row r="885" s="90" customFormat="1" ht="16.5" customHeight="1"/>
    <row r="886" s="90" customFormat="1" ht="16.5" customHeight="1"/>
    <row r="887" s="90" customFormat="1" ht="16.5" customHeight="1"/>
    <row r="888" s="90" customFormat="1" ht="16.5" customHeight="1"/>
    <row r="889" s="90" customFormat="1" ht="16.5" customHeight="1"/>
    <row r="890" s="90" customFormat="1" ht="16.5" customHeight="1"/>
    <row r="891" s="90" customFormat="1" ht="16.5" customHeight="1"/>
    <row r="892" s="90" customFormat="1" ht="16.5" customHeight="1"/>
    <row r="893" s="90" customFormat="1" ht="16.5" customHeight="1"/>
    <row r="894" s="90" customFormat="1" ht="16.5" customHeight="1"/>
    <row r="895" s="90" customFormat="1" ht="16.5" customHeight="1"/>
    <row r="896" s="90" customFormat="1" ht="16.5" customHeight="1"/>
    <row r="897" s="90" customFormat="1" ht="16.5" customHeight="1"/>
    <row r="898" s="90" customFormat="1" ht="16.5" customHeight="1"/>
    <row r="899" s="90" customFormat="1" ht="16.5" customHeight="1"/>
    <row r="900" s="90" customFormat="1" ht="16.5" customHeight="1"/>
    <row r="901" s="90" customFormat="1" ht="16.5" customHeight="1"/>
    <row r="902" s="90" customFormat="1" ht="16.5" customHeight="1"/>
    <row r="903" s="90" customFormat="1" ht="16.5" customHeight="1"/>
    <row r="904" s="90" customFormat="1" ht="16.5" customHeight="1"/>
    <row r="905" s="90" customFormat="1" ht="16.5" customHeight="1"/>
    <row r="906" s="90" customFormat="1" ht="16.5" customHeight="1"/>
    <row r="907" s="90" customFormat="1" ht="16.5" customHeight="1"/>
    <row r="908" s="90" customFormat="1" ht="16.5" customHeight="1"/>
    <row r="909" s="90" customFormat="1" ht="16.5" customHeight="1"/>
    <row r="910" s="90" customFormat="1" ht="16.5" customHeight="1"/>
    <row r="911" s="90" customFormat="1" ht="16.5" customHeight="1"/>
    <row r="912" s="90" customFormat="1" ht="16.5" customHeight="1"/>
    <row r="913" s="90" customFormat="1" ht="16.5" customHeight="1"/>
    <row r="914" s="90" customFormat="1" ht="16.5" customHeight="1"/>
    <row r="915" s="90" customFormat="1" ht="16.5" customHeight="1"/>
    <row r="916" s="90" customFormat="1" ht="16.5" customHeight="1"/>
    <row r="917" s="90" customFormat="1" ht="16.5" customHeight="1"/>
    <row r="918" s="90" customFormat="1" ht="16.5" customHeight="1"/>
    <row r="919" s="90" customFormat="1" ht="16.5" customHeight="1"/>
    <row r="920" s="90" customFormat="1" ht="16.5" customHeight="1"/>
    <row r="921" s="90" customFormat="1" ht="16.5" customHeight="1"/>
    <row r="922" s="90" customFormat="1" ht="16.5" customHeight="1"/>
    <row r="923" s="90" customFormat="1" ht="16.5" customHeight="1"/>
    <row r="924" s="90" customFormat="1" ht="16.5" customHeight="1"/>
    <row r="925" s="90" customFormat="1" ht="16.5" customHeight="1"/>
    <row r="926" s="90" customFormat="1" ht="16.5" customHeight="1"/>
    <row r="927" s="90" customFormat="1" ht="16.5" customHeight="1"/>
    <row r="928" s="90" customFormat="1" ht="16.5" customHeight="1"/>
    <row r="929" s="90" customFormat="1" ht="16.5" customHeight="1"/>
    <row r="930" s="90" customFormat="1" ht="16.5" customHeight="1"/>
    <row r="931" s="90" customFormat="1" ht="16.5" customHeight="1"/>
    <row r="932" s="90" customFormat="1" ht="16.5" customHeight="1"/>
    <row r="933" s="90" customFormat="1" ht="16.5" customHeight="1"/>
    <row r="934" s="90" customFormat="1" ht="16.5" customHeight="1"/>
    <row r="935" s="90" customFormat="1" ht="16.5" customHeight="1"/>
    <row r="936" s="90" customFormat="1" ht="16.5" customHeight="1"/>
    <row r="937" s="90" customFormat="1" ht="16.5" customHeight="1"/>
    <row r="938" s="90" customFormat="1" ht="16.5" customHeight="1"/>
    <row r="939" s="90" customFormat="1" ht="16.5" customHeight="1"/>
    <row r="940" s="90" customFormat="1" ht="16.5" customHeight="1"/>
    <row r="941" s="90" customFormat="1" ht="16.5" customHeight="1"/>
    <row r="942" s="90" customFormat="1" ht="16.5" customHeight="1"/>
    <row r="943" s="90" customFormat="1" ht="16.5" customHeight="1"/>
    <row r="944" s="90" customFormat="1" ht="16.5" customHeight="1"/>
    <row r="945" s="90" customFormat="1" ht="16.5" customHeight="1"/>
    <row r="946" s="90" customFormat="1" ht="16.5" customHeight="1"/>
    <row r="947" s="90" customFormat="1" ht="16.5" customHeight="1"/>
    <row r="948" s="90" customFormat="1" ht="16.5" customHeight="1"/>
    <row r="949" s="90" customFormat="1" ht="16.5" customHeight="1"/>
    <row r="950" s="90" customFormat="1" ht="16.5" customHeight="1"/>
    <row r="951" s="90" customFormat="1" ht="16.5" customHeight="1"/>
    <row r="952" s="90" customFormat="1" ht="16.5" customHeight="1"/>
    <row r="953" s="90" customFormat="1" ht="16.5" customHeight="1"/>
    <row r="954" s="90" customFormat="1" ht="16.5" customHeight="1"/>
    <row r="955" s="90" customFormat="1" ht="16.5" customHeight="1"/>
    <row r="956" s="90" customFormat="1" ht="16.5" customHeight="1"/>
    <row r="957" s="90" customFormat="1" ht="16.5" customHeight="1"/>
    <row r="958" s="90" customFormat="1" ht="16.5" customHeight="1"/>
    <row r="959" s="90" customFormat="1" ht="16.5" customHeight="1"/>
    <row r="960" s="90" customFormat="1" ht="16.5" customHeight="1"/>
    <row r="961" s="90" customFormat="1" ht="16.5" customHeight="1"/>
    <row r="962" s="90" customFormat="1" ht="16.5" customHeight="1"/>
    <row r="963" s="90" customFormat="1" ht="16.5" customHeight="1"/>
    <row r="964" s="90" customFormat="1" ht="16.5" customHeight="1"/>
    <row r="965" s="90" customFormat="1" ht="16.5" customHeight="1"/>
    <row r="966" s="90" customFormat="1" ht="16.5" customHeight="1"/>
    <row r="967" s="90" customFormat="1" ht="16.5" customHeight="1"/>
    <row r="968" s="90" customFormat="1" ht="16.5" customHeight="1"/>
    <row r="969" s="90" customFormat="1" ht="16.5" customHeight="1"/>
    <row r="970" s="90" customFormat="1" ht="16.5" customHeight="1"/>
    <row r="971" s="90" customFormat="1" ht="16.5" customHeight="1"/>
    <row r="972" s="90" customFormat="1" ht="16.5" customHeight="1"/>
    <row r="973" s="90" customFormat="1" ht="16.5" customHeight="1"/>
    <row r="974" s="90" customFormat="1" ht="16.5" customHeight="1"/>
    <row r="975" s="90" customFormat="1" ht="16.5" customHeight="1"/>
    <row r="976" s="90" customFormat="1" ht="16.5" customHeight="1"/>
    <row r="977" s="90" customFormat="1" ht="16.5" customHeight="1"/>
    <row r="978" s="90" customFormat="1" ht="16.5" customHeight="1"/>
    <row r="979" s="90" customFormat="1" ht="16.5" customHeight="1"/>
    <row r="980" s="90" customFormat="1" ht="16.5" customHeight="1"/>
    <row r="981" s="90" customFormat="1" ht="16.5" customHeight="1"/>
    <row r="982" s="90" customFormat="1" ht="16.5" customHeight="1"/>
    <row r="983" s="90" customFormat="1" ht="16.5" customHeight="1"/>
    <row r="984" s="90" customFormat="1" ht="16.5" customHeight="1"/>
    <row r="985" s="90" customFormat="1" ht="16.5" customHeight="1"/>
    <row r="986" s="90" customFormat="1" ht="16.5" customHeight="1"/>
    <row r="987" s="90" customFormat="1" ht="16.5" customHeight="1"/>
    <row r="988" s="90" customFormat="1" ht="16.5" customHeight="1"/>
    <row r="989" s="90" customFormat="1" ht="16.5" customHeight="1"/>
    <row r="990" s="90" customFormat="1" ht="16.5" customHeight="1"/>
    <row r="991" s="90" customFormat="1" ht="16.5" customHeight="1"/>
    <row r="992" s="90" customFormat="1" ht="16.5" customHeight="1"/>
    <row r="993" s="90" customFormat="1" ht="16.5" customHeight="1"/>
    <row r="994" s="90" customFormat="1" ht="16.5" customHeight="1"/>
    <row r="995" s="90" customFormat="1" ht="16.5" customHeight="1"/>
    <row r="996" s="90" customFormat="1" ht="16.5" customHeight="1"/>
    <row r="997" s="90" customFormat="1" ht="16.5" customHeight="1"/>
    <row r="998" s="90" customFormat="1" ht="16.5" customHeight="1"/>
    <row r="999" s="90" customFormat="1" ht="16.5" customHeight="1"/>
    <row r="1000" s="90" customFormat="1" ht="16.5" customHeight="1"/>
  </sheetData>
  <phoneticPr fontId="12" type="noConversion"/>
  <pageMargins left="0.7" right="0.7" top="0.75" bottom="0.75" header="0" footer="0"/>
  <pageSetup orientation="landscape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1F497D"/>
  </sheetPr>
  <dimension ref="A1:AG1000"/>
  <sheetViews>
    <sheetView workbookViewId="0">
      <selection sqref="A1:XFD1048576"/>
    </sheetView>
  </sheetViews>
  <sheetFormatPr defaultColWidth="14.453125" defaultRowHeight="15" customHeight="1"/>
  <cols>
    <col min="1" max="1" width="32.453125" style="90" customWidth="1"/>
    <col min="2" max="33" width="9.26953125" style="90" customWidth="1"/>
    <col min="34" max="16384" width="14.453125" style="90"/>
  </cols>
  <sheetData>
    <row r="1" spans="1:33" ht="16.5" customHeight="1">
      <c r="A1" s="89" t="s">
        <v>178</v>
      </c>
      <c r="B1" s="89">
        <v>2021</v>
      </c>
      <c r="C1" s="89">
        <v>2022</v>
      </c>
      <c r="D1" s="89">
        <v>2023</v>
      </c>
      <c r="E1" s="89">
        <v>2024</v>
      </c>
      <c r="F1" s="89">
        <v>2025</v>
      </c>
      <c r="G1" s="89">
        <v>2026</v>
      </c>
      <c r="H1" s="89">
        <v>2027</v>
      </c>
      <c r="I1" s="89">
        <v>2028</v>
      </c>
      <c r="J1" s="89">
        <v>2029</v>
      </c>
      <c r="K1" s="89">
        <v>2030</v>
      </c>
      <c r="L1" s="89">
        <v>2031</v>
      </c>
      <c r="M1" s="89">
        <v>2032</v>
      </c>
      <c r="N1" s="89">
        <v>2033</v>
      </c>
      <c r="O1" s="89">
        <v>2034</v>
      </c>
      <c r="P1" s="89">
        <v>2035</v>
      </c>
      <c r="Q1" s="89">
        <v>2036</v>
      </c>
      <c r="R1" s="89">
        <v>2037</v>
      </c>
      <c r="S1" s="89">
        <v>2038</v>
      </c>
      <c r="T1" s="89">
        <v>2039</v>
      </c>
      <c r="U1" s="89">
        <v>2040</v>
      </c>
      <c r="V1" s="89">
        <v>2041</v>
      </c>
      <c r="W1" s="89">
        <v>2042</v>
      </c>
      <c r="X1" s="89">
        <v>2043</v>
      </c>
      <c r="Y1" s="89">
        <v>2044</v>
      </c>
      <c r="Z1" s="89">
        <v>2045</v>
      </c>
      <c r="AA1" s="89">
        <v>2046</v>
      </c>
      <c r="AB1" s="89">
        <v>2047</v>
      </c>
      <c r="AC1" s="89">
        <v>2048</v>
      </c>
      <c r="AD1" s="89">
        <v>2049</v>
      </c>
      <c r="AE1" s="89">
        <v>2050</v>
      </c>
    </row>
    <row r="2" spans="1:33" ht="16.5" customHeight="1">
      <c r="A2" s="89" t="s">
        <v>220</v>
      </c>
      <c r="B2" s="93">
        <f>'Subsidies Paid'!G3/'Subsidies Paid'!N17</f>
        <v>8.5263156814663673E-3</v>
      </c>
      <c r="C2" s="93">
        <f t="shared" ref="C2:AE2" si="0">B2</f>
        <v>8.5263156814663673E-3</v>
      </c>
      <c r="D2" s="93">
        <f t="shared" si="0"/>
        <v>8.5263156814663673E-3</v>
      </c>
      <c r="E2" s="93">
        <f t="shared" si="0"/>
        <v>8.5263156814663673E-3</v>
      </c>
      <c r="F2" s="93">
        <f t="shared" si="0"/>
        <v>8.5263156814663673E-3</v>
      </c>
      <c r="G2" s="93">
        <f t="shared" si="0"/>
        <v>8.5263156814663673E-3</v>
      </c>
      <c r="H2" s="93">
        <f t="shared" si="0"/>
        <v>8.5263156814663673E-3</v>
      </c>
      <c r="I2" s="93">
        <f t="shared" si="0"/>
        <v>8.5263156814663673E-3</v>
      </c>
      <c r="J2" s="93">
        <f t="shared" si="0"/>
        <v>8.5263156814663673E-3</v>
      </c>
      <c r="K2" s="93">
        <f t="shared" si="0"/>
        <v>8.5263156814663673E-3</v>
      </c>
      <c r="L2" s="93">
        <f t="shared" si="0"/>
        <v>8.5263156814663673E-3</v>
      </c>
      <c r="M2" s="93">
        <f t="shared" si="0"/>
        <v>8.5263156814663673E-3</v>
      </c>
      <c r="N2" s="93">
        <f t="shared" si="0"/>
        <v>8.5263156814663673E-3</v>
      </c>
      <c r="O2" s="93">
        <f t="shared" si="0"/>
        <v>8.5263156814663673E-3</v>
      </c>
      <c r="P2" s="93">
        <f t="shared" si="0"/>
        <v>8.5263156814663673E-3</v>
      </c>
      <c r="Q2" s="93">
        <f t="shared" si="0"/>
        <v>8.5263156814663673E-3</v>
      </c>
      <c r="R2" s="93">
        <f t="shared" si="0"/>
        <v>8.5263156814663673E-3</v>
      </c>
      <c r="S2" s="93">
        <f t="shared" si="0"/>
        <v>8.5263156814663673E-3</v>
      </c>
      <c r="T2" s="93">
        <f t="shared" si="0"/>
        <v>8.5263156814663673E-3</v>
      </c>
      <c r="U2" s="93">
        <f t="shared" si="0"/>
        <v>8.5263156814663673E-3</v>
      </c>
      <c r="V2" s="93">
        <f t="shared" si="0"/>
        <v>8.5263156814663673E-3</v>
      </c>
      <c r="W2" s="93">
        <f t="shared" si="0"/>
        <v>8.5263156814663673E-3</v>
      </c>
      <c r="X2" s="93">
        <f t="shared" si="0"/>
        <v>8.5263156814663673E-3</v>
      </c>
      <c r="Y2" s="93">
        <f t="shared" si="0"/>
        <v>8.5263156814663673E-3</v>
      </c>
      <c r="Z2" s="93">
        <f t="shared" si="0"/>
        <v>8.5263156814663673E-3</v>
      </c>
      <c r="AA2" s="93">
        <f t="shared" si="0"/>
        <v>8.5263156814663673E-3</v>
      </c>
      <c r="AB2" s="93">
        <f t="shared" si="0"/>
        <v>8.5263156814663673E-3</v>
      </c>
      <c r="AC2" s="93">
        <f t="shared" si="0"/>
        <v>8.5263156814663673E-3</v>
      </c>
      <c r="AD2" s="93">
        <f t="shared" si="0"/>
        <v>8.5263156814663673E-3</v>
      </c>
      <c r="AE2" s="93">
        <f t="shared" si="0"/>
        <v>8.5263156814663673E-3</v>
      </c>
      <c r="AF2" s="91"/>
      <c r="AG2" s="91"/>
    </row>
    <row r="3" spans="1:33" ht="16.5" customHeight="1">
      <c r="A3" s="89" t="s">
        <v>221</v>
      </c>
      <c r="B3" s="93">
        <v>0</v>
      </c>
      <c r="C3" s="93">
        <v>0</v>
      </c>
      <c r="D3" s="93">
        <v>0</v>
      </c>
      <c r="E3" s="93">
        <v>0</v>
      </c>
      <c r="F3" s="93">
        <v>0</v>
      </c>
      <c r="G3" s="93">
        <v>0</v>
      </c>
      <c r="H3" s="93">
        <v>0</v>
      </c>
      <c r="I3" s="93">
        <v>0</v>
      </c>
      <c r="J3" s="93">
        <v>0</v>
      </c>
      <c r="K3" s="93">
        <v>0</v>
      </c>
      <c r="L3" s="93">
        <v>0</v>
      </c>
      <c r="M3" s="93">
        <v>0</v>
      </c>
      <c r="N3" s="93">
        <v>0</v>
      </c>
      <c r="O3" s="93">
        <v>0</v>
      </c>
      <c r="P3" s="93">
        <v>0</v>
      </c>
      <c r="Q3" s="93">
        <v>0</v>
      </c>
      <c r="R3" s="93">
        <v>0</v>
      </c>
      <c r="S3" s="93">
        <v>0</v>
      </c>
      <c r="T3" s="93">
        <v>0</v>
      </c>
      <c r="U3" s="93">
        <v>0</v>
      </c>
      <c r="V3" s="93">
        <v>0</v>
      </c>
      <c r="W3" s="93">
        <v>0</v>
      </c>
      <c r="X3" s="93">
        <v>0</v>
      </c>
      <c r="Y3" s="93">
        <v>0</v>
      </c>
      <c r="Z3" s="93">
        <v>0</v>
      </c>
      <c r="AA3" s="93">
        <v>0</v>
      </c>
      <c r="AB3" s="93">
        <v>0</v>
      </c>
      <c r="AC3" s="93">
        <v>0</v>
      </c>
      <c r="AD3" s="93">
        <v>0</v>
      </c>
      <c r="AE3" s="93">
        <v>0</v>
      </c>
    </row>
    <row r="4" spans="1:33" ht="16.5" customHeight="1">
      <c r="A4" s="89" t="s">
        <v>222</v>
      </c>
      <c r="B4" s="93">
        <v>0</v>
      </c>
      <c r="C4" s="93">
        <v>0</v>
      </c>
      <c r="D4" s="93">
        <v>0</v>
      </c>
      <c r="E4" s="93">
        <v>0</v>
      </c>
      <c r="F4" s="93">
        <v>0</v>
      </c>
      <c r="G4" s="93">
        <v>0</v>
      </c>
      <c r="H4" s="93">
        <v>0</v>
      </c>
      <c r="I4" s="93">
        <v>0</v>
      </c>
      <c r="J4" s="93">
        <v>0</v>
      </c>
      <c r="K4" s="93">
        <v>0</v>
      </c>
      <c r="L4" s="93">
        <v>0</v>
      </c>
      <c r="M4" s="93">
        <v>0</v>
      </c>
      <c r="N4" s="93">
        <v>0</v>
      </c>
      <c r="O4" s="93">
        <v>0</v>
      </c>
      <c r="P4" s="93">
        <v>0</v>
      </c>
      <c r="Q4" s="93">
        <v>0</v>
      </c>
      <c r="R4" s="93">
        <v>0</v>
      </c>
      <c r="S4" s="93">
        <v>0</v>
      </c>
      <c r="T4" s="93">
        <v>0</v>
      </c>
      <c r="U4" s="93">
        <v>0</v>
      </c>
      <c r="V4" s="93">
        <v>0</v>
      </c>
      <c r="W4" s="93">
        <v>0</v>
      </c>
      <c r="X4" s="93">
        <v>0</v>
      </c>
      <c r="Y4" s="93">
        <v>0</v>
      </c>
      <c r="Z4" s="93">
        <v>0</v>
      </c>
      <c r="AA4" s="93">
        <v>0</v>
      </c>
      <c r="AB4" s="93">
        <v>0</v>
      </c>
      <c r="AC4" s="93">
        <v>0</v>
      </c>
      <c r="AD4" s="93">
        <v>0</v>
      </c>
      <c r="AE4" s="93">
        <v>0</v>
      </c>
      <c r="AF4" s="91"/>
      <c r="AG4" s="91"/>
    </row>
    <row r="5" spans="1:33" ht="16.5" customHeight="1">
      <c r="A5" s="89" t="s">
        <v>124</v>
      </c>
      <c r="B5" s="93">
        <v>0</v>
      </c>
      <c r="C5" s="93">
        <v>0</v>
      </c>
      <c r="D5" s="93">
        <v>0</v>
      </c>
      <c r="E5" s="93">
        <v>0</v>
      </c>
      <c r="F5" s="93">
        <v>0</v>
      </c>
      <c r="G5" s="93">
        <v>0</v>
      </c>
      <c r="H5" s="93">
        <v>0</v>
      </c>
      <c r="I5" s="93">
        <v>0</v>
      </c>
      <c r="J5" s="93">
        <v>0</v>
      </c>
      <c r="K5" s="93">
        <v>0</v>
      </c>
      <c r="L5" s="93">
        <v>0</v>
      </c>
      <c r="M5" s="93">
        <v>0</v>
      </c>
      <c r="N5" s="93">
        <v>0</v>
      </c>
      <c r="O5" s="93">
        <v>0</v>
      </c>
      <c r="P5" s="93">
        <v>0</v>
      </c>
      <c r="Q5" s="93">
        <v>0</v>
      </c>
      <c r="R5" s="93">
        <v>0</v>
      </c>
      <c r="S5" s="93">
        <v>0</v>
      </c>
      <c r="T5" s="93">
        <v>0</v>
      </c>
      <c r="U5" s="93">
        <v>0</v>
      </c>
      <c r="V5" s="93">
        <v>0</v>
      </c>
      <c r="W5" s="93">
        <v>0</v>
      </c>
      <c r="X5" s="93">
        <v>0</v>
      </c>
      <c r="Y5" s="93">
        <v>0</v>
      </c>
      <c r="Z5" s="93">
        <v>0</v>
      </c>
      <c r="AA5" s="93">
        <v>0</v>
      </c>
      <c r="AB5" s="93">
        <v>0</v>
      </c>
      <c r="AC5" s="93">
        <v>0</v>
      </c>
      <c r="AD5" s="93">
        <v>0</v>
      </c>
      <c r="AE5" s="93">
        <v>0</v>
      </c>
      <c r="AF5" s="91"/>
      <c r="AG5" s="91"/>
    </row>
    <row r="6" spans="1:33" ht="16.5" customHeight="1">
      <c r="A6" s="89" t="s">
        <v>123</v>
      </c>
      <c r="B6" s="93">
        <v>0</v>
      </c>
      <c r="C6" s="93">
        <v>0</v>
      </c>
      <c r="D6" s="93">
        <v>0</v>
      </c>
      <c r="E6" s="93">
        <v>0</v>
      </c>
      <c r="F6" s="93">
        <v>0</v>
      </c>
      <c r="G6" s="93">
        <v>0</v>
      </c>
      <c r="H6" s="93">
        <v>0</v>
      </c>
      <c r="I6" s="93">
        <v>0</v>
      </c>
      <c r="J6" s="93">
        <v>0</v>
      </c>
      <c r="K6" s="93">
        <v>0</v>
      </c>
      <c r="L6" s="93">
        <v>0</v>
      </c>
      <c r="M6" s="93">
        <v>0</v>
      </c>
      <c r="N6" s="93">
        <v>0</v>
      </c>
      <c r="O6" s="93">
        <v>0</v>
      </c>
      <c r="P6" s="93">
        <v>0</v>
      </c>
      <c r="Q6" s="93">
        <v>0</v>
      </c>
      <c r="R6" s="93">
        <v>0</v>
      </c>
      <c r="S6" s="93">
        <v>0</v>
      </c>
      <c r="T6" s="93">
        <v>0</v>
      </c>
      <c r="U6" s="93">
        <v>0</v>
      </c>
      <c r="V6" s="93">
        <v>0</v>
      </c>
      <c r="W6" s="93">
        <v>0</v>
      </c>
      <c r="X6" s="93">
        <v>0</v>
      </c>
      <c r="Y6" s="93">
        <v>0</v>
      </c>
      <c r="Z6" s="93">
        <v>0</v>
      </c>
      <c r="AA6" s="93">
        <v>0</v>
      </c>
      <c r="AB6" s="93">
        <v>0</v>
      </c>
      <c r="AC6" s="93">
        <v>0</v>
      </c>
      <c r="AD6" s="93">
        <v>0</v>
      </c>
      <c r="AE6" s="93">
        <v>0</v>
      </c>
      <c r="AF6" s="91"/>
      <c r="AG6" s="91"/>
    </row>
    <row r="7" spans="1:33" ht="16.5" customHeight="1">
      <c r="A7" s="89" t="s">
        <v>128</v>
      </c>
      <c r="B7" s="93">
        <v>0</v>
      </c>
      <c r="C7" s="93">
        <v>0</v>
      </c>
      <c r="D7" s="93">
        <v>0</v>
      </c>
      <c r="E7" s="93">
        <v>0</v>
      </c>
      <c r="F7" s="93">
        <v>0</v>
      </c>
      <c r="G7" s="93">
        <v>0</v>
      </c>
      <c r="H7" s="93">
        <v>0</v>
      </c>
      <c r="I7" s="93">
        <v>0</v>
      </c>
      <c r="J7" s="93">
        <v>0</v>
      </c>
      <c r="K7" s="93">
        <v>0</v>
      </c>
      <c r="L7" s="93">
        <v>0</v>
      </c>
      <c r="M7" s="93">
        <v>0</v>
      </c>
      <c r="N7" s="93">
        <v>0</v>
      </c>
      <c r="O7" s="93">
        <v>0</v>
      </c>
      <c r="P7" s="93">
        <v>0</v>
      </c>
      <c r="Q7" s="93">
        <v>0</v>
      </c>
      <c r="R7" s="93">
        <v>0</v>
      </c>
      <c r="S7" s="93">
        <v>0</v>
      </c>
      <c r="T7" s="93">
        <v>0</v>
      </c>
      <c r="U7" s="93">
        <v>0</v>
      </c>
      <c r="V7" s="93">
        <v>0</v>
      </c>
      <c r="W7" s="93">
        <v>0</v>
      </c>
      <c r="X7" s="93">
        <v>0</v>
      </c>
      <c r="Y7" s="93">
        <v>0</v>
      </c>
      <c r="Z7" s="93">
        <v>0</v>
      </c>
      <c r="AA7" s="93">
        <v>0</v>
      </c>
      <c r="AB7" s="93">
        <v>0</v>
      </c>
      <c r="AC7" s="93">
        <v>0</v>
      </c>
      <c r="AD7" s="93">
        <v>0</v>
      </c>
      <c r="AE7" s="93">
        <v>0</v>
      </c>
    </row>
    <row r="8" spans="1:33" ht="16.5" customHeight="1">
      <c r="A8" s="89" t="s">
        <v>223</v>
      </c>
      <c r="B8" s="93">
        <v>0</v>
      </c>
      <c r="C8" s="93">
        <v>0</v>
      </c>
      <c r="D8" s="93">
        <v>0</v>
      </c>
      <c r="E8" s="93">
        <v>0</v>
      </c>
      <c r="F8" s="93">
        <v>0</v>
      </c>
      <c r="G8" s="93">
        <v>0</v>
      </c>
      <c r="H8" s="93">
        <v>0</v>
      </c>
      <c r="I8" s="93">
        <v>0</v>
      </c>
      <c r="J8" s="93">
        <v>0</v>
      </c>
      <c r="K8" s="93">
        <v>0</v>
      </c>
      <c r="L8" s="93">
        <v>0</v>
      </c>
      <c r="M8" s="93">
        <v>0</v>
      </c>
      <c r="N8" s="93">
        <v>0</v>
      </c>
      <c r="O8" s="93">
        <v>0</v>
      </c>
      <c r="P8" s="93">
        <v>0</v>
      </c>
      <c r="Q8" s="93">
        <v>0</v>
      </c>
      <c r="R8" s="93">
        <v>0</v>
      </c>
      <c r="S8" s="93">
        <v>0</v>
      </c>
      <c r="T8" s="93">
        <v>0</v>
      </c>
      <c r="U8" s="93">
        <v>0</v>
      </c>
      <c r="V8" s="93">
        <v>0</v>
      </c>
      <c r="W8" s="93">
        <v>0</v>
      </c>
      <c r="X8" s="93">
        <v>0</v>
      </c>
      <c r="Y8" s="93">
        <v>0</v>
      </c>
      <c r="Z8" s="93">
        <v>0</v>
      </c>
      <c r="AA8" s="93">
        <v>0</v>
      </c>
      <c r="AB8" s="93">
        <v>0</v>
      </c>
      <c r="AC8" s="93">
        <v>0</v>
      </c>
      <c r="AD8" s="93">
        <v>0</v>
      </c>
      <c r="AE8" s="93">
        <v>0</v>
      </c>
    </row>
    <row r="9" spans="1:33" ht="16.5" customHeight="1">
      <c r="A9" s="89" t="s">
        <v>224</v>
      </c>
      <c r="B9" s="93">
        <v>0</v>
      </c>
      <c r="C9" s="93">
        <v>0</v>
      </c>
      <c r="D9" s="93">
        <v>0</v>
      </c>
      <c r="E9" s="93">
        <v>0</v>
      </c>
      <c r="F9" s="93">
        <v>0</v>
      </c>
      <c r="G9" s="93">
        <v>0</v>
      </c>
      <c r="H9" s="93">
        <v>0</v>
      </c>
      <c r="I9" s="93">
        <v>0</v>
      </c>
      <c r="J9" s="93">
        <v>0</v>
      </c>
      <c r="K9" s="93">
        <v>0</v>
      </c>
      <c r="L9" s="93">
        <v>0</v>
      </c>
      <c r="M9" s="93">
        <v>0</v>
      </c>
      <c r="N9" s="93">
        <v>0</v>
      </c>
      <c r="O9" s="93">
        <v>0</v>
      </c>
      <c r="P9" s="93">
        <v>0</v>
      </c>
      <c r="Q9" s="93">
        <v>0</v>
      </c>
      <c r="R9" s="93">
        <v>0</v>
      </c>
      <c r="S9" s="93">
        <v>0</v>
      </c>
      <c r="T9" s="93">
        <v>0</v>
      </c>
      <c r="U9" s="93">
        <v>0</v>
      </c>
      <c r="V9" s="93">
        <v>0</v>
      </c>
      <c r="W9" s="93">
        <v>0</v>
      </c>
      <c r="X9" s="93">
        <v>0</v>
      </c>
      <c r="Y9" s="93">
        <v>0</v>
      </c>
      <c r="Z9" s="93">
        <v>0</v>
      </c>
      <c r="AA9" s="93">
        <v>0</v>
      </c>
      <c r="AB9" s="93">
        <v>0</v>
      </c>
      <c r="AC9" s="93">
        <v>0</v>
      </c>
      <c r="AD9" s="93">
        <v>0</v>
      </c>
      <c r="AE9" s="93">
        <v>0</v>
      </c>
      <c r="AF9" s="91"/>
      <c r="AG9" s="91"/>
    </row>
    <row r="10" spans="1:33" ht="16.5" customHeight="1">
      <c r="A10" s="89" t="s">
        <v>117</v>
      </c>
      <c r="B10" s="93">
        <v>0</v>
      </c>
      <c r="C10" s="93">
        <v>0</v>
      </c>
      <c r="D10" s="93">
        <v>0</v>
      </c>
      <c r="E10" s="93">
        <v>0</v>
      </c>
      <c r="F10" s="93">
        <v>0</v>
      </c>
      <c r="G10" s="93">
        <v>0</v>
      </c>
      <c r="H10" s="93">
        <v>0</v>
      </c>
      <c r="I10" s="93">
        <v>0</v>
      </c>
      <c r="J10" s="93">
        <v>0</v>
      </c>
      <c r="K10" s="93">
        <v>0</v>
      </c>
      <c r="L10" s="93">
        <v>0</v>
      </c>
      <c r="M10" s="93">
        <v>0</v>
      </c>
      <c r="N10" s="93">
        <v>0</v>
      </c>
      <c r="O10" s="93">
        <v>0</v>
      </c>
      <c r="P10" s="93">
        <v>0</v>
      </c>
      <c r="Q10" s="93">
        <v>0</v>
      </c>
      <c r="R10" s="93">
        <v>0</v>
      </c>
      <c r="S10" s="93">
        <v>0</v>
      </c>
      <c r="T10" s="93">
        <v>0</v>
      </c>
      <c r="U10" s="93">
        <v>0</v>
      </c>
      <c r="V10" s="93">
        <v>0</v>
      </c>
      <c r="W10" s="93">
        <v>0</v>
      </c>
      <c r="X10" s="93">
        <v>0</v>
      </c>
      <c r="Y10" s="93">
        <v>0</v>
      </c>
      <c r="Z10" s="93">
        <v>0</v>
      </c>
      <c r="AA10" s="93">
        <v>0</v>
      </c>
      <c r="AB10" s="93">
        <v>0</v>
      </c>
      <c r="AC10" s="93">
        <v>0</v>
      </c>
      <c r="AD10" s="93">
        <v>0</v>
      </c>
      <c r="AE10" s="93">
        <v>0</v>
      </c>
    </row>
    <row r="11" spans="1:33" ht="16.5" customHeight="1">
      <c r="A11" s="89" t="s">
        <v>129</v>
      </c>
      <c r="B11" s="93">
        <v>0</v>
      </c>
      <c r="C11" s="93">
        <v>0</v>
      </c>
      <c r="D11" s="93">
        <v>0</v>
      </c>
      <c r="E11" s="93">
        <v>0</v>
      </c>
      <c r="F11" s="93">
        <v>0</v>
      </c>
      <c r="G11" s="93">
        <v>0</v>
      </c>
      <c r="H11" s="93">
        <v>0</v>
      </c>
      <c r="I11" s="93">
        <v>0</v>
      </c>
      <c r="J11" s="93">
        <v>0</v>
      </c>
      <c r="K11" s="93">
        <v>0</v>
      </c>
      <c r="L11" s="93">
        <v>0</v>
      </c>
      <c r="M11" s="93">
        <v>0</v>
      </c>
      <c r="N11" s="93">
        <v>0</v>
      </c>
      <c r="O11" s="93">
        <v>0</v>
      </c>
      <c r="P11" s="93">
        <v>0</v>
      </c>
      <c r="Q11" s="93">
        <v>0</v>
      </c>
      <c r="R11" s="93">
        <v>0</v>
      </c>
      <c r="S11" s="93">
        <v>0</v>
      </c>
      <c r="T11" s="93">
        <v>0</v>
      </c>
      <c r="U11" s="93">
        <v>0</v>
      </c>
      <c r="V11" s="93">
        <v>0</v>
      </c>
      <c r="W11" s="93">
        <v>0</v>
      </c>
      <c r="X11" s="93">
        <v>0</v>
      </c>
      <c r="Y11" s="93">
        <v>0</v>
      </c>
      <c r="Z11" s="93">
        <v>0</v>
      </c>
      <c r="AA11" s="93">
        <v>0</v>
      </c>
      <c r="AB11" s="93">
        <v>0</v>
      </c>
      <c r="AC11" s="93">
        <v>0</v>
      </c>
      <c r="AD11" s="93">
        <v>0</v>
      </c>
      <c r="AE11" s="93">
        <v>0</v>
      </c>
    </row>
    <row r="12" spans="1:33" ht="16.5" customHeight="1">
      <c r="A12" s="89" t="s">
        <v>225</v>
      </c>
      <c r="B12" s="93">
        <v>0</v>
      </c>
      <c r="C12" s="93">
        <v>0</v>
      </c>
      <c r="D12" s="93">
        <v>0</v>
      </c>
      <c r="E12" s="93">
        <v>0</v>
      </c>
      <c r="F12" s="93">
        <v>0</v>
      </c>
      <c r="G12" s="93">
        <v>0</v>
      </c>
      <c r="H12" s="93">
        <v>0</v>
      </c>
      <c r="I12" s="93">
        <v>0</v>
      </c>
      <c r="J12" s="93">
        <v>0</v>
      </c>
      <c r="K12" s="93">
        <v>0</v>
      </c>
      <c r="L12" s="93">
        <v>0</v>
      </c>
      <c r="M12" s="93">
        <v>0</v>
      </c>
      <c r="N12" s="93">
        <v>0</v>
      </c>
      <c r="O12" s="93">
        <v>0</v>
      </c>
      <c r="P12" s="93">
        <v>0</v>
      </c>
      <c r="Q12" s="93">
        <v>0</v>
      </c>
      <c r="R12" s="93">
        <v>0</v>
      </c>
      <c r="S12" s="93">
        <v>0</v>
      </c>
      <c r="T12" s="93">
        <v>0</v>
      </c>
      <c r="U12" s="93">
        <v>0</v>
      </c>
      <c r="V12" s="93">
        <v>0</v>
      </c>
      <c r="W12" s="93">
        <v>0</v>
      </c>
      <c r="X12" s="93">
        <v>0</v>
      </c>
      <c r="Y12" s="93">
        <v>0</v>
      </c>
      <c r="Z12" s="93">
        <v>0</v>
      </c>
      <c r="AA12" s="93">
        <v>0</v>
      </c>
      <c r="AB12" s="93">
        <v>0</v>
      </c>
      <c r="AC12" s="93">
        <v>0</v>
      </c>
      <c r="AD12" s="93">
        <v>0</v>
      </c>
      <c r="AE12" s="93">
        <v>0</v>
      </c>
    </row>
    <row r="13" spans="1:33" ht="16.5" customHeight="1">
      <c r="A13" s="89" t="s">
        <v>226</v>
      </c>
      <c r="B13" s="93">
        <v>0</v>
      </c>
      <c r="C13" s="93">
        <v>0</v>
      </c>
      <c r="D13" s="93">
        <v>0</v>
      </c>
      <c r="E13" s="93">
        <v>0</v>
      </c>
      <c r="F13" s="93">
        <v>0</v>
      </c>
      <c r="G13" s="93">
        <v>0</v>
      </c>
      <c r="H13" s="93">
        <v>0</v>
      </c>
      <c r="I13" s="93">
        <v>0</v>
      </c>
      <c r="J13" s="93">
        <v>0</v>
      </c>
      <c r="K13" s="93">
        <v>0</v>
      </c>
      <c r="L13" s="93">
        <v>0</v>
      </c>
      <c r="M13" s="93">
        <v>0</v>
      </c>
      <c r="N13" s="93">
        <v>0</v>
      </c>
      <c r="O13" s="93">
        <v>0</v>
      </c>
      <c r="P13" s="93">
        <v>0</v>
      </c>
      <c r="Q13" s="93">
        <v>0</v>
      </c>
      <c r="R13" s="93">
        <v>0</v>
      </c>
      <c r="S13" s="93">
        <v>0</v>
      </c>
      <c r="T13" s="93">
        <v>0</v>
      </c>
      <c r="U13" s="93">
        <v>0</v>
      </c>
      <c r="V13" s="93">
        <v>0</v>
      </c>
      <c r="W13" s="93">
        <v>0</v>
      </c>
      <c r="X13" s="93">
        <v>0</v>
      </c>
      <c r="Y13" s="93">
        <v>0</v>
      </c>
      <c r="Z13" s="93">
        <v>0</v>
      </c>
      <c r="AA13" s="93">
        <v>0</v>
      </c>
      <c r="AB13" s="93">
        <v>0</v>
      </c>
      <c r="AC13" s="93">
        <v>0</v>
      </c>
      <c r="AD13" s="93">
        <v>0</v>
      </c>
      <c r="AE13" s="93">
        <v>0</v>
      </c>
      <c r="AF13" s="91"/>
      <c r="AG13" s="91"/>
    </row>
    <row r="14" spans="1:33" ht="16.5" customHeight="1">
      <c r="A14" s="89" t="s">
        <v>227</v>
      </c>
      <c r="B14" s="93">
        <f>B2</f>
        <v>8.5263156814663673E-3</v>
      </c>
      <c r="C14" s="93">
        <f t="shared" ref="C14:AE14" si="1">B14</f>
        <v>8.5263156814663673E-3</v>
      </c>
      <c r="D14" s="93">
        <f t="shared" si="1"/>
        <v>8.5263156814663673E-3</v>
      </c>
      <c r="E14" s="93">
        <f t="shared" si="1"/>
        <v>8.5263156814663673E-3</v>
      </c>
      <c r="F14" s="93">
        <f t="shared" si="1"/>
        <v>8.5263156814663673E-3</v>
      </c>
      <c r="G14" s="93">
        <f t="shared" si="1"/>
        <v>8.5263156814663673E-3</v>
      </c>
      <c r="H14" s="93">
        <f t="shared" si="1"/>
        <v>8.5263156814663673E-3</v>
      </c>
      <c r="I14" s="93">
        <f t="shared" si="1"/>
        <v>8.5263156814663673E-3</v>
      </c>
      <c r="J14" s="93">
        <f t="shared" si="1"/>
        <v>8.5263156814663673E-3</v>
      </c>
      <c r="K14" s="93">
        <f t="shared" si="1"/>
        <v>8.5263156814663673E-3</v>
      </c>
      <c r="L14" s="93">
        <f t="shared" si="1"/>
        <v>8.5263156814663673E-3</v>
      </c>
      <c r="M14" s="93">
        <f t="shared" si="1"/>
        <v>8.5263156814663673E-3</v>
      </c>
      <c r="N14" s="93">
        <f t="shared" si="1"/>
        <v>8.5263156814663673E-3</v>
      </c>
      <c r="O14" s="93">
        <f t="shared" si="1"/>
        <v>8.5263156814663673E-3</v>
      </c>
      <c r="P14" s="93">
        <f t="shared" si="1"/>
        <v>8.5263156814663673E-3</v>
      </c>
      <c r="Q14" s="93">
        <f t="shared" si="1"/>
        <v>8.5263156814663673E-3</v>
      </c>
      <c r="R14" s="93">
        <f t="shared" si="1"/>
        <v>8.5263156814663673E-3</v>
      </c>
      <c r="S14" s="93">
        <f t="shared" si="1"/>
        <v>8.5263156814663673E-3</v>
      </c>
      <c r="T14" s="93">
        <f t="shared" si="1"/>
        <v>8.5263156814663673E-3</v>
      </c>
      <c r="U14" s="93">
        <f t="shared" si="1"/>
        <v>8.5263156814663673E-3</v>
      </c>
      <c r="V14" s="93">
        <f t="shared" si="1"/>
        <v>8.5263156814663673E-3</v>
      </c>
      <c r="W14" s="93">
        <f t="shared" si="1"/>
        <v>8.5263156814663673E-3</v>
      </c>
      <c r="X14" s="93">
        <f t="shared" si="1"/>
        <v>8.5263156814663673E-3</v>
      </c>
      <c r="Y14" s="93">
        <f t="shared" si="1"/>
        <v>8.5263156814663673E-3</v>
      </c>
      <c r="Z14" s="93">
        <f t="shared" si="1"/>
        <v>8.5263156814663673E-3</v>
      </c>
      <c r="AA14" s="93">
        <f t="shared" si="1"/>
        <v>8.5263156814663673E-3</v>
      </c>
      <c r="AB14" s="93">
        <f t="shared" si="1"/>
        <v>8.5263156814663673E-3</v>
      </c>
      <c r="AC14" s="93">
        <f t="shared" si="1"/>
        <v>8.5263156814663673E-3</v>
      </c>
      <c r="AD14" s="93">
        <f t="shared" si="1"/>
        <v>8.5263156814663673E-3</v>
      </c>
      <c r="AE14" s="93">
        <f t="shared" si="1"/>
        <v>8.5263156814663673E-3</v>
      </c>
      <c r="AF14" s="91"/>
      <c r="AG14" s="91"/>
    </row>
    <row r="15" spans="1:33" ht="16.5" customHeight="1">
      <c r="A15" s="89" t="s">
        <v>127</v>
      </c>
      <c r="B15" s="93">
        <v>0</v>
      </c>
      <c r="C15" s="93">
        <v>0</v>
      </c>
      <c r="D15" s="93">
        <v>0</v>
      </c>
      <c r="E15" s="93">
        <v>0</v>
      </c>
      <c r="F15" s="93">
        <v>0</v>
      </c>
      <c r="G15" s="93">
        <v>0</v>
      </c>
      <c r="H15" s="93">
        <v>0</v>
      </c>
      <c r="I15" s="93">
        <v>0</v>
      </c>
      <c r="J15" s="93">
        <v>0</v>
      </c>
      <c r="K15" s="93">
        <v>0</v>
      </c>
      <c r="L15" s="93">
        <v>0</v>
      </c>
      <c r="M15" s="93">
        <v>0</v>
      </c>
      <c r="N15" s="93">
        <v>0</v>
      </c>
      <c r="O15" s="93">
        <v>0</v>
      </c>
      <c r="P15" s="93">
        <v>0</v>
      </c>
      <c r="Q15" s="93">
        <v>0</v>
      </c>
      <c r="R15" s="93">
        <v>0</v>
      </c>
      <c r="S15" s="93">
        <v>0</v>
      </c>
      <c r="T15" s="93">
        <v>0</v>
      </c>
      <c r="U15" s="93">
        <v>0</v>
      </c>
      <c r="V15" s="93">
        <v>0</v>
      </c>
      <c r="W15" s="93">
        <v>0</v>
      </c>
      <c r="X15" s="93">
        <v>0</v>
      </c>
      <c r="Y15" s="93">
        <v>0</v>
      </c>
      <c r="Z15" s="93">
        <v>0</v>
      </c>
      <c r="AA15" s="93">
        <v>0</v>
      </c>
      <c r="AB15" s="93">
        <v>0</v>
      </c>
      <c r="AC15" s="93">
        <v>0</v>
      </c>
      <c r="AD15" s="93">
        <v>0</v>
      </c>
      <c r="AE15" s="93">
        <v>0</v>
      </c>
    </row>
    <row r="16" spans="1:33" ht="16.5" customHeight="1">
      <c r="A16" s="89" t="s">
        <v>212</v>
      </c>
      <c r="B16" s="93">
        <f t="shared" ref="B16:AE16" si="2">B12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93">
        <f t="shared" si="2"/>
        <v>0</v>
      </c>
      <c r="P16" s="93">
        <f t="shared" si="2"/>
        <v>0</v>
      </c>
      <c r="Q16" s="93">
        <f t="shared" si="2"/>
        <v>0</v>
      </c>
      <c r="R16" s="93">
        <f t="shared" si="2"/>
        <v>0</v>
      </c>
      <c r="S16" s="93">
        <f t="shared" si="2"/>
        <v>0</v>
      </c>
      <c r="T16" s="93">
        <f t="shared" si="2"/>
        <v>0</v>
      </c>
      <c r="U16" s="93">
        <f t="shared" si="2"/>
        <v>0</v>
      </c>
      <c r="V16" s="93">
        <f t="shared" si="2"/>
        <v>0</v>
      </c>
      <c r="W16" s="93">
        <f t="shared" si="2"/>
        <v>0</v>
      </c>
      <c r="X16" s="93">
        <f t="shared" si="2"/>
        <v>0</v>
      </c>
      <c r="Y16" s="93">
        <f t="shared" si="2"/>
        <v>0</v>
      </c>
      <c r="Z16" s="93">
        <f t="shared" si="2"/>
        <v>0</v>
      </c>
      <c r="AA16" s="93">
        <f t="shared" si="2"/>
        <v>0</v>
      </c>
      <c r="AB16" s="93">
        <f t="shared" si="2"/>
        <v>0</v>
      </c>
      <c r="AC16" s="93">
        <f t="shared" si="2"/>
        <v>0</v>
      </c>
      <c r="AD16" s="93">
        <f t="shared" si="2"/>
        <v>0</v>
      </c>
      <c r="AE16" s="93">
        <f t="shared" si="2"/>
        <v>0</v>
      </c>
    </row>
    <row r="17" spans="1:31" ht="16.5" customHeight="1">
      <c r="A17" s="89" t="s">
        <v>228</v>
      </c>
      <c r="B17" s="93">
        <f t="shared" ref="B17:AE17" si="3">B12</f>
        <v>0</v>
      </c>
      <c r="C17" s="93">
        <f t="shared" si="3"/>
        <v>0</v>
      </c>
      <c r="D17" s="93">
        <f t="shared" si="3"/>
        <v>0</v>
      </c>
      <c r="E17" s="93">
        <f t="shared" si="3"/>
        <v>0</v>
      </c>
      <c r="F17" s="93">
        <f t="shared" si="3"/>
        <v>0</v>
      </c>
      <c r="G17" s="93">
        <f t="shared" si="3"/>
        <v>0</v>
      </c>
      <c r="H17" s="93">
        <f t="shared" si="3"/>
        <v>0</v>
      </c>
      <c r="I17" s="93">
        <f t="shared" si="3"/>
        <v>0</v>
      </c>
      <c r="J17" s="93">
        <f t="shared" si="3"/>
        <v>0</v>
      </c>
      <c r="K17" s="93">
        <f t="shared" si="3"/>
        <v>0</v>
      </c>
      <c r="L17" s="93">
        <f t="shared" si="3"/>
        <v>0</v>
      </c>
      <c r="M17" s="93">
        <f t="shared" si="3"/>
        <v>0</v>
      </c>
      <c r="N17" s="93">
        <f t="shared" si="3"/>
        <v>0</v>
      </c>
      <c r="O17" s="93">
        <f t="shared" si="3"/>
        <v>0</v>
      </c>
      <c r="P17" s="93">
        <f t="shared" si="3"/>
        <v>0</v>
      </c>
      <c r="Q17" s="93">
        <f t="shared" si="3"/>
        <v>0</v>
      </c>
      <c r="R17" s="93">
        <f t="shared" si="3"/>
        <v>0</v>
      </c>
      <c r="S17" s="93">
        <f t="shared" si="3"/>
        <v>0</v>
      </c>
      <c r="T17" s="93">
        <f t="shared" si="3"/>
        <v>0</v>
      </c>
      <c r="U17" s="93">
        <f t="shared" si="3"/>
        <v>0</v>
      </c>
      <c r="V17" s="93">
        <f t="shared" si="3"/>
        <v>0</v>
      </c>
      <c r="W17" s="93">
        <f t="shared" si="3"/>
        <v>0</v>
      </c>
      <c r="X17" s="93">
        <f t="shared" si="3"/>
        <v>0</v>
      </c>
      <c r="Y17" s="93">
        <f t="shared" si="3"/>
        <v>0</v>
      </c>
      <c r="Z17" s="93">
        <f t="shared" si="3"/>
        <v>0</v>
      </c>
      <c r="AA17" s="93">
        <f t="shared" si="3"/>
        <v>0</v>
      </c>
      <c r="AB17" s="93">
        <f t="shared" si="3"/>
        <v>0</v>
      </c>
      <c r="AC17" s="93">
        <f t="shared" si="3"/>
        <v>0</v>
      </c>
      <c r="AD17" s="93">
        <f t="shared" si="3"/>
        <v>0</v>
      </c>
      <c r="AE17" s="93">
        <f t="shared" si="3"/>
        <v>0</v>
      </c>
    </row>
    <row r="18" spans="1:31" ht="16.5" customHeight="1">
      <c r="A18" s="89" t="s">
        <v>215</v>
      </c>
      <c r="B18" s="93">
        <v>0</v>
      </c>
      <c r="C18" s="93">
        <v>0</v>
      </c>
      <c r="D18" s="93">
        <v>0</v>
      </c>
      <c r="E18" s="93">
        <v>0</v>
      </c>
      <c r="F18" s="93">
        <v>0</v>
      </c>
      <c r="G18" s="93">
        <v>0</v>
      </c>
      <c r="H18" s="93">
        <v>0</v>
      </c>
      <c r="I18" s="93">
        <v>0</v>
      </c>
      <c r="J18" s="93">
        <v>0</v>
      </c>
      <c r="K18" s="93">
        <v>0</v>
      </c>
      <c r="L18" s="93">
        <v>0</v>
      </c>
      <c r="M18" s="93">
        <v>0</v>
      </c>
      <c r="N18" s="93">
        <v>0</v>
      </c>
      <c r="O18" s="93">
        <v>0</v>
      </c>
      <c r="P18" s="93">
        <v>0</v>
      </c>
      <c r="Q18" s="93">
        <v>0</v>
      </c>
      <c r="R18" s="93">
        <v>0</v>
      </c>
      <c r="S18" s="93">
        <v>0</v>
      </c>
      <c r="T18" s="93">
        <v>0</v>
      </c>
      <c r="U18" s="93">
        <v>0</v>
      </c>
      <c r="V18" s="93">
        <v>0</v>
      </c>
      <c r="W18" s="93">
        <v>0</v>
      </c>
      <c r="X18" s="93">
        <v>0</v>
      </c>
      <c r="Y18" s="93">
        <v>0</v>
      </c>
      <c r="Z18" s="93">
        <v>0</v>
      </c>
      <c r="AA18" s="93">
        <v>0</v>
      </c>
      <c r="AB18" s="93">
        <v>0</v>
      </c>
      <c r="AC18" s="93">
        <v>0</v>
      </c>
      <c r="AD18" s="93">
        <v>0</v>
      </c>
      <c r="AE18" s="93">
        <v>0</v>
      </c>
    </row>
    <row r="19" spans="1:31" ht="16.5" customHeight="1">
      <c r="A19" s="89" t="s">
        <v>229</v>
      </c>
      <c r="B19" s="93">
        <v>0</v>
      </c>
      <c r="C19" s="93">
        <v>0</v>
      </c>
      <c r="D19" s="93">
        <v>0</v>
      </c>
      <c r="E19" s="93">
        <v>0</v>
      </c>
      <c r="F19" s="93">
        <v>0</v>
      </c>
      <c r="G19" s="93">
        <v>0</v>
      </c>
      <c r="H19" s="93">
        <v>0</v>
      </c>
      <c r="I19" s="93">
        <v>0</v>
      </c>
      <c r="J19" s="93">
        <v>0</v>
      </c>
      <c r="K19" s="93">
        <v>0</v>
      </c>
      <c r="L19" s="93">
        <v>0</v>
      </c>
      <c r="M19" s="93">
        <v>0</v>
      </c>
      <c r="N19" s="93">
        <v>0</v>
      </c>
      <c r="O19" s="93">
        <v>0</v>
      </c>
      <c r="P19" s="93">
        <v>0</v>
      </c>
      <c r="Q19" s="93">
        <v>0</v>
      </c>
      <c r="R19" s="93">
        <v>0</v>
      </c>
      <c r="S19" s="93">
        <v>0</v>
      </c>
      <c r="T19" s="93">
        <v>0</v>
      </c>
      <c r="U19" s="93">
        <v>0</v>
      </c>
      <c r="V19" s="93">
        <v>0</v>
      </c>
      <c r="W19" s="93">
        <v>0</v>
      </c>
      <c r="X19" s="93">
        <v>0</v>
      </c>
      <c r="Y19" s="93">
        <v>0</v>
      </c>
      <c r="Z19" s="93">
        <v>0</v>
      </c>
      <c r="AA19" s="93">
        <v>0</v>
      </c>
      <c r="AB19" s="93">
        <v>0</v>
      </c>
      <c r="AC19" s="93">
        <v>0</v>
      </c>
      <c r="AD19" s="93">
        <v>0</v>
      </c>
      <c r="AE19" s="93">
        <v>0</v>
      </c>
    </row>
    <row r="20" spans="1:31" ht="16.5" customHeight="1">
      <c r="A20" s="89" t="s">
        <v>230</v>
      </c>
      <c r="B20" s="93">
        <v>0</v>
      </c>
      <c r="C20" s="93">
        <v>0</v>
      </c>
      <c r="D20" s="93">
        <v>0</v>
      </c>
      <c r="E20" s="93">
        <v>0</v>
      </c>
      <c r="F20" s="93">
        <v>0</v>
      </c>
      <c r="G20" s="93">
        <v>0</v>
      </c>
      <c r="H20" s="93">
        <v>0</v>
      </c>
      <c r="I20" s="93">
        <v>0</v>
      </c>
      <c r="J20" s="93">
        <v>0</v>
      </c>
      <c r="K20" s="93">
        <v>0</v>
      </c>
      <c r="L20" s="93">
        <v>0</v>
      </c>
      <c r="M20" s="93">
        <v>0</v>
      </c>
      <c r="N20" s="93">
        <v>0</v>
      </c>
      <c r="O20" s="93">
        <v>0</v>
      </c>
      <c r="P20" s="93">
        <v>0</v>
      </c>
      <c r="Q20" s="93">
        <v>0</v>
      </c>
      <c r="R20" s="93">
        <v>0</v>
      </c>
      <c r="S20" s="93">
        <v>0</v>
      </c>
      <c r="T20" s="93">
        <v>0</v>
      </c>
      <c r="U20" s="93">
        <v>0</v>
      </c>
      <c r="V20" s="93">
        <v>0</v>
      </c>
      <c r="W20" s="93">
        <v>0</v>
      </c>
      <c r="X20" s="93">
        <v>0</v>
      </c>
      <c r="Y20" s="93">
        <v>0</v>
      </c>
      <c r="Z20" s="93">
        <v>0</v>
      </c>
      <c r="AA20" s="93">
        <v>0</v>
      </c>
      <c r="AB20" s="93">
        <v>0</v>
      </c>
      <c r="AC20" s="93">
        <v>0</v>
      </c>
      <c r="AD20" s="93">
        <v>0</v>
      </c>
      <c r="AE20" s="93">
        <v>0</v>
      </c>
    </row>
    <row r="21" spans="1:31" ht="16.5" customHeight="1">
      <c r="A21" s="89" t="s">
        <v>231</v>
      </c>
      <c r="B21" s="93">
        <v>0</v>
      </c>
      <c r="C21" s="93">
        <v>0</v>
      </c>
      <c r="D21" s="93">
        <v>0</v>
      </c>
      <c r="E21" s="93">
        <v>0</v>
      </c>
      <c r="F21" s="93">
        <v>0</v>
      </c>
      <c r="G21" s="93">
        <v>0</v>
      </c>
      <c r="H21" s="93">
        <v>0</v>
      </c>
      <c r="I21" s="93">
        <v>0</v>
      </c>
      <c r="J21" s="93">
        <v>0</v>
      </c>
      <c r="K21" s="93">
        <v>0</v>
      </c>
      <c r="L21" s="93">
        <v>0</v>
      </c>
      <c r="M21" s="93">
        <v>0</v>
      </c>
      <c r="N21" s="93">
        <v>0</v>
      </c>
      <c r="O21" s="93">
        <v>0</v>
      </c>
      <c r="P21" s="93">
        <v>0</v>
      </c>
      <c r="Q21" s="93">
        <v>0</v>
      </c>
      <c r="R21" s="93">
        <v>0</v>
      </c>
      <c r="S21" s="93">
        <v>0</v>
      </c>
      <c r="T21" s="93">
        <v>0</v>
      </c>
      <c r="U21" s="93">
        <v>0</v>
      </c>
      <c r="V21" s="93">
        <v>0</v>
      </c>
      <c r="W21" s="93">
        <v>0</v>
      </c>
      <c r="X21" s="93">
        <v>0</v>
      </c>
      <c r="Y21" s="93">
        <v>0</v>
      </c>
      <c r="Z21" s="93">
        <v>0</v>
      </c>
      <c r="AA21" s="93">
        <v>0</v>
      </c>
      <c r="AB21" s="93">
        <v>0</v>
      </c>
      <c r="AC21" s="93">
        <v>0</v>
      </c>
      <c r="AD21" s="93">
        <v>0</v>
      </c>
      <c r="AE21" s="93">
        <v>0</v>
      </c>
    </row>
    <row r="22" spans="1:31" ht="16.5" customHeight="1">
      <c r="A22" s="89" t="s">
        <v>232</v>
      </c>
      <c r="B22" s="93">
        <v>0</v>
      </c>
      <c r="C22" s="93">
        <v>0</v>
      </c>
      <c r="D22" s="93">
        <v>0</v>
      </c>
      <c r="E22" s="93">
        <v>0</v>
      </c>
      <c r="F22" s="93">
        <v>0</v>
      </c>
      <c r="G22" s="93">
        <v>0</v>
      </c>
      <c r="H22" s="93">
        <v>0</v>
      </c>
      <c r="I22" s="93">
        <v>0</v>
      </c>
      <c r="J22" s="93">
        <v>0</v>
      </c>
      <c r="K22" s="93">
        <v>0</v>
      </c>
      <c r="L22" s="93">
        <v>0</v>
      </c>
      <c r="M22" s="93">
        <v>0</v>
      </c>
      <c r="N22" s="93">
        <v>0</v>
      </c>
      <c r="O22" s="93">
        <v>0</v>
      </c>
      <c r="P22" s="93">
        <v>0</v>
      </c>
      <c r="Q22" s="93">
        <v>0</v>
      </c>
      <c r="R22" s="93">
        <v>0</v>
      </c>
      <c r="S22" s="93">
        <v>0</v>
      </c>
      <c r="T22" s="93">
        <v>0</v>
      </c>
      <c r="U22" s="93">
        <v>0</v>
      </c>
      <c r="V22" s="93">
        <v>0</v>
      </c>
      <c r="W22" s="93">
        <v>0</v>
      </c>
      <c r="X22" s="93">
        <v>0</v>
      </c>
      <c r="Y22" s="93">
        <v>0</v>
      </c>
      <c r="Z22" s="93">
        <v>0</v>
      </c>
      <c r="AA22" s="93">
        <v>0</v>
      </c>
      <c r="AB22" s="93">
        <v>0</v>
      </c>
      <c r="AC22" s="93">
        <v>0</v>
      </c>
      <c r="AD22" s="93">
        <v>0</v>
      </c>
      <c r="AE22" s="93">
        <v>0</v>
      </c>
    </row>
    <row r="23" spans="1:31" ht="16.5" customHeight="1">
      <c r="A23" s="89" t="s">
        <v>233</v>
      </c>
      <c r="B23" s="93">
        <v>0</v>
      </c>
      <c r="C23" s="93">
        <v>0</v>
      </c>
      <c r="D23" s="93">
        <v>0</v>
      </c>
      <c r="E23" s="93">
        <v>0</v>
      </c>
      <c r="F23" s="93">
        <v>0</v>
      </c>
      <c r="G23" s="93">
        <v>0</v>
      </c>
      <c r="H23" s="93">
        <v>0</v>
      </c>
      <c r="I23" s="93">
        <v>0</v>
      </c>
      <c r="J23" s="93">
        <v>0</v>
      </c>
      <c r="K23" s="93">
        <v>0</v>
      </c>
      <c r="L23" s="93">
        <v>0</v>
      </c>
      <c r="M23" s="93">
        <v>0</v>
      </c>
      <c r="N23" s="93">
        <v>0</v>
      </c>
      <c r="O23" s="93">
        <v>0</v>
      </c>
      <c r="P23" s="93">
        <v>0</v>
      </c>
      <c r="Q23" s="93">
        <v>0</v>
      </c>
      <c r="R23" s="93">
        <v>0</v>
      </c>
      <c r="S23" s="93">
        <v>0</v>
      </c>
      <c r="T23" s="93">
        <v>0</v>
      </c>
      <c r="U23" s="93">
        <v>0</v>
      </c>
      <c r="V23" s="93">
        <v>0</v>
      </c>
      <c r="W23" s="93">
        <v>0</v>
      </c>
      <c r="X23" s="93">
        <v>0</v>
      </c>
      <c r="Y23" s="93">
        <v>0</v>
      </c>
      <c r="Z23" s="93">
        <v>0</v>
      </c>
      <c r="AA23" s="93">
        <v>0</v>
      </c>
      <c r="AB23" s="93">
        <v>0</v>
      </c>
      <c r="AC23" s="93">
        <v>0</v>
      </c>
      <c r="AD23" s="93">
        <v>0</v>
      </c>
      <c r="AE23" s="93">
        <v>0</v>
      </c>
    </row>
    <row r="24" spans="1:31" ht="16.5" customHeight="1">
      <c r="A24" s="92" t="s">
        <v>234</v>
      </c>
      <c r="B24" s="93">
        <v>0</v>
      </c>
      <c r="C24" s="93">
        <v>0</v>
      </c>
      <c r="D24" s="93">
        <v>0</v>
      </c>
      <c r="E24" s="93">
        <v>0</v>
      </c>
      <c r="F24" s="93">
        <v>0</v>
      </c>
      <c r="G24" s="93">
        <v>0</v>
      </c>
      <c r="H24" s="93">
        <v>0</v>
      </c>
      <c r="I24" s="93">
        <v>0</v>
      </c>
      <c r="J24" s="93">
        <v>0</v>
      </c>
      <c r="K24" s="93">
        <v>0</v>
      </c>
      <c r="L24" s="93">
        <v>0</v>
      </c>
      <c r="M24" s="93">
        <v>0</v>
      </c>
      <c r="N24" s="93">
        <v>0</v>
      </c>
      <c r="O24" s="93">
        <v>0</v>
      </c>
      <c r="P24" s="93">
        <v>0</v>
      </c>
      <c r="Q24" s="93">
        <v>0</v>
      </c>
      <c r="R24" s="93">
        <v>0</v>
      </c>
      <c r="S24" s="93">
        <v>0</v>
      </c>
      <c r="T24" s="93">
        <v>0</v>
      </c>
      <c r="U24" s="93">
        <v>0</v>
      </c>
      <c r="V24" s="93">
        <v>0</v>
      </c>
      <c r="W24" s="93">
        <v>0</v>
      </c>
      <c r="X24" s="93">
        <v>0</v>
      </c>
      <c r="Y24" s="93">
        <v>0</v>
      </c>
      <c r="Z24" s="93">
        <v>0</v>
      </c>
      <c r="AA24" s="93">
        <v>0</v>
      </c>
      <c r="AB24" s="93">
        <v>0</v>
      </c>
      <c r="AC24" s="93">
        <v>0</v>
      </c>
      <c r="AD24" s="93">
        <v>0</v>
      </c>
      <c r="AE24" s="93">
        <v>0</v>
      </c>
    </row>
    <row r="25" spans="1:31" ht="16.5" customHeight="1">
      <c r="A25" s="92" t="s">
        <v>235</v>
      </c>
      <c r="B25" s="93">
        <v>0</v>
      </c>
      <c r="C25" s="93">
        <v>0</v>
      </c>
      <c r="D25" s="93">
        <v>0</v>
      </c>
      <c r="E25" s="93">
        <v>0</v>
      </c>
      <c r="F25" s="93">
        <v>0</v>
      </c>
      <c r="G25" s="93">
        <v>0</v>
      </c>
      <c r="H25" s="93">
        <v>0</v>
      </c>
      <c r="I25" s="93">
        <v>0</v>
      </c>
      <c r="J25" s="93">
        <v>0</v>
      </c>
      <c r="K25" s="93">
        <v>0</v>
      </c>
      <c r="L25" s="93">
        <v>0</v>
      </c>
      <c r="M25" s="93">
        <v>0</v>
      </c>
      <c r="N25" s="93">
        <v>0</v>
      </c>
      <c r="O25" s="93">
        <v>0</v>
      </c>
      <c r="P25" s="93">
        <v>0</v>
      </c>
      <c r="Q25" s="93">
        <v>0</v>
      </c>
      <c r="R25" s="93">
        <v>0</v>
      </c>
      <c r="S25" s="93">
        <v>0</v>
      </c>
      <c r="T25" s="93">
        <v>0</v>
      </c>
      <c r="U25" s="93">
        <v>0</v>
      </c>
      <c r="V25" s="93">
        <v>0</v>
      </c>
      <c r="W25" s="93">
        <v>0</v>
      </c>
      <c r="X25" s="93">
        <v>0</v>
      </c>
      <c r="Y25" s="93">
        <v>0</v>
      </c>
      <c r="Z25" s="93">
        <v>0</v>
      </c>
      <c r="AA25" s="93">
        <v>0</v>
      </c>
      <c r="AB25" s="93">
        <v>0</v>
      </c>
      <c r="AC25" s="93">
        <v>0</v>
      </c>
      <c r="AD25" s="93">
        <v>0</v>
      </c>
      <c r="AE25" s="93">
        <v>0</v>
      </c>
    </row>
    <row r="26" spans="1:31" ht="16.5" customHeight="1"/>
    <row r="27" spans="1:31" ht="16.5" customHeight="1"/>
    <row r="28" spans="1:31" ht="16.5" customHeight="1"/>
    <row r="29" spans="1:31" ht="16.5" customHeight="1"/>
    <row r="30" spans="1:31" ht="16.5" customHeight="1"/>
    <row r="31" spans="1:31" ht="16.5" customHeight="1"/>
    <row r="32" spans="1:31" ht="16.5" customHeight="1"/>
    <row r="33" s="90" customFormat="1" ht="16.5" customHeight="1"/>
    <row r="34" s="90" customFormat="1" ht="16.5" customHeight="1"/>
    <row r="35" s="90" customFormat="1" ht="16.5" customHeight="1"/>
    <row r="36" s="90" customFormat="1" ht="16.5" customHeight="1"/>
    <row r="37" s="90" customFormat="1" ht="16.5" customHeight="1"/>
    <row r="38" s="90" customFormat="1" ht="16.5" customHeight="1"/>
    <row r="39" s="90" customFormat="1" ht="16.5" customHeight="1"/>
    <row r="40" s="90" customFormat="1" ht="16.5" customHeight="1"/>
    <row r="41" s="90" customFormat="1" ht="16.5" customHeight="1"/>
    <row r="42" s="90" customFormat="1" ht="16.5" customHeight="1"/>
    <row r="43" s="90" customFormat="1" ht="16.5" customHeight="1"/>
    <row r="44" s="90" customFormat="1" ht="16.5" customHeight="1"/>
    <row r="45" s="90" customFormat="1" ht="16.5" customHeight="1"/>
    <row r="46" s="90" customFormat="1" ht="16.5" customHeight="1"/>
    <row r="47" s="90" customFormat="1" ht="16.5" customHeight="1"/>
    <row r="48" s="90" customFormat="1" ht="16.5" customHeight="1"/>
    <row r="49" s="90" customFormat="1" ht="16.5" customHeight="1"/>
    <row r="50" s="90" customFormat="1" ht="16.5" customHeight="1"/>
    <row r="51" s="90" customFormat="1" ht="16.5" customHeight="1"/>
    <row r="52" s="90" customFormat="1" ht="16.5" customHeight="1"/>
    <row r="53" s="90" customFormat="1" ht="16.5" customHeight="1"/>
    <row r="54" s="90" customFormat="1" ht="16.5" customHeight="1"/>
    <row r="55" s="90" customFormat="1" ht="16.5" customHeight="1"/>
    <row r="56" s="90" customFormat="1" ht="16.5" customHeight="1"/>
    <row r="57" s="90" customFormat="1" ht="16.5" customHeight="1"/>
    <row r="58" s="90" customFormat="1" ht="16.5" customHeight="1"/>
    <row r="59" s="90" customFormat="1" ht="16.5" customHeight="1"/>
    <row r="60" s="90" customFormat="1" ht="16.5" customHeight="1"/>
    <row r="61" s="90" customFormat="1" ht="16.5" customHeight="1"/>
    <row r="62" s="90" customFormat="1" ht="16.5" customHeight="1"/>
    <row r="63" s="90" customFormat="1" ht="16.5" customHeight="1"/>
    <row r="64" s="90" customFormat="1" ht="16.5" customHeight="1"/>
    <row r="65" s="90" customFormat="1" ht="16.5" customHeight="1"/>
    <row r="66" s="90" customFormat="1" ht="16.5" customHeight="1"/>
    <row r="67" s="90" customFormat="1" ht="16.5" customHeight="1"/>
    <row r="68" s="90" customFormat="1" ht="16.5" customHeight="1"/>
    <row r="69" s="90" customFormat="1" ht="16.5" customHeight="1"/>
    <row r="70" s="90" customFormat="1" ht="16.5" customHeight="1"/>
    <row r="71" s="90" customFormat="1" ht="16.5" customHeight="1"/>
    <row r="72" s="90" customFormat="1" ht="16.5" customHeight="1"/>
    <row r="73" s="90" customFormat="1" ht="16.5" customHeight="1"/>
    <row r="74" s="90" customFormat="1" ht="16.5" customHeight="1"/>
    <row r="75" s="90" customFormat="1" ht="16.5" customHeight="1"/>
    <row r="76" s="90" customFormat="1" ht="16.5" customHeight="1"/>
    <row r="77" s="90" customFormat="1" ht="16.5" customHeight="1"/>
    <row r="78" s="90" customFormat="1" ht="16.5" customHeight="1"/>
    <row r="79" s="90" customFormat="1" ht="16.5" customHeight="1"/>
    <row r="80" s="90" customFormat="1" ht="16.5" customHeight="1"/>
    <row r="81" s="90" customFormat="1" ht="16.5" customHeight="1"/>
    <row r="82" s="90" customFormat="1" ht="16.5" customHeight="1"/>
    <row r="83" s="90" customFormat="1" ht="16.5" customHeight="1"/>
    <row r="84" s="90" customFormat="1" ht="16.5" customHeight="1"/>
    <row r="85" s="90" customFormat="1" ht="16.5" customHeight="1"/>
    <row r="86" s="90" customFormat="1" ht="16.5" customHeight="1"/>
    <row r="87" s="90" customFormat="1" ht="16.5" customHeight="1"/>
    <row r="88" s="90" customFormat="1" ht="16.5" customHeight="1"/>
    <row r="89" s="90" customFormat="1" ht="16.5" customHeight="1"/>
    <row r="90" s="90" customFormat="1" ht="16.5" customHeight="1"/>
    <row r="91" s="90" customFormat="1" ht="16.5" customHeight="1"/>
    <row r="92" s="90" customFormat="1" ht="16.5" customHeight="1"/>
    <row r="93" s="90" customFormat="1" ht="16.5" customHeight="1"/>
    <row r="94" s="90" customFormat="1" ht="16.5" customHeight="1"/>
    <row r="95" s="90" customFormat="1" ht="16.5" customHeight="1"/>
    <row r="96" s="90" customFormat="1" ht="16.5" customHeight="1"/>
    <row r="97" s="90" customFormat="1" ht="16.5" customHeight="1"/>
    <row r="98" s="90" customFormat="1" ht="16.5" customHeight="1"/>
    <row r="99" s="90" customFormat="1" ht="16.5" customHeight="1"/>
    <row r="100" s="90" customFormat="1" ht="16.5" customHeight="1"/>
    <row r="101" s="90" customFormat="1" ht="16.5" customHeight="1"/>
    <row r="102" s="90" customFormat="1" ht="16.5" customHeight="1"/>
    <row r="103" s="90" customFormat="1" ht="16.5" customHeight="1"/>
    <row r="104" s="90" customFormat="1" ht="16.5" customHeight="1"/>
    <row r="105" s="90" customFormat="1" ht="16.5" customHeight="1"/>
    <row r="106" s="90" customFormat="1" ht="16.5" customHeight="1"/>
    <row r="107" s="90" customFormat="1" ht="16.5" customHeight="1"/>
    <row r="108" s="90" customFormat="1" ht="16.5" customHeight="1"/>
    <row r="109" s="90" customFormat="1" ht="16.5" customHeight="1"/>
    <row r="110" s="90" customFormat="1" ht="16.5" customHeight="1"/>
    <row r="111" s="90" customFormat="1" ht="16.5" customHeight="1"/>
    <row r="112" s="90" customFormat="1" ht="16.5" customHeight="1"/>
    <row r="113" s="90" customFormat="1" ht="16.5" customHeight="1"/>
    <row r="114" s="90" customFormat="1" ht="16.5" customHeight="1"/>
    <row r="115" s="90" customFormat="1" ht="16.5" customHeight="1"/>
    <row r="116" s="90" customFormat="1" ht="16.5" customHeight="1"/>
    <row r="117" s="90" customFormat="1" ht="16.5" customHeight="1"/>
    <row r="118" s="90" customFormat="1" ht="16.5" customHeight="1"/>
    <row r="119" s="90" customFormat="1" ht="16.5" customHeight="1"/>
    <row r="120" s="90" customFormat="1" ht="16.5" customHeight="1"/>
    <row r="121" s="90" customFormat="1" ht="16.5" customHeight="1"/>
    <row r="122" s="90" customFormat="1" ht="16.5" customHeight="1"/>
    <row r="123" s="90" customFormat="1" ht="16.5" customHeight="1"/>
    <row r="124" s="90" customFormat="1" ht="16.5" customHeight="1"/>
    <row r="125" s="90" customFormat="1" ht="16.5" customHeight="1"/>
    <row r="126" s="90" customFormat="1" ht="16.5" customHeight="1"/>
    <row r="127" s="90" customFormat="1" ht="16.5" customHeight="1"/>
    <row r="128" s="90" customFormat="1" ht="16.5" customHeight="1"/>
    <row r="129" s="90" customFormat="1" ht="16.5" customHeight="1"/>
    <row r="130" s="90" customFormat="1" ht="16.5" customHeight="1"/>
    <row r="131" s="90" customFormat="1" ht="16.5" customHeight="1"/>
    <row r="132" s="90" customFormat="1" ht="16.5" customHeight="1"/>
    <row r="133" s="90" customFormat="1" ht="16.5" customHeight="1"/>
    <row r="134" s="90" customFormat="1" ht="16.5" customHeight="1"/>
    <row r="135" s="90" customFormat="1" ht="16.5" customHeight="1"/>
    <row r="136" s="90" customFormat="1" ht="16.5" customHeight="1"/>
    <row r="137" s="90" customFormat="1" ht="16.5" customHeight="1"/>
    <row r="138" s="90" customFormat="1" ht="16.5" customHeight="1"/>
    <row r="139" s="90" customFormat="1" ht="16.5" customHeight="1"/>
    <row r="140" s="90" customFormat="1" ht="16.5" customHeight="1"/>
    <row r="141" s="90" customFormat="1" ht="16.5" customHeight="1"/>
    <row r="142" s="90" customFormat="1" ht="16.5" customHeight="1"/>
    <row r="143" s="90" customFormat="1" ht="16.5" customHeight="1"/>
    <row r="144" s="90" customFormat="1" ht="16.5" customHeight="1"/>
    <row r="145" s="90" customFormat="1" ht="16.5" customHeight="1"/>
    <row r="146" s="90" customFormat="1" ht="16.5" customHeight="1"/>
    <row r="147" s="90" customFormat="1" ht="16.5" customHeight="1"/>
    <row r="148" s="90" customFormat="1" ht="16.5" customHeight="1"/>
    <row r="149" s="90" customFormat="1" ht="16.5" customHeight="1"/>
    <row r="150" s="90" customFormat="1" ht="16.5" customHeight="1"/>
    <row r="151" s="90" customFormat="1" ht="16.5" customHeight="1"/>
    <row r="152" s="90" customFormat="1" ht="16.5" customHeight="1"/>
    <row r="153" s="90" customFormat="1" ht="16.5" customHeight="1"/>
    <row r="154" s="90" customFormat="1" ht="16.5" customHeight="1"/>
    <row r="155" s="90" customFormat="1" ht="16.5" customHeight="1"/>
    <row r="156" s="90" customFormat="1" ht="16.5" customHeight="1"/>
    <row r="157" s="90" customFormat="1" ht="16.5" customHeight="1"/>
    <row r="158" s="90" customFormat="1" ht="16.5" customHeight="1"/>
    <row r="159" s="90" customFormat="1" ht="16.5" customHeight="1"/>
    <row r="160" s="90" customFormat="1" ht="16.5" customHeight="1"/>
    <row r="161" s="90" customFormat="1" ht="16.5" customHeight="1"/>
    <row r="162" s="90" customFormat="1" ht="16.5" customHeight="1"/>
    <row r="163" s="90" customFormat="1" ht="16.5" customHeight="1"/>
    <row r="164" s="90" customFormat="1" ht="16.5" customHeight="1"/>
    <row r="165" s="90" customFormat="1" ht="16.5" customHeight="1"/>
    <row r="166" s="90" customFormat="1" ht="16.5" customHeight="1"/>
    <row r="167" s="90" customFormat="1" ht="16.5" customHeight="1"/>
    <row r="168" s="90" customFormat="1" ht="16.5" customHeight="1"/>
    <row r="169" s="90" customFormat="1" ht="16.5" customHeight="1"/>
    <row r="170" s="90" customFormat="1" ht="16.5" customHeight="1"/>
    <row r="171" s="90" customFormat="1" ht="16.5" customHeight="1"/>
    <row r="172" s="90" customFormat="1" ht="16.5" customHeight="1"/>
    <row r="173" s="90" customFormat="1" ht="16.5" customHeight="1"/>
    <row r="174" s="90" customFormat="1" ht="16.5" customHeight="1"/>
    <row r="175" s="90" customFormat="1" ht="16.5" customHeight="1"/>
    <row r="176" s="90" customFormat="1" ht="16.5" customHeight="1"/>
    <row r="177" s="90" customFormat="1" ht="16.5" customHeight="1"/>
    <row r="178" s="90" customFormat="1" ht="16.5" customHeight="1"/>
    <row r="179" s="90" customFormat="1" ht="16.5" customHeight="1"/>
    <row r="180" s="90" customFormat="1" ht="16.5" customHeight="1"/>
    <row r="181" s="90" customFormat="1" ht="16.5" customHeight="1"/>
    <row r="182" s="90" customFormat="1" ht="16.5" customHeight="1"/>
    <row r="183" s="90" customFormat="1" ht="16.5" customHeight="1"/>
    <row r="184" s="90" customFormat="1" ht="16.5" customHeight="1"/>
    <row r="185" s="90" customFormat="1" ht="16.5" customHeight="1"/>
    <row r="186" s="90" customFormat="1" ht="16.5" customHeight="1"/>
    <row r="187" s="90" customFormat="1" ht="16.5" customHeight="1"/>
    <row r="188" s="90" customFormat="1" ht="16.5" customHeight="1"/>
    <row r="189" s="90" customFormat="1" ht="16.5" customHeight="1"/>
    <row r="190" s="90" customFormat="1" ht="16.5" customHeight="1"/>
    <row r="191" s="90" customFormat="1" ht="16.5" customHeight="1"/>
    <row r="192" s="90" customFormat="1" ht="16.5" customHeight="1"/>
    <row r="193" s="90" customFormat="1" ht="16.5" customHeight="1"/>
    <row r="194" s="90" customFormat="1" ht="16.5" customHeight="1"/>
    <row r="195" s="90" customFormat="1" ht="16.5" customHeight="1"/>
    <row r="196" s="90" customFormat="1" ht="16.5" customHeight="1"/>
    <row r="197" s="90" customFormat="1" ht="16.5" customHeight="1"/>
    <row r="198" s="90" customFormat="1" ht="16.5" customHeight="1"/>
    <row r="199" s="90" customFormat="1" ht="16.5" customHeight="1"/>
    <row r="200" s="90" customFormat="1" ht="16.5" customHeight="1"/>
    <row r="201" s="90" customFormat="1" ht="16.5" customHeight="1"/>
    <row r="202" s="90" customFormat="1" ht="16.5" customHeight="1"/>
    <row r="203" s="90" customFormat="1" ht="16.5" customHeight="1"/>
    <row r="204" s="90" customFormat="1" ht="16.5" customHeight="1"/>
    <row r="205" s="90" customFormat="1" ht="16.5" customHeight="1"/>
    <row r="206" s="90" customFormat="1" ht="16.5" customHeight="1"/>
    <row r="207" s="90" customFormat="1" ht="16.5" customHeight="1"/>
    <row r="208" s="90" customFormat="1" ht="16.5" customHeight="1"/>
    <row r="209" s="90" customFormat="1" ht="16.5" customHeight="1"/>
    <row r="210" s="90" customFormat="1" ht="16.5" customHeight="1"/>
    <row r="211" s="90" customFormat="1" ht="16.5" customHeight="1"/>
    <row r="212" s="90" customFormat="1" ht="16.5" customHeight="1"/>
    <row r="213" s="90" customFormat="1" ht="16.5" customHeight="1"/>
    <row r="214" s="90" customFormat="1" ht="16.5" customHeight="1"/>
    <row r="215" s="90" customFormat="1" ht="16.5" customHeight="1"/>
    <row r="216" s="90" customFormat="1" ht="16.5" customHeight="1"/>
    <row r="217" s="90" customFormat="1" ht="16.5" customHeight="1"/>
    <row r="218" s="90" customFormat="1" ht="16.5" customHeight="1"/>
    <row r="219" s="90" customFormat="1" ht="16.5" customHeight="1"/>
    <row r="220" s="90" customFormat="1" ht="16.5" customHeight="1"/>
    <row r="221" s="90" customFormat="1" ht="16.5" customHeight="1"/>
    <row r="222" s="90" customFormat="1" ht="16.5" customHeight="1"/>
    <row r="223" s="90" customFormat="1" ht="16.5" customHeight="1"/>
    <row r="224" s="90" customFormat="1" ht="16.5" customHeight="1"/>
    <row r="225" s="90" customFormat="1" ht="16.5" customHeight="1"/>
    <row r="226" s="90" customFormat="1" ht="16.5" customHeight="1"/>
    <row r="227" s="90" customFormat="1" ht="16.5" customHeight="1"/>
    <row r="228" s="90" customFormat="1" ht="16.5" customHeight="1"/>
    <row r="229" s="90" customFormat="1" ht="16.5" customHeight="1"/>
    <row r="230" s="90" customFormat="1" ht="16.5" customHeight="1"/>
    <row r="231" s="90" customFormat="1" ht="16.5" customHeight="1"/>
    <row r="232" s="90" customFormat="1" ht="16.5" customHeight="1"/>
    <row r="233" s="90" customFormat="1" ht="16.5" customHeight="1"/>
    <row r="234" s="90" customFormat="1" ht="16.5" customHeight="1"/>
    <row r="235" s="90" customFormat="1" ht="16.5" customHeight="1"/>
    <row r="236" s="90" customFormat="1" ht="16.5" customHeight="1"/>
    <row r="237" s="90" customFormat="1" ht="16.5" customHeight="1"/>
    <row r="238" s="90" customFormat="1" ht="16.5" customHeight="1"/>
    <row r="239" s="90" customFormat="1" ht="16.5" customHeight="1"/>
    <row r="240" s="90" customFormat="1" ht="16.5" customHeight="1"/>
    <row r="241" s="90" customFormat="1" ht="16.5" customHeight="1"/>
    <row r="242" s="90" customFormat="1" ht="16.5" customHeight="1"/>
    <row r="243" s="90" customFormat="1" ht="16.5" customHeight="1"/>
    <row r="244" s="90" customFormat="1" ht="16.5" customHeight="1"/>
    <row r="245" s="90" customFormat="1" ht="16.5" customHeight="1"/>
    <row r="246" s="90" customFormat="1" ht="16.5" customHeight="1"/>
    <row r="247" s="90" customFormat="1" ht="16.5" customHeight="1"/>
    <row r="248" s="90" customFormat="1" ht="16.5" customHeight="1"/>
    <row r="249" s="90" customFormat="1" ht="16.5" customHeight="1"/>
    <row r="250" s="90" customFormat="1" ht="16.5" customHeight="1"/>
    <row r="251" s="90" customFormat="1" ht="16.5" customHeight="1"/>
    <row r="252" s="90" customFormat="1" ht="16.5" customHeight="1"/>
    <row r="253" s="90" customFormat="1" ht="16.5" customHeight="1"/>
    <row r="254" s="90" customFormat="1" ht="16.5" customHeight="1"/>
    <row r="255" s="90" customFormat="1" ht="16.5" customHeight="1"/>
    <row r="256" s="90" customFormat="1" ht="16.5" customHeight="1"/>
    <row r="257" s="90" customFormat="1" ht="16.5" customHeight="1"/>
    <row r="258" s="90" customFormat="1" ht="16.5" customHeight="1"/>
    <row r="259" s="90" customFormat="1" ht="16.5" customHeight="1"/>
    <row r="260" s="90" customFormat="1" ht="16.5" customHeight="1"/>
    <row r="261" s="90" customFormat="1" ht="16.5" customHeight="1"/>
    <row r="262" s="90" customFormat="1" ht="16.5" customHeight="1"/>
    <row r="263" s="90" customFormat="1" ht="16.5" customHeight="1"/>
    <row r="264" s="90" customFormat="1" ht="16.5" customHeight="1"/>
    <row r="265" s="90" customFormat="1" ht="16.5" customHeight="1"/>
    <row r="266" s="90" customFormat="1" ht="16.5" customHeight="1"/>
    <row r="267" s="90" customFormat="1" ht="16.5" customHeight="1"/>
    <row r="268" s="90" customFormat="1" ht="16.5" customHeight="1"/>
    <row r="269" s="90" customFormat="1" ht="16.5" customHeight="1"/>
    <row r="270" s="90" customFormat="1" ht="16.5" customHeight="1"/>
    <row r="271" s="90" customFormat="1" ht="16.5" customHeight="1"/>
    <row r="272" s="90" customFormat="1" ht="16.5" customHeight="1"/>
    <row r="273" s="90" customFormat="1" ht="16.5" customHeight="1"/>
    <row r="274" s="90" customFormat="1" ht="16.5" customHeight="1"/>
    <row r="275" s="90" customFormat="1" ht="16.5" customHeight="1"/>
    <row r="276" s="90" customFormat="1" ht="16.5" customHeight="1"/>
    <row r="277" s="90" customFormat="1" ht="16.5" customHeight="1"/>
    <row r="278" s="90" customFormat="1" ht="16.5" customHeight="1"/>
    <row r="279" s="90" customFormat="1" ht="16.5" customHeight="1"/>
    <row r="280" s="90" customFormat="1" ht="16.5" customHeight="1"/>
    <row r="281" s="90" customFormat="1" ht="16.5" customHeight="1"/>
    <row r="282" s="90" customFormat="1" ht="16.5" customHeight="1"/>
    <row r="283" s="90" customFormat="1" ht="16.5" customHeight="1"/>
    <row r="284" s="90" customFormat="1" ht="16.5" customHeight="1"/>
    <row r="285" s="90" customFormat="1" ht="16.5" customHeight="1"/>
    <row r="286" s="90" customFormat="1" ht="16.5" customHeight="1"/>
    <row r="287" s="90" customFormat="1" ht="16.5" customHeight="1"/>
    <row r="288" s="90" customFormat="1" ht="16.5" customHeight="1"/>
    <row r="289" s="90" customFormat="1" ht="16.5" customHeight="1"/>
    <row r="290" s="90" customFormat="1" ht="16.5" customHeight="1"/>
    <row r="291" s="90" customFormat="1" ht="16.5" customHeight="1"/>
    <row r="292" s="90" customFormat="1" ht="16.5" customHeight="1"/>
    <row r="293" s="90" customFormat="1" ht="16.5" customHeight="1"/>
    <row r="294" s="90" customFormat="1" ht="16.5" customHeight="1"/>
    <row r="295" s="90" customFormat="1" ht="16.5" customHeight="1"/>
    <row r="296" s="90" customFormat="1" ht="16.5" customHeight="1"/>
    <row r="297" s="90" customFormat="1" ht="16.5" customHeight="1"/>
    <row r="298" s="90" customFormat="1" ht="16.5" customHeight="1"/>
    <row r="299" s="90" customFormat="1" ht="16.5" customHeight="1"/>
    <row r="300" s="90" customFormat="1" ht="16.5" customHeight="1"/>
    <row r="301" s="90" customFormat="1" ht="16.5" customHeight="1"/>
    <row r="302" s="90" customFormat="1" ht="16.5" customHeight="1"/>
    <row r="303" s="90" customFormat="1" ht="16.5" customHeight="1"/>
    <row r="304" s="90" customFormat="1" ht="16.5" customHeight="1"/>
    <row r="305" s="90" customFormat="1" ht="16.5" customHeight="1"/>
    <row r="306" s="90" customFormat="1" ht="16.5" customHeight="1"/>
    <row r="307" s="90" customFormat="1" ht="16.5" customHeight="1"/>
    <row r="308" s="90" customFormat="1" ht="16.5" customHeight="1"/>
    <row r="309" s="90" customFormat="1" ht="16.5" customHeight="1"/>
    <row r="310" s="90" customFormat="1" ht="16.5" customHeight="1"/>
    <row r="311" s="90" customFormat="1" ht="16.5" customHeight="1"/>
    <row r="312" s="90" customFormat="1" ht="16.5" customHeight="1"/>
    <row r="313" s="90" customFormat="1" ht="16.5" customHeight="1"/>
    <row r="314" s="90" customFormat="1" ht="16.5" customHeight="1"/>
    <row r="315" s="90" customFormat="1" ht="16.5" customHeight="1"/>
    <row r="316" s="90" customFormat="1" ht="16.5" customHeight="1"/>
    <row r="317" s="90" customFormat="1" ht="16.5" customHeight="1"/>
    <row r="318" s="90" customFormat="1" ht="16.5" customHeight="1"/>
    <row r="319" s="90" customFormat="1" ht="16.5" customHeight="1"/>
    <row r="320" s="90" customFormat="1" ht="16.5" customHeight="1"/>
    <row r="321" s="90" customFormat="1" ht="16.5" customHeight="1"/>
    <row r="322" s="90" customFormat="1" ht="16.5" customHeight="1"/>
    <row r="323" s="90" customFormat="1" ht="16.5" customHeight="1"/>
    <row r="324" s="90" customFormat="1" ht="16.5" customHeight="1"/>
    <row r="325" s="90" customFormat="1" ht="16.5" customHeight="1"/>
    <row r="326" s="90" customFormat="1" ht="16.5" customHeight="1"/>
    <row r="327" s="90" customFormat="1" ht="16.5" customHeight="1"/>
    <row r="328" s="90" customFormat="1" ht="16.5" customHeight="1"/>
    <row r="329" s="90" customFormat="1" ht="16.5" customHeight="1"/>
    <row r="330" s="90" customFormat="1" ht="16.5" customHeight="1"/>
    <row r="331" s="90" customFormat="1" ht="16.5" customHeight="1"/>
    <row r="332" s="90" customFormat="1" ht="16.5" customHeight="1"/>
    <row r="333" s="90" customFormat="1" ht="16.5" customHeight="1"/>
    <row r="334" s="90" customFormat="1" ht="16.5" customHeight="1"/>
    <row r="335" s="90" customFormat="1" ht="16.5" customHeight="1"/>
    <row r="336" s="90" customFormat="1" ht="16.5" customHeight="1"/>
    <row r="337" s="90" customFormat="1" ht="16.5" customHeight="1"/>
    <row r="338" s="90" customFormat="1" ht="16.5" customHeight="1"/>
    <row r="339" s="90" customFormat="1" ht="16.5" customHeight="1"/>
    <row r="340" s="90" customFormat="1" ht="16.5" customHeight="1"/>
    <row r="341" s="90" customFormat="1" ht="16.5" customHeight="1"/>
    <row r="342" s="90" customFormat="1" ht="16.5" customHeight="1"/>
    <row r="343" s="90" customFormat="1" ht="16.5" customHeight="1"/>
    <row r="344" s="90" customFormat="1" ht="16.5" customHeight="1"/>
    <row r="345" s="90" customFormat="1" ht="16.5" customHeight="1"/>
    <row r="346" s="90" customFormat="1" ht="16.5" customHeight="1"/>
    <row r="347" s="90" customFormat="1" ht="16.5" customHeight="1"/>
    <row r="348" s="90" customFormat="1" ht="16.5" customHeight="1"/>
    <row r="349" s="90" customFormat="1" ht="16.5" customHeight="1"/>
    <row r="350" s="90" customFormat="1" ht="16.5" customHeight="1"/>
    <row r="351" s="90" customFormat="1" ht="16.5" customHeight="1"/>
    <row r="352" s="90" customFormat="1" ht="16.5" customHeight="1"/>
    <row r="353" s="90" customFormat="1" ht="16.5" customHeight="1"/>
    <row r="354" s="90" customFormat="1" ht="16.5" customHeight="1"/>
    <row r="355" s="90" customFormat="1" ht="16.5" customHeight="1"/>
    <row r="356" s="90" customFormat="1" ht="16.5" customHeight="1"/>
    <row r="357" s="90" customFormat="1" ht="16.5" customHeight="1"/>
    <row r="358" s="90" customFormat="1" ht="16.5" customHeight="1"/>
    <row r="359" s="90" customFormat="1" ht="16.5" customHeight="1"/>
    <row r="360" s="90" customFormat="1" ht="16.5" customHeight="1"/>
    <row r="361" s="90" customFormat="1" ht="16.5" customHeight="1"/>
    <row r="362" s="90" customFormat="1" ht="16.5" customHeight="1"/>
    <row r="363" s="90" customFormat="1" ht="16.5" customHeight="1"/>
    <row r="364" s="90" customFormat="1" ht="16.5" customHeight="1"/>
    <row r="365" s="90" customFormat="1" ht="16.5" customHeight="1"/>
    <row r="366" s="90" customFormat="1" ht="16.5" customHeight="1"/>
    <row r="367" s="90" customFormat="1" ht="16.5" customHeight="1"/>
    <row r="368" s="90" customFormat="1" ht="16.5" customHeight="1"/>
    <row r="369" s="90" customFormat="1" ht="16.5" customHeight="1"/>
    <row r="370" s="90" customFormat="1" ht="16.5" customHeight="1"/>
    <row r="371" s="90" customFormat="1" ht="16.5" customHeight="1"/>
    <row r="372" s="90" customFormat="1" ht="16.5" customHeight="1"/>
    <row r="373" s="90" customFormat="1" ht="16.5" customHeight="1"/>
    <row r="374" s="90" customFormat="1" ht="16.5" customHeight="1"/>
    <row r="375" s="90" customFormat="1" ht="16.5" customHeight="1"/>
    <row r="376" s="90" customFormat="1" ht="16.5" customHeight="1"/>
    <row r="377" s="90" customFormat="1" ht="16.5" customHeight="1"/>
    <row r="378" s="90" customFormat="1" ht="16.5" customHeight="1"/>
    <row r="379" s="90" customFormat="1" ht="16.5" customHeight="1"/>
    <row r="380" s="90" customFormat="1" ht="16.5" customHeight="1"/>
    <row r="381" s="90" customFormat="1" ht="16.5" customHeight="1"/>
    <row r="382" s="90" customFormat="1" ht="16.5" customHeight="1"/>
    <row r="383" s="90" customFormat="1" ht="16.5" customHeight="1"/>
    <row r="384" s="90" customFormat="1" ht="16.5" customHeight="1"/>
    <row r="385" s="90" customFormat="1" ht="16.5" customHeight="1"/>
    <row r="386" s="90" customFormat="1" ht="16.5" customHeight="1"/>
    <row r="387" s="90" customFormat="1" ht="16.5" customHeight="1"/>
    <row r="388" s="90" customFormat="1" ht="16.5" customHeight="1"/>
    <row r="389" s="90" customFormat="1" ht="16.5" customHeight="1"/>
    <row r="390" s="90" customFormat="1" ht="16.5" customHeight="1"/>
    <row r="391" s="90" customFormat="1" ht="16.5" customHeight="1"/>
    <row r="392" s="90" customFormat="1" ht="16.5" customHeight="1"/>
    <row r="393" s="90" customFormat="1" ht="16.5" customHeight="1"/>
    <row r="394" s="90" customFormat="1" ht="16.5" customHeight="1"/>
    <row r="395" s="90" customFormat="1" ht="16.5" customHeight="1"/>
    <row r="396" s="90" customFormat="1" ht="16.5" customHeight="1"/>
    <row r="397" s="90" customFormat="1" ht="16.5" customHeight="1"/>
    <row r="398" s="90" customFormat="1" ht="16.5" customHeight="1"/>
    <row r="399" s="90" customFormat="1" ht="16.5" customHeight="1"/>
    <row r="400" s="90" customFormat="1" ht="16.5" customHeight="1"/>
    <row r="401" s="90" customFormat="1" ht="16.5" customHeight="1"/>
    <row r="402" s="90" customFormat="1" ht="16.5" customHeight="1"/>
    <row r="403" s="90" customFormat="1" ht="16.5" customHeight="1"/>
    <row r="404" s="90" customFormat="1" ht="16.5" customHeight="1"/>
    <row r="405" s="90" customFormat="1" ht="16.5" customHeight="1"/>
    <row r="406" s="90" customFormat="1" ht="16.5" customHeight="1"/>
    <row r="407" s="90" customFormat="1" ht="16.5" customHeight="1"/>
    <row r="408" s="90" customFormat="1" ht="16.5" customHeight="1"/>
    <row r="409" s="90" customFormat="1" ht="16.5" customHeight="1"/>
    <row r="410" s="90" customFormat="1" ht="16.5" customHeight="1"/>
    <row r="411" s="90" customFormat="1" ht="16.5" customHeight="1"/>
    <row r="412" s="90" customFormat="1" ht="16.5" customHeight="1"/>
    <row r="413" s="90" customFormat="1" ht="16.5" customHeight="1"/>
    <row r="414" s="90" customFormat="1" ht="16.5" customHeight="1"/>
    <row r="415" s="90" customFormat="1" ht="16.5" customHeight="1"/>
    <row r="416" s="90" customFormat="1" ht="16.5" customHeight="1"/>
    <row r="417" s="90" customFormat="1" ht="16.5" customHeight="1"/>
    <row r="418" s="90" customFormat="1" ht="16.5" customHeight="1"/>
    <row r="419" s="90" customFormat="1" ht="16.5" customHeight="1"/>
    <row r="420" s="90" customFormat="1" ht="16.5" customHeight="1"/>
    <row r="421" s="90" customFormat="1" ht="16.5" customHeight="1"/>
    <row r="422" s="90" customFormat="1" ht="16.5" customHeight="1"/>
    <row r="423" s="90" customFormat="1" ht="16.5" customHeight="1"/>
    <row r="424" s="90" customFormat="1" ht="16.5" customHeight="1"/>
    <row r="425" s="90" customFormat="1" ht="16.5" customHeight="1"/>
    <row r="426" s="90" customFormat="1" ht="16.5" customHeight="1"/>
    <row r="427" s="90" customFormat="1" ht="16.5" customHeight="1"/>
    <row r="428" s="90" customFormat="1" ht="16.5" customHeight="1"/>
    <row r="429" s="90" customFormat="1" ht="16.5" customHeight="1"/>
    <row r="430" s="90" customFormat="1" ht="16.5" customHeight="1"/>
    <row r="431" s="90" customFormat="1" ht="16.5" customHeight="1"/>
    <row r="432" s="90" customFormat="1" ht="16.5" customHeight="1"/>
    <row r="433" s="90" customFormat="1" ht="16.5" customHeight="1"/>
    <row r="434" s="90" customFormat="1" ht="16.5" customHeight="1"/>
    <row r="435" s="90" customFormat="1" ht="16.5" customHeight="1"/>
    <row r="436" s="90" customFormat="1" ht="16.5" customHeight="1"/>
    <row r="437" s="90" customFormat="1" ht="16.5" customHeight="1"/>
    <row r="438" s="90" customFormat="1" ht="16.5" customHeight="1"/>
    <row r="439" s="90" customFormat="1" ht="16.5" customHeight="1"/>
    <row r="440" s="90" customFormat="1" ht="16.5" customHeight="1"/>
    <row r="441" s="90" customFormat="1" ht="16.5" customHeight="1"/>
    <row r="442" s="90" customFormat="1" ht="16.5" customHeight="1"/>
    <row r="443" s="90" customFormat="1" ht="16.5" customHeight="1"/>
    <row r="444" s="90" customFormat="1" ht="16.5" customHeight="1"/>
    <row r="445" s="90" customFormat="1" ht="16.5" customHeight="1"/>
    <row r="446" s="90" customFormat="1" ht="16.5" customHeight="1"/>
    <row r="447" s="90" customFormat="1" ht="16.5" customHeight="1"/>
    <row r="448" s="90" customFormat="1" ht="16.5" customHeight="1"/>
    <row r="449" s="90" customFormat="1" ht="16.5" customHeight="1"/>
    <row r="450" s="90" customFormat="1" ht="16.5" customHeight="1"/>
    <row r="451" s="90" customFormat="1" ht="16.5" customHeight="1"/>
    <row r="452" s="90" customFormat="1" ht="16.5" customHeight="1"/>
    <row r="453" s="90" customFormat="1" ht="16.5" customHeight="1"/>
    <row r="454" s="90" customFormat="1" ht="16.5" customHeight="1"/>
    <row r="455" s="90" customFormat="1" ht="16.5" customHeight="1"/>
    <row r="456" s="90" customFormat="1" ht="16.5" customHeight="1"/>
    <row r="457" s="90" customFormat="1" ht="16.5" customHeight="1"/>
    <row r="458" s="90" customFormat="1" ht="16.5" customHeight="1"/>
    <row r="459" s="90" customFormat="1" ht="16.5" customHeight="1"/>
    <row r="460" s="90" customFormat="1" ht="16.5" customHeight="1"/>
    <row r="461" s="90" customFormat="1" ht="16.5" customHeight="1"/>
    <row r="462" s="90" customFormat="1" ht="16.5" customHeight="1"/>
    <row r="463" s="90" customFormat="1" ht="16.5" customHeight="1"/>
    <row r="464" s="90" customFormat="1" ht="16.5" customHeight="1"/>
    <row r="465" s="90" customFormat="1" ht="16.5" customHeight="1"/>
    <row r="466" s="90" customFormat="1" ht="16.5" customHeight="1"/>
    <row r="467" s="90" customFormat="1" ht="16.5" customHeight="1"/>
    <row r="468" s="90" customFormat="1" ht="16.5" customHeight="1"/>
    <row r="469" s="90" customFormat="1" ht="16.5" customHeight="1"/>
    <row r="470" s="90" customFormat="1" ht="16.5" customHeight="1"/>
    <row r="471" s="90" customFormat="1" ht="16.5" customHeight="1"/>
    <row r="472" s="90" customFormat="1" ht="16.5" customHeight="1"/>
    <row r="473" s="90" customFormat="1" ht="16.5" customHeight="1"/>
    <row r="474" s="90" customFormat="1" ht="16.5" customHeight="1"/>
    <row r="475" s="90" customFormat="1" ht="16.5" customHeight="1"/>
    <row r="476" s="90" customFormat="1" ht="16.5" customHeight="1"/>
    <row r="477" s="90" customFormat="1" ht="16.5" customHeight="1"/>
    <row r="478" s="90" customFormat="1" ht="16.5" customHeight="1"/>
    <row r="479" s="90" customFormat="1" ht="16.5" customHeight="1"/>
    <row r="480" s="90" customFormat="1" ht="16.5" customHeight="1"/>
    <row r="481" s="90" customFormat="1" ht="16.5" customHeight="1"/>
    <row r="482" s="90" customFormat="1" ht="16.5" customHeight="1"/>
    <row r="483" s="90" customFormat="1" ht="16.5" customHeight="1"/>
    <row r="484" s="90" customFormat="1" ht="16.5" customHeight="1"/>
    <row r="485" s="90" customFormat="1" ht="16.5" customHeight="1"/>
    <row r="486" s="90" customFormat="1" ht="16.5" customHeight="1"/>
    <row r="487" s="90" customFormat="1" ht="16.5" customHeight="1"/>
    <row r="488" s="90" customFormat="1" ht="16.5" customHeight="1"/>
    <row r="489" s="90" customFormat="1" ht="16.5" customHeight="1"/>
    <row r="490" s="90" customFormat="1" ht="16.5" customHeight="1"/>
    <row r="491" s="90" customFormat="1" ht="16.5" customHeight="1"/>
    <row r="492" s="90" customFormat="1" ht="16.5" customHeight="1"/>
    <row r="493" s="90" customFormat="1" ht="16.5" customHeight="1"/>
    <row r="494" s="90" customFormat="1" ht="16.5" customHeight="1"/>
    <row r="495" s="90" customFormat="1" ht="16.5" customHeight="1"/>
    <row r="496" s="90" customFormat="1" ht="16.5" customHeight="1"/>
    <row r="497" s="90" customFormat="1" ht="16.5" customHeight="1"/>
    <row r="498" s="90" customFormat="1" ht="16.5" customHeight="1"/>
    <row r="499" s="90" customFormat="1" ht="16.5" customHeight="1"/>
    <row r="500" s="90" customFormat="1" ht="16.5" customHeight="1"/>
    <row r="501" s="90" customFormat="1" ht="16.5" customHeight="1"/>
    <row r="502" s="90" customFormat="1" ht="16.5" customHeight="1"/>
    <row r="503" s="90" customFormat="1" ht="16.5" customHeight="1"/>
    <row r="504" s="90" customFormat="1" ht="16.5" customHeight="1"/>
    <row r="505" s="90" customFormat="1" ht="16.5" customHeight="1"/>
    <row r="506" s="90" customFormat="1" ht="16.5" customHeight="1"/>
    <row r="507" s="90" customFormat="1" ht="16.5" customHeight="1"/>
    <row r="508" s="90" customFormat="1" ht="16.5" customHeight="1"/>
    <row r="509" s="90" customFormat="1" ht="16.5" customHeight="1"/>
    <row r="510" s="90" customFormat="1" ht="16.5" customHeight="1"/>
    <row r="511" s="90" customFormat="1" ht="16.5" customHeight="1"/>
    <row r="512" s="90" customFormat="1" ht="16.5" customHeight="1"/>
    <row r="513" s="90" customFormat="1" ht="16.5" customHeight="1"/>
    <row r="514" s="90" customFormat="1" ht="16.5" customHeight="1"/>
    <row r="515" s="90" customFormat="1" ht="16.5" customHeight="1"/>
    <row r="516" s="90" customFormat="1" ht="16.5" customHeight="1"/>
    <row r="517" s="90" customFormat="1" ht="16.5" customHeight="1"/>
    <row r="518" s="90" customFormat="1" ht="16.5" customHeight="1"/>
    <row r="519" s="90" customFormat="1" ht="16.5" customHeight="1"/>
    <row r="520" s="90" customFormat="1" ht="16.5" customHeight="1"/>
    <row r="521" s="90" customFormat="1" ht="16.5" customHeight="1"/>
    <row r="522" s="90" customFormat="1" ht="16.5" customHeight="1"/>
    <row r="523" s="90" customFormat="1" ht="16.5" customHeight="1"/>
    <row r="524" s="90" customFormat="1" ht="16.5" customHeight="1"/>
    <row r="525" s="90" customFormat="1" ht="16.5" customHeight="1"/>
    <row r="526" s="90" customFormat="1" ht="16.5" customHeight="1"/>
    <row r="527" s="90" customFormat="1" ht="16.5" customHeight="1"/>
    <row r="528" s="90" customFormat="1" ht="16.5" customHeight="1"/>
    <row r="529" s="90" customFormat="1" ht="16.5" customHeight="1"/>
    <row r="530" s="90" customFormat="1" ht="16.5" customHeight="1"/>
    <row r="531" s="90" customFormat="1" ht="16.5" customHeight="1"/>
    <row r="532" s="90" customFormat="1" ht="16.5" customHeight="1"/>
    <row r="533" s="90" customFormat="1" ht="16.5" customHeight="1"/>
    <row r="534" s="90" customFormat="1" ht="16.5" customHeight="1"/>
    <row r="535" s="90" customFormat="1" ht="16.5" customHeight="1"/>
    <row r="536" s="90" customFormat="1" ht="16.5" customHeight="1"/>
    <row r="537" s="90" customFormat="1" ht="16.5" customHeight="1"/>
    <row r="538" s="90" customFormat="1" ht="16.5" customHeight="1"/>
    <row r="539" s="90" customFormat="1" ht="16.5" customHeight="1"/>
    <row r="540" s="90" customFormat="1" ht="16.5" customHeight="1"/>
    <row r="541" s="90" customFormat="1" ht="16.5" customHeight="1"/>
    <row r="542" s="90" customFormat="1" ht="16.5" customHeight="1"/>
    <row r="543" s="90" customFormat="1" ht="16.5" customHeight="1"/>
    <row r="544" s="90" customFormat="1" ht="16.5" customHeight="1"/>
    <row r="545" s="90" customFormat="1" ht="16.5" customHeight="1"/>
    <row r="546" s="90" customFormat="1" ht="16.5" customHeight="1"/>
    <row r="547" s="90" customFormat="1" ht="16.5" customHeight="1"/>
    <row r="548" s="90" customFormat="1" ht="16.5" customHeight="1"/>
    <row r="549" s="90" customFormat="1" ht="16.5" customHeight="1"/>
    <row r="550" s="90" customFormat="1" ht="16.5" customHeight="1"/>
    <row r="551" s="90" customFormat="1" ht="16.5" customHeight="1"/>
    <row r="552" s="90" customFormat="1" ht="16.5" customHeight="1"/>
    <row r="553" s="90" customFormat="1" ht="16.5" customHeight="1"/>
    <row r="554" s="90" customFormat="1" ht="16.5" customHeight="1"/>
    <row r="555" s="90" customFormat="1" ht="16.5" customHeight="1"/>
    <row r="556" s="90" customFormat="1" ht="16.5" customHeight="1"/>
    <row r="557" s="90" customFormat="1" ht="16.5" customHeight="1"/>
    <row r="558" s="90" customFormat="1" ht="16.5" customHeight="1"/>
    <row r="559" s="90" customFormat="1" ht="16.5" customHeight="1"/>
    <row r="560" s="90" customFormat="1" ht="16.5" customHeight="1"/>
    <row r="561" s="90" customFormat="1" ht="16.5" customHeight="1"/>
    <row r="562" s="90" customFormat="1" ht="16.5" customHeight="1"/>
    <row r="563" s="90" customFormat="1" ht="16.5" customHeight="1"/>
    <row r="564" s="90" customFormat="1" ht="16.5" customHeight="1"/>
    <row r="565" s="90" customFormat="1" ht="16.5" customHeight="1"/>
    <row r="566" s="90" customFormat="1" ht="16.5" customHeight="1"/>
    <row r="567" s="90" customFormat="1" ht="16.5" customHeight="1"/>
    <row r="568" s="90" customFormat="1" ht="16.5" customHeight="1"/>
    <row r="569" s="90" customFormat="1" ht="16.5" customHeight="1"/>
    <row r="570" s="90" customFormat="1" ht="16.5" customHeight="1"/>
    <row r="571" s="90" customFormat="1" ht="16.5" customHeight="1"/>
    <row r="572" s="90" customFormat="1" ht="16.5" customHeight="1"/>
    <row r="573" s="90" customFormat="1" ht="16.5" customHeight="1"/>
    <row r="574" s="90" customFormat="1" ht="16.5" customHeight="1"/>
    <row r="575" s="90" customFormat="1" ht="16.5" customHeight="1"/>
    <row r="576" s="90" customFormat="1" ht="16.5" customHeight="1"/>
    <row r="577" s="90" customFormat="1" ht="16.5" customHeight="1"/>
    <row r="578" s="90" customFormat="1" ht="16.5" customHeight="1"/>
    <row r="579" s="90" customFormat="1" ht="16.5" customHeight="1"/>
    <row r="580" s="90" customFormat="1" ht="16.5" customHeight="1"/>
    <row r="581" s="90" customFormat="1" ht="16.5" customHeight="1"/>
    <row r="582" s="90" customFormat="1" ht="16.5" customHeight="1"/>
    <row r="583" s="90" customFormat="1" ht="16.5" customHeight="1"/>
    <row r="584" s="90" customFormat="1" ht="16.5" customHeight="1"/>
    <row r="585" s="90" customFormat="1" ht="16.5" customHeight="1"/>
    <row r="586" s="90" customFormat="1" ht="16.5" customHeight="1"/>
    <row r="587" s="90" customFormat="1" ht="16.5" customHeight="1"/>
    <row r="588" s="90" customFormat="1" ht="16.5" customHeight="1"/>
    <row r="589" s="90" customFormat="1" ht="16.5" customHeight="1"/>
    <row r="590" s="90" customFormat="1" ht="16.5" customHeight="1"/>
    <row r="591" s="90" customFormat="1" ht="16.5" customHeight="1"/>
    <row r="592" s="90" customFormat="1" ht="16.5" customHeight="1"/>
    <row r="593" s="90" customFormat="1" ht="16.5" customHeight="1"/>
    <row r="594" s="90" customFormat="1" ht="16.5" customHeight="1"/>
    <row r="595" s="90" customFormat="1" ht="16.5" customHeight="1"/>
    <row r="596" s="90" customFormat="1" ht="16.5" customHeight="1"/>
    <row r="597" s="90" customFormat="1" ht="16.5" customHeight="1"/>
    <row r="598" s="90" customFormat="1" ht="16.5" customHeight="1"/>
    <row r="599" s="90" customFormat="1" ht="16.5" customHeight="1"/>
    <row r="600" s="90" customFormat="1" ht="16.5" customHeight="1"/>
    <row r="601" s="90" customFormat="1" ht="16.5" customHeight="1"/>
    <row r="602" s="90" customFormat="1" ht="16.5" customHeight="1"/>
    <row r="603" s="90" customFormat="1" ht="16.5" customHeight="1"/>
    <row r="604" s="90" customFormat="1" ht="16.5" customHeight="1"/>
    <row r="605" s="90" customFormat="1" ht="16.5" customHeight="1"/>
    <row r="606" s="90" customFormat="1" ht="16.5" customHeight="1"/>
    <row r="607" s="90" customFormat="1" ht="16.5" customHeight="1"/>
    <row r="608" s="90" customFormat="1" ht="16.5" customHeight="1"/>
    <row r="609" s="90" customFormat="1" ht="16.5" customHeight="1"/>
    <row r="610" s="90" customFormat="1" ht="16.5" customHeight="1"/>
    <row r="611" s="90" customFormat="1" ht="16.5" customHeight="1"/>
    <row r="612" s="90" customFormat="1" ht="16.5" customHeight="1"/>
    <row r="613" s="90" customFormat="1" ht="16.5" customHeight="1"/>
    <row r="614" s="90" customFormat="1" ht="16.5" customHeight="1"/>
    <row r="615" s="90" customFormat="1" ht="16.5" customHeight="1"/>
    <row r="616" s="90" customFormat="1" ht="16.5" customHeight="1"/>
    <row r="617" s="90" customFormat="1" ht="16.5" customHeight="1"/>
    <row r="618" s="90" customFormat="1" ht="16.5" customHeight="1"/>
    <row r="619" s="90" customFormat="1" ht="16.5" customHeight="1"/>
    <row r="620" s="90" customFormat="1" ht="16.5" customHeight="1"/>
    <row r="621" s="90" customFormat="1" ht="16.5" customHeight="1"/>
    <row r="622" s="90" customFormat="1" ht="16.5" customHeight="1"/>
    <row r="623" s="90" customFormat="1" ht="16.5" customHeight="1"/>
    <row r="624" s="90" customFormat="1" ht="16.5" customHeight="1"/>
    <row r="625" s="90" customFormat="1" ht="16.5" customHeight="1"/>
    <row r="626" s="90" customFormat="1" ht="16.5" customHeight="1"/>
    <row r="627" s="90" customFormat="1" ht="16.5" customHeight="1"/>
    <row r="628" s="90" customFormat="1" ht="16.5" customHeight="1"/>
    <row r="629" s="90" customFormat="1" ht="16.5" customHeight="1"/>
    <row r="630" s="90" customFormat="1" ht="16.5" customHeight="1"/>
    <row r="631" s="90" customFormat="1" ht="16.5" customHeight="1"/>
    <row r="632" s="90" customFormat="1" ht="16.5" customHeight="1"/>
    <row r="633" s="90" customFormat="1" ht="16.5" customHeight="1"/>
    <row r="634" s="90" customFormat="1" ht="16.5" customHeight="1"/>
    <row r="635" s="90" customFormat="1" ht="16.5" customHeight="1"/>
    <row r="636" s="90" customFormat="1" ht="16.5" customHeight="1"/>
    <row r="637" s="90" customFormat="1" ht="16.5" customHeight="1"/>
    <row r="638" s="90" customFormat="1" ht="16.5" customHeight="1"/>
    <row r="639" s="90" customFormat="1" ht="16.5" customHeight="1"/>
    <row r="640" s="90" customFormat="1" ht="16.5" customHeight="1"/>
    <row r="641" s="90" customFormat="1" ht="16.5" customHeight="1"/>
    <row r="642" s="90" customFormat="1" ht="16.5" customHeight="1"/>
    <row r="643" s="90" customFormat="1" ht="16.5" customHeight="1"/>
    <row r="644" s="90" customFormat="1" ht="16.5" customHeight="1"/>
    <row r="645" s="90" customFormat="1" ht="16.5" customHeight="1"/>
    <row r="646" s="90" customFormat="1" ht="16.5" customHeight="1"/>
    <row r="647" s="90" customFormat="1" ht="16.5" customHeight="1"/>
    <row r="648" s="90" customFormat="1" ht="16.5" customHeight="1"/>
    <row r="649" s="90" customFormat="1" ht="16.5" customHeight="1"/>
    <row r="650" s="90" customFormat="1" ht="16.5" customHeight="1"/>
    <row r="651" s="90" customFormat="1" ht="16.5" customHeight="1"/>
    <row r="652" s="90" customFormat="1" ht="16.5" customHeight="1"/>
    <row r="653" s="90" customFormat="1" ht="16.5" customHeight="1"/>
    <row r="654" s="90" customFormat="1" ht="16.5" customHeight="1"/>
    <row r="655" s="90" customFormat="1" ht="16.5" customHeight="1"/>
    <row r="656" s="90" customFormat="1" ht="16.5" customHeight="1"/>
    <row r="657" s="90" customFormat="1" ht="16.5" customHeight="1"/>
    <row r="658" s="90" customFormat="1" ht="16.5" customHeight="1"/>
    <row r="659" s="90" customFormat="1" ht="16.5" customHeight="1"/>
    <row r="660" s="90" customFormat="1" ht="16.5" customHeight="1"/>
    <row r="661" s="90" customFormat="1" ht="16.5" customHeight="1"/>
    <row r="662" s="90" customFormat="1" ht="16.5" customHeight="1"/>
    <row r="663" s="90" customFormat="1" ht="16.5" customHeight="1"/>
    <row r="664" s="90" customFormat="1" ht="16.5" customHeight="1"/>
    <row r="665" s="90" customFormat="1" ht="16.5" customHeight="1"/>
    <row r="666" s="90" customFormat="1" ht="16.5" customHeight="1"/>
    <row r="667" s="90" customFormat="1" ht="16.5" customHeight="1"/>
    <row r="668" s="90" customFormat="1" ht="16.5" customHeight="1"/>
    <row r="669" s="90" customFormat="1" ht="16.5" customHeight="1"/>
    <row r="670" s="90" customFormat="1" ht="16.5" customHeight="1"/>
    <row r="671" s="90" customFormat="1" ht="16.5" customHeight="1"/>
    <row r="672" s="90" customFormat="1" ht="16.5" customHeight="1"/>
    <row r="673" s="90" customFormat="1" ht="16.5" customHeight="1"/>
    <row r="674" s="90" customFormat="1" ht="16.5" customHeight="1"/>
    <row r="675" s="90" customFormat="1" ht="16.5" customHeight="1"/>
    <row r="676" s="90" customFormat="1" ht="16.5" customHeight="1"/>
    <row r="677" s="90" customFormat="1" ht="16.5" customHeight="1"/>
    <row r="678" s="90" customFormat="1" ht="16.5" customHeight="1"/>
    <row r="679" s="90" customFormat="1" ht="16.5" customHeight="1"/>
    <row r="680" s="90" customFormat="1" ht="16.5" customHeight="1"/>
    <row r="681" s="90" customFormat="1" ht="16.5" customHeight="1"/>
    <row r="682" s="90" customFormat="1" ht="16.5" customHeight="1"/>
    <row r="683" s="90" customFormat="1" ht="16.5" customHeight="1"/>
    <row r="684" s="90" customFormat="1" ht="16.5" customHeight="1"/>
    <row r="685" s="90" customFormat="1" ht="16.5" customHeight="1"/>
    <row r="686" s="90" customFormat="1" ht="16.5" customHeight="1"/>
    <row r="687" s="90" customFormat="1" ht="16.5" customHeight="1"/>
    <row r="688" s="90" customFormat="1" ht="16.5" customHeight="1"/>
    <row r="689" s="90" customFormat="1" ht="16.5" customHeight="1"/>
    <row r="690" s="90" customFormat="1" ht="16.5" customHeight="1"/>
    <row r="691" s="90" customFormat="1" ht="16.5" customHeight="1"/>
    <row r="692" s="90" customFormat="1" ht="16.5" customHeight="1"/>
    <row r="693" s="90" customFormat="1" ht="16.5" customHeight="1"/>
    <row r="694" s="90" customFormat="1" ht="16.5" customHeight="1"/>
    <row r="695" s="90" customFormat="1" ht="16.5" customHeight="1"/>
    <row r="696" s="90" customFormat="1" ht="16.5" customHeight="1"/>
    <row r="697" s="90" customFormat="1" ht="16.5" customHeight="1"/>
    <row r="698" s="90" customFormat="1" ht="16.5" customHeight="1"/>
    <row r="699" s="90" customFormat="1" ht="16.5" customHeight="1"/>
    <row r="700" s="90" customFormat="1" ht="16.5" customHeight="1"/>
    <row r="701" s="90" customFormat="1" ht="16.5" customHeight="1"/>
    <row r="702" s="90" customFormat="1" ht="16.5" customHeight="1"/>
    <row r="703" s="90" customFormat="1" ht="16.5" customHeight="1"/>
    <row r="704" s="90" customFormat="1" ht="16.5" customHeight="1"/>
    <row r="705" s="90" customFormat="1" ht="16.5" customHeight="1"/>
    <row r="706" s="90" customFormat="1" ht="16.5" customHeight="1"/>
    <row r="707" s="90" customFormat="1" ht="16.5" customHeight="1"/>
    <row r="708" s="90" customFormat="1" ht="16.5" customHeight="1"/>
    <row r="709" s="90" customFormat="1" ht="16.5" customHeight="1"/>
    <row r="710" s="90" customFormat="1" ht="16.5" customHeight="1"/>
    <row r="711" s="90" customFormat="1" ht="16.5" customHeight="1"/>
    <row r="712" s="90" customFormat="1" ht="16.5" customHeight="1"/>
    <row r="713" s="90" customFormat="1" ht="16.5" customHeight="1"/>
    <row r="714" s="90" customFormat="1" ht="16.5" customHeight="1"/>
    <row r="715" s="90" customFormat="1" ht="16.5" customHeight="1"/>
    <row r="716" s="90" customFormat="1" ht="16.5" customHeight="1"/>
    <row r="717" s="90" customFormat="1" ht="16.5" customHeight="1"/>
    <row r="718" s="90" customFormat="1" ht="16.5" customHeight="1"/>
    <row r="719" s="90" customFormat="1" ht="16.5" customHeight="1"/>
    <row r="720" s="90" customFormat="1" ht="16.5" customHeight="1"/>
    <row r="721" s="90" customFormat="1" ht="16.5" customHeight="1"/>
    <row r="722" s="90" customFormat="1" ht="16.5" customHeight="1"/>
    <row r="723" s="90" customFormat="1" ht="16.5" customHeight="1"/>
    <row r="724" s="90" customFormat="1" ht="16.5" customHeight="1"/>
    <row r="725" s="90" customFormat="1" ht="16.5" customHeight="1"/>
    <row r="726" s="90" customFormat="1" ht="16.5" customHeight="1"/>
    <row r="727" s="90" customFormat="1" ht="16.5" customHeight="1"/>
    <row r="728" s="90" customFormat="1" ht="16.5" customHeight="1"/>
    <row r="729" s="90" customFormat="1" ht="16.5" customHeight="1"/>
    <row r="730" s="90" customFormat="1" ht="16.5" customHeight="1"/>
    <row r="731" s="90" customFormat="1" ht="16.5" customHeight="1"/>
    <row r="732" s="90" customFormat="1" ht="16.5" customHeight="1"/>
    <row r="733" s="90" customFormat="1" ht="16.5" customHeight="1"/>
    <row r="734" s="90" customFormat="1" ht="16.5" customHeight="1"/>
    <row r="735" s="90" customFormat="1" ht="16.5" customHeight="1"/>
    <row r="736" s="90" customFormat="1" ht="16.5" customHeight="1"/>
    <row r="737" s="90" customFormat="1" ht="16.5" customHeight="1"/>
    <row r="738" s="90" customFormat="1" ht="16.5" customHeight="1"/>
    <row r="739" s="90" customFormat="1" ht="16.5" customHeight="1"/>
    <row r="740" s="90" customFormat="1" ht="16.5" customHeight="1"/>
    <row r="741" s="90" customFormat="1" ht="16.5" customHeight="1"/>
    <row r="742" s="90" customFormat="1" ht="16.5" customHeight="1"/>
    <row r="743" s="90" customFormat="1" ht="16.5" customHeight="1"/>
    <row r="744" s="90" customFormat="1" ht="16.5" customHeight="1"/>
    <row r="745" s="90" customFormat="1" ht="16.5" customHeight="1"/>
    <row r="746" s="90" customFormat="1" ht="16.5" customHeight="1"/>
    <row r="747" s="90" customFormat="1" ht="16.5" customHeight="1"/>
    <row r="748" s="90" customFormat="1" ht="16.5" customHeight="1"/>
    <row r="749" s="90" customFormat="1" ht="16.5" customHeight="1"/>
    <row r="750" s="90" customFormat="1" ht="16.5" customHeight="1"/>
    <row r="751" s="90" customFormat="1" ht="16.5" customHeight="1"/>
    <row r="752" s="90" customFormat="1" ht="16.5" customHeight="1"/>
    <row r="753" s="90" customFormat="1" ht="16.5" customHeight="1"/>
    <row r="754" s="90" customFormat="1" ht="16.5" customHeight="1"/>
    <row r="755" s="90" customFormat="1" ht="16.5" customHeight="1"/>
    <row r="756" s="90" customFormat="1" ht="16.5" customHeight="1"/>
    <row r="757" s="90" customFormat="1" ht="16.5" customHeight="1"/>
    <row r="758" s="90" customFormat="1" ht="16.5" customHeight="1"/>
    <row r="759" s="90" customFormat="1" ht="16.5" customHeight="1"/>
    <row r="760" s="90" customFormat="1" ht="16.5" customHeight="1"/>
    <row r="761" s="90" customFormat="1" ht="16.5" customHeight="1"/>
    <row r="762" s="90" customFormat="1" ht="16.5" customHeight="1"/>
    <row r="763" s="90" customFormat="1" ht="16.5" customHeight="1"/>
    <row r="764" s="90" customFormat="1" ht="16.5" customHeight="1"/>
    <row r="765" s="90" customFormat="1" ht="16.5" customHeight="1"/>
    <row r="766" s="90" customFormat="1" ht="16.5" customHeight="1"/>
    <row r="767" s="90" customFormat="1" ht="16.5" customHeight="1"/>
    <row r="768" s="90" customFormat="1" ht="16.5" customHeight="1"/>
    <row r="769" s="90" customFormat="1" ht="16.5" customHeight="1"/>
    <row r="770" s="90" customFormat="1" ht="16.5" customHeight="1"/>
    <row r="771" s="90" customFormat="1" ht="16.5" customHeight="1"/>
    <row r="772" s="90" customFormat="1" ht="16.5" customHeight="1"/>
    <row r="773" s="90" customFormat="1" ht="16.5" customHeight="1"/>
    <row r="774" s="90" customFormat="1" ht="16.5" customHeight="1"/>
    <row r="775" s="90" customFormat="1" ht="16.5" customHeight="1"/>
    <row r="776" s="90" customFormat="1" ht="16.5" customHeight="1"/>
    <row r="777" s="90" customFormat="1" ht="16.5" customHeight="1"/>
    <row r="778" s="90" customFormat="1" ht="16.5" customHeight="1"/>
    <row r="779" s="90" customFormat="1" ht="16.5" customHeight="1"/>
    <row r="780" s="90" customFormat="1" ht="16.5" customHeight="1"/>
    <row r="781" s="90" customFormat="1" ht="16.5" customHeight="1"/>
    <row r="782" s="90" customFormat="1" ht="16.5" customHeight="1"/>
    <row r="783" s="90" customFormat="1" ht="16.5" customHeight="1"/>
    <row r="784" s="90" customFormat="1" ht="16.5" customHeight="1"/>
    <row r="785" s="90" customFormat="1" ht="16.5" customHeight="1"/>
    <row r="786" s="90" customFormat="1" ht="16.5" customHeight="1"/>
    <row r="787" s="90" customFormat="1" ht="16.5" customHeight="1"/>
    <row r="788" s="90" customFormat="1" ht="16.5" customHeight="1"/>
    <row r="789" s="90" customFormat="1" ht="16.5" customHeight="1"/>
    <row r="790" s="90" customFormat="1" ht="16.5" customHeight="1"/>
    <row r="791" s="90" customFormat="1" ht="16.5" customHeight="1"/>
    <row r="792" s="90" customFormat="1" ht="16.5" customHeight="1"/>
    <row r="793" s="90" customFormat="1" ht="16.5" customHeight="1"/>
    <row r="794" s="90" customFormat="1" ht="16.5" customHeight="1"/>
    <row r="795" s="90" customFormat="1" ht="16.5" customHeight="1"/>
    <row r="796" s="90" customFormat="1" ht="16.5" customHeight="1"/>
    <row r="797" s="90" customFormat="1" ht="16.5" customHeight="1"/>
    <row r="798" s="90" customFormat="1" ht="16.5" customHeight="1"/>
    <row r="799" s="90" customFormat="1" ht="16.5" customHeight="1"/>
    <row r="800" s="90" customFormat="1" ht="16.5" customHeight="1"/>
    <row r="801" s="90" customFormat="1" ht="16.5" customHeight="1"/>
    <row r="802" s="90" customFormat="1" ht="16.5" customHeight="1"/>
    <row r="803" s="90" customFormat="1" ht="16.5" customHeight="1"/>
    <row r="804" s="90" customFormat="1" ht="16.5" customHeight="1"/>
    <row r="805" s="90" customFormat="1" ht="16.5" customHeight="1"/>
    <row r="806" s="90" customFormat="1" ht="16.5" customHeight="1"/>
    <row r="807" s="90" customFormat="1" ht="16.5" customHeight="1"/>
    <row r="808" s="90" customFormat="1" ht="16.5" customHeight="1"/>
    <row r="809" s="90" customFormat="1" ht="16.5" customHeight="1"/>
    <row r="810" s="90" customFormat="1" ht="16.5" customHeight="1"/>
    <row r="811" s="90" customFormat="1" ht="16.5" customHeight="1"/>
    <row r="812" s="90" customFormat="1" ht="16.5" customHeight="1"/>
    <row r="813" s="90" customFormat="1" ht="16.5" customHeight="1"/>
    <row r="814" s="90" customFormat="1" ht="16.5" customHeight="1"/>
    <row r="815" s="90" customFormat="1" ht="16.5" customHeight="1"/>
    <row r="816" s="90" customFormat="1" ht="16.5" customHeight="1"/>
    <row r="817" s="90" customFormat="1" ht="16.5" customHeight="1"/>
    <row r="818" s="90" customFormat="1" ht="16.5" customHeight="1"/>
    <row r="819" s="90" customFormat="1" ht="16.5" customHeight="1"/>
    <row r="820" s="90" customFormat="1" ht="16.5" customHeight="1"/>
    <row r="821" s="90" customFormat="1" ht="16.5" customHeight="1"/>
    <row r="822" s="90" customFormat="1" ht="16.5" customHeight="1"/>
    <row r="823" s="90" customFormat="1" ht="16.5" customHeight="1"/>
    <row r="824" s="90" customFormat="1" ht="16.5" customHeight="1"/>
    <row r="825" s="90" customFormat="1" ht="16.5" customHeight="1"/>
    <row r="826" s="90" customFormat="1" ht="16.5" customHeight="1"/>
    <row r="827" s="90" customFormat="1" ht="16.5" customHeight="1"/>
    <row r="828" s="90" customFormat="1" ht="16.5" customHeight="1"/>
    <row r="829" s="90" customFormat="1" ht="16.5" customHeight="1"/>
    <row r="830" s="90" customFormat="1" ht="16.5" customHeight="1"/>
    <row r="831" s="90" customFormat="1" ht="16.5" customHeight="1"/>
    <row r="832" s="90" customFormat="1" ht="16.5" customHeight="1"/>
    <row r="833" s="90" customFormat="1" ht="16.5" customHeight="1"/>
    <row r="834" s="90" customFormat="1" ht="16.5" customHeight="1"/>
    <row r="835" s="90" customFormat="1" ht="16.5" customHeight="1"/>
    <row r="836" s="90" customFormat="1" ht="16.5" customHeight="1"/>
    <row r="837" s="90" customFormat="1" ht="16.5" customHeight="1"/>
    <row r="838" s="90" customFormat="1" ht="16.5" customHeight="1"/>
    <row r="839" s="90" customFormat="1" ht="16.5" customHeight="1"/>
    <row r="840" s="90" customFormat="1" ht="16.5" customHeight="1"/>
    <row r="841" s="90" customFormat="1" ht="16.5" customHeight="1"/>
    <row r="842" s="90" customFormat="1" ht="16.5" customHeight="1"/>
    <row r="843" s="90" customFormat="1" ht="16.5" customHeight="1"/>
    <row r="844" s="90" customFormat="1" ht="16.5" customHeight="1"/>
    <row r="845" s="90" customFormat="1" ht="16.5" customHeight="1"/>
    <row r="846" s="90" customFormat="1" ht="16.5" customHeight="1"/>
    <row r="847" s="90" customFormat="1" ht="16.5" customHeight="1"/>
    <row r="848" s="90" customFormat="1" ht="16.5" customHeight="1"/>
    <row r="849" s="90" customFormat="1" ht="16.5" customHeight="1"/>
    <row r="850" s="90" customFormat="1" ht="16.5" customHeight="1"/>
    <row r="851" s="90" customFormat="1" ht="16.5" customHeight="1"/>
    <row r="852" s="90" customFormat="1" ht="16.5" customHeight="1"/>
    <row r="853" s="90" customFormat="1" ht="16.5" customHeight="1"/>
    <row r="854" s="90" customFormat="1" ht="16.5" customHeight="1"/>
    <row r="855" s="90" customFormat="1" ht="16.5" customHeight="1"/>
    <row r="856" s="90" customFormat="1" ht="16.5" customHeight="1"/>
    <row r="857" s="90" customFormat="1" ht="16.5" customHeight="1"/>
    <row r="858" s="90" customFormat="1" ht="16.5" customHeight="1"/>
    <row r="859" s="90" customFormat="1" ht="16.5" customHeight="1"/>
    <row r="860" s="90" customFormat="1" ht="16.5" customHeight="1"/>
    <row r="861" s="90" customFormat="1" ht="16.5" customHeight="1"/>
    <row r="862" s="90" customFormat="1" ht="16.5" customHeight="1"/>
    <row r="863" s="90" customFormat="1" ht="16.5" customHeight="1"/>
    <row r="864" s="90" customFormat="1" ht="16.5" customHeight="1"/>
    <row r="865" s="90" customFormat="1" ht="16.5" customHeight="1"/>
    <row r="866" s="90" customFormat="1" ht="16.5" customHeight="1"/>
    <row r="867" s="90" customFormat="1" ht="16.5" customHeight="1"/>
    <row r="868" s="90" customFormat="1" ht="16.5" customHeight="1"/>
    <row r="869" s="90" customFormat="1" ht="16.5" customHeight="1"/>
    <row r="870" s="90" customFormat="1" ht="16.5" customHeight="1"/>
    <row r="871" s="90" customFormat="1" ht="16.5" customHeight="1"/>
    <row r="872" s="90" customFormat="1" ht="16.5" customHeight="1"/>
    <row r="873" s="90" customFormat="1" ht="16.5" customHeight="1"/>
    <row r="874" s="90" customFormat="1" ht="16.5" customHeight="1"/>
    <row r="875" s="90" customFormat="1" ht="16.5" customHeight="1"/>
    <row r="876" s="90" customFormat="1" ht="16.5" customHeight="1"/>
    <row r="877" s="90" customFormat="1" ht="16.5" customHeight="1"/>
    <row r="878" s="90" customFormat="1" ht="16.5" customHeight="1"/>
    <row r="879" s="90" customFormat="1" ht="16.5" customHeight="1"/>
    <row r="880" s="90" customFormat="1" ht="16.5" customHeight="1"/>
    <row r="881" s="90" customFormat="1" ht="16.5" customHeight="1"/>
    <row r="882" s="90" customFormat="1" ht="16.5" customHeight="1"/>
    <row r="883" s="90" customFormat="1" ht="16.5" customHeight="1"/>
    <row r="884" s="90" customFormat="1" ht="16.5" customHeight="1"/>
    <row r="885" s="90" customFormat="1" ht="16.5" customHeight="1"/>
    <row r="886" s="90" customFormat="1" ht="16.5" customHeight="1"/>
    <row r="887" s="90" customFormat="1" ht="16.5" customHeight="1"/>
    <row r="888" s="90" customFormat="1" ht="16.5" customHeight="1"/>
    <row r="889" s="90" customFormat="1" ht="16.5" customHeight="1"/>
    <row r="890" s="90" customFormat="1" ht="16.5" customHeight="1"/>
    <row r="891" s="90" customFormat="1" ht="16.5" customHeight="1"/>
    <row r="892" s="90" customFormat="1" ht="16.5" customHeight="1"/>
    <row r="893" s="90" customFormat="1" ht="16.5" customHeight="1"/>
    <row r="894" s="90" customFormat="1" ht="16.5" customHeight="1"/>
    <row r="895" s="90" customFormat="1" ht="16.5" customHeight="1"/>
    <row r="896" s="90" customFormat="1" ht="16.5" customHeight="1"/>
    <row r="897" s="90" customFormat="1" ht="16.5" customHeight="1"/>
    <row r="898" s="90" customFormat="1" ht="16.5" customHeight="1"/>
    <row r="899" s="90" customFormat="1" ht="16.5" customHeight="1"/>
    <row r="900" s="90" customFormat="1" ht="16.5" customHeight="1"/>
    <row r="901" s="90" customFormat="1" ht="16.5" customHeight="1"/>
    <row r="902" s="90" customFormat="1" ht="16.5" customHeight="1"/>
    <row r="903" s="90" customFormat="1" ht="16.5" customHeight="1"/>
    <row r="904" s="90" customFormat="1" ht="16.5" customHeight="1"/>
    <row r="905" s="90" customFormat="1" ht="16.5" customHeight="1"/>
    <row r="906" s="90" customFormat="1" ht="16.5" customHeight="1"/>
    <row r="907" s="90" customFormat="1" ht="16.5" customHeight="1"/>
    <row r="908" s="90" customFormat="1" ht="16.5" customHeight="1"/>
    <row r="909" s="90" customFormat="1" ht="16.5" customHeight="1"/>
    <row r="910" s="90" customFormat="1" ht="16.5" customHeight="1"/>
    <row r="911" s="90" customFormat="1" ht="16.5" customHeight="1"/>
    <row r="912" s="90" customFormat="1" ht="16.5" customHeight="1"/>
    <row r="913" s="90" customFormat="1" ht="16.5" customHeight="1"/>
    <row r="914" s="90" customFormat="1" ht="16.5" customHeight="1"/>
    <row r="915" s="90" customFormat="1" ht="16.5" customHeight="1"/>
    <row r="916" s="90" customFormat="1" ht="16.5" customHeight="1"/>
    <row r="917" s="90" customFormat="1" ht="16.5" customHeight="1"/>
    <row r="918" s="90" customFormat="1" ht="16.5" customHeight="1"/>
    <row r="919" s="90" customFormat="1" ht="16.5" customHeight="1"/>
    <row r="920" s="90" customFormat="1" ht="16.5" customHeight="1"/>
    <row r="921" s="90" customFormat="1" ht="16.5" customHeight="1"/>
    <row r="922" s="90" customFormat="1" ht="16.5" customHeight="1"/>
    <row r="923" s="90" customFormat="1" ht="16.5" customHeight="1"/>
    <row r="924" s="90" customFormat="1" ht="16.5" customHeight="1"/>
    <row r="925" s="90" customFormat="1" ht="16.5" customHeight="1"/>
    <row r="926" s="90" customFormat="1" ht="16.5" customHeight="1"/>
    <row r="927" s="90" customFormat="1" ht="16.5" customHeight="1"/>
    <row r="928" s="90" customFormat="1" ht="16.5" customHeight="1"/>
    <row r="929" s="90" customFormat="1" ht="16.5" customHeight="1"/>
    <row r="930" s="90" customFormat="1" ht="16.5" customHeight="1"/>
    <row r="931" s="90" customFormat="1" ht="16.5" customHeight="1"/>
    <row r="932" s="90" customFormat="1" ht="16.5" customHeight="1"/>
    <row r="933" s="90" customFormat="1" ht="16.5" customHeight="1"/>
    <row r="934" s="90" customFormat="1" ht="16.5" customHeight="1"/>
    <row r="935" s="90" customFormat="1" ht="16.5" customHeight="1"/>
    <row r="936" s="90" customFormat="1" ht="16.5" customHeight="1"/>
    <row r="937" s="90" customFormat="1" ht="16.5" customHeight="1"/>
    <row r="938" s="90" customFormat="1" ht="16.5" customHeight="1"/>
    <row r="939" s="90" customFormat="1" ht="16.5" customHeight="1"/>
    <row r="940" s="90" customFormat="1" ht="16.5" customHeight="1"/>
    <row r="941" s="90" customFormat="1" ht="16.5" customHeight="1"/>
    <row r="942" s="90" customFormat="1" ht="16.5" customHeight="1"/>
    <row r="943" s="90" customFormat="1" ht="16.5" customHeight="1"/>
    <row r="944" s="90" customFormat="1" ht="16.5" customHeight="1"/>
    <row r="945" s="90" customFormat="1" ht="16.5" customHeight="1"/>
    <row r="946" s="90" customFormat="1" ht="16.5" customHeight="1"/>
    <row r="947" s="90" customFormat="1" ht="16.5" customHeight="1"/>
    <row r="948" s="90" customFormat="1" ht="16.5" customHeight="1"/>
    <row r="949" s="90" customFormat="1" ht="16.5" customHeight="1"/>
    <row r="950" s="90" customFormat="1" ht="16.5" customHeight="1"/>
    <row r="951" s="90" customFormat="1" ht="16.5" customHeight="1"/>
    <row r="952" s="90" customFormat="1" ht="16.5" customHeight="1"/>
    <row r="953" s="90" customFormat="1" ht="16.5" customHeight="1"/>
    <row r="954" s="90" customFormat="1" ht="16.5" customHeight="1"/>
    <row r="955" s="90" customFormat="1" ht="16.5" customHeight="1"/>
    <row r="956" s="90" customFormat="1" ht="16.5" customHeight="1"/>
    <row r="957" s="90" customFormat="1" ht="16.5" customHeight="1"/>
    <row r="958" s="90" customFormat="1" ht="16.5" customHeight="1"/>
    <row r="959" s="90" customFormat="1" ht="16.5" customHeight="1"/>
    <row r="960" s="90" customFormat="1" ht="16.5" customHeight="1"/>
    <row r="961" s="90" customFormat="1" ht="16.5" customHeight="1"/>
    <row r="962" s="90" customFormat="1" ht="16.5" customHeight="1"/>
    <row r="963" s="90" customFormat="1" ht="16.5" customHeight="1"/>
    <row r="964" s="90" customFormat="1" ht="16.5" customHeight="1"/>
    <row r="965" s="90" customFormat="1" ht="16.5" customHeight="1"/>
    <row r="966" s="90" customFormat="1" ht="16.5" customHeight="1"/>
    <row r="967" s="90" customFormat="1" ht="16.5" customHeight="1"/>
    <row r="968" s="90" customFormat="1" ht="16.5" customHeight="1"/>
    <row r="969" s="90" customFormat="1" ht="16.5" customHeight="1"/>
    <row r="970" s="90" customFormat="1" ht="16.5" customHeight="1"/>
    <row r="971" s="90" customFormat="1" ht="16.5" customHeight="1"/>
    <row r="972" s="90" customFormat="1" ht="16.5" customHeight="1"/>
    <row r="973" s="90" customFormat="1" ht="16.5" customHeight="1"/>
    <row r="974" s="90" customFormat="1" ht="16.5" customHeight="1"/>
    <row r="975" s="90" customFormat="1" ht="16.5" customHeight="1"/>
    <row r="976" s="90" customFormat="1" ht="16.5" customHeight="1"/>
    <row r="977" s="90" customFormat="1" ht="16.5" customHeight="1"/>
    <row r="978" s="90" customFormat="1" ht="16.5" customHeight="1"/>
    <row r="979" s="90" customFormat="1" ht="16.5" customHeight="1"/>
    <row r="980" s="90" customFormat="1" ht="16.5" customHeight="1"/>
    <row r="981" s="90" customFormat="1" ht="16.5" customHeight="1"/>
    <row r="982" s="90" customFormat="1" ht="16.5" customHeight="1"/>
    <row r="983" s="90" customFormat="1" ht="16.5" customHeight="1"/>
    <row r="984" s="90" customFormat="1" ht="16.5" customHeight="1"/>
    <row r="985" s="90" customFormat="1" ht="16.5" customHeight="1"/>
    <row r="986" s="90" customFormat="1" ht="16.5" customHeight="1"/>
    <row r="987" s="90" customFormat="1" ht="16.5" customHeight="1"/>
    <row r="988" s="90" customFormat="1" ht="16.5" customHeight="1"/>
    <row r="989" s="90" customFormat="1" ht="16.5" customHeight="1"/>
    <row r="990" s="90" customFormat="1" ht="16.5" customHeight="1"/>
    <row r="991" s="90" customFormat="1" ht="16.5" customHeight="1"/>
    <row r="992" s="90" customFormat="1" ht="16.5" customHeight="1"/>
    <row r="993" s="90" customFormat="1" ht="16.5" customHeight="1"/>
    <row r="994" s="90" customFormat="1" ht="16.5" customHeight="1"/>
    <row r="995" s="90" customFormat="1" ht="16.5" customHeight="1"/>
    <row r="996" s="90" customFormat="1" ht="16.5" customHeight="1"/>
    <row r="997" s="90" customFormat="1" ht="16.5" customHeight="1"/>
    <row r="998" s="90" customFormat="1" ht="16.5" customHeight="1"/>
    <row r="999" s="90" customFormat="1" ht="16.5" customHeight="1"/>
    <row r="1000" s="90" customFormat="1" ht="16.5" customHeight="1"/>
  </sheetData>
  <phoneticPr fontId="12" type="noConversion"/>
  <pageMargins left="0.7" right="0.7" top="0.75" bottom="0.75" header="0" footer="0"/>
  <pageSetup orientation="landscape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1F497D"/>
  </sheetPr>
  <dimension ref="A1:AG1000"/>
  <sheetViews>
    <sheetView workbookViewId="0">
      <selection sqref="A1:XFD1048576"/>
    </sheetView>
  </sheetViews>
  <sheetFormatPr defaultColWidth="14.453125" defaultRowHeight="15" customHeight="1"/>
  <cols>
    <col min="1" max="1" width="32.7265625" style="90" customWidth="1"/>
    <col min="2" max="33" width="8.7265625" style="90" customWidth="1"/>
    <col min="34" max="16384" width="14.453125" style="90"/>
  </cols>
  <sheetData>
    <row r="1" spans="1:33" ht="16.5" customHeight="1">
      <c r="A1" s="89" t="s">
        <v>236</v>
      </c>
      <c r="B1" s="89">
        <v>2021</v>
      </c>
      <c r="C1" s="89">
        <v>2022</v>
      </c>
      <c r="D1" s="89">
        <v>2023</v>
      </c>
      <c r="E1" s="89">
        <v>2024</v>
      </c>
      <c r="F1" s="89">
        <v>2025</v>
      </c>
      <c r="G1" s="89">
        <v>2026</v>
      </c>
      <c r="H1" s="89">
        <v>2027</v>
      </c>
      <c r="I1" s="89">
        <v>2028</v>
      </c>
      <c r="J1" s="89">
        <v>2029</v>
      </c>
      <c r="K1" s="89">
        <v>2030</v>
      </c>
      <c r="L1" s="89">
        <v>2031</v>
      </c>
      <c r="M1" s="89">
        <v>2032</v>
      </c>
      <c r="N1" s="89">
        <v>2033</v>
      </c>
      <c r="O1" s="89">
        <v>2034</v>
      </c>
      <c r="P1" s="89">
        <v>2035</v>
      </c>
      <c r="Q1" s="89">
        <v>2036</v>
      </c>
      <c r="R1" s="89">
        <v>2037</v>
      </c>
      <c r="S1" s="89">
        <v>2038</v>
      </c>
      <c r="T1" s="89">
        <v>2039</v>
      </c>
      <c r="U1" s="89">
        <v>2040</v>
      </c>
      <c r="V1" s="89">
        <v>2041</v>
      </c>
      <c r="W1" s="89">
        <v>2042</v>
      </c>
      <c r="X1" s="89">
        <v>2043</v>
      </c>
      <c r="Y1" s="89">
        <v>2044</v>
      </c>
      <c r="Z1" s="89">
        <v>2045</v>
      </c>
      <c r="AA1" s="89">
        <v>2046</v>
      </c>
      <c r="AB1" s="89">
        <v>2047</v>
      </c>
      <c r="AC1" s="89">
        <v>2048</v>
      </c>
      <c r="AD1" s="89">
        <v>2049</v>
      </c>
      <c r="AE1" s="89">
        <v>2050</v>
      </c>
    </row>
    <row r="2" spans="1:33" ht="16.5" customHeight="1">
      <c r="A2" s="89" t="s">
        <v>220</v>
      </c>
      <c r="B2" s="91">
        <v>0</v>
      </c>
      <c r="C2" s="91">
        <v>0</v>
      </c>
      <c r="D2" s="91">
        <v>0</v>
      </c>
      <c r="E2" s="91">
        <v>0</v>
      </c>
      <c r="F2" s="91">
        <v>0</v>
      </c>
      <c r="G2" s="91">
        <v>0</v>
      </c>
      <c r="H2" s="91">
        <v>0</v>
      </c>
      <c r="I2" s="91">
        <v>0</v>
      </c>
      <c r="J2" s="91">
        <v>0</v>
      </c>
      <c r="K2" s="91">
        <v>0</v>
      </c>
      <c r="L2" s="91">
        <v>0</v>
      </c>
      <c r="M2" s="91">
        <v>0</v>
      </c>
      <c r="N2" s="91">
        <v>0</v>
      </c>
      <c r="O2" s="91">
        <v>0</v>
      </c>
      <c r="P2" s="91">
        <v>0</v>
      </c>
      <c r="Q2" s="91">
        <v>0</v>
      </c>
      <c r="R2" s="91">
        <v>0</v>
      </c>
      <c r="S2" s="91">
        <v>0</v>
      </c>
      <c r="T2" s="91">
        <v>0</v>
      </c>
      <c r="U2" s="91">
        <v>0</v>
      </c>
      <c r="V2" s="91">
        <v>0</v>
      </c>
      <c r="W2" s="91">
        <v>0</v>
      </c>
      <c r="X2" s="91">
        <v>0</v>
      </c>
      <c r="Y2" s="91">
        <v>0</v>
      </c>
      <c r="Z2" s="91">
        <v>0</v>
      </c>
      <c r="AA2" s="91">
        <v>0</v>
      </c>
      <c r="AB2" s="91">
        <v>0</v>
      </c>
      <c r="AC2" s="91">
        <v>0</v>
      </c>
      <c r="AD2" s="91">
        <v>0</v>
      </c>
      <c r="AE2" s="91">
        <v>0</v>
      </c>
      <c r="AF2" s="91"/>
      <c r="AG2" s="91"/>
    </row>
    <row r="3" spans="1:33" ht="16.5" customHeight="1">
      <c r="A3" s="89" t="s">
        <v>221</v>
      </c>
      <c r="B3" s="91">
        <v>0</v>
      </c>
      <c r="C3" s="91">
        <v>0</v>
      </c>
      <c r="D3" s="91">
        <v>0</v>
      </c>
      <c r="E3" s="91">
        <v>0</v>
      </c>
      <c r="F3" s="91">
        <v>0</v>
      </c>
      <c r="G3" s="91">
        <v>0</v>
      </c>
      <c r="H3" s="91">
        <v>0</v>
      </c>
      <c r="I3" s="91">
        <v>0</v>
      </c>
      <c r="J3" s="91">
        <v>0</v>
      </c>
      <c r="K3" s="91">
        <v>0</v>
      </c>
      <c r="L3" s="91">
        <v>0</v>
      </c>
      <c r="M3" s="91">
        <v>0</v>
      </c>
      <c r="N3" s="91">
        <v>0</v>
      </c>
      <c r="O3" s="91">
        <v>0</v>
      </c>
      <c r="P3" s="91">
        <v>0</v>
      </c>
      <c r="Q3" s="91">
        <v>0</v>
      </c>
      <c r="R3" s="91">
        <v>0</v>
      </c>
      <c r="S3" s="91">
        <v>0</v>
      </c>
      <c r="T3" s="91">
        <v>0</v>
      </c>
      <c r="U3" s="91">
        <v>0</v>
      </c>
      <c r="V3" s="91">
        <v>0</v>
      </c>
      <c r="W3" s="91">
        <v>0</v>
      </c>
      <c r="X3" s="91">
        <v>0</v>
      </c>
      <c r="Y3" s="91">
        <v>0</v>
      </c>
      <c r="Z3" s="91">
        <v>0</v>
      </c>
      <c r="AA3" s="91">
        <v>0</v>
      </c>
      <c r="AB3" s="91">
        <v>0</v>
      </c>
      <c r="AC3" s="91">
        <v>0</v>
      </c>
      <c r="AD3" s="91">
        <v>0</v>
      </c>
      <c r="AE3" s="91">
        <v>0</v>
      </c>
      <c r="AF3" s="91"/>
      <c r="AG3" s="91"/>
    </row>
    <row r="4" spans="1:33" ht="16.5" customHeight="1">
      <c r="A4" s="89" t="s">
        <v>222</v>
      </c>
      <c r="B4" s="91">
        <v>0</v>
      </c>
      <c r="C4" s="91">
        <v>0</v>
      </c>
      <c r="D4" s="91">
        <v>0</v>
      </c>
      <c r="E4" s="91">
        <v>0</v>
      </c>
      <c r="F4" s="91">
        <v>0</v>
      </c>
      <c r="G4" s="91">
        <v>0</v>
      </c>
      <c r="H4" s="91">
        <v>0</v>
      </c>
      <c r="I4" s="91">
        <v>0</v>
      </c>
      <c r="J4" s="91">
        <v>0</v>
      </c>
      <c r="K4" s="91">
        <v>0</v>
      </c>
      <c r="L4" s="91">
        <v>0</v>
      </c>
      <c r="M4" s="91">
        <v>0</v>
      </c>
      <c r="N4" s="91">
        <v>0</v>
      </c>
      <c r="O4" s="91">
        <v>0</v>
      </c>
      <c r="P4" s="91">
        <v>0</v>
      </c>
      <c r="Q4" s="91">
        <v>0</v>
      </c>
      <c r="R4" s="91">
        <v>0</v>
      </c>
      <c r="S4" s="91">
        <v>0</v>
      </c>
      <c r="T4" s="91">
        <v>0</v>
      </c>
      <c r="U4" s="91">
        <v>0</v>
      </c>
      <c r="V4" s="91">
        <v>0</v>
      </c>
      <c r="W4" s="91">
        <v>0</v>
      </c>
      <c r="X4" s="91">
        <v>0</v>
      </c>
      <c r="Y4" s="91">
        <v>0</v>
      </c>
      <c r="Z4" s="91">
        <v>0</v>
      </c>
      <c r="AA4" s="91">
        <v>0</v>
      </c>
      <c r="AB4" s="91">
        <v>0</v>
      </c>
      <c r="AC4" s="91">
        <v>0</v>
      </c>
      <c r="AD4" s="91">
        <v>0</v>
      </c>
      <c r="AE4" s="91">
        <v>0</v>
      </c>
      <c r="AF4" s="91"/>
      <c r="AG4" s="91"/>
    </row>
    <row r="5" spans="1:33" ht="16.5" customHeight="1">
      <c r="A5" s="89" t="s">
        <v>124</v>
      </c>
      <c r="B5" s="91">
        <v>0</v>
      </c>
      <c r="C5" s="91">
        <v>0</v>
      </c>
      <c r="D5" s="91">
        <v>0</v>
      </c>
      <c r="E5" s="91">
        <v>0</v>
      </c>
      <c r="F5" s="91">
        <v>0</v>
      </c>
      <c r="G5" s="91">
        <v>0</v>
      </c>
      <c r="H5" s="91">
        <v>0</v>
      </c>
      <c r="I5" s="91">
        <v>0</v>
      </c>
      <c r="J5" s="91">
        <v>0</v>
      </c>
      <c r="K5" s="91">
        <v>0</v>
      </c>
      <c r="L5" s="91">
        <v>0</v>
      </c>
      <c r="M5" s="91">
        <v>0</v>
      </c>
      <c r="N5" s="91">
        <v>0</v>
      </c>
      <c r="O5" s="91">
        <v>0</v>
      </c>
      <c r="P5" s="91">
        <v>0</v>
      </c>
      <c r="Q5" s="91">
        <v>0</v>
      </c>
      <c r="R5" s="91">
        <v>0</v>
      </c>
      <c r="S5" s="91">
        <v>0</v>
      </c>
      <c r="T5" s="91">
        <v>0</v>
      </c>
      <c r="U5" s="91">
        <v>0</v>
      </c>
      <c r="V5" s="91">
        <v>0</v>
      </c>
      <c r="W5" s="91">
        <v>0</v>
      </c>
      <c r="X5" s="91">
        <v>0</v>
      </c>
      <c r="Y5" s="91">
        <v>0</v>
      </c>
      <c r="Z5" s="91">
        <v>0</v>
      </c>
      <c r="AA5" s="91">
        <v>0</v>
      </c>
      <c r="AB5" s="91">
        <v>0</v>
      </c>
      <c r="AC5" s="91">
        <v>0</v>
      </c>
      <c r="AD5" s="91">
        <v>0</v>
      </c>
      <c r="AE5" s="91">
        <v>0</v>
      </c>
      <c r="AF5" s="91"/>
      <c r="AG5" s="91"/>
    </row>
    <row r="6" spans="1:33" ht="16.5" customHeight="1">
      <c r="A6" s="94" t="s">
        <v>123</v>
      </c>
      <c r="B6" s="91">
        <f>BSpUECB_세액공제액!C50</f>
        <v>2.9999999999999995E-2</v>
      </c>
      <c r="C6" s="91">
        <f>BSpUECB_세액공제액!D50</f>
        <v>2.9999999999999995E-2</v>
      </c>
      <c r="D6" s="91">
        <f>BSpUECB_세액공제액!E50</f>
        <v>2.9999999999999995E-2</v>
      </c>
      <c r="E6" s="91">
        <f>BSpUECB_세액공제액!F50</f>
        <v>2.9999999999999995E-2</v>
      </c>
      <c r="F6" s="91">
        <f>BSpUECB_세액공제액!G50</f>
        <v>2.9999999999999995E-2</v>
      </c>
      <c r="G6" s="91">
        <f>BSpUECB_세액공제액!H50</f>
        <v>2.9999999999999995E-2</v>
      </c>
      <c r="H6" s="91">
        <f>BSpUECB_세액공제액!I50</f>
        <v>2.9999999999999995E-2</v>
      </c>
      <c r="I6" s="91">
        <f>BSpUECB_세액공제액!J50</f>
        <v>2.9999999999999995E-2</v>
      </c>
      <c r="J6" s="91">
        <f>BSpUECB_세액공제액!K50</f>
        <v>2.9999999999999995E-2</v>
      </c>
      <c r="K6" s="91">
        <f>BSpUECB_세액공제액!L50</f>
        <v>2.9999999999999995E-2</v>
      </c>
      <c r="L6" s="91">
        <f>BSpUECB_세액공제액!M50</f>
        <v>2.9999999999999995E-2</v>
      </c>
      <c r="M6" s="91">
        <f>BSpUECB_세액공제액!N50</f>
        <v>2.9999999999999995E-2</v>
      </c>
      <c r="N6" s="91">
        <f>BSpUECB_세액공제액!O50</f>
        <v>2.9999999999999995E-2</v>
      </c>
      <c r="O6" s="91">
        <f>BSpUECB_세액공제액!P50</f>
        <v>2.9999999999999995E-2</v>
      </c>
      <c r="P6" s="91">
        <f>BSpUECB_세액공제액!Q50</f>
        <v>2.9999999999999995E-2</v>
      </c>
      <c r="Q6" s="91">
        <f>BSpUECB_세액공제액!R50</f>
        <v>2.9999999999999995E-2</v>
      </c>
      <c r="R6" s="91">
        <f>BSpUECB_세액공제액!S50</f>
        <v>2.9999999999999995E-2</v>
      </c>
      <c r="S6" s="91">
        <f>BSpUECB_세액공제액!T50</f>
        <v>2.9999999999999995E-2</v>
      </c>
      <c r="T6" s="91">
        <f>BSpUECB_세액공제액!U50</f>
        <v>2.9999999999999995E-2</v>
      </c>
      <c r="U6" s="91">
        <f>BSpUECB_세액공제액!V50</f>
        <v>2.9999999999999995E-2</v>
      </c>
      <c r="V6" s="91">
        <f>BSpUECB_세액공제액!W50</f>
        <v>2.9999999999999995E-2</v>
      </c>
      <c r="W6" s="91">
        <f>BSpUECB_세액공제액!X50</f>
        <v>2.9999999999999995E-2</v>
      </c>
      <c r="X6" s="91">
        <f>BSpUECB_세액공제액!Y50</f>
        <v>2.9999999999999995E-2</v>
      </c>
      <c r="Y6" s="91">
        <f>BSpUECB_세액공제액!Z50</f>
        <v>2.9999999999999995E-2</v>
      </c>
      <c r="Z6" s="91">
        <f>BSpUECB_세액공제액!AA50</f>
        <v>2.9999999999999995E-2</v>
      </c>
      <c r="AA6" s="91">
        <f>BSpUECB_세액공제액!AB50</f>
        <v>2.9999999999999995E-2</v>
      </c>
      <c r="AB6" s="91">
        <f>BSpUECB_세액공제액!AC50</f>
        <v>2.9999999999999995E-2</v>
      </c>
      <c r="AC6" s="91">
        <f>BSpUECB_세액공제액!AD50</f>
        <v>2.9999999999999995E-2</v>
      </c>
      <c r="AD6" s="91">
        <f>BSpUECB_세액공제액!AE50</f>
        <v>2.9999999999999995E-2</v>
      </c>
      <c r="AE6" s="91">
        <f>BSpUECB_세액공제액!AF50</f>
        <v>2.9999999999999995E-2</v>
      </c>
      <c r="AF6" s="91"/>
      <c r="AG6" s="91"/>
    </row>
    <row r="7" spans="1:33" ht="16.5" customHeight="1">
      <c r="A7" s="94" t="s">
        <v>128</v>
      </c>
      <c r="B7" s="91">
        <f>BSpUECB_세액공제액!C51</f>
        <v>2.810528224344257E-2</v>
      </c>
      <c r="C7" s="91">
        <f>BSpUECB_세액공제액!D51</f>
        <v>2.8195060873411351E-2</v>
      </c>
      <c r="D7" s="91">
        <f>BSpUECB_세액공제액!E51</f>
        <v>2.8305321981791681E-2</v>
      </c>
      <c r="E7" s="91">
        <f>BSpUECB_세액공제액!F51</f>
        <v>2.8437531139524345E-2</v>
      </c>
      <c r="F7" s="91">
        <f>BSpUECB_세액공제액!G51</f>
        <v>2.8593251156278986E-2</v>
      </c>
      <c r="G7" s="91">
        <f>BSpUECB_세액공제액!H51</f>
        <v>2.8561138866663321E-2</v>
      </c>
      <c r="H7" s="91">
        <f>BSpUECB_세액공제액!I51</f>
        <v>2.8526038073996507E-2</v>
      </c>
      <c r="I7" s="91">
        <f>BSpUECB_세액공제액!J51</f>
        <v>2.8488265986790228E-2</v>
      </c>
      <c r="J7" s="91">
        <f>BSpUECB_세액공제액!K51</f>
        <v>2.844814814558249E-2</v>
      </c>
      <c r="K7" s="91">
        <f>BSpUECB_세액공제액!L51</f>
        <v>2.8406018929872396E-2</v>
      </c>
      <c r="L7" s="91">
        <f>BSpUECB_세액공제액!M51</f>
        <v>2.8406018929872399E-2</v>
      </c>
      <c r="M7" s="91">
        <f>BSpUECB_세액공제액!N51</f>
        <v>2.8406018929872406E-2</v>
      </c>
      <c r="N7" s="91">
        <f>BSpUECB_세액공제액!O51</f>
        <v>2.8406018929872403E-2</v>
      </c>
      <c r="O7" s="91">
        <f>BSpUECB_세액공제액!P51</f>
        <v>2.8406018929872399E-2</v>
      </c>
      <c r="P7" s="91">
        <f>BSpUECB_세액공제액!Q51</f>
        <v>2.8406018929872399E-2</v>
      </c>
      <c r="Q7" s="91">
        <f>BSpUECB_세액공제액!R51</f>
        <v>2.8406018929872399E-2</v>
      </c>
      <c r="R7" s="91">
        <f>BSpUECB_세액공제액!S51</f>
        <v>2.8406018929872403E-2</v>
      </c>
      <c r="S7" s="91">
        <f>BSpUECB_세액공제액!T51</f>
        <v>2.8406018929872406E-2</v>
      </c>
      <c r="T7" s="91">
        <f>BSpUECB_세액공제액!U51</f>
        <v>2.8406018929872399E-2</v>
      </c>
      <c r="U7" s="91">
        <f>BSpUECB_세액공제액!V51</f>
        <v>2.8406018929872399E-2</v>
      </c>
      <c r="V7" s="91">
        <f>BSpUECB_세액공제액!W51</f>
        <v>2.8406018929872399E-2</v>
      </c>
      <c r="W7" s="91">
        <f>BSpUECB_세액공제액!X51</f>
        <v>2.8406018929872399E-2</v>
      </c>
      <c r="X7" s="91">
        <f>BSpUECB_세액공제액!Y51</f>
        <v>2.8406018929872399E-2</v>
      </c>
      <c r="Y7" s="91">
        <f>BSpUECB_세액공제액!Z51</f>
        <v>2.8406018929872399E-2</v>
      </c>
      <c r="Z7" s="91">
        <f>BSpUECB_세액공제액!AA51</f>
        <v>2.8406018929872399E-2</v>
      </c>
      <c r="AA7" s="91">
        <f>BSpUECB_세액공제액!AB51</f>
        <v>2.8406018929872399E-2</v>
      </c>
      <c r="AB7" s="91">
        <f>BSpUECB_세액공제액!AC51</f>
        <v>2.8406018929872399E-2</v>
      </c>
      <c r="AC7" s="91">
        <f>BSpUECB_세액공제액!AD51</f>
        <v>2.8406018929872399E-2</v>
      </c>
      <c r="AD7" s="91">
        <f>BSpUECB_세액공제액!AE51</f>
        <v>2.8406018929872399E-2</v>
      </c>
      <c r="AE7" s="91">
        <f>BSpUECB_세액공제액!AF51</f>
        <v>2.8406018929872399E-2</v>
      </c>
      <c r="AF7" s="91"/>
      <c r="AG7" s="91"/>
    </row>
    <row r="8" spans="1:33" ht="16.5" customHeight="1">
      <c r="A8" s="94" t="s">
        <v>223</v>
      </c>
      <c r="B8" s="91">
        <f>BSpUECB_세액공제액!C52</f>
        <v>2.5411076475192643E-2</v>
      </c>
      <c r="C8" s="91">
        <f>BSpUECB_세액공제액!D52</f>
        <v>2.5513356095024052E-2</v>
      </c>
      <c r="D8" s="91">
        <f>BSpUECB_세액공제액!E52</f>
        <v>2.5680469019471526E-2</v>
      </c>
      <c r="E8" s="91">
        <f>BSpUECB_세액공제액!F52</f>
        <v>2.5923318965309711E-2</v>
      </c>
      <c r="F8" s="91">
        <f>BSpUECB_세액공제액!G52</f>
        <v>2.6254753676520932E-2</v>
      </c>
      <c r="G8" s="91">
        <f>BSpUECB_세액공제액!H52</f>
        <v>2.6195638379179622E-2</v>
      </c>
      <c r="H8" s="91">
        <f>BSpUECB_세액공제액!I52</f>
        <v>2.6150522878159835E-2</v>
      </c>
      <c r="I8" s="91">
        <f>BSpUECB_세액공제액!J52</f>
        <v>2.6123022688198647E-2</v>
      </c>
      <c r="J8" s="91">
        <f>BSpUECB_세액공제액!K52</f>
        <v>2.6117140330909047E-2</v>
      </c>
      <c r="K8" s="91">
        <f>BSpUECB_세액공제액!L52</f>
        <v>2.6137331465165801E-2</v>
      </c>
      <c r="L8" s="91">
        <f>BSpUECB_세액공제액!M52</f>
        <v>2.6137331465165798E-2</v>
      </c>
      <c r="M8" s="91">
        <f>BSpUECB_세액공제액!N52</f>
        <v>2.6137331465165798E-2</v>
      </c>
      <c r="N8" s="91">
        <f>BSpUECB_세액공제액!O52</f>
        <v>2.6137331465165801E-2</v>
      </c>
      <c r="O8" s="91">
        <f>BSpUECB_세액공제액!P52</f>
        <v>2.6137331465165812E-2</v>
      </c>
      <c r="P8" s="91">
        <f>BSpUECB_세액공제액!Q52</f>
        <v>2.6137331465165812E-2</v>
      </c>
      <c r="Q8" s="91">
        <f>BSpUECB_세액공제액!R52</f>
        <v>2.6137331465165805E-2</v>
      </c>
      <c r="R8" s="91">
        <f>BSpUECB_세액공제액!S52</f>
        <v>2.6137331465165808E-2</v>
      </c>
      <c r="S8" s="91">
        <f>BSpUECB_세액공제액!T52</f>
        <v>2.6137331465165808E-2</v>
      </c>
      <c r="T8" s="91">
        <f>BSpUECB_세액공제액!U52</f>
        <v>2.6137331465165808E-2</v>
      </c>
      <c r="U8" s="91">
        <f>BSpUECB_세액공제액!V52</f>
        <v>2.6137331465165801E-2</v>
      </c>
      <c r="V8" s="91">
        <f>BSpUECB_세액공제액!W52</f>
        <v>2.6137331465165801E-2</v>
      </c>
      <c r="W8" s="91">
        <f>BSpUECB_세액공제액!X52</f>
        <v>2.6137331465165801E-2</v>
      </c>
      <c r="X8" s="91">
        <f>BSpUECB_세액공제액!Y52</f>
        <v>2.6137331465165801E-2</v>
      </c>
      <c r="Y8" s="91">
        <f>BSpUECB_세액공제액!Z52</f>
        <v>2.6137331465165801E-2</v>
      </c>
      <c r="Z8" s="91">
        <f>BSpUECB_세액공제액!AA52</f>
        <v>2.6137331465165801E-2</v>
      </c>
      <c r="AA8" s="91">
        <f>BSpUECB_세액공제액!AB52</f>
        <v>2.6137331465165801E-2</v>
      </c>
      <c r="AB8" s="91">
        <f>BSpUECB_세액공제액!AC52</f>
        <v>2.6137331465165801E-2</v>
      </c>
      <c r="AC8" s="91">
        <f>BSpUECB_세액공제액!AD52</f>
        <v>2.6137331465165801E-2</v>
      </c>
      <c r="AD8" s="91">
        <f>BSpUECB_세액공제액!AE52</f>
        <v>2.6137331465165801E-2</v>
      </c>
      <c r="AE8" s="91">
        <f>BSpUECB_세액공제액!AF52</f>
        <v>2.6137331465165801E-2</v>
      </c>
      <c r="AF8" s="91"/>
      <c r="AG8" s="91"/>
    </row>
    <row r="9" spans="1:33" ht="16.5" customHeight="1">
      <c r="A9" s="89" t="s">
        <v>224</v>
      </c>
      <c r="B9" s="91">
        <v>0</v>
      </c>
      <c r="C9" s="91">
        <v>0</v>
      </c>
      <c r="D9" s="91">
        <v>0</v>
      </c>
      <c r="E9" s="91">
        <v>0</v>
      </c>
      <c r="F9" s="91">
        <v>0</v>
      </c>
      <c r="G9" s="91">
        <v>0</v>
      </c>
      <c r="H9" s="91">
        <v>0</v>
      </c>
      <c r="I9" s="91">
        <v>0</v>
      </c>
      <c r="J9" s="91">
        <v>0</v>
      </c>
      <c r="K9" s="91">
        <v>0</v>
      </c>
      <c r="L9" s="91">
        <v>0</v>
      </c>
      <c r="M9" s="91">
        <v>0</v>
      </c>
      <c r="N9" s="91">
        <v>0</v>
      </c>
      <c r="O9" s="91">
        <v>0</v>
      </c>
      <c r="P9" s="91">
        <v>0</v>
      </c>
      <c r="Q9" s="91">
        <v>0</v>
      </c>
      <c r="R9" s="91">
        <v>0</v>
      </c>
      <c r="S9" s="91">
        <v>0</v>
      </c>
      <c r="T9" s="91">
        <v>0</v>
      </c>
      <c r="U9" s="91">
        <v>0</v>
      </c>
      <c r="V9" s="91">
        <v>0</v>
      </c>
      <c r="W9" s="91">
        <v>0</v>
      </c>
      <c r="X9" s="91">
        <v>0</v>
      </c>
      <c r="Y9" s="91">
        <v>0</v>
      </c>
      <c r="Z9" s="91">
        <v>0</v>
      </c>
      <c r="AA9" s="91">
        <v>0</v>
      </c>
      <c r="AB9" s="91">
        <v>0</v>
      </c>
      <c r="AC9" s="91">
        <v>0</v>
      </c>
      <c r="AD9" s="91">
        <v>0</v>
      </c>
      <c r="AE9" s="91">
        <v>0</v>
      </c>
      <c r="AF9" s="91"/>
      <c r="AG9" s="91"/>
    </row>
    <row r="10" spans="1:33" ht="16.5" customHeight="1">
      <c r="A10" s="94" t="s">
        <v>117</v>
      </c>
      <c r="B10" s="91">
        <f>BSpUECB_세액공제액!B54</f>
        <v>0.03</v>
      </c>
      <c r="C10" s="91">
        <f>BSpUECB_세액공제액!C54</f>
        <v>0.03</v>
      </c>
      <c r="D10" s="91">
        <f>BSpUECB_세액공제액!D54</f>
        <v>0.03</v>
      </c>
      <c r="E10" s="91">
        <f>BSpUECB_세액공제액!E54</f>
        <v>0.03</v>
      </c>
      <c r="F10" s="91">
        <f>BSpUECB_세액공제액!F54</f>
        <v>0.03</v>
      </c>
      <c r="G10" s="91">
        <f>BSpUECB_세액공제액!G54</f>
        <v>0.03</v>
      </c>
      <c r="H10" s="91">
        <f>BSpUECB_세액공제액!H54</f>
        <v>0.03</v>
      </c>
      <c r="I10" s="91">
        <f>BSpUECB_세액공제액!I54</f>
        <v>0.03</v>
      </c>
      <c r="J10" s="91">
        <f>BSpUECB_세액공제액!J54</f>
        <v>0.03</v>
      </c>
      <c r="K10" s="91">
        <f>BSpUECB_세액공제액!K54</f>
        <v>0.03</v>
      </c>
      <c r="L10" s="91">
        <f>BSpUECB_세액공제액!L54</f>
        <v>0.03</v>
      </c>
      <c r="M10" s="91">
        <f>BSpUECB_세액공제액!M54</f>
        <v>0.03</v>
      </c>
      <c r="N10" s="91">
        <f>BSpUECB_세액공제액!N54</f>
        <v>0.03</v>
      </c>
      <c r="O10" s="91">
        <f>BSpUECB_세액공제액!O54</f>
        <v>0.03</v>
      </c>
      <c r="P10" s="91">
        <f>BSpUECB_세액공제액!P54</f>
        <v>0.03</v>
      </c>
      <c r="Q10" s="91">
        <f>BSpUECB_세액공제액!Q54</f>
        <v>0.03</v>
      </c>
      <c r="R10" s="91">
        <f>BSpUECB_세액공제액!R54</f>
        <v>0.03</v>
      </c>
      <c r="S10" s="91">
        <f>BSpUECB_세액공제액!S54</f>
        <v>0.03</v>
      </c>
      <c r="T10" s="91">
        <f>BSpUECB_세액공제액!T54</f>
        <v>0.03</v>
      </c>
      <c r="U10" s="91">
        <f>BSpUECB_세액공제액!U54</f>
        <v>0.03</v>
      </c>
      <c r="V10" s="91">
        <f>BSpUECB_세액공제액!V54</f>
        <v>0.03</v>
      </c>
      <c r="W10" s="91">
        <f>BSpUECB_세액공제액!W54</f>
        <v>0.03</v>
      </c>
      <c r="X10" s="91">
        <f>BSpUECB_세액공제액!X54</f>
        <v>0.03</v>
      </c>
      <c r="Y10" s="91">
        <f>BSpUECB_세액공제액!Y54</f>
        <v>0.03</v>
      </c>
      <c r="Z10" s="91">
        <f>BSpUECB_세액공제액!Z54</f>
        <v>0.03</v>
      </c>
      <c r="AA10" s="91">
        <f>BSpUECB_세액공제액!AA54</f>
        <v>0.03</v>
      </c>
      <c r="AB10" s="91">
        <f>BSpUECB_세액공제액!AB54</f>
        <v>0.03</v>
      </c>
      <c r="AC10" s="91">
        <f>BSpUECB_세액공제액!AC54</f>
        <v>0.03</v>
      </c>
      <c r="AD10" s="91">
        <f>BSpUECB_세액공제액!AD54</f>
        <v>0.03</v>
      </c>
      <c r="AE10" s="91">
        <f>BSpUECB_세액공제액!AE54</f>
        <v>0.03</v>
      </c>
      <c r="AF10" s="91"/>
      <c r="AG10" s="91"/>
    </row>
    <row r="11" spans="1:33" ht="16.5" customHeight="1">
      <c r="A11" s="89" t="s">
        <v>129</v>
      </c>
      <c r="B11" s="91">
        <v>0</v>
      </c>
      <c r="C11" s="91">
        <v>0</v>
      </c>
      <c r="D11" s="91">
        <v>0</v>
      </c>
      <c r="E11" s="91">
        <v>0</v>
      </c>
      <c r="F11" s="91">
        <v>0</v>
      </c>
      <c r="G11" s="91">
        <v>0</v>
      </c>
      <c r="H11" s="91">
        <v>0</v>
      </c>
      <c r="I11" s="91">
        <v>0</v>
      </c>
      <c r="J11" s="91">
        <v>0</v>
      </c>
      <c r="K11" s="91">
        <v>0</v>
      </c>
      <c r="L11" s="91">
        <v>0</v>
      </c>
      <c r="M11" s="91">
        <v>0</v>
      </c>
      <c r="N11" s="91">
        <v>0</v>
      </c>
      <c r="O11" s="91">
        <v>0</v>
      </c>
      <c r="P11" s="91">
        <v>0</v>
      </c>
      <c r="Q11" s="91">
        <v>0</v>
      </c>
      <c r="R11" s="91">
        <v>0</v>
      </c>
      <c r="S11" s="91">
        <v>0</v>
      </c>
      <c r="T11" s="91">
        <v>0</v>
      </c>
      <c r="U11" s="91">
        <v>0</v>
      </c>
      <c r="V11" s="91">
        <v>0</v>
      </c>
      <c r="W11" s="91">
        <v>0</v>
      </c>
      <c r="X11" s="91">
        <v>0</v>
      </c>
      <c r="Y11" s="91">
        <v>0</v>
      </c>
      <c r="Z11" s="91">
        <v>0</v>
      </c>
      <c r="AA11" s="91">
        <v>0</v>
      </c>
      <c r="AB11" s="91">
        <v>0</v>
      </c>
      <c r="AC11" s="91">
        <v>0</v>
      </c>
      <c r="AD11" s="91">
        <v>0</v>
      </c>
      <c r="AE11" s="91">
        <v>0</v>
      </c>
      <c r="AF11" s="91"/>
      <c r="AG11" s="91"/>
    </row>
    <row r="12" spans="1:33" ht="16.5" customHeight="1">
      <c r="A12" s="89" t="s">
        <v>225</v>
      </c>
      <c r="B12" s="91">
        <v>0</v>
      </c>
      <c r="C12" s="91">
        <v>0</v>
      </c>
      <c r="D12" s="91">
        <v>0</v>
      </c>
      <c r="E12" s="91">
        <v>0</v>
      </c>
      <c r="F12" s="91">
        <v>0</v>
      </c>
      <c r="G12" s="91">
        <v>0</v>
      </c>
      <c r="H12" s="91">
        <v>0</v>
      </c>
      <c r="I12" s="91">
        <v>0</v>
      </c>
      <c r="J12" s="91">
        <v>0</v>
      </c>
      <c r="K12" s="91">
        <v>0</v>
      </c>
      <c r="L12" s="91">
        <v>0</v>
      </c>
      <c r="M12" s="91">
        <v>0</v>
      </c>
      <c r="N12" s="91">
        <v>0</v>
      </c>
      <c r="O12" s="91">
        <v>0</v>
      </c>
      <c r="P12" s="91">
        <v>0</v>
      </c>
      <c r="Q12" s="91">
        <v>0</v>
      </c>
      <c r="R12" s="91">
        <v>0</v>
      </c>
      <c r="S12" s="91">
        <v>0</v>
      </c>
      <c r="T12" s="91">
        <v>0</v>
      </c>
      <c r="U12" s="91">
        <v>0</v>
      </c>
      <c r="V12" s="91">
        <v>0</v>
      </c>
      <c r="W12" s="91">
        <v>0</v>
      </c>
      <c r="X12" s="91">
        <v>0</v>
      </c>
      <c r="Y12" s="91">
        <v>0</v>
      </c>
      <c r="Z12" s="91">
        <v>0</v>
      </c>
      <c r="AA12" s="91">
        <v>0</v>
      </c>
      <c r="AB12" s="91">
        <v>0</v>
      </c>
      <c r="AC12" s="91">
        <v>0</v>
      </c>
      <c r="AD12" s="91">
        <v>0</v>
      </c>
      <c r="AE12" s="91">
        <v>0</v>
      </c>
      <c r="AF12" s="91"/>
      <c r="AG12" s="91"/>
    </row>
    <row r="13" spans="1:33" ht="16.5" customHeight="1">
      <c r="A13" s="89" t="s">
        <v>226</v>
      </c>
      <c r="B13" s="91">
        <v>0</v>
      </c>
      <c r="C13" s="91">
        <v>0</v>
      </c>
      <c r="D13" s="91">
        <v>0</v>
      </c>
      <c r="E13" s="91">
        <v>0</v>
      </c>
      <c r="F13" s="91">
        <v>0</v>
      </c>
      <c r="G13" s="91">
        <v>0</v>
      </c>
      <c r="H13" s="91">
        <v>0</v>
      </c>
      <c r="I13" s="91">
        <v>0</v>
      </c>
      <c r="J13" s="91">
        <v>0</v>
      </c>
      <c r="K13" s="91">
        <v>0</v>
      </c>
      <c r="L13" s="91">
        <v>0</v>
      </c>
      <c r="M13" s="91">
        <v>0</v>
      </c>
      <c r="N13" s="91">
        <v>0</v>
      </c>
      <c r="O13" s="91">
        <v>0</v>
      </c>
      <c r="P13" s="91">
        <v>0</v>
      </c>
      <c r="Q13" s="91">
        <v>0</v>
      </c>
      <c r="R13" s="91">
        <v>0</v>
      </c>
      <c r="S13" s="91">
        <v>0</v>
      </c>
      <c r="T13" s="91">
        <v>0</v>
      </c>
      <c r="U13" s="91">
        <v>0</v>
      </c>
      <c r="V13" s="91">
        <v>0</v>
      </c>
      <c r="W13" s="91">
        <v>0</v>
      </c>
      <c r="X13" s="91">
        <v>0</v>
      </c>
      <c r="Y13" s="91">
        <v>0</v>
      </c>
      <c r="Z13" s="91">
        <v>0</v>
      </c>
      <c r="AA13" s="91">
        <v>0</v>
      </c>
      <c r="AB13" s="91">
        <v>0</v>
      </c>
      <c r="AC13" s="91">
        <v>0</v>
      </c>
      <c r="AD13" s="91">
        <v>0</v>
      </c>
      <c r="AE13" s="91">
        <v>0</v>
      </c>
      <c r="AF13" s="91"/>
      <c r="AG13" s="91"/>
    </row>
    <row r="14" spans="1:33" ht="16.5" customHeight="1">
      <c r="A14" s="89" t="s">
        <v>227</v>
      </c>
      <c r="B14" s="91">
        <v>0</v>
      </c>
      <c r="C14" s="91">
        <v>0</v>
      </c>
      <c r="D14" s="91">
        <v>0</v>
      </c>
      <c r="E14" s="91">
        <v>0</v>
      </c>
      <c r="F14" s="91">
        <v>0</v>
      </c>
      <c r="G14" s="91">
        <v>0</v>
      </c>
      <c r="H14" s="91">
        <v>0</v>
      </c>
      <c r="I14" s="91">
        <v>0</v>
      </c>
      <c r="J14" s="91">
        <v>0</v>
      </c>
      <c r="K14" s="91">
        <v>0</v>
      </c>
      <c r="L14" s="91">
        <v>0</v>
      </c>
      <c r="M14" s="91">
        <v>0</v>
      </c>
      <c r="N14" s="91">
        <v>0</v>
      </c>
      <c r="O14" s="91">
        <v>0</v>
      </c>
      <c r="P14" s="91">
        <v>0</v>
      </c>
      <c r="Q14" s="91">
        <v>0</v>
      </c>
      <c r="R14" s="91">
        <v>0</v>
      </c>
      <c r="S14" s="91">
        <v>0</v>
      </c>
      <c r="T14" s="91">
        <v>0</v>
      </c>
      <c r="U14" s="91">
        <v>0</v>
      </c>
      <c r="V14" s="91">
        <v>0</v>
      </c>
      <c r="W14" s="91">
        <v>0</v>
      </c>
      <c r="X14" s="91">
        <v>0</v>
      </c>
      <c r="Y14" s="91">
        <v>0</v>
      </c>
      <c r="Z14" s="91">
        <v>0</v>
      </c>
      <c r="AA14" s="91">
        <v>0</v>
      </c>
      <c r="AB14" s="91">
        <v>0</v>
      </c>
      <c r="AC14" s="91">
        <v>0</v>
      </c>
      <c r="AD14" s="91">
        <v>0</v>
      </c>
      <c r="AE14" s="91">
        <v>0</v>
      </c>
      <c r="AF14" s="91"/>
      <c r="AG14" s="91"/>
    </row>
    <row r="15" spans="1:33" ht="16.5" customHeight="1">
      <c r="A15" s="94" t="s">
        <v>127</v>
      </c>
      <c r="B15" s="91">
        <f>BSpUECB_세액공제액!B59</f>
        <v>2.6708688566508799E-2</v>
      </c>
      <c r="C15" s="91">
        <f>BSpUECB_세액공제액!C59</f>
        <v>2.6708688566508799E-2</v>
      </c>
      <c r="D15" s="91">
        <f>BSpUECB_세액공제액!D59</f>
        <v>2.6708688566508799E-2</v>
      </c>
      <c r="E15" s="91">
        <f>BSpUECB_세액공제액!E59</f>
        <v>2.6708688566508799E-2</v>
      </c>
      <c r="F15" s="91">
        <f>BSpUECB_세액공제액!F59</f>
        <v>2.6708688566508796E-2</v>
      </c>
      <c r="G15" s="91">
        <f>BSpUECB_세액공제액!G59</f>
        <v>2.6708688566508793E-2</v>
      </c>
      <c r="H15" s="91">
        <f>BSpUECB_세액공제액!H59</f>
        <v>2.6708688566508799E-2</v>
      </c>
      <c r="I15" s="91">
        <f>BSpUECB_세액공제액!I59</f>
        <v>2.6708688566508796E-2</v>
      </c>
      <c r="J15" s="91">
        <f>BSpUECB_세액공제액!J59</f>
        <v>2.6708688566508793E-2</v>
      </c>
      <c r="K15" s="91">
        <f>BSpUECB_세액공제액!K59</f>
        <v>2.6708688566508793E-2</v>
      </c>
      <c r="L15" s="91">
        <f>BSpUECB_세액공제액!L59</f>
        <v>2.6708688566508796E-2</v>
      </c>
      <c r="M15" s="91">
        <f>BSpUECB_세액공제액!M59</f>
        <v>2.6708688566508793E-2</v>
      </c>
      <c r="N15" s="91">
        <f>BSpUECB_세액공제액!N59</f>
        <v>2.6708688566508793E-2</v>
      </c>
      <c r="O15" s="91">
        <f>BSpUECB_세액공제액!O59</f>
        <v>2.6708688566508803E-2</v>
      </c>
      <c r="P15" s="91">
        <f>BSpUECB_세액공제액!P59</f>
        <v>2.6708688566508803E-2</v>
      </c>
      <c r="Q15" s="91">
        <f>BSpUECB_세액공제액!Q59</f>
        <v>2.6708688566508799E-2</v>
      </c>
      <c r="R15" s="91">
        <f>BSpUECB_세액공제액!R59</f>
        <v>2.6708688566508796E-2</v>
      </c>
      <c r="S15" s="91">
        <f>BSpUECB_세액공제액!S59</f>
        <v>2.6708688566508789E-2</v>
      </c>
      <c r="T15" s="91">
        <f>BSpUECB_세액공제액!T59</f>
        <v>2.6708688566508793E-2</v>
      </c>
      <c r="U15" s="91">
        <f>BSpUECB_세액공제액!U59</f>
        <v>2.6708688566508786E-2</v>
      </c>
      <c r="V15" s="91">
        <f>BSpUECB_세액공제액!V59</f>
        <v>2.6708688566508793E-2</v>
      </c>
      <c r="W15" s="91">
        <f>BSpUECB_세액공제액!W59</f>
        <v>2.6708688566508786E-2</v>
      </c>
      <c r="X15" s="91">
        <f>BSpUECB_세액공제액!X59</f>
        <v>2.6708688566508786E-2</v>
      </c>
      <c r="Y15" s="91">
        <f>BSpUECB_세액공제액!Y59</f>
        <v>2.6708688566508786E-2</v>
      </c>
      <c r="Z15" s="91">
        <f>BSpUECB_세액공제액!Z59</f>
        <v>2.6708688566508786E-2</v>
      </c>
      <c r="AA15" s="91">
        <f>BSpUECB_세액공제액!AA59</f>
        <v>2.6708688566508786E-2</v>
      </c>
      <c r="AB15" s="91">
        <f>BSpUECB_세액공제액!AB59</f>
        <v>2.6708688566508786E-2</v>
      </c>
      <c r="AC15" s="91">
        <f>BSpUECB_세액공제액!AC59</f>
        <v>2.6708688566508786E-2</v>
      </c>
      <c r="AD15" s="91">
        <f>BSpUECB_세액공제액!AD59</f>
        <v>2.6708688566508786E-2</v>
      </c>
      <c r="AE15" s="91">
        <f>BSpUECB_세액공제액!AE59</f>
        <v>2.6708688566508786E-2</v>
      </c>
      <c r="AF15" s="91"/>
      <c r="AG15" s="91"/>
    </row>
    <row r="16" spans="1:33" ht="16.5" customHeight="1">
      <c r="A16" s="89" t="s">
        <v>212</v>
      </c>
      <c r="B16" s="91">
        <v>0</v>
      </c>
      <c r="C16" s="91">
        <v>0</v>
      </c>
      <c r="D16" s="91">
        <v>0</v>
      </c>
      <c r="E16" s="91">
        <v>0</v>
      </c>
      <c r="F16" s="91">
        <v>0</v>
      </c>
      <c r="G16" s="91">
        <v>0</v>
      </c>
      <c r="H16" s="91">
        <v>0</v>
      </c>
      <c r="I16" s="91">
        <v>0</v>
      </c>
      <c r="J16" s="91">
        <v>0</v>
      </c>
      <c r="K16" s="91">
        <v>0</v>
      </c>
      <c r="L16" s="91">
        <v>0</v>
      </c>
      <c r="M16" s="91">
        <v>0</v>
      </c>
      <c r="N16" s="91">
        <v>0</v>
      </c>
      <c r="O16" s="91">
        <v>0</v>
      </c>
      <c r="P16" s="91">
        <v>0</v>
      </c>
      <c r="Q16" s="91">
        <v>0</v>
      </c>
      <c r="R16" s="91">
        <v>0</v>
      </c>
      <c r="S16" s="91">
        <v>0</v>
      </c>
      <c r="T16" s="91">
        <v>0</v>
      </c>
      <c r="U16" s="91">
        <v>0</v>
      </c>
      <c r="V16" s="91">
        <v>0</v>
      </c>
      <c r="W16" s="91">
        <v>0</v>
      </c>
      <c r="X16" s="91">
        <v>0</v>
      </c>
      <c r="Y16" s="91">
        <v>0</v>
      </c>
      <c r="Z16" s="91">
        <v>0</v>
      </c>
      <c r="AA16" s="91">
        <v>0</v>
      </c>
      <c r="AB16" s="91">
        <v>0</v>
      </c>
      <c r="AC16" s="91">
        <v>0</v>
      </c>
      <c r="AD16" s="91">
        <v>0</v>
      </c>
      <c r="AE16" s="91">
        <v>0</v>
      </c>
      <c r="AF16" s="91"/>
      <c r="AG16" s="91"/>
    </row>
    <row r="17" spans="1:33" ht="16.5" customHeight="1">
      <c r="A17" s="89" t="s">
        <v>228</v>
      </c>
      <c r="B17" s="91">
        <v>0</v>
      </c>
      <c r="C17" s="91">
        <v>0</v>
      </c>
      <c r="D17" s="91">
        <v>0</v>
      </c>
      <c r="E17" s="91">
        <v>0</v>
      </c>
      <c r="F17" s="91">
        <v>0</v>
      </c>
      <c r="G17" s="91">
        <v>0</v>
      </c>
      <c r="H17" s="91">
        <v>0</v>
      </c>
      <c r="I17" s="91">
        <v>0</v>
      </c>
      <c r="J17" s="91">
        <v>0</v>
      </c>
      <c r="K17" s="91">
        <v>0</v>
      </c>
      <c r="L17" s="91">
        <v>0</v>
      </c>
      <c r="M17" s="91">
        <v>0</v>
      </c>
      <c r="N17" s="91">
        <v>0</v>
      </c>
      <c r="O17" s="91">
        <v>0</v>
      </c>
      <c r="P17" s="91">
        <v>0</v>
      </c>
      <c r="Q17" s="91">
        <v>0</v>
      </c>
      <c r="R17" s="91">
        <v>0</v>
      </c>
      <c r="S17" s="91">
        <v>0</v>
      </c>
      <c r="T17" s="91">
        <v>0</v>
      </c>
      <c r="U17" s="91">
        <v>0</v>
      </c>
      <c r="V17" s="91">
        <v>0</v>
      </c>
      <c r="W17" s="91">
        <v>0</v>
      </c>
      <c r="X17" s="91">
        <v>0</v>
      </c>
      <c r="Y17" s="91">
        <v>0</v>
      </c>
      <c r="Z17" s="91">
        <v>0</v>
      </c>
      <c r="AA17" s="91">
        <v>0</v>
      </c>
      <c r="AB17" s="91">
        <v>0</v>
      </c>
      <c r="AC17" s="91">
        <v>0</v>
      </c>
      <c r="AD17" s="91">
        <v>0</v>
      </c>
      <c r="AE17" s="91">
        <v>0</v>
      </c>
      <c r="AF17" s="91"/>
      <c r="AG17" s="91"/>
    </row>
    <row r="18" spans="1:33" ht="16.5" customHeight="1">
      <c r="A18" s="89" t="s">
        <v>215</v>
      </c>
      <c r="B18" s="91">
        <v>0</v>
      </c>
      <c r="C18" s="91">
        <v>0</v>
      </c>
      <c r="D18" s="91">
        <v>0</v>
      </c>
      <c r="E18" s="91">
        <v>0</v>
      </c>
      <c r="F18" s="91">
        <v>0</v>
      </c>
      <c r="G18" s="91">
        <v>0</v>
      </c>
      <c r="H18" s="91">
        <v>0</v>
      </c>
      <c r="I18" s="91">
        <v>0</v>
      </c>
      <c r="J18" s="91">
        <v>0</v>
      </c>
      <c r="K18" s="91">
        <v>0</v>
      </c>
      <c r="L18" s="91">
        <v>0</v>
      </c>
      <c r="M18" s="91">
        <v>0</v>
      </c>
      <c r="N18" s="91">
        <v>0</v>
      </c>
      <c r="O18" s="91">
        <v>0</v>
      </c>
      <c r="P18" s="91">
        <v>0</v>
      </c>
      <c r="Q18" s="91">
        <v>0</v>
      </c>
      <c r="R18" s="91">
        <v>0</v>
      </c>
      <c r="S18" s="91">
        <v>0</v>
      </c>
      <c r="T18" s="91">
        <v>0</v>
      </c>
      <c r="U18" s="91">
        <v>0</v>
      </c>
      <c r="V18" s="91">
        <v>0</v>
      </c>
      <c r="W18" s="91">
        <v>0</v>
      </c>
      <c r="X18" s="91">
        <v>0</v>
      </c>
      <c r="Y18" s="91">
        <v>0</v>
      </c>
      <c r="Z18" s="91">
        <v>0</v>
      </c>
      <c r="AA18" s="91">
        <v>0</v>
      </c>
      <c r="AB18" s="91">
        <v>0</v>
      </c>
      <c r="AC18" s="91">
        <v>0</v>
      </c>
      <c r="AD18" s="91">
        <v>0</v>
      </c>
      <c r="AE18" s="91">
        <v>0</v>
      </c>
    </row>
    <row r="19" spans="1:33" ht="16.5" customHeight="1">
      <c r="A19" s="89" t="s">
        <v>229</v>
      </c>
      <c r="B19" s="91">
        <v>0</v>
      </c>
      <c r="C19" s="91">
        <v>0</v>
      </c>
      <c r="D19" s="91">
        <v>0</v>
      </c>
      <c r="E19" s="91">
        <v>0</v>
      </c>
      <c r="F19" s="91">
        <v>0</v>
      </c>
      <c r="G19" s="91">
        <v>0</v>
      </c>
      <c r="H19" s="91">
        <v>0</v>
      </c>
      <c r="I19" s="91">
        <v>0</v>
      </c>
      <c r="J19" s="91">
        <v>0</v>
      </c>
      <c r="K19" s="91">
        <v>0</v>
      </c>
      <c r="L19" s="91">
        <v>0</v>
      </c>
      <c r="M19" s="91">
        <v>0</v>
      </c>
      <c r="N19" s="91">
        <v>0</v>
      </c>
      <c r="O19" s="91">
        <v>0</v>
      </c>
      <c r="P19" s="91">
        <v>0</v>
      </c>
      <c r="Q19" s="91">
        <v>0</v>
      </c>
      <c r="R19" s="91">
        <v>0</v>
      </c>
      <c r="S19" s="91">
        <v>0</v>
      </c>
      <c r="T19" s="91">
        <v>0</v>
      </c>
      <c r="U19" s="91">
        <v>0</v>
      </c>
      <c r="V19" s="91">
        <v>0</v>
      </c>
      <c r="W19" s="91">
        <v>0</v>
      </c>
      <c r="X19" s="91">
        <v>0</v>
      </c>
      <c r="Y19" s="91">
        <v>0</v>
      </c>
      <c r="Z19" s="91">
        <v>0</v>
      </c>
      <c r="AA19" s="91">
        <v>0</v>
      </c>
      <c r="AB19" s="91">
        <v>0</v>
      </c>
      <c r="AC19" s="91">
        <v>0</v>
      </c>
      <c r="AD19" s="91">
        <v>0</v>
      </c>
      <c r="AE19" s="91">
        <v>0</v>
      </c>
    </row>
    <row r="20" spans="1:33" ht="16.5" customHeight="1">
      <c r="A20" s="89" t="s">
        <v>230</v>
      </c>
      <c r="B20" s="91">
        <v>0</v>
      </c>
      <c r="C20" s="91">
        <v>0</v>
      </c>
      <c r="D20" s="91">
        <v>0</v>
      </c>
      <c r="E20" s="91">
        <v>0</v>
      </c>
      <c r="F20" s="91">
        <v>0</v>
      </c>
      <c r="G20" s="91">
        <v>0</v>
      </c>
      <c r="H20" s="91">
        <v>0</v>
      </c>
      <c r="I20" s="91">
        <v>0</v>
      </c>
      <c r="J20" s="91">
        <v>0</v>
      </c>
      <c r="K20" s="91">
        <v>0</v>
      </c>
      <c r="L20" s="91">
        <v>0</v>
      </c>
      <c r="M20" s="91">
        <v>0</v>
      </c>
      <c r="N20" s="91">
        <v>0</v>
      </c>
      <c r="O20" s="91">
        <v>0</v>
      </c>
      <c r="P20" s="91">
        <v>0</v>
      </c>
      <c r="Q20" s="91">
        <v>0</v>
      </c>
      <c r="R20" s="91">
        <v>0</v>
      </c>
      <c r="S20" s="91">
        <v>0</v>
      </c>
      <c r="T20" s="91">
        <v>0</v>
      </c>
      <c r="U20" s="91">
        <v>0</v>
      </c>
      <c r="V20" s="91">
        <v>0</v>
      </c>
      <c r="W20" s="91">
        <v>0</v>
      </c>
      <c r="X20" s="91">
        <v>0</v>
      </c>
      <c r="Y20" s="91">
        <v>0</v>
      </c>
      <c r="Z20" s="91">
        <v>0</v>
      </c>
      <c r="AA20" s="91">
        <v>0</v>
      </c>
      <c r="AB20" s="91">
        <v>0</v>
      </c>
      <c r="AC20" s="91">
        <v>0</v>
      </c>
      <c r="AD20" s="91">
        <v>0</v>
      </c>
      <c r="AE20" s="91">
        <v>0</v>
      </c>
    </row>
    <row r="21" spans="1:33" ht="16.5" customHeight="1">
      <c r="A21" s="89" t="s">
        <v>231</v>
      </c>
      <c r="B21" s="91">
        <v>0</v>
      </c>
      <c r="C21" s="91">
        <v>0</v>
      </c>
      <c r="D21" s="91">
        <v>0</v>
      </c>
      <c r="E21" s="91">
        <v>0</v>
      </c>
      <c r="F21" s="91">
        <v>0</v>
      </c>
      <c r="G21" s="91">
        <v>0</v>
      </c>
      <c r="H21" s="91">
        <v>0</v>
      </c>
      <c r="I21" s="91">
        <v>0</v>
      </c>
      <c r="J21" s="91">
        <v>0</v>
      </c>
      <c r="K21" s="91">
        <v>0</v>
      </c>
      <c r="L21" s="91">
        <v>0</v>
      </c>
      <c r="M21" s="91">
        <v>0</v>
      </c>
      <c r="N21" s="91">
        <v>0</v>
      </c>
      <c r="O21" s="91">
        <v>0</v>
      </c>
      <c r="P21" s="91">
        <v>0</v>
      </c>
      <c r="Q21" s="91">
        <v>0</v>
      </c>
      <c r="R21" s="91">
        <v>0</v>
      </c>
      <c r="S21" s="91">
        <v>0</v>
      </c>
      <c r="T21" s="91">
        <v>0</v>
      </c>
      <c r="U21" s="91">
        <v>0</v>
      </c>
      <c r="V21" s="91">
        <v>0</v>
      </c>
      <c r="W21" s="91">
        <v>0</v>
      </c>
      <c r="X21" s="91">
        <v>0</v>
      </c>
      <c r="Y21" s="91">
        <v>0</v>
      </c>
      <c r="Z21" s="91">
        <v>0</v>
      </c>
      <c r="AA21" s="91">
        <v>0</v>
      </c>
      <c r="AB21" s="91">
        <v>0</v>
      </c>
      <c r="AC21" s="91">
        <v>0</v>
      </c>
      <c r="AD21" s="91">
        <v>0</v>
      </c>
      <c r="AE21" s="91">
        <v>0</v>
      </c>
    </row>
    <row r="22" spans="1:33" ht="16.5" customHeight="1">
      <c r="A22" s="89" t="s">
        <v>232</v>
      </c>
      <c r="B22" s="91">
        <v>0</v>
      </c>
      <c r="C22" s="91">
        <v>0</v>
      </c>
      <c r="D22" s="91">
        <v>0</v>
      </c>
      <c r="E22" s="91">
        <v>0</v>
      </c>
      <c r="F22" s="91">
        <v>0</v>
      </c>
      <c r="G22" s="91">
        <v>0</v>
      </c>
      <c r="H22" s="91">
        <v>0</v>
      </c>
      <c r="I22" s="91">
        <v>0</v>
      </c>
      <c r="J22" s="91">
        <v>0</v>
      </c>
      <c r="K22" s="91">
        <v>0</v>
      </c>
      <c r="L22" s="91">
        <v>0</v>
      </c>
      <c r="M22" s="91">
        <v>0</v>
      </c>
      <c r="N22" s="91">
        <v>0</v>
      </c>
      <c r="O22" s="91">
        <v>0</v>
      </c>
      <c r="P22" s="91">
        <v>0</v>
      </c>
      <c r="Q22" s="91">
        <v>0</v>
      </c>
      <c r="R22" s="91">
        <v>0</v>
      </c>
      <c r="S22" s="91">
        <v>0</v>
      </c>
      <c r="T22" s="91">
        <v>0</v>
      </c>
      <c r="U22" s="91">
        <v>0</v>
      </c>
      <c r="V22" s="91">
        <v>0</v>
      </c>
      <c r="W22" s="91">
        <v>0</v>
      </c>
      <c r="X22" s="91">
        <v>0</v>
      </c>
      <c r="Y22" s="91">
        <v>0</v>
      </c>
      <c r="Z22" s="91">
        <v>0</v>
      </c>
      <c r="AA22" s="91">
        <v>0</v>
      </c>
      <c r="AB22" s="91">
        <v>0</v>
      </c>
      <c r="AC22" s="91">
        <v>0</v>
      </c>
      <c r="AD22" s="91">
        <v>0</v>
      </c>
      <c r="AE22" s="91">
        <v>0</v>
      </c>
    </row>
    <row r="23" spans="1:33" ht="16.5" customHeight="1">
      <c r="A23" s="89" t="s">
        <v>233</v>
      </c>
      <c r="B23" s="91">
        <v>0</v>
      </c>
      <c r="C23" s="91">
        <v>0</v>
      </c>
      <c r="D23" s="91">
        <v>0</v>
      </c>
      <c r="E23" s="91">
        <v>0</v>
      </c>
      <c r="F23" s="91">
        <v>0</v>
      </c>
      <c r="G23" s="91">
        <v>0</v>
      </c>
      <c r="H23" s="91">
        <v>0</v>
      </c>
      <c r="I23" s="91">
        <v>0</v>
      </c>
      <c r="J23" s="91">
        <v>0</v>
      </c>
      <c r="K23" s="91">
        <v>0</v>
      </c>
      <c r="L23" s="91">
        <v>0</v>
      </c>
      <c r="M23" s="91">
        <v>0</v>
      </c>
      <c r="N23" s="91">
        <v>0</v>
      </c>
      <c r="O23" s="91">
        <v>0</v>
      </c>
      <c r="P23" s="91">
        <v>0</v>
      </c>
      <c r="Q23" s="91">
        <v>0</v>
      </c>
      <c r="R23" s="91">
        <v>0</v>
      </c>
      <c r="S23" s="91">
        <v>0</v>
      </c>
      <c r="T23" s="91">
        <v>0</v>
      </c>
      <c r="U23" s="91">
        <v>0</v>
      </c>
      <c r="V23" s="91">
        <v>0</v>
      </c>
      <c r="W23" s="91">
        <v>0</v>
      </c>
      <c r="X23" s="91">
        <v>0</v>
      </c>
      <c r="Y23" s="91">
        <v>0</v>
      </c>
      <c r="Z23" s="91">
        <v>0</v>
      </c>
      <c r="AA23" s="91">
        <v>0</v>
      </c>
      <c r="AB23" s="91">
        <v>0</v>
      </c>
      <c r="AC23" s="91">
        <v>0</v>
      </c>
      <c r="AD23" s="91">
        <v>0</v>
      </c>
      <c r="AE23" s="91">
        <v>0</v>
      </c>
    </row>
    <row r="24" spans="1:33" ht="16.5" customHeight="1">
      <c r="A24" s="92" t="s">
        <v>234</v>
      </c>
      <c r="B24" s="91">
        <v>0</v>
      </c>
      <c r="C24" s="91">
        <v>0</v>
      </c>
      <c r="D24" s="91">
        <v>0</v>
      </c>
      <c r="E24" s="91">
        <v>0</v>
      </c>
      <c r="F24" s="91">
        <v>0</v>
      </c>
      <c r="G24" s="91">
        <v>0</v>
      </c>
      <c r="H24" s="91">
        <v>0</v>
      </c>
      <c r="I24" s="91">
        <v>0</v>
      </c>
      <c r="J24" s="91">
        <v>0</v>
      </c>
      <c r="K24" s="91">
        <v>0</v>
      </c>
      <c r="L24" s="91">
        <v>0</v>
      </c>
      <c r="M24" s="91">
        <v>0</v>
      </c>
      <c r="N24" s="91">
        <v>0</v>
      </c>
      <c r="O24" s="91">
        <v>0</v>
      </c>
      <c r="P24" s="91">
        <v>0</v>
      </c>
      <c r="Q24" s="91">
        <v>0</v>
      </c>
      <c r="R24" s="91">
        <v>0</v>
      </c>
      <c r="S24" s="91">
        <v>0</v>
      </c>
      <c r="T24" s="91">
        <v>0</v>
      </c>
      <c r="U24" s="91">
        <v>0</v>
      </c>
      <c r="V24" s="91">
        <v>0</v>
      </c>
      <c r="W24" s="91">
        <v>0</v>
      </c>
      <c r="X24" s="91">
        <v>0</v>
      </c>
      <c r="Y24" s="91">
        <v>0</v>
      </c>
      <c r="Z24" s="91">
        <v>0</v>
      </c>
      <c r="AA24" s="91">
        <v>0</v>
      </c>
      <c r="AB24" s="91">
        <v>0</v>
      </c>
      <c r="AC24" s="91">
        <v>0</v>
      </c>
      <c r="AD24" s="91">
        <v>0</v>
      </c>
      <c r="AE24" s="91">
        <v>0</v>
      </c>
    </row>
    <row r="25" spans="1:33" ht="16.5" customHeight="1">
      <c r="A25" s="92" t="s">
        <v>235</v>
      </c>
      <c r="B25" s="91">
        <v>0</v>
      </c>
      <c r="C25" s="91">
        <v>0</v>
      </c>
      <c r="D25" s="91">
        <v>0</v>
      </c>
      <c r="E25" s="91">
        <v>0</v>
      </c>
      <c r="F25" s="91">
        <v>0</v>
      </c>
      <c r="G25" s="91">
        <v>0</v>
      </c>
      <c r="H25" s="91">
        <v>0</v>
      </c>
      <c r="I25" s="91">
        <v>0</v>
      </c>
      <c r="J25" s="91">
        <v>0</v>
      </c>
      <c r="K25" s="91">
        <v>0</v>
      </c>
      <c r="L25" s="91">
        <v>0</v>
      </c>
      <c r="M25" s="91">
        <v>0</v>
      </c>
      <c r="N25" s="91">
        <v>0</v>
      </c>
      <c r="O25" s="91">
        <v>0</v>
      </c>
      <c r="P25" s="91">
        <v>0</v>
      </c>
      <c r="Q25" s="91">
        <v>0</v>
      </c>
      <c r="R25" s="91">
        <v>0</v>
      </c>
      <c r="S25" s="91">
        <v>0</v>
      </c>
      <c r="T25" s="91">
        <v>0</v>
      </c>
      <c r="U25" s="91">
        <v>0</v>
      </c>
      <c r="V25" s="91">
        <v>0</v>
      </c>
      <c r="W25" s="91">
        <v>0</v>
      </c>
      <c r="X25" s="91">
        <v>0</v>
      </c>
      <c r="Y25" s="91">
        <v>0</v>
      </c>
      <c r="Z25" s="91">
        <v>0</v>
      </c>
      <c r="AA25" s="91">
        <v>0</v>
      </c>
      <c r="AB25" s="91">
        <v>0</v>
      </c>
      <c r="AC25" s="91">
        <v>0</v>
      </c>
      <c r="AD25" s="91">
        <v>0</v>
      </c>
      <c r="AE25" s="91">
        <v>0</v>
      </c>
    </row>
    <row r="26" spans="1:33" ht="16.5" customHeight="1"/>
    <row r="27" spans="1:33" ht="16.5" customHeight="1"/>
    <row r="28" spans="1:33" ht="16.5" customHeight="1"/>
    <row r="29" spans="1:33" ht="16.5" customHeight="1"/>
    <row r="30" spans="1:33" ht="16.5" customHeight="1"/>
    <row r="31" spans="1:33" ht="16.5" customHeight="1"/>
    <row r="32" spans="1:33" ht="16.5" customHeight="1"/>
    <row r="33" s="90" customFormat="1" ht="16.5" customHeight="1"/>
    <row r="34" s="90" customFormat="1" ht="16.5" customHeight="1"/>
    <row r="35" s="90" customFormat="1" ht="16.5" customHeight="1"/>
    <row r="36" s="90" customFormat="1" ht="16.5" customHeight="1"/>
    <row r="37" s="90" customFormat="1" ht="16.5" customHeight="1"/>
    <row r="38" s="90" customFormat="1" ht="16.5" customHeight="1"/>
    <row r="39" s="90" customFormat="1" ht="16.5" customHeight="1"/>
    <row r="40" s="90" customFormat="1" ht="16.5" customHeight="1"/>
    <row r="41" s="90" customFormat="1" ht="16.5" customHeight="1"/>
    <row r="42" s="90" customFormat="1" ht="16.5" customHeight="1"/>
    <row r="43" s="90" customFormat="1" ht="16.5" customHeight="1"/>
    <row r="44" s="90" customFormat="1" ht="16.5" customHeight="1"/>
    <row r="45" s="90" customFormat="1" ht="16.5" customHeight="1"/>
    <row r="46" s="90" customFormat="1" ht="16.5" customHeight="1"/>
    <row r="47" s="90" customFormat="1" ht="16.5" customHeight="1"/>
    <row r="48" s="90" customFormat="1" ht="16.5" customHeight="1"/>
    <row r="49" s="90" customFormat="1" ht="16.5" customHeight="1"/>
    <row r="50" s="90" customFormat="1" ht="16.5" customHeight="1"/>
    <row r="51" s="90" customFormat="1" ht="16.5" customHeight="1"/>
    <row r="52" s="90" customFormat="1" ht="16.5" customHeight="1"/>
    <row r="53" s="90" customFormat="1" ht="16.5" customHeight="1"/>
    <row r="54" s="90" customFormat="1" ht="16.5" customHeight="1"/>
    <row r="55" s="90" customFormat="1" ht="16.5" customHeight="1"/>
    <row r="56" s="90" customFormat="1" ht="16.5" customHeight="1"/>
    <row r="57" s="90" customFormat="1" ht="16.5" customHeight="1"/>
    <row r="58" s="90" customFormat="1" ht="16.5" customHeight="1"/>
    <row r="59" s="90" customFormat="1" ht="16.5" customHeight="1"/>
    <row r="60" s="90" customFormat="1" ht="16.5" customHeight="1"/>
    <row r="61" s="90" customFormat="1" ht="16.5" customHeight="1"/>
    <row r="62" s="90" customFormat="1" ht="16.5" customHeight="1"/>
    <row r="63" s="90" customFormat="1" ht="16.5" customHeight="1"/>
    <row r="64" s="90" customFormat="1" ht="16.5" customHeight="1"/>
    <row r="65" s="90" customFormat="1" ht="16.5" customHeight="1"/>
    <row r="66" s="90" customFormat="1" ht="16.5" customHeight="1"/>
    <row r="67" s="90" customFormat="1" ht="16.5" customHeight="1"/>
    <row r="68" s="90" customFormat="1" ht="16.5" customHeight="1"/>
    <row r="69" s="90" customFormat="1" ht="16.5" customHeight="1"/>
    <row r="70" s="90" customFormat="1" ht="16.5" customHeight="1"/>
    <row r="71" s="90" customFormat="1" ht="16.5" customHeight="1"/>
    <row r="72" s="90" customFormat="1" ht="16.5" customHeight="1"/>
    <row r="73" s="90" customFormat="1" ht="16.5" customHeight="1"/>
    <row r="74" s="90" customFormat="1" ht="16.5" customHeight="1"/>
    <row r="75" s="90" customFormat="1" ht="16.5" customHeight="1"/>
    <row r="76" s="90" customFormat="1" ht="16.5" customHeight="1"/>
    <row r="77" s="90" customFormat="1" ht="16.5" customHeight="1"/>
    <row r="78" s="90" customFormat="1" ht="16.5" customHeight="1"/>
    <row r="79" s="90" customFormat="1" ht="16.5" customHeight="1"/>
    <row r="80" s="90" customFormat="1" ht="16.5" customHeight="1"/>
    <row r="81" s="90" customFormat="1" ht="16.5" customHeight="1"/>
    <row r="82" s="90" customFormat="1" ht="16.5" customHeight="1"/>
    <row r="83" s="90" customFormat="1" ht="16.5" customHeight="1"/>
    <row r="84" s="90" customFormat="1" ht="16.5" customHeight="1"/>
    <row r="85" s="90" customFormat="1" ht="16.5" customHeight="1"/>
    <row r="86" s="90" customFormat="1" ht="16.5" customHeight="1"/>
    <row r="87" s="90" customFormat="1" ht="16.5" customHeight="1"/>
    <row r="88" s="90" customFormat="1" ht="16.5" customHeight="1"/>
    <row r="89" s="90" customFormat="1" ht="16.5" customHeight="1"/>
    <row r="90" s="90" customFormat="1" ht="16.5" customHeight="1"/>
    <row r="91" s="90" customFormat="1" ht="16.5" customHeight="1"/>
    <row r="92" s="90" customFormat="1" ht="16.5" customHeight="1"/>
    <row r="93" s="90" customFormat="1" ht="16.5" customHeight="1"/>
    <row r="94" s="90" customFormat="1" ht="16.5" customHeight="1"/>
    <row r="95" s="90" customFormat="1" ht="16.5" customHeight="1"/>
    <row r="96" s="90" customFormat="1" ht="16.5" customHeight="1"/>
    <row r="97" s="90" customFormat="1" ht="16.5" customHeight="1"/>
    <row r="98" s="90" customFormat="1" ht="16.5" customHeight="1"/>
    <row r="99" s="90" customFormat="1" ht="16.5" customHeight="1"/>
    <row r="100" s="90" customFormat="1" ht="16.5" customHeight="1"/>
    <row r="101" s="90" customFormat="1" ht="16.5" customHeight="1"/>
    <row r="102" s="90" customFormat="1" ht="16.5" customHeight="1"/>
    <row r="103" s="90" customFormat="1" ht="16.5" customHeight="1"/>
    <row r="104" s="90" customFormat="1" ht="16.5" customHeight="1"/>
    <row r="105" s="90" customFormat="1" ht="16.5" customHeight="1"/>
    <row r="106" s="90" customFormat="1" ht="16.5" customHeight="1"/>
    <row r="107" s="90" customFormat="1" ht="16.5" customHeight="1"/>
    <row r="108" s="90" customFormat="1" ht="16.5" customHeight="1"/>
    <row r="109" s="90" customFormat="1" ht="16.5" customHeight="1"/>
    <row r="110" s="90" customFormat="1" ht="16.5" customHeight="1"/>
    <row r="111" s="90" customFormat="1" ht="16.5" customHeight="1"/>
    <row r="112" s="90" customFormat="1" ht="16.5" customHeight="1"/>
    <row r="113" s="90" customFormat="1" ht="16.5" customHeight="1"/>
    <row r="114" s="90" customFormat="1" ht="16.5" customHeight="1"/>
    <row r="115" s="90" customFormat="1" ht="16.5" customHeight="1"/>
    <row r="116" s="90" customFormat="1" ht="16.5" customHeight="1"/>
    <row r="117" s="90" customFormat="1" ht="16.5" customHeight="1"/>
    <row r="118" s="90" customFormat="1" ht="16.5" customHeight="1"/>
    <row r="119" s="90" customFormat="1" ht="16.5" customHeight="1"/>
    <row r="120" s="90" customFormat="1" ht="16.5" customHeight="1"/>
    <row r="121" s="90" customFormat="1" ht="16.5" customHeight="1"/>
    <row r="122" s="90" customFormat="1" ht="16.5" customHeight="1"/>
    <row r="123" s="90" customFormat="1" ht="16.5" customHeight="1"/>
    <row r="124" s="90" customFormat="1" ht="16.5" customHeight="1"/>
    <row r="125" s="90" customFormat="1" ht="16.5" customHeight="1"/>
    <row r="126" s="90" customFormat="1" ht="16.5" customHeight="1"/>
    <row r="127" s="90" customFormat="1" ht="16.5" customHeight="1"/>
    <row r="128" s="90" customFormat="1" ht="16.5" customHeight="1"/>
    <row r="129" s="90" customFormat="1" ht="16.5" customHeight="1"/>
    <row r="130" s="90" customFormat="1" ht="16.5" customHeight="1"/>
    <row r="131" s="90" customFormat="1" ht="16.5" customHeight="1"/>
    <row r="132" s="90" customFormat="1" ht="16.5" customHeight="1"/>
    <row r="133" s="90" customFormat="1" ht="16.5" customHeight="1"/>
    <row r="134" s="90" customFormat="1" ht="16.5" customHeight="1"/>
    <row r="135" s="90" customFormat="1" ht="16.5" customHeight="1"/>
    <row r="136" s="90" customFormat="1" ht="16.5" customHeight="1"/>
    <row r="137" s="90" customFormat="1" ht="16.5" customHeight="1"/>
    <row r="138" s="90" customFormat="1" ht="16.5" customHeight="1"/>
    <row r="139" s="90" customFormat="1" ht="16.5" customHeight="1"/>
    <row r="140" s="90" customFormat="1" ht="16.5" customHeight="1"/>
    <row r="141" s="90" customFormat="1" ht="16.5" customHeight="1"/>
    <row r="142" s="90" customFormat="1" ht="16.5" customHeight="1"/>
    <row r="143" s="90" customFormat="1" ht="16.5" customHeight="1"/>
    <row r="144" s="90" customFormat="1" ht="16.5" customHeight="1"/>
    <row r="145" s="90" customFormat="1" ht="16.5" customHeight="1"/>
    <row r="146" s="90" customFormat="1" ht="16.5" customHeight="1"/>
    <row r="147" s="90" customFormat="1" ht="16.5" customHeight="1"/>
    <row r="148" s="90" customFormat="1" ht="16.5" customHeight="1"/>
    <row r="149" s="90" customFormat="1" ht="16.5" customHeight="1"/>
    <row r="150" s="90" customFormat="1" ht="16.5" customHeight="1"/>
    <row r="151" s="90" customFormat="1" ht="16.5" customHeight="1"/>
    <row r="152" s="90" customFormat="1" ht="16.5" customHeight="1"/>
    <row r="153" s="90" customFormat="1" ht="16.5" customHeight="1"/>
    <row r="154" s="90" customFormat="1" ht="16.5" customHeight="1"/>
    <row r="155" s="90" customFormat="1" ht="16.5" customHeight="1"/>
    <row r="156" s="90" customFormat="1" ht="16.5" customHeight="1"/>
    <row r="157" s="90" customFormat="1" ht="16.5" customHeight="1"/>
    <row r="158" s="90" customFormat="1" ht="16.5" customHeight="1"/>
    <row r="159" s="90" customFormat="1" ht="16.5" customHeight="1"/>
    <row r="160" s="90" customFormat="1" ht="16.5" customHeight="1"/>
    <row r="161" s="90" customFormat="1" ht="16.5" customHeight="1"/>
    <row r="162" s="90" customFormat="1" ht="16.5" customHeight="1"/>
    <row r="163" s="90" customFormat="1" ht="16.5" customHeight="1"/>
    <row r="164" s="90" customFormat="1" ht="16.5" customHeight="1"/>
    <row r="165" s="90" customFormat="1" ht="16.5" customHeight="1"/>
    <row r="166" s="90" customFormat="1" ht="16.5" customHeight="1"/>
    <row r="167" s="90" customFormat="1" ht="16.5" customHeight="1"/>
    <row r="168" s="90" customFormat="1" ht="16.5" customHeight="1"/>
    <row r="169" s="90" customFormat="1" ht="16.5" customHeight="1"/>
    <row r="170" s="90" customFormat="1" ht="16.5" customHeight="1"/>
    <row r="171" s="90" customFormat="1" ht="16.5" customHeight="1"/>
    <row r="172" s="90" customFormat="1" ht="16.5" customHeight="1"/>
    <row r="173" s="90" customFormat="1" ht="16.5" customHeight="1"/>
    <row r="174" s="90" customFormat="1" ht="16.5" customHeight="1"/>
    <row r="175" s="90" customFormat="1" ht="16.5" customHeight="1"/>
    <row r="176" s="90" customFormat="1" ht="16.5" customHeight="1"/>
    <row r="177" s="90" customFormat="1" ht="16.5" customHeight="1"/>
    <row r="178" s="90" customFormat="1" ht="16.5" customHeight="1"/>
    <row r="179" s="90" customFormat="1" ht="16.5" customHeight="1"/>
    <row r="180" s="90" customFormat="1" ht="16.5" customHeight="1"/>
    <row r="181" s="90" customFormat="1" ht="16.5" customHeight="1"/>
    <row r="182" s="90" customFormat="1" ht="16.5" customHeight="1"/>
    <row r="183" s="90" customFormat="1" ht="16.5" customHeight="1"/>
    <row r="184" s="90" customFormat="1" ht="16.5" customHeight="1"/>
    <row r="185" s="90" customFormat="1" ht="16.5" customHeight="1"/>
    <row r="186" s="90" customFormat="1" ht="16.5" customHeight="1"/>
    <row r="187" s="90" customFormat="1" ht="16.5" customHeight="1"/>
    <row r="188" s="90" customFormat="1" ht="16.5" customHeight="1"/>
    <row r="189" s="90" customFormat="1" ht="16.5" customHeight="1"/>
    <row r="190" s="90" customFormat="1" ht="16.5" customHeight="1"/>
    <row r="191" s="90" customFormat="1" ht="16.5" customHeight="1"/>
    <row r="192" s="90" customFormat="1" ht="16.5" customHeight="1"/>
    <row r="193" s="90" customFormat="1" ht="16.5" customHeight="1"/>
    <row r="194" s="90" customFormat="1" ht="16.5" customHeight="1"/>
    <row r="195" s="90" customFormat="1" ht="16.5" customHeight="1"/>
    <row r="196" s="90" customFormat="1" ht="16.5" customHeight="1"/>
    <row r="197" s="90" customFormat="1" ht="16.5" customHeight="1"/>
    <row r="198" s="90" customFormat="1" ht="16.5" customHeight="1"/>
    <row r="199" s="90" customFormat="1" ht="16.5" customHeight="1"/>
    <row r="200" s="90" customFormat="1" ht="16.5" customHeight="1"/>
    <row r="201" s="90" customFormat="1" ht="16.5" customHeight="1"/>
    <row r="202" s="90" customFormat="1" ht="16.5" customHeight="1"/>
    <row r="203" s="90" customFormat="1" ht="16.5" customHeight="1"/>
    <row r="204" s="90" customFormat="1" ht="16.5" customHeight="1"/>
    <row r="205" s="90" customFormat="1" ht="16.5" customHeight="1"/>
    <row r="206" s="90" customFormat="1" ht="16.5" customHeight="1"/>
    <row r="207" s="90" customFormat="1" ht="16.5" customHeight="1"/>
    <row r="208" s="90" customFormat="1" ht="16.5" customHeight="1"/>
    <row r="209" s="90" customFormat="1" ht="16.5" customHeight="1"/>
    <row r="210" s="90" customFormat="1" ht="16.5" customHeight="1"/>
    <row r="211" s="90" customFormat="1" ht="16.5" customHeight="1"/>
    <row r="212" s="90" customFormat="1" ht="16.5" customHeight="1"/>
    <row r="213" s="90" customFormat="1" ht="16.5" customHeight="1"/>
    <row r="214" s="90" customFormat="1" ht="16.5" customHeight="1"/>
    <row r="215" s="90" customFormat="1" ht="16.5" customHeight="1"/>
    <row r="216" s="90" customFormat="1" ht="16.5" customHeight="1"/>
    <row r="217" s="90" customFormat="1" ht="16.5" customHeight="1"/>
    <row r="218" s="90" customFormat="1" ht="16.5" customHeight="1"/>
    <row r="219" s="90" customFormat="1" ht="16.5" customHeight="1"/>
    <row r="220" s="90" customFormat="1" ht="16.5" customHeight="1"/>
    <row r="221" s="90" customFormat="1" ht="16.5" customHeight="1"/>
    <row r="222" s="90" customFormat="1" ht="16.5" customHeight="1"/>
    <row r="223" s="90" customFormat="1" ht="16.5" customHeight="1"/>
    <row r="224" s="90" customFormat="1" ht="16.5" customHeight="1"/>
    <row r="225" s="90" customFormat="1" ht="16.5" customHeight="1"/>
    <row r="226" s="90" customFormat="1" ht="16.5" customHeight="1"/>
    <row r="227" s="90" customFormat="1" ht="16.5" customHeight="1"/>
    <row r="228" s="90" customFormat="1" ht="16.5" customHeight="1"/>
    <row r="229" s="90" customFormat="1" ht="16.5" customHeight="1"/>
    <row r="230" s="90" customFormat="1" ht="16.5" customHeight="1"/>
    <row r="231" s="90" customFormat="1" ht="16.5" customHeight="1"/>
    <row r="232" s="90" customFormat="1" ht="16.5" customHeight="1"/>
    <row r="233" s="90" customFormat="1" ht="16.5" customHeight="1"/>
    <row r="234" s="90" customFormat="1" ht="16.5" customHeight="1"/>
    <row r="235" s="90" customFormat="1" ht="16.5" customHeight="1"/>
    <row r="236" s="90" customFormat="1" ht="16.5" customHeight="1"/>
    <row r="237" s="90" customFormat="1" ht="16.5" customHeight="1"/>
    <row r="238" s="90" customFormat="1" ht="16.5" customHeight="1"/>
    <row r="239" s="90" customFormat="1" ht="16.5" customHeight="1"/>
    <row r="240" s="90" customFormat="1" ht="16.5" customHeight="1"/>
    <row r="241" s="90" customFormat="1" ht="16.5" customHeight="1"/>
    <row r="242" s="90" customFormat="1" ht="16.5" customHeight="1"/>
    <row r="243" s="90" customFormat="1" ht="16.5" customHeight="1"/>
    <row r="244" s="90" customFormat="1" ht="16.5" customHeight="1"/>
    <row r="245" s="90" customFormat="1" ht="16.5" customHeight="1"/>
    <row r="246" s="90" customFormat="1" ht="16.5" customHeight="1"/>
    <row r="247" s="90" customFormat="1" ht="16.5" customHeight="1"/>
    <row r="248" s="90" customFormat="1" ht="16.5" customHeight="1"/>
    <row r="249" s="90" customFormat="1" ht="16.5" customHeight="1"/>
    <row r="250" s="90" customFormat="1" ht="16.5" customHeight="1"/>
    <row r="251" s="90" customFormat="1" ht="16.5" customHeight="1"/>
    <row r="252" s="90" customFormat="1" ht="16.5" customHeight="1"/>
    <row r="253" s="90" customFormat="1" ht="16.5" customHeight="1"/>
    <row r="254" s="90" customFormat="1" ht="16.5" customHeight="1"/>
    <row r="255" s="90" customFormat="1" ht="16.5" customHeight="1"/>
    <row r="256" s="90" customFormat="1" ht="16.5" customHeight="1"/>
    <row r="257" s="90" customFormat="1" ht="16.5" customHeight="1"/>
    <row r="258" s="90" customFormat="1" ht="16.5" customHeight="1"/>
    <row r="259" s="90" customFormat="1" ht="16.5" customHeight="1"/>
    <row r="260" s="90" customFormat="1" ht="16.5" customHeight="1"/>
    <row r="261" s="90" customFormat="1" ht="16.5" customHeight="1"/>
    <row r="262" s="90" customFormat="1" ht="16.5" customHeight="1"/>
    <row r="263" s="90" customFormat="1" ht="16.5" customHeight="1"/>
    <row r="264" s="90" customFormat="1" ht="16.5" customHeight="1"/>
    <row r="265" s="90" customFormat="1" ht="16.5" customHeight="1"/>
    <row r="266" s="90" customFormat="1" ht="16.5" customHeight="1"/>
    <row r="267" s="90" customFormat="1" ht="16.5" customHeight="1"/>
    <row r="268" s="90" customFormat="1" ht="16.5" customHeight="1"/>
    <row r="269" s="90" customFormat="1" ht="16.5" customHeight="1"/>
    <row r="270" s="90" customFormat="1" ht="16.5" customHeight="1"/>
    <row r="271" s="90" customFormat="1" ht="16.5" customHeight="1"/>
    <row r="272" s="90" customFormat="1" ht="16.5" customHeight="1"/>
    <row r="273" s="90" customFormat="1" ht="16.5" customHeight="1"/>
    <row r="274" s="90" customFormat="1" ht="16.5" customHeight="1"/>
    <row r="275" s="90" customFormat="1" ht="16.5" customHeight="1"/>
    <row r="276" s="90" customFormat="1" ht="16.5" customHeight="1"/>
    <row r="277" s="90" customFormat="1" ht="16.5" customHeight="1"/>
    <row r="278" s="90" customFormat="1" ht="16.5" customHeight="1"/>
    <row r="279" s="90" customFormat="1" ht="16.5" customHeight="1"/>
    <row r="280" s="90" customFormat="1" ht="16.5" customHeight="1"/>
    <row r="281" s="90" customFormat="1" ht="16.5" customHeight="1"/>
    <row r="282" s="90" customFormat="1" ht="16.5" customHeight="1"/>
    <row r="283" s="90" customFormat="1" ht="16.5" customHeight="1"/>
    <row r="284" s="90" customFormat="1" ht="16.5" customHeight="1"/>
    <row r="285" s="90" customFormat="1" ht="16.5" customHeight="1"/>
    <row r="286" s="90" customFormat="1" ht="16.5" customHeight="1"/>
    <row r="287" s="90" customFormat="1" ht="16.5" customHeight="1"/>
    <row r="288" s="90" customFormat="1" ht="16.5" customHeight="1"/>
    <row r="289" s="90" customFormat="1" ht="16.5" customHeight="1"/>
    <row r="290" s="90" customFormat="1" ht="16.5" customHeight="1"/>
    <row r="291" s="90" customFormat="1" ht="16.5" customHeight="1"/>
    <row r="292" s="90" customFormat="1" ht="16.5" customHeight="1"/>
    <row r="293" s="90" customFormat="1" ht="16.5" customHeight="1"/>
    <row r="294" s="90" customFormat="1" ht="16.5" customHeight="1"/>
    <row r="295" s="90" customFormat="1" ht="16.5" customHeight="1"/>
    <row r="296" s="90" customFormat="1" ht="16.5" customHeight="1"/>
    <row r="297" s="90" customFormat="1" ht="16.5" customHeight="1"/>
    <row r="298" s="90" customFormat="1" ht="16.5" customHeight="1"/>
    <row r="299" s="90" customFormat="1" ht="16.5" customHeight="1"/>
    <row r="300" s="90" customFormat="1" ht="16.5" customHeight="1"/>
    <row r="301" s="90" customFormat="1" ht="16.5" customHeight="1"/>
    <row r="302" s="90" customFormat="1" ht="16.5" customHeight="1"/>
    <row r="303" s="90" customFormat="1" ht="16.5" customHeight="1"/>
    <row r="304" s="90" customFormat="1" ht="16.5" customHeight="1"/>
    <row r="305" s="90" customFormat="1" ht="16.5" customHeight="1"/>
    <row r="306" s="90" customFormat="1" ht="16.5" customHeight="1"/>
    <row r="307" s="90" customFormat="1" ht="16.5" customHeight="1"/>
    <row r="308" s="90" customFormat="1" ht="16.5" customHeight="1"/>
    <row r="309" s="90" customFormat="1" ht="16.5" customHeight="1"/>
    <row r="310" s="90" customFormat="1" ht="16.5" customHeight="1"/>
    <row r="311" s="90" customFormat="1" ht="16.5" customHeight="1"/>
    <row r="312" s="90" customFormat="1" ht="16.5" customHeight="1"/>
    <row r="313" s="90" customFormat="1" ht="16.5" customHeight="1"/>
    <row r="314" s="90" customFormat="1" ht="16.5" customHeight="1"/>
    <row r="315" s="90" customFormat="1" ht="16.5" customHeight="1"/>
    <row r="316" s="90" customFormat="1" ht="16.5" customHeight="1"/>
    <row r="317" s="90" customFormat="1" ht="16.5" customHeight="1"/>
    <row r="318" s="90" customFormat="1" ht="16.5" customHeight="1"/>
    <row r="319" s="90" customFormat="1" ht="16.5" customHeight="1"/>
    <row r="320" s="90" customFormat="1" ht="16.5" customHeight="1"/>
    <row r="321" s="90" customFormat="1" ht="16.5" customHeight="1"/>
    <row r="322" s="90" customFormat="1" ht="16.5" customHeight="1"/>
    <row r="323" s="90" customFormat="1" ht="16.5" customHeight="1"/>
    <row r="324" s="90" customFormat="1" ht="16.5" customHeight="1"/>
    <row r="325" s="90" customFormat="1" ht="16.5" customHeight="1"/>
    <row r="326" s="90" customFormat="1" ht="16.5" customHeight="1"/>
    <row r="327" s="90" customFormat="1" ht="16.5" customHeight="1"/>
    <row r="328" s="90" customFormat="1" ht="16.5" customHeight="1"/>
    <row r="329" s="90" customFormat="1" ht="16.5" customHeight="1"/>
    <row r="330" s="90" customFormat="1" ht="16.5" customHeight="1"/>
    <row r="331" s="90" customFormat="1" ht="16.5" customHeight="1"/>
    <row r="332" s="90" customFormat="1" ht="16.5" customHeight="1"/>
    <row r="333" s="90" customFormat="1" ht="16.5" customHeight="1"/>
    <row r="334" s="90" customFormat="1" ht="16.5" customHeight="1"/>
    <row r="335" s="90" customFormat="1" ht="16.5" customHeight="1"/>
    <row r="336" s="90" customFormat="1" ht="16.5" customHeight="1"/>
    <row r="337" s="90" customFormat="1" ht="16.5" customHeight="1"/>
    <row r="338" s="90" customFormat="1" ht="16.5" customHeight="1"/>
    <row r="339" s="90" customFormat="1" ht="16.5" customHeight="1"/>
    <row r="340" s="90" customFormat="1" ht="16.5" customHeight="1"/>
    <row r="341" s="90" customFormat="1" ht="16.5" customHeight="1"/>
    <row r="342" s="90" customFormat="1" ht="16.5" customHeight="1"/>
    <row r="343" s="90" customFormat="1" ht="16.5" customHeight="1"/>
    <row r="344" s="90" customFormat="1" ht="16.5" customHeight="1"/>
    <row r="345" s="90" customFormat="1" ht="16.5" customHeight="1"/>
    <row r="346" s="90" customFormat="1" ht="16.5" customHeight="1"/>
    <row r="347" s="90" customFormat="1" ht="16.5" customHeight="1"/>
    <row r="348" s="90" customFormat="1" ht="16.5" customHeight="1"/>
    <row r="349" s="90" customFormat="1" ht="16.5" customHeight="1"/>
    <row r="350" s="90" customFormat="1" ht="16.5" customHeight="1"/>
    <row r="351" s="90" customFormat="1" ht="16.5" customHeight="1"/>
    <row r="352" s="90" customFormat="1" ht="16.5" customHeight="1"/>
    <row r="353" s="90" customFormat="1" ht="16.5" customHeight="1"/>
    <row r="354" s="90" customFormat="1" ht="16.5" customHeight="1"/>
    <row r="355" s="90" customFormat="1" ht="16.5" customHeight="1"/>
    <row r="356" s="90" customFormat="1" ht="16.5" customHeight="1"/>
    <row r="357" s="90" customFormat="1" ht="16.5" customHeight="1"/>
    <row r="358" s="90" customFormat="1" ht="16.5" customHeight="1"/>
    <row r="359" s="90" customFormat="1" ht="16.5" customHeight="1"/>
    <row r="360" s="90" customFormat="1" ht="16.5" customHeight="1"/>
    <row r="361" s="90" customFormat="1" ht="16.5" customHeight="1"/>
    <row r="362" s="90" customFormat="1" ht="16.5" customHeight="1"/>
    <row r="363" s="90" customFormat="1" ht="16.5" customHeight="1"/>
    <row r="364" s="90" customFormat="1" ht="16.5" customHeight="1"/>
    <row r="365" s="90" customFormat="1" ht="16.5" customHeight="1"/>
    <row r="366" s="90" customFormat="1" ht="16.5" customHeight="1"/>
    <row r="367" s="90" customFormat="1" ht="16.5" customHeight="1"/>
    <row r="368" s="90" customFormat="1" ht="16.5" customHeight="1"/>
    <row r="369" s="90" customFormat="1" ht="16.5" customHeight="1"/>
    <row r="370" s="90" customFormat="1" ht="16.5" customHeight="1"/>
    <row r="371" s="90" customFormat="1" ht="16.5" customHeight="1"/>
    <row r="372" s="90" customFormat="1" ht="16.5" customHeight="1"/>
    <row r="373" s="90" customFormat="1" ht="16.5" customHeight="1"/>
    <row r="374" s="90" customFormat="1" ht="16.5" customHeight="1"/>
    <row r="375" s="90" customFormat="1" ht="16.5" customHeight="1"/>
    <row r="376" s="90" customFormat="1" ht="16.5" customHeight="1"/>
    <row r="377" s="90" customFormat="1" ht="16.5" customHeight="1"/>
    <row r="378" s="90" customFormat="1" ht="16.5" customHeight="1"/>
    <row r="379" s="90" customFormat="1" ht="16.5" customHeight="1"/>
    <row r="380" s="90" customFormat="1" ht="16.5" customHeight="1"/>
    <row r="381" s="90" customFormat="1" ht="16.5" customHeight="1"/>
    <row r="382" s="90" customFormat="1" ht="16.5" customHeight="1"/>
    <row r="383" s="90" customFormat="1" ht="16.5" customHeight="1"/>
    <row r="384" s="90" customFormat="1" ht="16.5" customHeight="1"/>
    <row r="385" s="90" customFormat="1" ht="16.5" customHeight="1"/>
    <row r="386" s="90" customFormat="1" ht="16.5" customHeight="1"/>
    <row r="387" s="90" customFormat="1" ht="16.5" customHeight="1"/>
    <row r="388" s="90" customFormat="1" ht="16.5" customHeight="1"/>
    <row r="389" s="90" customFormat="1" ht="16.5" customHeight="1"/>
    <row r="390" s="90" customFormat="1" ht="16.5" customHeight="1"/>
    <row r="391" s="90" customFormat="1" ht="16.5" customHeight="1"/>
    <row r="392" s="90" customFormat="1" ht="16.5" customHeight="1"/>
    <row r="393" s="90" customFormat="1" ht="16.5" customHeight="1"/>
    <row r="394" s="90" customFormat="1" ht="16.5" customHeight="1"/>
    <row r="395" s="90" customFormat="1" ht="16.5" customHeight="1"/>
    <row r="396" s="90" customFormat="1" ht="16.5" customHeight="1"/>
    <row r="397" s="90" customFormat="1" ht="16.5" customHeight="1"/>
    <row r="398" s="90" customFormat="1" ht="16.5" customHeight="1"/>
    <row r="399" s="90" customFormat="1" ht="16.5" customHeight="1"/>
    <row r="400" s="90" customFormat="1" ht="16.5" customHeight="1"/>
    <row r="401" s="90" customFormat="1" ht="16.5" customHeight="1"/>
    <row r="402" s="90" customFormat="1" ht="16.5" customHeight="1"/>
    <row r="403" s="90" customFormat="1" ht="16.5" customHeight="1"/>
    <row r="404" s="90" customFormat="1" ht="16.5" customHeight="1"/>
    <row r="405" s="90" customFormat="1" ht="16.5" customHeight="1"/>
    <row r="406" s="90" customFormat="1" ht="16.5" customHeight="1"/>
    <row r="407" s="90" customFormat="1" ht="16.5" customHeight="1"/>
    <row r="408" s="90" customFormat="1" ht="16.5" customHeight="1"/>
    <row r="409" s="90" customFormat="1" ht="16.5" customHeight="1"/>
    <row r="410" s="90" customFormat="1" ht="16.5" customHeight="1"/>
    <row r="411" s="90" customFormat="1" ht="16.5" customHeight="1"/>
    <row r="412" s="90" customFormat="1" ht="16.5" customHeight="1"/>
    <row r="413" s="90" customFormat="1" ht="16.5" customHeight="1"/>
    <row r="414" s="90" customFormat="1" ht="16.5" customHeight="1"/>
    <row r="415" s="90" customFormat="1" ht="16.5" customHeight="1"/>
    <row r="416" s="90" customFormat="1" ht="16.5" customHeight="1"/>
    <row r="417" s="90" customFormat="1" ht="16.5" customHeight="1"/>
    <row r="418" s="90" customFormat="1" ht="16.5" customHeight="1"/>
    <row r="419" s="90" customFormat="1" ht="16.5" customHeight="1"/>
    <row r="420" s="90" customFormat="1" ht="16.5" customHeight="1"/>
    <row r="421" s="90" customFormat="1" ht="16.5" customHeight="1"/>
    <row r="422" s="90" customFormat="1" ht="16.5" customHeight="1"/>
    <row r="423" s="90" customFormat="1" ht="16.5" customHeight="1"/>
    <row r="424" s="90" customFormat="1" ht="16.5" customHeight="1"/>
    <row r="425" s="90" customFormat="1" ht="16.5" customHeight="1"/>
    <row r="426" s="90" customFormat="1" ht="16.5" customHeight="1"/>
    <row r="427" s="90" customFormat="1" ht="16.5" customHeight="1"/>
    <row r="428" s="90" customFormat="1" ht="16.5" customHeight="1"/>
    <row r="429" s="90" customFormat="1" ht="16.5" customHeight="1"/>
    <row r="430" s="90" customFormat="1" ht="16.5" customHeight="1"/>
    <row r="431" s="90" customFormat="1" ht="16.5" customHeight="1"/>
    <row r="432" s="90" customFormat="1" ht="16.5" customHeight="1"/>
    <row r="433" s="90" customFormat="1" ht="16.5" customHeight="1"/>
    <row r="434" s="90" customFormat="1" ht="16.5" customHeight="1"/>
    <row r="435" s="90" customFormat="1" ht="16.5" customHeight="1"/>
    <row r="436" s="90" customFormat="1" ht="16.5" customHeight="1"/>
    <row r="437" s="90" customFormat="1" ht="16.5" customHeight="1"/>
    <row r="438" s="90" customFormat="1" ht="16.5" customHeight="1"/>
    <row r="439" s="90" customFormat="1" ht="16.5" customHeight="1"/>
    <row r="440" s="90" customFormat="1" ht="16.5" customHeight="1"/>
    <row r="441" s="90" customFormat="1" ht="16.5" customHeight="1"/>
    <row r="442" s="90" customFormat="1" ht="16.5" customHeight="1"/>
    <row r="443" s="90" customFormat="1" ht="16.5" customHeight="1"/>
    <row r="444" s="90" customFormat="1" ht="16.5" customHeight="1"/>
    <row r="445" s="90" customFormat="1" ht="16.5" customHeight="1"/>
    <row r="446" s="90" customFormat="1" ht="16.5" customHeight="1"/>
    <row r="447" s="90" customFormat="1" ht="16.5" customHeight="1"/>
    <row r="448" s="90" customFormat="1" ht="16.5" customHeight="1"/>
    <row r="449" s="90" customFormat="1" ht="16.5" customHeight="1"/>
    <row r="450" s="90" customFormat="1" ht="16.5" customHeight="1"/>
    <row r="451" s="90" customFormat="1" ht="16.5" customHeight="1"/>
    <row r="452" s="90" customFormat="1" ht="16.5" customHeight="1"/>
    <row r="453" s="90" customFormat="1" ht="16.5" customHeight="1"/>
    <row r="454" s="90" customFormat="1" ht="16.5" customHeight="1"/>
    <row r="455" s="90" customFormat="1" ht="16.5" customHeight="1"/>
    <row r="456" s="90" customFormat="1" ht="16.5" customHeight="1"/>
    <row r="457" s="90" customFormat="1" ht="16.5" customHeight="1"/>
    <row r="458" s="90" customFormat="1" ht="16.5" customHeight="1"/>
    <row r="459" s="90" customFormat="1" ht="16.5" customHeight="1"/>
    <row r="460" s="90" customFormat="1" ht="16.5" customHeight="1"/>
    <row r="461" s="90" customFormat="1" ht="16.5" customHeight="1"/>
    <row r="462" s="90" customFormat="1" ht="16.5" customHeight="1"/>
    <row r="463" s="90" customFormat="1" ht="16.5" customHeight="1"/>
    <row r="464" s="90" customFormat="1" ht="16.5" customHeight="1"/>
    <row r="465" s="90" customFormat="1" ht="16.5" customHeight="1"/>
    <row r="466" s="90" customFormat="1" ht="16.5" customHeight="1"/>
    <row r="467" s="90" customFormat="1" ht="16.5" customHeight="1"/>
    <row r="468" s="90" customFormat="1" ht="16.5" customHeight="1"/>
    <row r="469" s="90" customFormat="1" ht="16.5" customHeight="1"/>
    <row r="470" s="90" customFormat="1" ht="16.5" customHeight="1"/>
    <row r="471" s="90" customFormat="1" ht="16.5" customHeight="1"/>
    <row r="472" s="90" customFormat="1" ht="16.5" customHeight="1"/>
    <row r="473" s="90" customFormat="1" ht="16.5" customHeight="1"/>
    <row r="474" s="90" customFormat="1" ht="16.5" customHeight="1"/>
    <row r="475" s="90" customFormat="1" ht="16.5" customHeight="1"/>
    <row r="476" s="90" customFormat="1" ht="16.5" customHeight="1"/>
    <row r="477" s="90" customFormat="1" ht="16.5" customHeight="1"/>
    <row r="478" s="90" customFormat="1" ht="16.5" customHeight="1"/>
    <row r="479" s="90" customFormat="1" ht="16.5" customHeight="1"/>
    <row r="480" s="90" customFormat="1" ht="16.5" customHeight="1"/>
    <row r="481" s="90" customFormat="1" ht="16.5" customHeight="1"/>
    <row r="482" s="90" customFormat="1" ht="16.5" customHeight="1"/>
    <row r="483" s="90" customFormat="1" ht="16.5" customHeight="1"/>
    <row r="484" s="90" customFormat="1" ht="16.5" customHeight="1"/>
    <row r="485" s="90" customFormat="1" ht="16.5" customHeight="1"/>
    <row r="486" s="90" customFormat="1" ht="16.5" customHeight="1"/>
    <row r="487" s="90" customFormat="1" ht="16.5" customHeight="1"/>
    <row r="488" s="90" customFormat="1" ht="16.5" customHeight="1"/>
    <row r="489" s="90" customFormat="1" ht="16.5" customHeight="1"/>
    <row r="490" s="90" customFormat="1" ht="16.5" customHeight="1"/>
    <row r="491" s="90" customFormat="1" ht="16.5" customHeight="1"/>
    <row r="492" s="90" customFormat="1" ht="16.5" customHeight="1"/>
    <row r="493" s="90" customFormat="1" ht="16.5" customHeight="1"/>
    <row r="494" s="90" customFormat="1" ht="16.5" customHeight="1"/>
    <row r="495" s="90" customFormat="1" ht="16.5" customHeight="1"/>
    <row r="496" s="90" customFormat="1" ht="16.5" customHeight="1"/>
    <row r="497" s="90" customFormat="1" ht="16.5" customHeight="1"/>
    <row r="498" s="90" customFormat="1" ht="16.5" customHeight="1"/>
    <row r="499" s="90" customFormat="1" ht="16.5" customHeight="1"/>
    <row r="500" s="90" customFormat="1" ht="16.5" customHeight="1"/>
    <row r="501" s="90" customFormat="1" ht="16.5" customHeight="1"/>
    <row r="502" s="90" customFormat="1" ht="16.5" customHeight="1"/>
    <row r="503" s="90" customFormat="1" ht="16.5" customHeight="1"/>
    <row r="504" s="90" customFormat="1" ht="16.5" customHeight="1"/>
    <row r="505" s="90" customFormat="1" ht="16.5" customHeight="1"/>
    <row r="506" s="90" customFormat="1" ht="16.5" customHeight="1"/>
    <row r="507" s="90" customFormat="1" ht="16.5" customHeight="1"/>
    <row r="508" s="90" customFormat="1" ht="16.5" customHeight="1"/>
    <row r="509" s="90" customFormat="1" ht="16.5" customHeight="1"/>
    <row r="510" s="90" customFormat="1" ht="16.5" customHeight="1"/>
    <row r="511" s="90" customFormat="1" ht="16.5" customHeight="1"/>
    <row r="512" s="90" customFormat="1" ht="16.5" customHeight="1"/>
    <row r="513" s="90" customFormat="1" ht="16.5" customHeight="1"/>
    <row r="514" s="90" customFormat="1" ht="16.5" customHeight="1"/>
    <row r="515" s="90" customFormat="1" ht="16.5" customHeight="1"/>
    <row r="516" s="90" customFormat="1" ht="16.5" customHeight="1"/>
    <row r="517" s="90" customFormat="1" ht="16.5" customHeight="1"/>
    <row r="518" s="90" customFormat="1" ht="16.5" customHeight="1"/>
    <row r="519" s="90" customFormat="1" ht="16.5" customHeight="1"/>
    <row r="520" s="90" customFormat="1" ht="16.5" customHeight="1"/>
    <row r="521" s="90" customFormat="1" ht="16.5" customHeight="1"/>
    <row r="522" s="90" customFormat="1" ht="16.5" customHeight="1"/>
    <row r="523" s="90" customFormat="1" ht="16.5" customHeight="1"/>
    <row r="524" s="90" customFormat="1" ht="16.5" customHeight="1"/>
    <row r="525" s="90" customFormat="1" ht="16.5" customHeight="1"/>
    <row r="526" s="90" customFormat="1" ht="16.5" customHeight="1"/>
    <row r="527" s="90" customFormat="1" ht="16.5" customHeight="1"/>
    <row r="528" s="90" customFormat="1" ht="16.5" customHeight="1"/>
    <row r="529" s="90" customFormat="1" ht="16.5" customHeight="1"/>
    <row r="530" s="90" customFormat="1" ht="16.5" customHeight="1"/>
    <row r="531" s="90" customFormat="1" ht="16.5" customHeight="1"/>
    <row r="532" s="90" customFormat="1" ht="16.5" customHeight="1"/>
    <row r="533" s="90" customFormat="1" ht="16.5" customHeight="1"/>
    <row r="534" s="90" customFormat="1" ht="16.5" customHeight="1"/>
    <row r="535" s="90" customFormat="1" ht="16.5" customHeight="1"/>
    <row r="536" s="90" customFormat="1" ht="16.5" customHeight="1"/>
    <row r="537" s="90" customFormat="1" ht="16.5" customHeight="1"/>
    <row r="538" s="90" customFormat="1" ht="16.5" customHeight="1"/>
    <row r="539" s="90" customFormat="1" ht="16.5" customHeight="1"/>
    <row r="540" s="90" customFormat="1" ht="16.5" customHeight="1"/>
    <row r="541" s="90" customFormat="1" ht="16.5" customHeight="1"/>
    <row r="542" s="90" customFormat="1" ht="16.5" customHeight="1"/>
    <row r="543" s="90" customFormat="1" ht="16.5" customHeight="1"/>
    <row r="544" s="90" customFormat="1" ht="16.5" customHeight="1"/>
    <row r="545" s="90" customFormat="1" ht="16.5" customHeight="1"/>
    <row r="546" s="90" customFormat="1" ht="16.5" customHeight="1"/>
    <row r="547" s="90" customFormat="1" ht="16.5" customHeight="1"/>
    <row r="548" s="90" customFormat="1" ht="16.5" customHeight="1"/>
    <row r="549" s="90" customFormat="1" ht="16.5" customHeight="1"/>
    <row r="550" s="90" customFormat="1" ht="16.5" customHeight="1"/>
    <row r="551" s="90" customFormat="1" ht="16.5" customHeight="1"/>
    <row r="552" s="90" customFormat="1" ht="16.5" customHeight="1"/>
    <row r="553" s="90" customFormat="1" ht="16.5" customHeight="1"/>
    <row r="554" s="90" customFormat="1" ht="16.5" customHeight="1"/>
    <row r="555" s="90" customFormat="1" ht="16.5" customHeight="1"/>
    <row r="556" s="90" customFormat="1" ht="16.5" customHeight="1"/>
    <row r="557" s="90" customFormat="1" ht="16.5" customHeight="1"/>
    <row r="558" s="90" customFormat="1" ht="16.5" customHeight="1"/>
    <row r="559" s="90" customFormat="1" ht="16.5" customHeight="1"/>
    <row r="560" s="90" customFormat="1" ht="16.5" customHeight="1"/>
    <row r="561" s="90" customFormat="1" ht="16.5" customHeight="1"/>
    <row r="562" s="90" customFormat="1" ht="16.5" customHeight="1"/>
    <row r="563" s="90" customFormat="1" ht="16.5" customHeight="1"/>
    <row r="564" s="90" customFormat="1" ht="16.5" customHeight="1"/>
    <row r="565" s="90" customFormat="1" ht="16.5" customHeight="1"/>
    <row r="566" s="90" customFormat="1" ht="16.5" customHeight="1"/>
    <row r="567" s="90" customFormat="1" ht="16.5" customHeight="1"/>
    <row r="568" s="90" customFormat="1" ht="16.5" customHeight="1"/>
    <row r="569" s="90" customFormat="1" ht="16.5" customHeight="1"/>
    <row r="570" s="90" customFormat="1" ht="16.5" customHeight="1"/>
    <row r="571" s="90" customFormat="1" ht="16.5" customHeight="1"/>
    <row r="572" s="90" customFormat="1" ht="16.5" customHeight="1"/>
    <row r="573" s="90" customFormat="1" ht="16.5" customHeight="1"/>
    <row r="574" s="90" customFormat="1" ht="16.5" customHeight="1"/>
    <row r="575" s="90" customFormat="1" ht="16.5" customHeight="1"/>
    <row r="576" s="90" customFormat="1" ht="16.5" customHeight="1"/>
    <row r="577" s="90" customFormat="1" ht="16.5" customHeight="1"/>
    <row r="578" s="90" customFormat="1" ht="16.5" customHeight="1"/>
    <row r="579" s="90" customFormat="1" ht="16.5" customHeight="1"/>
    <row r="580" s="90" customFormat="1" ht="16.5" customHeight="1"/>
    <row r="581" s="90" customFormat="1" ht="16.5" customHeight="1"/>
    <row r="582" s="90" customFormat="1" ht="16.5" customHeight="1"/>
    <row r="583" s="90" customFormat="1" ht="16.5" customHeight="1"/>
    <row r="584" s="90" customFormat="1" ht="16.5" customHeight="1"/>
    <row r="585" s="90" customFormat="1" ht="16.5" customHeight="1"/>
    <row r="586" s="90" customFormat="1" ht="16.5" customHeight="1"/>
    <row r="587" s="90" customFormat="1" ht="16.5" customHeight="1"/>
    <row r="588" s="90" customFormat="1" ht="16.5" customHeight="1"/>
    <row r="589" s="90" customFormat="1" ht="16.5" customHeight="1"/>
    <row r="590" s="90" customFormat="1" ht="16.5" customHeight="1"/>
    <row r="591" s="90" customFormat="1" ht="16.5" customHeight="1"/>
    <row r="592" s="90" customFormat="1" ht="16.5" customHeight="1"/>
    <row r="593" s="90" customFormat="1" ht="16.5" customHeight="1"/>
    <row r="594" s="90" customFormat="1" ht="16.5" customHeight="1"/>
    <row r="595" s="90" customFormat="1" ht="16.5" customHeight="1"/>
    <row r="596" s="90" customFormat="1" ht="16.5" customHeight="1"/>
    <row r="597" s="90" customFormat="1" ht="16.5" customHeight="1"/>
    <row r="598" s="90" customFormat="1" ht="16.5" customHeight="1"/>
    <row r="599" s="90" customFormat="1" ht="16.5" customHeight="1"/>
    <row r="600" s="90" customFormat="1" ht="16.5" customHeight="1"/>
    <row r="601" s="90" customFormat="1" ht="16.5" customHeight="1"/>
    <row r="602" s="90" customFormat="1" ht="16.5" customHeight="1"/>
    <row r="603" s="90" customFormat="1" ht="16.5" customHeight="1"/>
    <row r="604" s="90" customFormat="1" ht="16.5" customHeight="1"/>
    <row r="605" s="90" customFormat="1" ht="16.5" customHeight="1"/>
    <row r="606" s="90" customFormat="1" ht="16.5" customHeight="1"/>
    <row r="607" s="90" customFormat="1" ht="16.5" customHeight="1"/>
    <row r="608" s="90" customFormat="1" ht="16.5" customHeight="1"/>
    <row r="609" s="90" customFormat="1" ht="16.5" customHeight="1"/>
    <row r="610" s="90" customFormat="1" ht="16.5" customHeight="1"/>
    <row r="611" s="90" customFormat="1" ht="16.5" customHeight="1"/>
    <row r="612" s="90" customFormat="1" ht="16.5" customHeight="1"/>
    <row r="613" s="90" customFormat="1" ht="16.5" customHeight="1"/>
    <row r="614" s="90" customFormat="1" ht="16.5" customHeight="1"/>
    <row r="615" s="90" customFormat="1" ht="16.5" customHeight="1"/>
    <row r="616" s="90" customFormat="1" ht="16.5" customHeight="1"/>
    <row r="617" s="90" customFormat="1" ht="16.5" customHeight="1"/>
    <row r="618" s="90" customFormat="1" ht="16.5" customHeight="1"/>
    <row r="619" s="90" customFormat="1" ht="16.5" customHeight="1"/>
    <row r="620" s="90" customFormat="1" ht="16.5" customHeight="1"/>
    <row r="621" s="90" customFormat="1" ht="16.5" customHeight="1"/>
    <row r="622" s="90" customFormat="1" ht="16.5" customHeight="1"/>
    <row r="623" s="90" customFormat="1" ht="16.5" customHeight="1"/>
    <row r="624" s="90" customFormat="1" ht="16.5" customHeight="1"/>
    <row r="625" s="90" customFormat="1" ht="16.5" customHeight="1"/>
    <row r="626" s="90" customFormat="1" ht="16.5" customHeight="1"/>
    <row r="627" s="90" customFormat="1" ht="16.5" customHeight="1"/>
    <row r="628" s="90" customFormat="1" ht="16.5" customHeight="1"/>
    <row r="629" s="90" customFormat="1" ht="16.5" customHeight="1"/>
    <row r="630" s="90" customFormat="1" ht="16.5" customHeight="1"/>
    <row r="631" s="90" customFormat="1" ht="16.5" customHeight="1"/>
    <row r="632" s="90" customFormat="1" ht="16.5" customHeight="1"/>
    <row r="633" s="90" customFormat="1" ht="16.5" customHeight="1"/>
    <row r="634" s="90" customFormat="1" ht="16.5" customHeight="1"/>
    <row r="635" s="90" customFormat="1" ht="16.5" customHeight="1"/>
    <row r="636" s="90" customFormat="1" ht="16.5" customHeight="1"/>
    <row r="637" s="90" customFormat="1" ht="16.5" customHeight="1"/>
    <row r="638" s="90" customFormat="1" ht="16.5" customHeight="1"/>
    <row r="639" s="90" customFormat="1" ht="16.5" customHeight="1"/>
    <row r="640" s="90" customFormat="1" ht="16.5" customHeight="1"/>
    <row r="641" s="90" customFormat="1" ht="16.5" customHeight="1"/>
    <row r="642" s="90" customFormat="1" ht="16.5" customHeight="1"/>
    <row r="643" s="90" customFormat="1" ht="16.5" customHeight="1"/>
    <row r="644" s="90" customFormat="1" ht="16.5" customHeight="1"/>
    <row r="645" s="90" customFormat="1" ht="16.5" customHeight="1"/>
    <row r="646" s="90" customFormat="1" ht="16.5" customHeight="1"/>
    <row r="647" s="90" customFormat="1" ht="16.5" customHeight="1"/>
    <row r="648" s="90" customFormat="1" ht="16.5" customHeight="1"/>
    <row r="649" s="90" customFormat="1" ht="16.5" customHeight="1"/>
    <row r="650" s="90" customFormat="1" ht="16.5" customHeight="1"/>
    <row r="651" s="90" customFormat="1" ht="16.5" customHeight="1"/>
    <row r="652" s="90" customFormat="1" ht="16.5" customHeight="1"/>
    <row r="653" s="90" customFormat="1" ht="16.5" customHeight="1"/>
    <row r="654" s="90" customFormat="1" ht="16.5" customHeight="1"/>
    <row r="655" s="90" customFormat="1" ht="16.5" customHeight="1"/>
    <row r="656" s="90" customFormat="1" ht="16.5" customHeight="1"/>
    <row r="657" s="90" customFormat="1" ht="16.5" customHeight="1"/>
    <row r="658" s="90" customFormat="1" ht="16.5" customHeight="1"/>
    <row r="659" s="90" customFormat="1" ht="16.5" customHeight="1"/>
    <row r="660" s="90" customFormat="1" ht="16.5" customHeight="1"/>
    <row r="661" s="90" customFormat="1" ht="16.5" customHeight="1"/>
    <row r="662" s="90" customFormat="1" ht="16.5" customHeight="1"/>
    <row r="663" s="90" customFormat="1" ht="16.5" customHeight="1"/>
    <row r="664" s="90" customFormat="1" ht="16.5" customHeight="1"/>
    <row r="665" s="90" customFormat="1" ht="16.5" customHeight="1"/>
    <row r="666" s="90" customFormat="1" ht="16.5" customHeight="1"/>
    <row r="667" s="90" customFormat="1" ht="16.5" customHeight="1"/>
    <row r="668" s="90" customFormat="1" ht="16.5" customHeight="1"/>
    <row r="669" s="90" customFormat="1" ht="16.5" customHeight="1"/>
    <row r="670" s="90" customFormat="1" ht="16.5" customHeight="1"/>
    <row r="671" s="90" customFormat="1" ht="16.5" customHeight="1"/>
    <row r="672" s="90" customFormat="1" ht="16.5" customHeight="1"/>
    <row r="673" s="90" customFormat="1" ht="16.5" customHeight="1"/>
    <row r="674" s="90" customFormat="1" ht="16.5" customHeight="1"/>
    <row r="675" s="90" customFormat="1" ht="16.5" customHeight="1"/>
    <row r="676" s="90" customFormat="1" ht="16.5" customHeight="1"/>
    <row r="677" s="90" customFormat="1" ht="16.5" customHeight="1"/>
    <row r="678" s="90" customFormat="1" ht="16.5" customHeight="1"/>
    <row r="679" s="90" customFormat="1" ht="16.5" customHeight="1"/>
    <row r="680" s="90" customFormat="1" ht="16.5" customHeight="1"/>
    <row r="681" s="90" customFormat="1" ht="16.5" customHeight="1"/>
    <row r="682" s="90" customFormat="1" ht="16.5" customHeight="1"/>
    <row r="683" s="90" customFormat="1" ht="16.5" customHeight="1"/>
    <row r="684" s="90" customFormat="1" ht="16.5" customHeight="1"/>
    <row r="685" s="90" customFormat="1" ht="16.5" customHeight="1"/>
    <row r="686" s="90" customFormat="1" ht="16.5" customHeight="1"/>
    <row r="687" s="90" customFormat="1" ht="16.5" customHeight="1"/>
    <row r="688" s="90" customFormat="1" ht="16.5" customHeight="1"/>
    <row r="689" s="90" customFormat="1" ht="16.5" customHeight="1"/>
    <row r="690" s="90" customFormat="1" ht="16.5" customHeight="1"/>
    <row r="691" s="90" customFormat="1" ht="16.5" customHeight="1"/>
    <row r="692" s="90" customFormat="1" ht="16.5" customHeight="1"/>
    <row r="693" s="90" customFormat="1" ht="16.5" customHeight="1"/>
    <row r="694" s="90" customFormat="1" ht="16.5" customHeight="1"/>
    <row r="695" s="90" customFormat="1" ht="16.5" customHeight="1"/>
    <row r="696" s="90" customFormat="1" ht="16.5" customHeight="1"/>
    <row r="697" s="90" customFormat="1" ht="16.5" customHeight="1"/>
    <row r="698" s="90" customFormat="1" ht="16.5" customHeight="1"/>
    <row r="699" s="90" customFormat="1" ht="16.5" customHeight="1"/>
    <row r="700" s="90" customFormat="1" ht="16.5" customHeight="1"/>
    <row r="701" s="90" customFormat="1" ht="16.5" customHeight="1"/>
    <row r="702" s="90" customFormat="1" ht="16.5" customHeight="1"/>
    <row r="703" s="90" customFormat="1" ht="16.5" customHeight="1"/>
    <row r="704" s="90" customFormat="1" ht="16.5" customHeight="1"/>
    <row r="705" s="90" customFormat="1" ht="16.5" customHeight="1"/>
    <row r="706" s="90" customFormat="1" ht="16.5" customHeight="1"/>
    <row r="707" s="90" customFormat="1" ht="16.5" customHeight="1"/>
    <row r="708" s="90" customFormat="1" ht="16.5" customHeight="1"/>
    <row r="709" s="90" customFormat="1" ht="16.5" customHeight="1"/>
    <row r="710" s="90" customFormat="1" ht="16.5" customHeight="1"/>
    <row r="711" s="90" customFormat="1" ht="16.5" customHeight="1"/>
    <row r="712" s="90" customFormat="1" ht="16.5" customHeight="1"/>
    <row r="713" s="90" customFormat="1" ht="16.5" customHeight="1"/>
    <row r="714" s="90" customFormat="1" ht="16.5" customHeight="1"/>
    <row r="715" s="90" customFormat="1" ht="16.5" customHeight="1"/>
    <row r="716" s="90" customFormat="1" ht="16.5" customHeight="1"/>
    <row r="717" s="90" customFormat="1" ht="16.5" customHeight="1"/>
    <row r="718" s="90" customFormat="1" ht="16.5" customHeight="1"/>
    <row r="719" s="90" customFormat="1" ht="16.5" customHeight="1"/>
    <row r="720" s="90" customFormat="1" ht="16.5" customHeight="1"/>
    <row r="721" s="90" customFormat="1" ht="16.5" customHeight="1"/>
    <row r="722" s="90" customFormat="1" ht="16.5" customHeight="1"/>
    <row r="723" s="90" customFormat="1" ht="16.5" customHeight="1"/>
    <row r="724" s="90" customFormat="1" ht="16.5" customHeight="1"/>
    <row r="725" s="90" customFormat="1" ht="16.5" customHeight="1"/>
    <row r="726" s="90" customFormat="1" ht="16.5" customHeight="1"/>
    <row r="727" s="90" customFormat="1" ht="16.5" customHeight="1"/>
    <row r="728" s="90" customFormat="1" ht="16.5" customHeight="1"/>
    <row r="729" s="90" customFormat="1" ht="16.5" customHeight="1"/>
    <row r="730" s="90" customFormat="1" ht="16.5" customHeight="1"/>
    <row r="731" s="90" customFormat="1" ht="16.5" customHeight="1"/>
    <row r="732" s="90" customFormat="1" ht="16.5" customHeight="1"/>
    <row r="733" s="90" customFormat="1" ht="16.5" customHeight="1"/>
    <row r="734" s="90" customFormat="1" ht="16.5" customHeight="1"/>
    <row r="735" s="90" customFormat="1" ht="16.5" customHeight="1"/>
    <row r="736" s="90" customFormat="1" ht="16.5" customHeight="1"/>
    <row r="737" s="90" customFormat="1" ht="16.5" customHeight="1"/>
    <row r="738" s="90" customFormat="1" ht="16.5" customHeight="1"/>
    <row r="739" s="90" customFormat="1" ht="16.5" customHeight="1"/>
    <row r="740" s="90" customFormat="1" ht="16.5" customHeight="1"/>
    <row r="741" s="90" customFormat="1" ht="16.5" customHeight="1"/>
    <row r="742" s="90" customFormat="1" ht="16.5" customHeight="1"/>
    <row r="743" s="90" customFormat="1" ht="16.5" customHeight="1"/>
    <row r="744" s="90" customFormat="1" ht="16.5" customHeight="1"/>
    <row r="745" s="90" customFormat="1" ht="16.5" customHeight="1"/>
    <row r="746" s="90" customFormat="1" ht="16.5" customHeight="1"/>
    <row r="747" s="90" customFormat="1" ht="16.5" customHeight="1"/>
    <row r="748" s="90" customFormat="1" ht="16.5" customHeight="1"/>
    <row r="749" s="90" customFormat="1" ht="16.5" customHeight="1"/>
    <row r="750" s="90" customFormat="1" ht="16.5" customHeight="1"/>
    <row r="751" s="90" customFormat="1" ht="16.5" customHeight="1"/>
    <row r="752" s="90" customFormat="1" ht="16.5" customHeight="1"/>
    <row r="753" s="90" customFormat="1" ht="16.5" customHeight="1"/>
    <row r="754" s="90" customFormat="1" ht="16.5" customHeight="1"/>
    <row r="755" s="90" customFormat="1" ht="16.5" customHeight="1"/>
    <row r="756" s="90" customFormat="1" ht="16.5" customHeight="1"/>
    <row r="757" s="90" customFormat="1" ht="16.5" customHeight="1"/>
    <row r="758" s="90" customFormat="1" ht="16.5" customHeight="1"/>
    <row r="759" s="90" customFormat="1" ht="16.5" customHeight="1"/>
    <row r="760" s="90" customFormat="1" ht="16.5" customHeight="1"/>
    <row r="761" s="90" customFormat="1" ht="16.5" customHeight="1"/>
    <row r="762" s="90" customFormat="1" ht="16.5" customHeight="1"/>
    <row r="763" s="90" customFormat="1" ht="16.5" customHeight="1"/>
    <row r="764" s="90" customFormat="1" ht="16.5" customHeight="1"/>
    <row r="765" s="90" customFormat="1" ht="16.5" customHeight="1"/>
    <row r="766" s="90" customFormat="1" ht="16.5" customHeight="1"/>
    <row r="767" s="90" customFormat="1" ht="16.5" customHeight="1"/>
    <row r="768" s="90" customFormat="1" ht="16.5" customHeight="1"/>
    <row r="769" s="90" customFormat="1" ht="16.5" customHeight="1"/>
    <row r="770" s="90" customFormat="1" ht="16.5" customHeight="1"/>
    <row r="771" s="90" customFormat="1" ht="16.5" customHeight="1"/>
    <row r="772" s="90" customFormat="1" ht="16.5" customHeight="1"/>
    <row r="773" s="90" customFormat="1" ht="16.5" customHeight="1"/>
    <row r="774" s="90" customFormat="1" ht="16.5" customHeight="1"/>
    <row r="775" s="90" customFormat="1" ht="16.5" customHeight="1"/>
    <row r="776" s="90" customFormat="1" ht="16.5" customHeight="1"/>
    <row r="777" s="90" customFormat="1" ht="16.5" customHeight="1"/>
    <row r="778" s="90" customFormat="1" ht="16.5" customHeight="1"/>
    <row r="779" s="90" customFormat="1" ht="16.5" customHeight="1"/>
    <row r="780" s="90" customFormat="1" ht="16.5" customHeight="1"/>
    <row r="781" s="90" customFormat="1" ht="16.5" customHeight="1"/>
    <row r="782" s="90" customFormat="1" ht="16.5" customHeight="1"/>
    <row r="783" s="90" customFormat="1" ht="16.5" customHeight="1"/>
    <row r="784" s="90" customFormat="1" ht="16.5" customHeight="1"/>
    <row r="785" s="90" customFormat="1" ht="16.5" customHeight="1"/>
    <row r="786" s="90" customFormat="1" ht="16.5" customHeight="1"/>
    <row r="787" s="90" customFormat="1" ht="16.5" customHeight="1"/>
    <row r="788" s="90" customFormat="1" ht="16.5" customHeight="1"/>
    <row r="789" s="90" customFormat="1" ht="16.5" customHeight="1"/>
    <row r="790" s="90" customFormat="1" ht="16.5" customHeight="1"/>
    <row r="791" s="90" customFormat="1" ht="16.5" customHeight="1"/>
    <row r="792" s="90" customFormat="1" ht="16.5" customHeight="1"/>
    <row r="793" s="90" customFormat="1" ht="16.5" customHeight="1"/>
    <row r="794" s="90" customFormat="1" ht="16.5" customHeight="1"/>
    <row r="795" s="90" customFormat="1" ht="16.5" customHeight="1"/>
    <row r="796" s="90" customFormat="1" ht="16.5" customHeight="1"/>
    <row r="797" s="90" customFormat="1" ht="16.5" customHeight="1"/>
    <row r="798" s="90" customFormat="1" ht="16.5" customHeight="1"/>
    <row r="799" s="90" customFormat="1" ht="16.5" customHeight="1"/>
    <row r="800" s="90" customFormat="1" ht="16.5" customHeight="1"/>
    <row r="801" s="90" customFormat="1" ht="16.5" customHeight="1"/>
    <row r="802" s="90" customFormat="1" ht="16.5" customHeight="1"/>
    <row r="803" s="90" customFormat="1" ht="16.5" customHeight="1"/>
    <row r="804" s="90" customFormat="1" ht="16.5" customHeight="1"/>
    <row r="805" s="90" customFormat="1" ht="16.5" customHeight="1"/>
    <row r="806" s="90" customFormat="1" ht="16.5" customHeight="1"/>
    <row r="807" s="90" customFormat="1" ht="16.5" customHeight="1"/>
    <row r="808" s="90" customFormat="1" ht="16.5" customHeight="1"/>
    <row r="809" s="90" customFormat="1" ht="16.5" customHeight="1"/>
    <row r="810" s="90" customFormat="1" ht="16.5" customHeight="1"/>
    <row r="811" s="90" customFormat="1" ht="16.5" customHeight="1"/>
    <row r="812" s="90" customFormat="1" ht="16.5" customHeight="1"/>
    <row r="813" s="90" customFormat="1" ht="16.5" customHeight="1"/>
    <row r="814" s="90" customFormat="1" ht="16.5" customHeight="1"/>
    <row r="815" s="90" customFormat="1" ht="16.5" customHeight="1"/>
    <row r="816" s="90" customFormat="1" ht="16.5" customHeight="1"/>
    <row r="817" s="90" customFormat="1" ht="16.5" customHeight="1"/>
    <row r="818" s="90" customFormat="1" ht="16.5" customHeight="1"/>
    <row r="819" s="90" customFormat="1" ht="16.5" customHeight="1"/>
    <row r="820" s="90" customFormat="1" ht="16.5" customHeight="1"/>
    <row r="821" s="90" customFormat="1" ht="16.5" customHeight="1"/>
    <row r="822" s="90" customFormat="1" ht="16.5" customHeight="1"/>
    <row r="823" s="90" customFormat="1" ht="16.5" customHeight="1"/>
    <row r="824" s="90" customFormat="1" ht="16.5" customHeight="1"/>
    <row r="825" s="90" customFormat="1" ht="16.5" customHeight="1"/>
    <row r="826" s="90" customFormat="1" ht="16.5" customHeight="1"/>
    <row r="827" s="90" customFormat="1" ht="16.5" customHeight="1"/>
    <row r="828" s="90" customFormat="1" ht="16.5" customHeight="1"/>
    <row r="829" s="90" customFormat="1" ht="16.5" customHeight="1"/>
    <row r="830" s="90" customFormat="1" ht="16.5" customHeight="1"/>
    <row r="831" s="90" customFormat="1" ht="16.5" customHeight="1"/>
    <row r="832" s="90" customFormat="1" ht="16.5" customHeight="1"/>
    <row r="833" s="90" customFormat="1" ht="16.5" customHeight="1"/>
    <row r="834" s="90" customFormat="1" ht="16.5" customHeight="1"/>
    <row r="835" s="90" customFormat="1" ht="16.5" customHeight="1"/>
    <row r="836" s="90" customFormat="1" ht="16.5" customHeight="1"/>
    <row r="837" s="90" customFormat="1" ht="16.5" customHeight="1"/>
    <row r="838" s="90" customFormat="1" ht="16.5" customHeight="1"/>
    <row r="839" s="90" customFormat="1" ht="16.5" customHeight="1"/>
    <row r="840" s="90" customFormat="1" ht="16.5" customHeight="1"/>
    <row r="841" s="90" customFormat="1" ht="16.5" customHeight="1"/>
    <row r="842" s="90" customFormat="1" ht="16.5" customHeight="1"/>
    <row r="843" s="90" customFormat="1" ht="16.5" customHeight="1"/>
    <row r="844" s="90" customFormat="1" ht="16.5" customHeight="1"/>
    <row r="845" s="90" customFormat="1" ht="16.5" customHeight="1"/>
    <row r="846" s="90" customFormat="1" ht="16.5" customHeight="1"/>
    <row r="847" s="90" customFormat="1" ht="16.5" customHeight="1"/>
    <row r="848" s="90" customFormat="1" ht="16.5" customHeight="1"/>
    <row r="849" s="90" customFormat="1" ht="16.5" customHeight="1"/>
    <row r="850" s="90" customFormat="1" ht="16.5" customHeight="1"/>
    <row r="851" s="90" customFormat="1" ht="16.5" customHeight="1"/>
    <row r="852" s="90" customFormat="1" ht="16.5" customHeight="1"/>
    <row r="853" s="90" customFormat="1" ht="16.5" customHeight="1"/>
    <row r="854" s="90" customFormat="1" ht="16.5" customHeight="1"/>
    <row r="855" s="90" customFormat="1" ht="16.5" customHeight="1"/>
    <row r="856" s="90" customFormat="1" ht="16.5" customHeight="1"/>
    <row r="857" s="90" customFormat="1" ht="16.5" customHeight="1"/>
    <row r="858" s="90" customFormat="1" ht="16.5" customHeight="1"/>
    <row r="859" s="90" customFormat="1" ht="16.5" customHeight="1"/>
    <row r="860" s="90" customFormat="1" ht="16.5" customHeight="1"/>
    <row r="861" s="90" customFormat="1" ht="16.5" customHeight="1"/>
    <row r="862" s="90" customFormat="1" ht="16.5" customHeight="1"/>
    <row r="863" s="90" customFormat="1" ht="16.5" customHeight="1"/>
    <row r="864" s="90" customFormat="1" ht="16.5" customHeight="1"/>
    <row r="865" s="90" customFormat="1" ht="16.5" customHeight="1"/>
    <row r="866" s="90" customFormat="1" ht="16.5" customHeight="1"/>
    <row r="867" s="90" customFormat="1" ht="16.5" customHeight="1"/>
    <row r="868" s="90" customFormat="1" ht="16.5" customHeight="1"/>
    <row r="869" s="90" customFormat="1" ht="16.5" customHeight="1"/>
    <row r="870" s="90" customFormat="1" ht="16.5" customHeight="1"/>
    <row r="871" s="90" customFormat="1" ht="16.5" customHeight="1"/>
    <row r="872" s="90" customFormat="1" ht="16.5" customHeight="1"/>
    <row r="873" s="90" customFormat="1" ht="16.5" customHeight="1"/>
    <row r="874" s="90" customFormat="1" ht="16.5" customHeight="1"/>
    <row r="875" s="90" customFormat="1" ht="16.5" customHeight="1"/>
    <row r="876" s="90" customFormat="1" ht="16.5" customHeight="1"/>
    <row r="877" s="90" customFormat="1" ht="16.5" customHeight="1"/>
    <row r="878" s="90" customFormat="1" ht="16.5" customHeight="1"/>
    <row r="879" s="90" customFormat="1" ht="16.5" customHeight="1"/>
    <row r="880" s="90" customFormat="1" ht="16.5" customHeight="1"/>
    <row r="881" s="90" customFormat="1" ht="16.5" customHeight="1"/>
    <row r="882" s="90" customFormat="1" ht="16.5" customHeight="1"/>
    <row r="883" s="90" customFormat="1" ht="16.5" customHeight="1"/>
    <row r="884" s="90" customFormat="1" ht="16.5" customHeight="1"/>
    <row r="885" s="90" customFormat="1" ht="16.5" customHeight="1"/>
    <row r="886" s="90" customFormat="1" ht="16.5" customHeight="1"/>
    <row r="887" s="90" customFormat="1" ht="16.5" customHeight="1"/>
    <row r="888" s="90" customFormat="1" ht="16.5" customHeight="1"/>
    <row r="889" s="90" customFormat="1" ht="16.5" customHeight="1"/>
    <row r="890" s="90" customFormat="1" ht="16.5" customHeight="1"/>
    <row r="891" s="90" customFormat="1" ht="16.5" customHeight="1"/>
    <row r="892" s="90" customFormat="1" ht="16.5" customHeight="1"/>
    <row r="893" s="90" customFormat="1" ht="16.5" customHeight="1"/>
    <row r="894" s="90" customFormat="1" ht="16.5" customHeight="1"/>
    <row r="895" s="90" customFormat="1" ht="16.5" customHeight="1"/>
    <row r="896" s="90" customFormat="1" ht="16.5" customHeight="1"/>
    <row r="897" s="90" customFormat="1" ht="16.5" customHeight="1"/>
    <row r="898" s="90" customFormat="1" ht="16.5" customHeight="1"/>
    <row r="899" s="90" customFormat="1" ht="16.5" customHeight="1"/>
    <row r="900" s="90" customFormat="1" ht="16.5" customHeight="1"/>
    <row r="901" s="90" customFormat="1" ht="16.5" customHeight="1"/>
    <row r="902" s="90" customFormat="1" ht="16.5" customHeight="1"/>
    <row r="903" s="90" customFormat="1" ht="16.5" customHeight="1"/>
    <row r="904" s="90" customFormat="1" ht="16.5" customHeight="1"/>
    <row r="905" s="90" customFormat="1" ht="16.5" customHeight="1"/>
    <row r="906" s="90" customFormat="1" ht="16.5" customHeight="1"/>
    <row r="907" s="90" customFormat="1" ht="16.5" customHeight="1"/>
    <row r="908" s="90" customFormat="1" ht="16.5" customHeight="1"/>
    <row r="909" s="90" customFormat="1" ht="16.5" customHeight="1"/>
    <row r="910" s="90" customFormat="1" ht="16.5" customHeight="1"/>
    <row r="911" s="90" customFormat="1" ht="16.5" customHeight="1"/>
    <row r="912" s="90" customFormat="1" ht="16.5" customHeight="1"/>
    <row r="913" s="90" customFormat="1" ht="16.5" customHeight="1"/>
    <row r="914" s="90" customFormat="1" ht="16.5" customHeight="1"/>
    <row r="915" s="90" customFormat="1" ht="16.5" customHeight="1"/>
    <row r="916" s="90" customFormat="1" ht="16.5" customHeight="1"/>
    <row r="917" s="90" customFormat="1" ht="16.5" customHeight="1"/>
    <row r="918" s="90" customFormat="1" ht="16.5" customHeight="1"/>
    <row r="919" s="90" customFormat="1" ht="16.5" customHeight="1"/>
    <row r="920" s="90" customFormat="1" ht="16.5" customHeight="1"/>
    <row r="921" s="90" customFormat="1" ht="16.5" customHeight="1"/>
    <row r="922" s="90" customFormat="1" ht="16.5" customHeight="1"/>
    <row r="923" s="90" customFormat="1" ht="16.5" customHeight="1"/>
    <row r="924" s="90" customFormat="1" ht="16.5" customHeight="1"/>
    <row r="925" s="90" customFormat="1" ht="16.5" customHeight="1"/>
    <row r="926" s="90" customFormat="1" ht="16.5" customHeight="1"/>
    <row r="927" s="90" customFormat="1" ht="16.5" customHeight="1"/>
    <row r="928" s="90" customFormat="1" ht="16.5" customHeight="1"/>
    <row r="929" s="90" customFormat="1" ht="16.5" customHeight="1"/>
    <row r="930" s="90" customFormat="1" ht="16.5" customHeight="1"/>
    <row r="931" s="90" customFormat="1" ht="16.5" customHeight="1"/>
    <row r="932" s="90" customFormat="1" ht="16.5" customHeight="1"/>
    <row r="933" s="90" customFormat="1" ht="16.5" customHeight="1"/>
    <row r="934" s="90" customFormat="1" ht="16.5" customHeight="1"/>
    <row r="935" s="90" customFormat="1" ht="16.5" customHeight="1"/>
    <row r="936" s="90" customFormat="1" ht="16.5" customHeight="1"/>
    <row r="937" s="90" customFormat="1" ht="16.5" customHeight="1"/>
    <row r="938" s="90" customFormat="1" ht="16.5" customHeight="1"/>
    <row r="939" s="90" customFormat="1" ht="16.5" customHeight="1"/>
    <row r="940" s="90" customFormat="1" ht="16.5" customHeight="1"/>
    <row r="941" s="90" customFormat="1" ht="16.5" customHeight="1"/>
    <row r="942" s="90" customFormat="1" ht="16.5" customHeight="1"/>
    <row r="943" s="90" customFormat="1" ht="16.5" customHeight="1"/>
    <row r="944" s="90" customFormat="1" ht="16.5" customHeight="1"/>
    <row r="945" s="90" customFormat="1" ht="16.5" customHeight="1"/>
    <row r="946" s="90" customFormat="1" ht="16.5" customHeight="1"/>
    <row r="947" s="90" customFormat="1" ht="16.5" customHeight="1"/>
    <row r="948" s="90" customFormat="1" ht="16.5" customHeight="1"/>
    <row r="949" s="90" customFormat="1" ht="16.5" customHeight="1"/>
    <row r="950" s="90" customFormat="1" ht="16.5" customHeight="1"/>
    <row r="951" s="90" customFormat="1" ht="16.5" customHeight="1"/>
    <row r="952" s="90" customFormat="1" ht="16.5" customHeight="1"/>
    <row r="953" s="90" customFormat="1" ht="16.5" customHeight="1"/>
    <row r="954" s="90" customFormat="1" ht="16.5" customHeight="1"/>
    <row r="955" s="90" customFormat="1" ht="16.5" customHeight="1"/>
    <row r="956" s="90" customFormat="1" ht="16.5" customHeight="1"/>
    <row r="957" s="90" customFormat="1" ht="16.5" customHeight="1"/>
    <row r="958" s="90" customFormat="1" ht="16.5" customHeight="1"/>
    <row r="959" s="90" customFormat="1" ht="16.5" customHeight="1"/>
    <row r="960" s="90" customFormat="1" ht="16.5" customHeight="1"/>
    <row r="961" s="90" customFormat="1" ht="16.5" customHeight="1"/>
    <row r="962" s="90" customFormat="1" ht="16.5" customHeight="1"/>
    <row r="963" s="90" customFormat="1" ht="16.5" customHeight="1"/>
    <row r="964" s="90" customFormat="1" ht="16.5" customHeight="1"/>
    <row r="965" s="90" customFormat="1" ht="16.5" customHeight="1"/>
    <row r="966" s="90" customFormat="1" ht="16.5" customHeight="1"/>
    <row r="967" s="90" customFormat="1" ht="16.5" customHeight="1"/>
    <row r="968" s="90" customFormat="1" ht="16.5" customHeight="1"/>
    <row r="969" s="90" customFormat="1" ht="16.5" customHeight="1"/>
    <row r="970" s="90" customFormat="1" ht="16.5" customHeight="1"/>
    <row r="971" s="90" customFormat="1" ht="16.5" customHeight="1"/>
    <row r="972" s="90" customFormat="1" ht="16.5" customHeight="1"/>
    <row r="973" s="90" customFormat="1" ht="16.5" customHeight="1"/>
    <row r="974" s="90" customFormat="1" ht="16.5" customHeight="1"/>
    <row r="975" s="90" customFormat="1" ht="16.5" customHeight="1"/>
    <row r="976" s="90" customFormat="1" ht="16.5" customHeight="1"/>
    <row r="977" s="90" customFormat="1" ht="16.5" customHeight="1"/>
    <row r="978" s="90" customFormat="1" ht="16.5" customHeight="1"/>
    <row r="979" s="90" customFormat="1" ht="16.5" customHeight="1"/>
    <row r="980" s="90" customFormat="1" ht="16.5" customHeight="1"/>
    <row r="981" s="90" customFormat="1" ht="16.5" customHeight="1"/>
    <row r="982" s="90" customFormat="1" ht="16.5" customHeight="1"/>
    <row r="983" s="90" customFormat="1" ht="16.5" customHeight="1"/>
    <row r="984" s="90" customFormat="1" ht="16.5" customHeight="1"/>
    <row r="985" s="90" customFormat="1" ht="16.5" customHeight="1"/>
    <row r="986" s="90" customFormat="1" ht="16.5" customHeight="1"/>
    <row r="987" s="90" customFormat="1" ht="16.5" customHeight="1"/>
    <row r="988" s="90" customFormat="1" ht="16.5" customHeight="1"/>
    <row r="989" s="90" customFormat="1" ht="16.5" customHeight="1"/>
    <row r="990" s="90" customFormat="1" ht="16.5" customHeight="1"/>
    <row r="991" s="90" customFormat="1" ht="16.5" customHeight="1"/>
    <row r="992" s="90" customFormat="1" ht="16.5" customHeight="1"/>
    <row r="993" s="90" customFormat="1" ht="16.5" customHeight="1"/>
    <row r="994" s="90" customFormat="1" ht="16.5" customHeight="1"/>
    <row r="995" s="90" customFormat="1" ht="16.5" customHeight="1"/>
    <row r="996" s="90" customFormat="1" ht="16.5" customHeight="1"/>
    <row r="997" s="90" customFormat="1" ht="16.5" customHeight="1"/>
    <row r="998" s="90" customFormat="1" ht="16.5" customHeight="1"/>
    <row r="999" s="90" customFormat="1" ht="16.5" customHeight="1"/>
    <row r="1000" s="90" customFormat="1" ht="16.5" customHeight="1"/>
  </sheetData>
  <phoneticPr fontId="12" type="noConversion"/>
  <pageMargins left="0.7" right="0.7" top="0.75" bottom="0.75" header="0" footer="0"/>
  <pageSetup orientation="landscape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1F497D"/>
  </sheetPr>
  <dimension ref="A1:AE1000"/>
  <sheetViews>
    <sheetView tabSelected="1" workbookViewId="0">
      <selection activeCell="Y32" sqref="Y32"/>
    </sheetView>
  </sheetViews>
  <sheetFormatPr defaultColWidth="14.453125" defaultRowHeight="15" customHeight="1"/>
  <cols>
    <col min="1" max="31" width="8.7265625" style="90" customWidth="1"/>
    <col min="32" max="16384" width="14.453125" style="90"/>
  </cols>
  <sheetData>
    <row r="1" spans="1:31" ht="16.5" customHeight="1">
      <c r="A1" s="89" t="s">
        <v>178</v>
      </c>
      <c r="B1" s="89">
        <v>2021</v>
      </c>
      <c r="C1" s="89">
        <v>2022</v>
      </c>
      <c r="D1" s="89">
        <v>2023</v>
      </c>
      <c r="E1" s="89">
        <v>2024</v>
      </c>
      <c r="F1" s="89">
        <v>2025</v>
      </c>
      <c r="G1" s="89">
        <v>2026</v>
      </c>
      <c r="H1" s="89">
        <v>2027</v>
      </c>
      <c r="I1" s="89">
        <v>2028</v>
      </c>
      <c r="J1" s="89">
        <v>2029</v>
      </c>
      <c r="K1" s="89">
        <v>2030</v>
      </c>
      <c r="L1" s="89">
        <v>2031</v>
      </c>
      <c r="M1" s="89">
        <v>2032</v>
      </c>
      <c r="N1" s="89">
        <v>2033</v>
      </c>
      <c r="O1" s="89">
        <v>2034</v>
      </c>
      <c r="P1" s="89">
        <v>2035</v>
      </c>
      <c r="Q1" s="89">
        <v>2036</v>
      </c>
      <c r="R1" s="89">
        <v>2037</v>
      </c>
      <c r="S1" s="89">
        <v>2038</v>
      </c>
      <c r="T1" s="89">
        <v>2039</v>
      </c>
      <c r="U1" s="89">
        <v>2040</v>
      </c>
      <c r="V1" s="89">
        <v>2041</v>
      </c>
      <c r="W1" s="89">
        <v>2042</v>
      </c>
      <c r="X1" s="89">
        <v>2043</v>
      </c>
      <c r="Y1" s="89">
        <v>2044</v>
      </c>
      <c r="Z1" s="89">
        <v>2045</v>
      </c>
      <c r="AA1" s="89">
        <v>2046</v>
      </c>
      <c r="AB1" s="89">
        <v>2047</v>
      </c>
      <c r="AC1" s="89">
        <v>2048</v>
      </c>
      <c r="AD1" s="89">
        <v>2049</v>
      </c>
      <c r="AE1" s="89">
        <v>2050</v>
      </c>
    </row>
    <row r="2" spans="1:31" ht="16.5" customHeight="1">
      <c r="A2" s="89" t="s">
        <v>220</v>
      </c>
      <c r="B2" s="91">
        <v>10</v>
      </c>
      <c r="C2" s="91">
        <v>10</v>
      </c>
      <c r="D2" s="91">
        <v>10</v>
      </c>
      <c r="E2" s="91">
        <v>10</v>
      </c>
      <c r="F2" s="91">
        <v>10</v>
      </c>
      <c r="G2" s="91">
        <v>10</v>
      </c>
      <c r="H2" s="91">
        <v>10</v>
      </c>
      <c r="I2" s="91">
        <v>10</v>
      </c>
      <c r="J2" s="91">
        <v>10</v>
      </c>
      <c r="K2" s="91">
        <v>10</v>
      </c>
      <c r="L2" s="91">
        <v>10</v>
      </c>
      <c r="M2" s="91">
        <v>10</v>
      </c>
      <c r="N2" s="91">
        <v>10</v>
      </c>
      <c r="O2" s="91">
        <v>10</v>
      </c>
      <c r="P2" s="91">
        <v>10</v>
      </c>
      <c r="Q2" s="91">
        <v>10</v>
      </c>
      <c r="R2" s="91">
        <v>10</v>
      </c>
      <c r="S2" s="91">
        <v>10</v>
      </c>
      <c r="T2" s="91">
        <v>10</v>
      </c>
      <c r="U2" s="91">
        <v>10</v>
      </c>
      <c r="V2" s="91">
        <v>10</v>
      </c>
      <c r="W2" s="91">
        <v>10</v>
      </c>
      <c r="X2" s="91">
        <v>10</v>
      </c>
      <c r="Y2" s="91">
        <v>10</v>
      </c>
      <c r="Z2" s="91">
        <v>10</v>
      </c>
      <c r="AA2" s="91">
        <v>10</v>
      </c>
      <c r="AB2" s="91">
        <v>10</v>
      </c>
      <c r="AC2" s="91">
        <v>10</v>
      </c>
      <c r="AD2" s="91">
        <v>10</v>
      </c>
      <c r="AE2" s="91">
        <v>10</v>
      </c>
    </row>
    <row r="3" spans="1:31" ht="16.5" customHeight="1">
      <c r="A3" s="89" t="s">
        <v>221</v>
      </c>
      <c r="B3" s="91">
        <v>10</v>
      </c>
      <c r="C3" s="91">
        <v>10</v>
      </c>
      <c r="D3" s="91">
        <v>10</v>
      </c>
      <c r="E3" s="91">
        <v>10</v>
      </c>
      <c r="F3" s="91">
        <v>10</v>
      </c>
      <c r="G3" s="91">
        <v>10</v>
      </c>
      <c r="H3" s="91">
        <v>10</v>
      </c>
      <c r="I3" s="91">
        <v>10</v>
      </c>
      <c r="J3" s="91">
        <v>10</v>
      </c>
      <c r="K3" s="91">
        <v>10</v>
      </c>
      <c r="L3" s="91">
        <v>10</v>
      </c>
      <c r="M3" s="91">
        <v>10</v>
      </c>
      <c r="N3" s="91">
        <v>10</v>
      </c>
      <c r="O3" s="91">
        <v>10</v>
      </c>
      <c r="P3" s="91">
        <v>10</v>
      </c>
      <c r="Q3" s="91">
        <v>10</v>
      </c>
      <c r="R3" s="91">
        <v>10</v>
      </c>
      <c r="S3" s="91">
        <v>10</v>
      </c>
      <c r="T3" s="91">
        <v>10</v>
      </c>
      <c r="U3" s="91">
        <v>10</v>
      </c>
      <c r="V3" s="91">
        <v>10</v>
      </c>
      <c r="W3" s="91">
        <v>10</v>
      </c>
      <c r="X3" s="91">
        <v>10</v>
      </c>
      <c r="Y3" s="91">
        <v>10</v>
      </c>
      <c r="Z3" s="91">
        <v>10</v>
      </c>
      <c r="AA3" s="91">
        <v>10</v>
      </c>
      <c r="AB3" s="91">
        <v>10</v>
      </c>
      <c r="AC3" s="91">
        <v>10</v>
      </c>
      <c r="AD3" s="91">
        <v>10</v>
      </c>
      <c r="AE3" s="91">
        <v>10</v>
      </c>
    </row>
    <row r="4" spans="1:31" ht="16.5" customHeight="1">
      <c r="A4" s="89" t="s">
        <v>222</v>
      </c>
      <c r="B4" s="91">
        <v>10</v>
      </c>
      <c r="C4" s="91">
        <v>10</v>
      </c>
      <c r="D4" s="91">
        <v>10</v>
      </c>
      <c r="E4" s="91">
        <v>10</v>
      </c>
      <c r="F4" s="91">
        <v>10</v>
      </c>
      <c r="G4" s="91">
        <v>10</v>
      </c>
      <c r="H4" s="91">
        <v>10</v>
      </c>
      <c r="I4" s="91">
        <v>10</v>
      </c>
      <c r="J4" s="91">
        <v>10</v>
      </c>
      <c r="K4" s="91">
        <v>10</v>
      </c>
      <c r="L4" s="91">
        <v>10</v>
      </c>
      <c r="M4" s="91">
        <v>10</v>
      </c>
      <c r="N4" s="91">
        <v>10</v>
      </c>
      <c r="O4" s="91">
        <v>10</v>
      </c>
      <c r="P4" s="91">
        <v>10</v>
      </c>
      <c r="Q4" s="91">
        <v>10</v>
      </c>
      <c r="R4" s="91">
        <v>10</v>
      </c>
      <c r="S4" s="91">
        <v>10</v>
      </c>
      <c r="T4" s="91">
        <v>10</v>
      </c>
      <c r="U4" s="91">
        <v>10</v>
      </c>
      <c r="V4" s="91">
        <v>10</v>
      </c>
      <c r="W4" s="91">
        <v>10</v>
      </c>
      <c r="X4" s="91">
        <v>10</v>
      </c>
      <c r="Y4" s="91">
        <v>10</v>
      </c>
      <c r="Z4" s="91">
        <v>10</v>
      </c>
      <c r="AA4" s="91">
        <v>10</v>
      </c>
      <c r="AB4" s="91">
        <v>10</v>
      </c>
      <c r="AC4" s="91">
        <v>10</v>
      </c>
      <c r="AD4" s="91">
        <v>10</v>
      </c>
      <c r="AE4" s="91">
        <v>10</v>
      </c>
    </row>
    <row r="5" spans="1:31" ht="16.5" customHeight="1">
      <c r="A5" s="89" t="s">
        <v>124</v>
      </c>
      <c r="B5" s="91">
        <v>10</v>
      </c>
      <c r="C5" s="91">
        <v>10</v>
      </c>
      <c r="D5" s="91">
        <v>10</v>
      </c>
      <c r="E5" s="91">
        <v>10</v>
      </c>
      <c r="F5" s="91">
        <v>10</v>
      </c>
      <c r="G5" s="91">
        <v>10</v>
      </c>
      <c r="H5" s="91">
        <v>10</v>
      </c>
      <c r="I5" s="91">
        <v>10</v>
      </c>
      <c r="J5" s="91">
        <v>10</v>
      </c>
      <c r="K5" s="91">
        <v>10</v>
      </c>
      <c r="L5" s="91">
        <v>10</v>
      </c>
      <c r="M5" s="91">
        <v>10</v>
      </c>
      <c r="N5" s="91">
        <v>10</v>
      </c>
      <c r="O5" s="91">
        <v>10</v>
      </c>
      <c r="P5" s="91">
        <v>10</v>
      </c>
      <c r="Q5" s="91">
        <v>10</v>
      </c>
      <c r="R5" s="91">
        <v>10</v>
      </c>
      <c r="S5" s="91">
        <v>10</v>
      </c>
      <c r="T5" s="91">
        <v>10</v>
      </c>
      <c r="U5" s="91">
        <v>10</v>
      </c>
      <c r="V5" s="91">
        <v>10</v>
      </c>
      <c r="W5" s="91">
        <v>10</v>
      </c>
      <c r="X5" s="91">
        <v>10</v>
      </c>
      <c r="Y5" s="91">
        <v>10</v>
      </c>
      <c r="Z5" s="91">
        <v>10</v>
      </c>
      <c r="AA5" s="91">
        <v>10</v>
      </c>
      <c r="AB5" s="91">
        <v>10</v>
      </c>
      <c r="AC5" s="91">
        <v>10</v>
      </c>
      <c r="AD5" s="91">
        <v>10</v>
      </c>
      <c r="AE5" s="91">
        <v>10</v>
      </c>
    </row>
    <row r="6" spans="1:31" ht="16.5" customHeight="1">
      <c r="A6" s="89" t="s">
        <v>123</v>
      </c>
      <c r="B6" s="91">
        <v>10</v>
      </c>
      <c r="C6" s="91">
        <v>10</v>
      </c>
      <c r="D6" s="91">
        <v>10</v>
      </c>
      <c r="E6" s="91">
        <v>10</v>
      </c>
      <c r="F6" s="91">
        <v>10</v>
      </c>
      <c r="G6" s="91">
        <v>10</v>
      </c>
      <c r="H6" s="91">
        <v>10</v>
      </c>
      <c r="I6" s="91">
        <v>10</v>
      </c>
      <c r="J6" s="91">
        <v>10</v>
      </c>
      <c r="K6" s="91">
        <v>10</v>
      </c>
      <c r="L6" s="91">
        <v>10</v>
      </c>
      <c r="M6" s="91">
        <v>10</v>
      </c>
      <c r="N6" s="91">
        <v>10</v>
      </c>
      <c r="O6" s="91">
        <v>10</v>
      </c>
      <c r="P6" s="91">
        <v>10</v>
      </c>
      <c r="Q6" s="91">
        <v>10</v>
      </c>
      <c r="R6" s="91">
        <v>10</v>
      </c>
      <c r="S6" s="91">
        <v>10</v>
      </c>
      <c r="T6" s="91">
        <v>10</v>
      </c>
      <c r="U6" s="91">
        <v>10</v>
      </c>
      <c r="V6" s="91">
        <v>10</v>
      </c>
      <c r="W6" s="91">
        <v>10</v>
      </c>
      <c r="X6" s="91">
        <v>10</v>
      </c>
      <c r="Y6" s="91">
        <v>10</v>
      </c>
      <c r="Z6" s="91">
        <v>10</v>
      </c>
      <c r="AA6" s="91">
        <v>10</v>
      </c>
      <c r="AB6" s="91">
        <v>10</v>
      </c>
      <c r="AC6" s="91">
        <v>10</v>
      </c>
      <c r="AD6" s="91">
        <v>10</v>
      </c>
      <c r="AE6" s="91">
        <v>10</v>
      </c>
    </row>
    <row r="7" spans="1:31" ht="16.5" customHeight="1">
      <c r="A7" s="89" t="s">
        <v>128</v>
      </c>
      <c r="B7" s="91">
        <v>10</v>
      </c>
      <c r="C7" s="91">
        <v>10</v>
      </c>
      <c r="D7" s="91">
        <v>10</v>
      </c>
      <c r="E7" s="91">
        <v>10</v>
      </c>
      <c r="F7" s="91">
        <v>10</v>
      </c>
      <c r="G7" s="91">
        <v>10</v>
      </c>
      <c r="H7" s="91">
        <v>10</v>
      </c>
      <c r="I7" s="91">
        <v>10</v>
      </c>
      <c r="J7" s="91">
        <v>10</v>
      </c>
      <c r="K7" s="91">
        <v>10</v>
      </c>
      <c r="L7" s="91">
        <v>10</v>
      </c>
      <c r="M7" s="91">
        <v>10</v>
      </c>
      <c r="N7" s="91">
        <v>10</v>
      </c>
      <c r="O7" s="91">
        <v>10</v>
      </c>
      <c r="P7" s="91">
        <v>10</v>
      </c>
      <c r="Q7" s="91">
        <v>10</v>
      </c>
      <c r="R7" s="91">
        <v>10</v>
      </c>
      <c r="S7" s="91">
        <v>10</v>
      </c>
      <c r="T7" s="91">
        <v>10</v>
      </c>
      <c r="U7" s="91">
        <v>10</v>
      </c>
      <c r="V7" s="91">
        <v>10</v>
      </c>
      <c r="W7" s="91">
        <v>10</v>
      </c>
      <c r="X7" s="91">
        <v>10</v>
      </c>
      <c r="Y7" s="91">
        <v>10</v>
      </c>
      <c r="Z7" s="91">
        <v>10</v>
      </c>
      <c r="AA7" s="91">
        <v>10</v>
      </c>
      <c r="AB7" s="91">
        <v>10</v>
      </c>
      <c r="AC7" s="91">
        <v>10</v>
      </c>
      <c r="AD7" s="91">
        <v>10</v>
      </c>
      <c r="AE7" s="91">
        <v>10</v>
      </c>
    </row>
    <row r="8" spans="1:31" ht="16.5" customHeight="1">
      <c r="A8" s="89" t="s">
        <v>223</v>
      </c>
      <c r="B8" s="91">
        <v>10</v>
      </c>
      <c r="C8" s="91">
        <v>10</v>
      </c>
      <c r="D8" s="91">
        <v>10</v>
      </c>
      <c r="E8" s="91">
        <v>10</v>
      </c>
      <c r="F8" s="91">
        <v>10</v>
      </c>
      <c r="G8" s="91">
        <v>10</v>
      </c>
      <c r="H8" s="91">
        <v>10</v>
      </c>
      <c r="I8" s="91">
        <v>10</v>
      </c>
      <c r="J8" s="91">
        <v>10</v>
      </c>
      <c r="K8" s="91">
        <v>10</v>
      </c>
      <c r="L8" s="91">
        <v>10</v>
      </c>
      <c r="M8" s="91">
        <v>10</v>
      </c>
      <c r="N8" s="91">
        <v>10</v>
      </c>
      <c r="O8" s="91">
        <v>10</v>
      </c>
      <c r="P8" s="91">
        <v>10</v>
      </c>
      <c r="Q8" s="91">
        <v>10</v>
      </c>
      <c r="R8" s="91">
        <v>10</v>
      </c>
      <c r="S8" s="91">
        <v>10</v>
      </c>
      <c r="T8" s="91">
        <v>10</v>
      </c>
      <c r="U8" s="91">
        <v>10</v>
      </c>
      <c r="V8" s="91">
        <v>10</v>
      </c>
      <c r="W8" s="91">
        <v>10</v>
      </c>
      <c r="X8" s="91">
        <v>10</v>
      </c>
      <c r="Y8" s="91">
        <v>10</v>
      </c>
      <c r="Z8" s="91">
        <v>10</v>
      </c>
      <c r="AA8" s="91">
        <v>10</v>
      </c>
      <c r="AB8" s="91">
        <v>10</v>
      </c>
      <c r="AC8" s="91">
        <v>10</v>
      </c>
      <c r="AD8" s="91">
        <v>10</v>
      </c>
      <c r="AE8" s="91">
        <v>10</v>
      </c>
    </row>
    <row r="9" spans="1:31" ht="16.5" customHeight="1">
      <c r="A9" s="89" t="s">
        <v>224</v>
      </c>
      <c r="B9" s="91">
        <v>10</v>
      </c>
      <c r="C9" s="91">
        <v>10</v>
      </c>
      <c r="D9" s="91">
        <v>10</v>
      </c>
      <c r="E9" s="91">
        <v>10</v>
      </c>
      <c r="F9" s="91">
        <v>10</v>
      </c>
      <c r="G9" s="91">
        <v>10</v>
      </c>
      <c r="H9" s="91">
        <v>10</v>
      </c>
      <c r="I9" s="91">
        <v>10</v>
      </c>
      <c r="J9" s="91">
        <v>10</v>
      </c>
      <c r="K9" s="91">
        <v>10</v>
      </c>
      <c r="L9" s="91">
        <v>10</v>
      </c>
      <c r="M9" s="91">
        <v>10</v>
      </c>
      <c r="N9" s="91">
        <v>10</v>
      </c>
      <c r="O9" s="91">
        <v>10</v>
      </c>
      <c r="P9" s="91">
        <v>10</v>
      </c>
      <c r="Q9" s="91">
        <v>10</v>
      </c>
      <c r="R9" s="91">
        <v>10</v>
      </c>
      <c r="S9" s="91">
        <v>10</v>
      </c>
      <c r="T9" s="91">
        <v>10</v>
      </c>
      <c r="U9" s="91">
        <v>10</v>
      </c>
      <c r="V9" s="91">
        <v>10</v>
      </c>
      <c r="W9" s="91">
        <v>10</v>
      </c>
      <c r="X9" s="91">
        <v>10</v>
      </c>
      <c r="Y9" s="91">
        <v>10</v>
      </c>
      <c r="Z9" s="91">
        <v>10</v>
      </c>
      <c r="AA9" s="91">
        <v>10</v>
      </c>
      <c r="AB9" s="91">
        <v>10</v>
      </c>
      <c r="AC9" s="91">
        <v>10</v>
      </c>
      <c r="AD9" s="91">
        <v>10</v>
      </c>
      <c r="AE9" s="91">
        <v>10</v>
      </c>
    </row>
    <row r="10" spans="1:31" ht="16.5" customHeight="1">
      <c r="A10" s="89" t="s">
        <v>117</v>
      </c>
      <c r="B10" s="91">
        <v>10</v>
      </c>
      <c r="C10" s="91">
        <v>10</v>
      </c>
      <c r="D10" s="91">
        <v>10</v>
      </c>
      <c r="E10" s="91">
        <v>10</v>
      </c>
      <c r="F10" s="91">
        <v>10</v>
      </c>
      <c r="G10" s="91">
        <v>10</v>
      </c>
      <c r="H10" s="91">
        <v>10</v>
      </c>
      <c r="I10" s="91">
        <v>10</v>
      </c>
      <c r="J10" s="91">
        <v>10</v>
      </c>
      <c r="K10" s="91">
        <v>10</v>
      </c>
      <c r="L10" s="91">
        <v>10</v>
      </c>
      <c r="M10" s="91">
        <v>10</v>
      </c>
      <c r="N10" s="91">
        <v>10</v>
      </c>
      <c r="O10" s="91">
        <v>10</v>
      </c>
      <c r="P10" s="91">
        <v>10</v>
      </c>
      <c r="Q10" s="91">
        <v>10</v>
      </c>
      <c r="R10" s="91">
        <v>10</v>
      </c>
      <c r="S10" s="91">
        <v>10</v>
      </c>
      <c r="T10" s="91">
        <v>10</v>
      </c>
      <c r="U10" s="91">
        <v>10</v>
      </c>
      <c r="V10" s="91">
        <v>10</v>
      </c>
      <c r="W10" s="91">
        <v>10</v>
      </c>
      <c r="X10" s="91">
        <v>10</v>
      </c>
      <c r="Y10" s="91">
        <v>10</v>
      </c>
      <c r="Z10" s="91">
        <v>10</v>
      </c>
      <c r="AA10" s="91">
        <v>10</v>
      </c>
      <c r="AB10" s="91">
        <v>10</v>
      </c>
      <c r="AC10" s="91">
        <v>10</v>
      </c>
      <c r="AD10" s="91">
        <v>10</v>
      </c>
      <c r="AE10" s="91">
        <v>10</v>
      </c>
    </row>
    <row r="11" spans="1:31" ht="16.5" customHeight="1">
      <c r="A11" s="89" t="s">
        <v>129</v>
      </c>
      <c r="B11" s="91">
        <v>10</v>
      </c>
      <c r="C11" s="91">
        <v>10</v>
      </c>
      <c r="D11" s="91">
        <v>10</v>
      </c>
      <c r="E11" s="91">
        <v>10</v>
      </c>
      <c r="F11" s="91">
        <v>10</v>
      </c>
      <c r="G11" s="91">
        <v>10</v>
      </c>
      <c r="H11" s="91">
        <v>10</v>
      </c>
      <c r="I11" s="91">
        <v>10</v>
      </c>
      <c r="J11" s="91">
        <v>10</v>
      </c>
      <c r="K11" s="91">
        <v>10</v>
      </c>
      <c r="L11" s="91">
        <v>10</v>
      </c>
      <c r="M11" s="91">
        <v>10</v>
      </c>
      <c r="N11" s="91">
        <v>10</v>
      </c>
      <c r="O11" s="91">
        <v>10</v>
      </c>
      <c r="P11" s="91">
        <v>10</v>
      </c>
      <c r="Q11" s="91">
        <v>10</v>
      </c>
      <c r="R11" s="91">
        <v>10</v>
      </c>
      <c r="S11" s="91">
        <v>10</v>
      </c>
      <c r="T11" s="91">
        <v>10</v>
      </c>
      <c r="U11" s="91">
        <v>10</v>
      </c>
      <c r="V11" s="91">
        <v>10</v>
      </c>
      <c r="W11" s="91">
        <v>10</v>
      </c>
      <c r="X11" s="91">
        <v>10</v>
      </c>
      <c r="Y11" s="91">
        <v>10</v>
      </c>
      <c r="Z11" s="91">
        <v>10</v>
      </c>
      <c r="AA11" s="91">
        <v>10</v>
      </c>
      <c r="AB11" s="91">
        <v>10</v>
      </c>
      <c r="AC11" s="91">
        <v>10</v>
      </c>
      <c r="AD11" s="91">
        <v>10</v>
      </c>
      <c r="AE11" s="91">
        <v>10</v>
      </c>
    </row>
    <row r="12" spans="1:31" ht="16.5" customHeight="1">
      <c r="A12" s="89" t="s">
        <v>225</v>
      </c>
      <c r="B12" s="91">
        <v>10</v>
      </c>
      <c r="C12" s="91">
        <v>10</v>
      </c>
      <c r="D12" s="91">
        <v>10</v>
      </c>
      <c r="E12" s="91">
        <v>10</v>
      </c>
      <c r="F12" s="91">
        <v>10</v>
      </c>
      <c r="G12" s="91">
        <v>10</v>
      </c>
      <c r="H12" s="91">
        <v>10</v>
      </c>
      <c r="I12" s="91">
        <v>10</v>
      </c>
      <c r="J12" s="91">
        <v>10</v>
      </c>
      <c r="K12" s="91">
        <v>10</v>
      </c>
      <c r="L12" s="91">
        <v>10</v>
      </c>
      <c r="M12" s="91">
        <v>10</v>
      </c>
      <c r="N12" s="91">
        <v>10</v>
      </c>
      <c r="O12" s="91">
        <v>10</v>
      </c>
      <c r="P12" s="91">
        <v>10</v>
      </c>
      <c r="Q12" s="91">
        <v>10</v>
      </c>
      <c r="R12" s="91">
        <v>10</v>
      </c>
      <c r="S12" s="91">
        <v>10</v>
      </c>
      <c r="T12" s="91">
        <v>10</v>
      </c>
      <c r="U12" s="91">
        <v>10</v>
      </c>
      <c r="V12" s="91">
        <v>10</v>
      </c>
      <c r="W12" s="91">
        <v>10</v>
      </c>
      <c r="X12" s="91">
        <v>10</v>
      </c>
      <c r="Y12" s="91">
        <v>10</v>
      </c>
      <c r="Z12" s="91">
        <v>10</v>
      </c>
      <c r="AA12" s="91">
        <v>10</v>
      </c>
      <c r="AB12" s="91">
        <v>10</v>
      </c>
      <c r="AC12" s="91">
        <v>10</v>
      </c>
      <c r="AD12" s="91">
        <v>10</v>
      </c>
      <c r="AE12" s="91">
        <v>10</v>
      </c>
    </row>
    <row r="13" spans="1:31" ht="16.5" customHeight="1">
      <c r="A13" s="89" t="s">
        <v>226</v>
      </c>
      <c r="B13" s="91">
        <v>10</v>
      </c>
      <c r="C13" s="91">
        <v>10</v>
      </c>
      <c r="D13" s="91">
        <v>10</v>
      </c>
      <c r="E13" s="91">
        <v>10</v>
      </c>
      <c r="F13" s="91">
        <v>10</v>
      </c>
      <c r="G13" s="91">
        <v>10</v>
      </c>
      <c r="H13" s="91">
        <v>10</v>
      </c>
      <c r="I13" s="91">
        <v>10</v>
      </c>
      <c r="J13" s="91">
        <v>10</v>
      </c>
      <c r="K13" s="91">
        <v>10</v>
      </c>
      <c r="L13" s="91">
        <v>10</v>
      </c>
      <c r="M13" s="91">
        <v>10</v>
      </c>
      <c r="N13" s="91">
        <v>10</v>
      </c>
      <c r="O13" s="91">
        <v>10</v>
      </c>
      <c r="P13" s="91">
        <v>10</v>
      </c>
      <c r="Q13" s="91">
        <v>10</v>
      </c>
      <c r="R13" s="91">
        <v>10</v>
      </c>
      <c r="S13" s="91">
        <v>10</v>
      </c>
      <c r="T13" s="91">
        <v>10</v>
      </c>
      <c r="U13" s="91">
        <v>10</v>
      </c>
      <c r="V13" s="91">
        <v>10</v>
      </c>
      <c r="W13" s="91">
        <v>10</v>
      </c>
      <c r="X13" s="91">
        <v>10</v>
      </c>
      <c r="Y13" s="91">
        <v>10</v>
      </c>
      <c r="Z13" s="91">
        <v>10</v>
      </c>
      <c r="AA13" s="91">
        <v>10</v>
      </c>
      <c r="AB13" s="91">
        <v>10</v>
      </c>
      <c r="AC13" s="91">
        <v>10</v>
      </c>
      <c r="AD13" s="91">
        <v>10</v>
      </c>
      <c r="AE13" s="91">
        <v>10</v>
      </c>
    </row>
    <row r="14" spans="1:31" ht="16.5" customHeight="1">
      <c r="A14" s="89" t="s">
        <v>227</v>
      </c>
      <c r="B14" s="91">
        <v>10</v>
      </c>
      <c r="C14" s="91">
        <v>10</v>
      </c>
      <c r="D14" s="91">
        <v>10</v>
      </c>
      <c r="E14" s="91">
        <v>10</v>
      </c>
      <c r="F14" s="91">
        <v>10</v>
      </c>
      <c r="G14" s="91">
        <v>10</v>
      </c>
      <c r="H14" s="91">
        <v>10</v>
      </c>
      <c r="I14" s="91">
        <v>10</v>
      </c>
      <c r="J14" s="91">
        <v>10</v>
      </c>
      <c r="K14" s="91">
        <v>10</v>
      </c>
      <c r="L14" s="91">
        <v>10</v>
      </c>
      <c r="M14" s="91">
        <v>10</v>
      </c>
      <c r="N14" s="91">
        <v>10</v>
      </c>
      <c r="O14" s="91">
        <v>10</v>
      </c>
      <c r="P14" s="91">
        <v>10</v>
      </c>
      <c r="Q14" s="91">
        <v>10</v>
      </c>
      <c r="R14" s="91">
        <v>10</v>
      </c>
      <c r="S14" s="91">
        <v>10</v>
      </c>
      <c r="T14" s="91">
        <v>10</v>
      </c>
      <c r="U14" s="91">
        <v>10</v>
      </c>
      <c r="V14" s="91">
        <v>10</v>
      </c>
      <c r="W14" s="91">
        <v>10</v>
      </c>
      <c r="X14" s="91">
        <v>10</v>
      </c>
      <c r="Y14" s="91">
        <v>10</v>
      </c>
      <c r="Z14" s="91">
        <v>10</v>
      </c>
      <c r="AA14" s="91">
        <v>10</v>
      </c>
      <c r="AB14" s="91">
        <v>10</v>
      </c>
      <c r="AC14" s="91">
        <v>10</v>
      </c>
      <c r="AD14" s="91">
        <v>10</v>
      </c>
      <c r="AE14" s="91">
        <v>10</v>
      </c>
    </row>
    <row r="15" spans="1:31" ht="16.5" customHeight="1">
      <c r="A15" s="89" t="s">
        <v>127</v>
      </c>
      <c r="B15" s="91">
        <v>10</v>
      </c>
      <c r="C15" s="91">
        <v>10</v>
      </c>
      <c r="D15" s="91">
        <v>10</v>
      </c>
      <c r="E15" s="91">
        <v>10</v>
      </c>
      <c r="F15" s="91">
        <v>10</v>
      </c>
      <c r="G15" s="91">
        <v>10</v>
      </c>
      <c r="H15" s="91">
        <v>10</v>
      </c>
      <c r="I15" s="91">
        <v>10</v>
      </c>
      <c r="J15" s="91">
        <v>10</v>
      </c>
      <c r="K15" s="91">
        <v>10</v>
      </c>
      <c r="L15" s="91">
        <v>10</v>
      </c>
      <c r="M15" s="91">
        <v>10</v>
      </c>
      <c r="N15" s="91">
        <v>10</v>
      </c>
      <c r="O15" s="91">
        <v>10</v>
      </c>
      <c r="P15" s="91">
        <v>10</v>
      </c>
      <c r="Q15" s="91">
        <v>10</v>
      </c>
      <c r="R15" s="91">
        <v>10</v>
      </c>
      <c r="S15" s="91">
        <v>10</v>
      </c>
      <c r="T15" s="91">
        <v>10</v>
      </c>
      <c r="U15" s="91">
        <v>10</v>
      </c>
      <c r="V15" s="91">
        <v>10</v>
      </c>
      <c r="W15" s="91">
        <v>10</v>
      </c>
      <c r="X15" s="91">
        <v>10</v>
      </c>
      <c r="Y15" s="91">
        <v>10</v>
      </c>
      <c r="Z15" s="91">
        <v>10</v>
      </c>
      <c r="AA15" s="91">
        <v>10</v>
      </c>
      <c r="AB15" s="91">
        <v>10</v>
      </c>
      <c r="AC15" s="91">
        <v>10</v>
      </c>
      <c r="AD15" s="91">
        <v>10</v>
      </c>
      <c r="AE15" s="91">
        <v>10</v>
      </c>
    </row>
    <row r="16" spans="1:31" ht="16.5" customHeight="1">
      <c r="A16" s="89" t="s">
        <v>212</v>
      </c>
      <c r="B16" s="91">
        <v>10</v>
      </c>
      <c r="C16" s="91">
        <v>10</v>
      </c>
      <c r="D16" s="91">
        <v>10</v>
      </c>
      <c r="E16" s="91">
        <v>10</v>
      </c>
      <c r="F16" s="91">
        <v>10</v>
      </c>
      <c r="G16" s="91">
        <v>10</v>
      </c>
      <c r="H16" s="91">
        <v>10</v>
      </c>
      <c r="I16" s="91">
        <v>10</v>
      </c>
      <c r="J16" s="91">
        <v>10</v>
      </c>
      <c r="K16" s="91">
        <v>10</v>
      </c>
      <c r="L16" s="91">
        <v>10</v>
      </c>
      <c r="M16" s="91">
        <v>10</v>
      </c>
      <c r="N16" s="91">
        <v>10</v>
      </c>
      <c r="O16" s="91">
        <v>10</v>
      </c>
      <c r="P16" s="91">
        <v>10</v>
      </c>
      <c r="Q16" s="91">
        <v>10</v>
      </c>
      <c r="R16" s="91">
        <v>10</v>
      </c>
      <c r="S16" s="91">
        <v>10</v>
      </c>
      <c r="T16" s="91">
        <v>10</v>
      </c>
      <c r="U16" s="91">
        <v>10</v>
      </c>
      <c r="V16" s="91">
        <v>10</v>
      </c>
      <c r="W16" s="91">
        <v>10</v>
      </c>
      <c r="X16" s="91">
        <v>10</v>
      </c>
      <c r="Y16" s="91">
        <v>10</v>
      </c>
      <c r="Z16" s="91">
        <v>10</v>
      </c>
      <c r="AA16" s="91">
        <v>10</v>
      </c>
      <c r="AB16" s="91">
        <v>10</v>
      </c>
      <c r="AC16" s="91">
        <v>10</v>
      </c>
      <c r="AD16" s="91">
        <v>10</v>
      </c>
      <c r="AE16" s="91">
        <v>10</v>
      </c>
    </row>
    <row r="17" spans="1:31" ht="16.5" customHeight="1">
      <c r="A17" s="89" t="s">
        <v>228</v>
      </c>
      <c r="B17" s="91">
        <v>10</v>
      </c>
      <c r="C17" s="91">
        <v>10</v>
      </c>
      <c r="D17" s="91">
        <v>10</v>
      </c>
      <c r="E17" s="91">
        <v>10</v>
      </c>
      <c r="F17" s="91">
        <v>10</v>
      </c>
      <c r="G17" s="91">
        <v>10</v>
      </c>
      <c r="H17" s="91">
        <v>10</v>
      </c>
      <c r="I17" s="91">
        <v>10</v>
      </c>
      <c r="J17" s="91">
        <v>10</v>
      </c>
      <c r="K17" s="91">
        <v>10</v>
      </c>
      <c r="L17" s="91">
        <v>10</v>
      </c>
      <c r="M17" s="91">
        <v>10</v>
      </c>
      <c r="N17" s="91">
        <v>10</v>
      </c>
      <c r="O17" s="91">
        <v>10</v>
      </c>
      <c r="P17" s="91">
        <v>10</v>
      </c>
      <c r="Q17" s="91">
        <v>10</v>
      </c>
      <c r="R17" s="91">
        <v>10</v>
      </c>
      <c r="S17" s="91">
        <v>10</v>
      </c>
      <c r="T17" s="91">
        <v>10</v>
      </c>
      <c r="U17" s="91">
        <v>10</v>
      </c>
      <c r="V17" s="91">
        <v>10</v>
      </c>
      <c r="W17" s="91">
        <v>10</v>
      </c>
      <c r="X17" s="91">
        <v>10</v>
      </c>
      <c r="Y17" s="91">
        <v>10</v>
      </c>
      <c r="Z17" s="91">
        <v>10</v>
      </c>
      <c r="AA17" s="91">
        <v>10</v>
      </c>
      <c r="AB17" s="91">
        <v>10</v>
      </c>
      <c r="AC17" s="91">
        <v>10</v>
      </c>
      <c r="AD17" s="91">
        <v>10</v>
      </c>
      <c r="AE17" s="91">
        <v>10</v>
      </c>
    </row>
    <row r="18" spans="1:31" ht="16.5" customHeight="1">
      <c r="A18" s="89" t="s">
        <v>215</v>
      </c>
      <c r="B18" s="91">
        <v>10</v>
      </c>
      <c r="C18" s="91">
        <v>10</v>
      </c>
      <c r="D18" s="91">
        <v>10</v>
      </c>
      <c r="E18" s="91">
        <v>10</v>
      </c>
      <c r="F18" s="91">
        <v>10</v>
      </c>
      <c r="G18" s="91">
        <v>10</v>
      </c>
      <c r="H18" s="91">
        <v>10</v>
      </c>
      <c r="I18" s="91">
        <v>10</v>
      </c>
      <c r="J18" s="91">
        <v>10</v>
      </c>
      <c r="K18" s="91">
        <v>10</v>
      </c>
      <c r="L18" s="91">
        <v>10</v>
      </c>
      <c r="M18" s="91">
        <v>10</v>
      </c>
      <c r="N18" s="91">
        <v>10</v>
      </c>
      <c r="O18" s="91">
        <v>10</v>
      </c>
      <c r="P18" s="91">
        <v>10</v>
      </c>
      <c r="Q18" s="91">
        <v>10</v>
      </c>
      <c r="R18" s="91">
        <v>10</v>
      </c>
      <c r="S18" s="91">
        <v>10</v>
      </c>
      <c r="T18" s="91">
        <v>10</v>
      </c>
      <c r="U18" s="91">
        <v>10</v>
      </c>
      <c r="V18" s="91">
        <v>10</v>
      </c>
      <c r="W18" s="91">
        <v>10</v>
      </c>
      <c r="X18" s="91">
        <v>10</v>
      </c>
      <c r="Y18" s="91">
        <v>10</v>
      </c>
      <c r="Z18" s="91">
        <v>10</v>
      </c>
      <c r="AA18" s="91">
        <v>10</v>
      </c>
      <c r="AB18" s="91">
        <v>10</v>
      </c>
      <c r="AC18" s="91">
        <v>10</v>
      </c>
      <c r="AD18" s="91">
        <v>10</v>
      </c>
      <c r="AE18" s="91">
        <v>10</v>
      </c>
    </row>
    <row r="19" spans="1:31" ht="16.5" customHeight="1">
      <c r="A19" s="89" t="s">
        <v>229</v>
      </c>
      <c r="B19" s="91">
        <v>10</v>
      </c>
      <c r="C19" s="91">
        <v>10</v>
      </c>
      <c r="D19" s="91">
        <v>10</v>
      </c>
      <c r="E19" s="91">
        <v>10</v>
      </c>
      <c r="F19" s="91">
        <v>10</v>
      </c>
      <c r="G19" s="91">
        <v>10</v>
      </c>
      <c r="H19" s="91">
        <v>10</v>
      </c>
      <c r="I19" s="91">
        <v>10</v>
      </c>
      <c r="J19" s="91">
        <v>10</v>
      </c>
      <c r="K19" s="91">
        <v>10</v>
      </c>
      <c r="L19" s="91">
        <v>10</v>
      </c>
      <c r="M19" s="91">
        <v>10</v>
      </c>
      <c r="N19" s="91">
        <v>10</v>
      </c>
      <c r="O19" s="91">
        <v>10</v>
      </c>
      <c r="P19" s="91">
        <v>10</v>
      </c>
      <c r="Q19" s="91">
        <v>10</v>
      </c>
      <c r="R19" s="91">
        <v>10</v>
      </c>
      <c r="S19" s="91">
        <v>10</v>
      </c>
      <c r="T19" s="91">
        <v>10</v>
      </c>
      <c r="U19" s="91">
        <v>10</v>
      </c>
      <c r="V19" s="91">
        <v>10</v>
      </c>
      <c r="W19" s="91">
        <v>10</v>
      </c>
      <c r="X19" s="91">
        <v>10</v>
      </c>
      <c r="Y19" s="91">
        <v>10</v>
      </c>
      <c r="Z19" s="91">
        <v>10</v>
      </c>
      <c r="AA19" s="91">
        <v>10</v>
      </c>
      <c r="AB19" s="91">
        <v>10</v>
      </c>
      <c r="AC19" s="91">
        <v>10</v>
      </c>
      <c r="AD19" s="91">
        <v>10</v>
      </c>
      <c r="AE19" s="91">
        <v>10</v>
      </c>
    </row>
    <row r="20" spans="1:31" ht="16.5" customHeight="1">
      <c r="A20" s="89" t="s">
        <v>230</v>
      </c>
      <c r="B20" s="91">
        <v>10</v>
      </c>
      <c r="C20" s="91">
        <v>10</v>
      </c>
      <c r="D20" s="91">
        <v>10</v>
      </c>
      <c r="E20" s="91">
        <v>10</v>
      </c>
      <c r="F20" s="91">
        <v>10</v>
      </c>
      <c r="G20" s="91">
        <v>10</v>
      </c>
      <c r="H20" s="91">
        <v>10</v>
      </c>
      <c r="I20" s="91">
        <v>10</v>
      </c>
      <c r="J20" s="91">
        <v>10</v>
      </c>
      <c r="K20" s="91">
        <v>10</v>
      </c>
      <c r="L20" s="91">
        <v>10</v>
      </c>
      <c r="M20" s="91">
        <v>10</v>
      </c>
      <c r="N20" s="91">
        <v>10</v>
      </c>
      <c r="O20" s="91">
        <v>10</v>
      </c>
      <c r="P20" s="91">
        <v>10</v>
      </c>
      <c r="Q20" s="91">
        <v>10</v>
      </c>
      <c r="R20" s="91">
        <v>10</v>
      </c>
      <c r="S20" s="91">
        <v>10</v>
      </c>
      <c r="T20" s="91">
        <v>10</v>
      </c>
      <c r="U20" s="91">
        <v>10</v>
      </c>
      <c r="V20" s="91">
        <v>10</v>
      </c>
      <c r="W20" s="91">
        <v>10</v>
      </c>
      <c r="X20" s="91">
        <v>10</v>
      </c>
      <c r="Y20" s="91">
        <v>10</v>
      </c>
      <c r="Z20" s="91">
        <v>10</v>
      </c>
      <c r="AA20" s="91">
        <v>10</v>
      </c>
      <c r="AB20" s="91">
        <v>10</v>
      </c>
      <c r="AC20" s="91">
        <v>10</v>
      </c>
      <c r="AD20" s="91">
        <v>10</v>
      </c>
      <c r="AE20" s="91">
        <v>10</v>
      </c>
    </row>
    <row r="21" spans="1:31" ht="16.5" customHeight="1">
      <c r="A21" s="89" t="s">
        <v>231</v>
      </c>
      <c r="B21" s="91">
        <v>10</v>
      </c>
      <c r="C21" s="91">
        <v>10</v>
      </c>
      <c r="D21" s="91">
        <v>10</v>
      </c>
      <c r="E21" s="91">
        <v>10</v>
      </c>
      <c r="F21" s="91">
        <v>10</v>
      </c>
      <c r="G21" s="91">
        <v>10</v>
      </c>
      <c r="H21" s="91">
        <v>10</v>
      </c>
      <c r="I21" s="91">
        <v>10</v>
      </c>
      <c r="J21" s="91">
        <v>10</v>
      </c>
      <c r="K21" s="91">
        <v>10</v>
      </c>
      <c r="L21" s="91">
        <v>10</v>
      </c>
      <c r="M21" s="91">
        <v>10</v>
      </c>
      <c r="N21" s="91">
        <v>10</v>
      </c>
      <c r="O21" s="91">
        <v>10</v>
      </c>
      <c r="P21" s="91">
        <v>10</v>
      </c>
      <c r="Q21" s="91">
        <v>10</v>
      </c>
      <c r="R21" s="91">
        <v>10</v>
      </c>
      <c r="S21" s="91">
        <v>10</v>
      </c>
      <c r="T21" s="91">
        <v>10</v>
      </c>
      <c r="U21" s="91">
        <v>10</v>
      </c>
      <c r="V21" s="91">
        <v>10</v>
      </c>
      <c r="W21" s="91">
        <v>10</v>
      </c>
      <c r="X21" s="91">
        <v>10</v>
      </c>
      <c r="Y21" s="91">
        <v>10</v>
      </c>
      <c r="Z21" s="91">
        <v>10</v>
      </c>
      <c r="AA21" s="91">
        <v>10</v>
      </c>
      <c r="AB21" s="91">
        <v>10</v>
      </c>
      <c r="AC21" s="91">
        <v>10</v>
      </c>
      <c r="AD21" s="91">
        <v>10</v>
      </c>
      <c r="AE21" s="91">
        <v>10</v>
      </c>
    </row>
    <row r="22" spans="1:31" ht="16.5" customHeight="1">
      <c r="A22" s="89" t="s">
        <v>232</v>
      </c>
      <c r="B22" s="91">
        <v>10</v>
      </c>
      <c r="C22" s="91">
        <v>10</v>
      </c>
      <c r="D22" s="91">
        <v>10</v>
      </c>
      <c r="E22" s="91">
        <v>10</v>
      </c>
      <c r="F22" s="91">
        <v>10</v>
      </c>
      <c r="G22" s="91">
        <v>10</v>
      </c>
      <c r="H22" s="91">
        <v>10</v>
      </c>
      <c r="I22" s="91">
        <v>10</v>
      </c>
      <c r="J22" s="91">
        <v>10</v>
      </c>
      <c r="K22" s="91">
        <v>10</v>
      </c>
      <c r="L22" s="91">
        <v>10</v>
      </c>
      <c r="M22" s="91">
        <v>10</v>
      </c>
      <c r="N22" s="91">
        <v>10</v>
      </c>
      <c r="O22" s="91">
        <v>10</v>
      </c>
      <c r="P22" s="91">
        <v>10</v>
      </c>
      <c r="Q22" s="91">
        <v>10</v>
      </c>
      <c r="R22" s="91">
        <v>10</v>
      </c>
      <c r="S22" s="91">
        <v>10</v>
      </c>
      <c r="T22" s="91">
        <v>10</v>
      </c>
      <c r="U22" s="91">
        <v>10</v>
      </c>
      <c r="V22" s="91">
        <v>10</v>
      </c>
      <c r="W22" s="91">
        <v>10</v>
      </c>
      <c r="X22" s="91">
        <v>10</v>
      </c>
      <c r="Y22" s="91">
        <v>10</v>
      </c>
      <c r="Z22" s="91">
        <v>10</v>
      </c>
      <c r="AA22" s="91">
        <v>10</v>
      </c>
      <c r="AB22" s="91">
        <v>10</v>
      </c>
      <c r="AC22" s="91">
        <v>10</v>
      </c>
      <c r="AD22" s="91">
        <v>10</v>
      </c>
      <c r="AE22" s="91">
        <v>10</v>
      </c>
    </row>
    <row r="23" spans="1:31" ht="16.5" customHeight="1">
      <c r="A23" s="89" t="s">
        <v>233</v>
      </c>
      <c r="B23" s="91">
        <v>10</v>
      </c>
      <c r="C23" s="91">
        <v>10</v>
      </c>
      <c r="D23" s="91">
        <v>10</v>
      </c>
      <c r="E23" s="91">
        <v>10</v>
      </c>
      <c r="F23" s="91">
        <v>10</v>
      </c>
      <c r="G23" s="91">
        <v>10</v>
      </c>
      <c r="H23" s="91">
        <v>10</v>
      </c>
      <c r="I23" s="91">
        <v>10</v>
      </c>
      <c r="J23" s="91">
        <v>10</v>
      </c>
      <c r="K23" s="91">
        <v>10</v>
      </c>
      <c r="L23" s="91">
        <v>10</v>
      </c>
      <c r="M23" s="91">
        <v>10</v>
      </c>
      <c r="N23" s="91">
        <v>10</v>
      </c>
      <c r="O23" s="91">
        <v>10</v>
      </c>
      <c r="P23" s="91">
        <v>10</v>
      </c>
      <c r="Q23" s="91">
        <v>10</v>
      </c>
      <c r="R23" s="91">
        <v>10</v>
      </c>
      <c r="S23" s="91">
        <v>10</v>
      </c>
      <c r="T23" s="91">
        <v>10</v>
      </c>
      <c r="U23" s="91">
        <v>10</v>
      </c>
      <c r="V23" s="91">
        <v>10</v>
      </c>
      <c r="W23" s="91">
        <v>10</v>
      </c>
      <c r="X23" s="91">
        <v>10</v>
      </c>
      <c r="Y23" s="91">
        <v>10</v>
      </c>
      <c r="Z23" s="91">
        <v>10</v>
      </c>
      <c r="AA23" s="91">
        <v>10</v>
      </c>
      <c r="AB23" s="91">
        <v>10</v>
      </c>
      <c r="AC23" s="91">
        <v>10</v>
      </c>
      <c r="AD23" s="91">
        <v>10</v>
      </c>
      <c r="AE23" s="91">
        <v>10</v>
      </c>
    </row>
    <row r="24" spans="1:31" ht="16.5" customHeight="1">
      <c r="A24" s="92" t="s">
        <v>234</v>
      </c>
      <c r="B24" s="91">
        <v>10</v>
      </c>
      <c r="C24" s="91">
        <v>10</v>
      </c>
      <c r="D24" s="91">
        <v>10</v>
      </c>
      <c r="E24" s="91">
        <v>10</v>
      </c>
      <c r="F24" s="91">
        <v>10</v>
      </c>
      <c r="G24" s="91">
        <v>10</v>
      </c>
      <c r="H24" s="91">
        <v>10</v>
      </c>
      <c r="I24" s="91">
        <v>10</v>
      </c>
      <c r="J24" s="91">
        <v>10</v>
      </c>
      <c r="K24" s="91">
        <v>10</v>
      </c>
      <c r="L24" s="91">
        <v>10</v>
      </c>
      <c r="M24" s="91">
        <v>10</v>
      </c>
      <c r="N24" s="91">
        <v>10</v>
      </c>
      <c r="O24" s="91">
        <v>10</v>
      </c>
      <c r="P24" s="91">
        <v>10</v>
      </c>
      <c r="Q24" s="91">
        <v>10</v>
      </c>
      <c r="R24" s="91">
        <v>10</v>
      </c>
      <c r="S24" s="91">
        <v>10</v>
      </c>
      <c r="T24" s="91">
        <v>10</v>
      </c>
      <c r="U24" s="91">
        <v>10</v>
      </c>
      <c r="V24" s="91">
        <v>10</v>
      </c>
      <c r="W24" s="91">
        <v>10</v>
      </c>
      <c r="X24" s="91">
        <v>10</v>
      </c>
      <c r="Y24" s="91">
        <v>10</v>
      </c>
      <c r="Z24" s="91">
        <v>10</v>
      </c>
      <c r="AA24" s="91">
        <v>10</v>
      </c>
      <c r="AB24" s="91">
        <v>10</v>
      </c>
      <c r="AC24" s="91">
        <v>10</v>
      </c>
      <c r="AD24" s="91">
        <v>10</v>
      </c>
      <c r="AE24" s="91">
        <v>10</v>
      </c>
    </row>
    <row r="25" spans="1:31" ht="16.5" customHeight="1">
      <c r="A25" s="92" t="s">
        <v>235</v>
      </c>
      <c r="B25" s="91">
        <v>10</v>
      </c>
      <c r="C25" s="91">
        <v>10</v>
      </c>
      <c r="D25" s="91">
        <v>10</v>
      </c>
      <c r="E25" s="91">
        <v>10</v>
      </c>
      <c r="F25" s="91">
        <v>10</v>
      </c>
      <c r="G25" s="91">
        <v>10</v>
      </c>
      <c r="H25" s="91">
        <v>10</v>
      </c>
      <c r="I25" s="91">
        <v>10</v>
      </c>
      <c r="J25" s="91">
        <v>10</v>
      </c>
      <c r="K25" s="91">
        <v>10</v>
      </c>
      <c r="L25" s="91">
        <v>10</v>
      </c>
      <c r="M25" s="91">
        <v>10</v>
      </c>
      <c r="N25" s="91">
        <v>10</v>
      </c>
      <c r="O25" s="91">
        <v>10</v>
      </c>
      <c r="P25" s="91">
        <v>10</v>
      </c>
      <c r="Q25" s="91">
        <v>10</v>
      </c>
      <c r="R25" s="91">
        <v>10</v>
      </c>
      <c r="S25" s="91">
        <v>10</v>
      </c>
      <c r="T25" s="91">
        <v>10</v>
      </c>
      <c r="U25" s="91">
        <v>10</v>
      </c>
      <c r="V25" s="91">
        <v>10</v>
      </c>
      <c r="W25" s="91">
        <v>10</v>
      </c>
      <c r="X25" s="91">
        <v>10</v>
      </c>
      <c r="Y25" s="91">
        <v>10</v>
      </c>
      <c r="Z25" s="91">
        <v>10</v>
      </c>
      <c r="AA25" s="91">
        <v>10</v>
      </c>
      <c r="AB25" s="91">
        <v>10</v>
      </c>
      <c r="AC25" s="91">
        <v>10</v>
      </c>
      <c r="AD25" s="91">
        <v>10</v>
      </c>
      <c r="AE25" s="91">
        <v>10</v>
      </c>
    </row>
    <row r="26" spans="1:31" ht="16.5" customHeight="1"/>
    <row r="27" spans="1:31" ht="16.5" customHeight="1"/>
    <row r="28" spans="1:31" ht="16.5" customHeight="1"/>
    <row r="29" spans="1:31" ht="16.5" customHeight="1"/>
    <row r="30" spans="1:31" ht="16.5" customHeight="1"/>
    <row r="31" spans="1:31" ht="16.5" customHeight="1"/>
    <row r="32" spans="1:31" ht="16.5" customHeight="1"/>
    <row r="33" s="90" customFormat="1" ht="16.5" customHeight="1"/>
    <row r="34" s="90" customFormat="1" ht="16.5" customHeight="1"/>
    <row r="35" s="90" customFormat="1" ht="16.5" customHeight="1"/>
    <row r="36" s="90" customFormat="1" ht="16.5" customHeight="1"/>
    <row r="37" s="90" customFormat="1" ht="16.5" customHeight="1"/>
    <row r="38" s="90" customFormat="1" ht="16.5" customHeight="1"/>
    <row r="39" s="90" customFormat="1" ht="16.5" customHeight="1"/>
    <row r="40" s="90" customFormat="1" ht="16.5" customHeight="1"/>
    <row r="41" s="90" customFormat="1" ht="16.5" customHeight="1"/>
    <row r="42" s="90" customFormat="1" ht="16.5" customHeight="1"/>
    <row r="43" s="90" customFormat="1" ht="16.5" customHeight="1"/>
    <row r="44" s="90" customFormat="1" ht="16.5" customHeight="1"/>
    <row r="45" s="90" customFormat="1" ht="16.5" customHeight="1"/>
    <row r="46" s="90" customFormat="1" ht="16.5" customHeight="1"/>
    <row r="47" s="90" customFormat="1" ht="16.5" customHeight="1"/>
    <row r="48" s="90" customFormat="1" ht="16.5" customHeight="1"/>
    <row r="49" s="90" customFormat="1" ht="16.5" customHeight="1"/>
    <row r="50" s="90" customFormat="1" ht="16.5" customHeight="1"/>
    <row r="51" s="90" customFormat="1" ht="16.5" customHeight="1"/>
    <row r="52" s="90" customFormat="1" ht="16.5" customHeight="1"/>
    <row r="53" s="90" customFormat="1" ht="16.5" customHeight="1"/>
    <row r="54" s="90" customFormat="1" ht="16.5" customHeight="1"/>
    <row r="55" s="90" customFormat="1" ht="16.5" customHeight="1"/>
    <row r="56" s="90" customFormat="1" ht="16.5" customHeight="1"/>
    <row r="57" s="90" customFormat="1" ht="16.5" customHeight="1"/>
    <row r="58" s="90" customFormat="1" ht="16.5" customHeight="1"/>
    <row r="59" s="90" customFormat="1" ht="16.5" customHeight="1"/>
    <row r="60" s="90" customFormat="1" ht="16.5" customHeight="1"/>
    <row r="61" s="90" customFormat="1" ht="16.5" customHeight="1"/>
    <row r="62" s="90" customFormat="1" ht="16.5" customHeight="1"/>
    <row r="63" s="90" customFormat="1" ht="16.5" customHeight="1"/>
    <row r="64" s="90" customFormat="1" ht="16.5" customHeight="1"/>
    <row r="65" s="90" customFormat="1" ht="16.5" customHeight="1"/>
    <row r="66" s="90" customFormat="1" ht="16.5" customHeight="1"/>
    <row r="67" s="90" customFormat="1" ht="16.5" customHeight="1"/>
    <row r="68" s="90" customFormat="1" ht="16.5" customHeight="1"/>
    <row r="69" s="90" customFormat="1" ht="16.5" customHeight="1"/>
    <row r="70" s="90" customFormat="1" ht="16.5" customHeight="1"/>
    <row r="71" s="90" customFormat="1" ht="16.5" customHeight="1"/>
    <row r="72" s="90" customFormat="1" ht="16.5" customHeight="1"/>
    <row r="73" s="90" customFormat="1" ht="16.5" customHeight="1"/>
    <row r="74" s="90" customFormat="1" ht="16.5" customHeight="1"/>
    <row r="75" s="90" customFormat="1" ht="16.5" customHeight="1"/>
    <row r="76" s="90" customFormat="1" ht="16.5" customHeight="1"/>
    <row r="77" s="90" customFormat="1" ht="16.5" customHeight="1"/>
    <row r="78" s="90" customFormat="1" ht="16.5" customHeight="1"/>
    <row r="79" s="90" customFormat="1" ht="16.5" customHeight="1"/>
    <row r="80" s="90" customFormat="1" ht="16.5" customHeight="1"/>
    <row r="81" s="90" customFormat="1" ht="16.5" customHeight="1"/>
    <row r="82" s="90" customFormat="1" ht="16.5" customHeight="1"/>
    <row r="83" s="90" customFormat="1" ht="16.5" customHeight="1"/>
    <row r="84" s="90" customFormat="1" ht="16.5" customHeight="1"/>
    <row r="85" s="90" customFormat="1" ht="16.5" customHeight="1"/>
    <row r="86" s="90" customFormat="1" ht="16.5" customHeight="1"/>
    <row r="87" s="90" customFormat="1" ht="16.5" customHeight="1"/>
    <row r="88" s="90" customFormat="1" ht="16.5" customHeight="1"/>
    <row r="89" s="90" customFormat="1" ht="16.5" customHeight="1"/>
    <row r="90" s="90" customFormat="1" ht="16.5" customHeight="1"/>
    <row r="91" s="90" customFormat="1" ht="16.5" customHeight="1"/>
    <row r="92" s="90" customFormat="1" ht="16.5" customHeight="1"/>
    <row r="93" s="90" customFormat="1" ht="16.5" customHeight="1"/>
    <row r="94" s="90" customFormat="1" ht="16.5" customHeight="1"/>
    <row r="95" s="90" customFormat="1" ht="16.5" customHeight="1"/>
    <row r="96" s="90" customFormat="1" ht="16.5" customHeight="1"/>
    <row r="97" s="90" customFormat="1" ht="16.5" customHeight="1"/>
    <row r="98" s="90" customFormat="1" ht="16.5" customHeight="1"/>
    <row r="99" s="90" customFormat="1" ht="16.5" customHeight="1"/>
    <row r="100" s="90" customFormat="1" ht="16.5" customHeight="1"/>
    <row r="101" s="90" customFormat="1" ht="16.5" customHeight="1"/>
    <row r="102" s="90" customFormat="1" ht="16.5" customHeight="1"/>
    <row r="103" s="90" customFormat="1" ht="16.5" customHeight="1"/>
    <row r="104" s="90" customFormat="1" ht="16.5" customHeight="1"/>
    <row r="105" s="90" customFormat="1" ht="16.5" customHeight="1"/>
    <row r="106" s="90" customFormat="1" ht="16.5" customHeight="1"/>
    <row r="107" s="90" customFormat="1" ht="16.5" customHeight="1"/>
    <row r="108" s="90" customFormat="1" ht="16.5" customHeight="1"/>
    <row r="109" s="90" customFormat="1" ht="16.5" customHeight="1"/>
    <row r="110" s="90" customFormat="1" ht="16.5" customHeight="1"/>
    <row r="111" s="90" customFormat="1" ht="16.5" customHeight="1"/>
    <row r="112" s="90" customFormat="1" ht="16.5" customHeight="1"/>
    <row r="113" s="90" customFormat="1" ht="16.5" customHeight="1"/>
    <row r="114" s="90" customFormat="1" ht="16.5" customHeight="1"/>
    <row r="115" s="90" customFormat="1" ht="16.5" customHeight="1"/>
    <row r="116" s="90" customFormat="1" ht="16.5" customHeight="1"/>
    <row r="117" s="90" customFormat="1" ht="16.5" customHeight="1"/>
    <row r="118" s="90" customFormat="1" ht="16.5" customHeight="1"/>
    <row r="119" s="90" customFormat="1" ht="16.5" customHeight="1"/>
    <row r="120" s="90" customFormat="1" ht="16.5" customHeight="1"/>
    <row r="121" s="90" customFormat="1" ht="16.5" customHeight="1"/>
    <row r="122" s="90" customFormat="1" ht="16.5" customHeight="1"/>
    <row r="123" s="90" customFormat="1" ht="16.5" customHeight="1"/>
    <row r="124" s="90" customFormat="1" ht="16.5" customHeight="1"/>
    <row r="125" s="90" customFormat="1" ht="16.5" customHeight="1"/>
    <row r="126" s="90" customFormat="1" ht="16.5" customHeight="1"/>
    <row r="127" s="90" customFormat="1" ht="16.5" customHeight="1"/>
    <row r="128" s="90" customFormat="1" ht="16.5" customHeight="1"/>
    <row r="129" s="90" customFormat="1" ht="16.5" customHeight="1"/>
    <row r="130" s="90" customFormat="1" ht="16.5" customHeight="1"/>
    <row r="131" s="90" customFormat="1" ht="16.5" customHeight="1"/>
    <row r="132" s="90" customFormat="1" ht="16.5" customHeight="1"/>
    <row r="133" s="90" customFormat="1" ht="16.5" customHeight="1"/>
    <row r="134" s="90" customFormat="1" ht="16.5" customHeight="1"/>
    <row r="135" s="90" customFormat="1" ht="16.5" customHeight="1"/>
    <row r="136" s="90" customFormat="1" ht="16.5" customHeight="1"/>
    <row r="137" s="90" customFormat="1" ht="16.5" customHeight="1"/>
    <row r="138" s="90" customFormat="1" ht="16.5" customHeight="1"/>
    <row r="139" s="90" customFormat="1" ht="16.5" customHeight="1"/>
    <row r="140" s="90" customFormat="1" ht="16.5" customHeight="1"/>
    <row r="141" s="90" customFormat="1" ht="16.5" customHeight="1"/>
    <row r="142" s="90" customFormat="1" ht="16.5" customHeight="1"/>
    <row r="143" s="90" customFormat="1" ht="16.5" customHeight="1"/>
    <row r="144" s="90" customFormat="1" ht="16.5" customHeight="1"/>
    <row r="145" s="90" customFormat="1" ht="16.5" customHeight="1"/>
    <row r="146" s="90" customFormat="1" ht="16.5" customHeight="1"/>
    <row r="147" s="90" customFormat="1" ht="16.5" customHeight="1"/>
    <row r="148" s="90" customFormat="1" ht="16.5" customHeight="1"/>
    <row r="149" s="90" customFormat="1" ht="16.5" customHeight="1"/>
    <row r="150" s="90" customFormat="1" ht="16.5" customHeight="1"/>
    <row r="151" s="90" customFormat="1" ht="16.5" customHeight="1"/>
    <row r="152" s="90" customFormat="1" ht="16.5" customHeight="1"/>
    <row r="153" s="90" customFormat="1" ht="16.5" customHeight="1"/>
    <row r="154" s="90" customFormat="1" ht="16.5" customHeight="1"/>
    <row r="155" s="90" customFormat="1" ht="16.5" customHeight="1"/>
    <row r="156" s="90" customFormat="1" ht="16.5" customHeight="1"/>
    <row r="157" s="90" customFormat="1" ht="16.5" customHeight="1"/>
    <row r="158" s="90" customFormat="1" ht="16.5" customHeight="1"/>
    <row r="159" s="90" customFormat="1" ht="16.5" customHeight="1"/>
    <row r="160" s="90" customFormat="1" ht="16.5" customHeight="1"/>
    <row r="161" s="90" customFormat="1" ht="16.5" customHeight="1"/>
    <row r="162" s="90" customFormat="1" ht="16.5" customHeight="1"/>
    <row r="163" s="90" customFormat="1" ht="16.5" customHeight="1"/>
    <row r="164" s="90" customFormat="1" ht="16.5" customHeight="1"/>
    <row r="165" s="90" customFormat="1" ht="16.5" customHeight="1"/>
    <row r="166" s="90" customFormat="1" ht="16.5" customHeight="1"/>
    <row r="167" s="90" customFormat="1" ht="16.5" customHeight="1"/>
    <row r="168" s="90" customFormat="1" ht="16.5" customHeight="1"/>
    <row r="169" s="90" customFormat="1" ht="16.5" customHeight="1"/>
    <row r="170" s="90" customFormat="1" ht="16.5" customHeight="1"/>
    <row r="171" s="90" customFormat="1" ht="16.5" customHeight="1"/>
    <row r="172" s="90" customFormat="1" ht="16.5" customHeight="1"/>
    <row r="173" s="90" customFormat="1" ht="16.5" customHeight="1"/>
    <row r="174" s="90" customFormat="1" ht="16.5" customHeight="1"/>
    <row r="175" s="90" customFormat="1" ht="16.5" customHeight="1"/>
    <row r="176" s="90" customFormat="1" ht="16.5" customHeight="1"/>
    <row r="177" s="90" customFormat="1" ht="16.5" customHeight="1"/>
    <row r="178" s="90" customFormat="1" ht="16.5" customHeight="1"/>
    <row r="179" s="90" customFormat="1" ht="16.5" customHeight="1"/>
    <row r="180" s="90" customFormat="1" ht="16.5" customHeight="1"/>
    <row r="181" s="90" customFormat="1" ht="16.5" customHeight="1"/>
    <row r="182" s="90" customFormat="1" ht="16.5" customHeight="1"/>
    <row r="183" s="90" customFormat="1" ht="16.5" customHeight="1"/>
    <row r="184" s="90" customFormat="1" ht="16.5" customHeight="1"/>
    <row r="185" s="90" customFormat="1" ht="16.5" customHeight="1"/>
    <row r="186" s="90" customFormat="1" ht="16.5" customHeight="1"/>
    <row r="187" s="90" customFormat="1" ht="16.5" customHeight="1"/>
    <row r="188" s="90" customFormat="1" ht="16.5" customHeight="1"/>
    <row r="189" s="90" customFormat="1" ht="16.5" customHeight="1"/>
    <row r="190" s="90" customFormat="1" ht="16.5" customHeight="1"/>
    <row r="191" s="90" customFormat="1" ht="16.5" customHeight="1"/>
    <row r="192" s="90" customFormat="1" ht="16.5" customHeight="1"/>
    <row r="193" s="90" customFormat="1" ht="16.5" customHeight="1"/>
    <row r="194" s="90" customFormat="1" ht="16.5" customHeight="1"/>
    <row r="195" s="90" customFormat="1" ht="16.5" customHeight="1"/>
    <row r="196" s="90" customFormat="1" ht="16.5" customHeight="1"/>
    <row r="197" s="90" customFormat="1" ht="16.5" customHeight="1"/>
    <row r="198" s="90" customFormat="1" ht="16.5" customHeight="1"/>
    <row r="199" s="90" customFormat="1" ht="16.5" customHeight="1"/>
    <row r="200" s="90" customFormat="1" ht="16.5" customHeight="1"/>
    <row r="201" s="90" customFormat="1" ht="16.5" customHeight="1"/>
    <row r="202" s="90" customFormat="1" ht="16.5" customHeight="1"/>
    <row r="203" s="90" customFormat="1" ht="16.5" customHeight="1"/>
    <row r="204" s="90" customFormat="1" ht="16.5" customHeight="1"/>
    <row r="205" s="90" customFormat="1" ht="16.5" customHeight="1"/>
    <row r="206" s="90" customFormat="1" ht="16.5" customHeight="1"/>
    <row r="207" s="90" customFormat="1" ht="16.5" customHeight="1"/>
    <row r="208" s="90" customFormat="1" ht="16.5" customHeight="1"/>
    <row r="209" s="90" customFormat="1" ht="16.5" customHeight="1"/>
    <row r="210" s="90" customFormat="1" ht="16.5" customHeight="1"/>
    <row r="211" s="90" customFormat="1" ht="16.5" customHeight="1"/>
    <row r="212" s="90" customFormat="1" ht="16.5" customHeight="1"/>
    <row r="213" s="90" customFormat="1" ht="16.5" customHeight="1"/>
    <row r="214" s="90" customFormat="1" ht="16.5" customHeight="1"/>
    <row r="215" s="90" customFormat="1" ht="16.5" customHeight="1"/>
    <row r="216" s="90" customFormat="1" ht="16.5" customHeight="1"/>
    <row r="217" s="90" customFormat="1" ht="16.5" customHeight="1"/>
    <row r="218" s="90" customFormat="1" ht="16.5" customHeight="1"/>
    <row r="219" s="90" customFormat="1" ht="16.5" customHeight="1"/>
    <row r="220" s="90" customFormat="1" ht="16.5" customHeight="1"/>
    <row r="221" s="90" customFormat="1" ht="16.5" customHeight="1"/>
    <row r="222" s="90" customFormat="1" ht="16.5" customHeight="1"/>
    <row r="223" s="90" customFormat="1" ht="16.5" customHeight="1"/>
    <row r="224" s="90" customFormat="1" ht="16.5" customHeight="1"/>
    <row r="225" s="90" customFormat="1" ht="16.5" customHeight="1"/>
    <row r="226" s="90" customFormat="1" ht="16.5" customHeight="1"/>
    <row r="227" s="90" customFormat="1" ht="16.5" customHeight="1"/>
    <row r="228" s="90" customFormat="1" ht="16.5" customHeight="1"/>
    <row r="229" s="90" customFormat="1" ht="16.5" customHeight="1"/>
    <row r="230" s="90" customFormat="1" ht="16.5" customHeight="1"/>
    <row r="231" s="90" customFormat="1" ht="16.5" customHeight="1"/>
    <row r="232" s="90" customFormat="1" ht="16.5" customHeight="1"/>
    <row r="233" s="90" customFormat="1" ht="16.5" customHeight="1"/>
    <row r="234" s="90" customFormat="1" ht="16.5" customHeight="1"/>
    <row r="235" s="90" customFormat="1" ht="16.5" customHeight="1"/>
    <row r="236" s="90" customFormat="1" ht="16.5" customHeight="1"/>
    <row r="237" s="90" customFormat="1" ht="16.5" customHeight="1"/>
    <row r="238" s="90" customFormat="1" ht="16.5" customHeight="1"/>
    <row r="239" s="90" customFormat="1" ht="16.5" customHeight="1"/>
    <row r="240" s="90" customFormat="1" ht="16.5" customHeight="1"/>
    <row r="241" s="90" customFormat="1" ht="16.5" customHeight="1"/>
    <row r="242" s="90" customFormat="1" ht="16.5" customHeight="1"/>
    <row r="243" s="90" customFormat="1" ht="16.5" customHeight="1"/>
    <row r="244" s="90" customFormat="1" ht="16.5" customHeight="1"/>
    <row r="245" s="90" customFormat="1" ht="16.5" customHeight="1"/>
    <row r="246" s="90" customFormat="1" ht="16.5" customHeight="1"/>
    <row r="247" s="90" customFormat="1" ht="16.5" customHeight="1"/>
    <row r="248" s="90" customFormat="1" ht="16.5" customHeight="1"/>
    <row r="249" s="90" customFormat="1" ht="16.5" customHeight="1"/>
    <row r="250" s="90" customFormat="1" ht="16.5" customHeight="1"/>
    <row r="251" s="90" customFormat="1" ht="16.5" customHeight="1"/>
    <row r="252" s="90" customFormat="1" ht="16.5" customHeight="1"/>
    <row r="253" s="90" customFormat="1" ht="16.5" customHeight="1"/>
    <row r="254" s="90" customFormat="1" ht="16.5" customHeight="1"/>
    <row r="255" s="90" customFormat="1" ht="16.5" customHeight="1"/>
    <row r="256" s="90" customFormat="1" ht="16.5" customHeight="1"/>
    <row r="257" s="90" customFormat="1" ht="16.5" customHeight="1"/>
    <row r="258" s="90" customFormat="1" ht="16.5" customHeight="1"/>
    <row r="259" s="90" customFormat="1" ht="16.5" customHeight="1"/>
    <row r="260" s="90" customFormat="1" ht="16.5" customHeight="1"/>
    <row r="261" s="90" customFormat="1" ht="16.5" customHeight="1"/>
    <row r="262" s="90" customFormat="1" ht="16.5" customHeight="1"/>
    <row r="263" s="90" customFormat="1" ht="16.5" customHeight="1"/>
    <row r="264" s="90" customFormat="1" ht="16.5" customHeight="1"/>
    <row r="265" s="90" customFormat="1" ht="16.5" customHeight="1"/>
    <row r="266" s="90" customFormat="1" ht="16.5" customHeight="1"/>
    <row r="267" s="90" customFormat="1" ht="16.5" customHeight="1"/>
    <row r="268" s="90" customFormat="1" ht="16.5" customHeight="1"/>
    <row r="269" s="90" customFormat="1" ht="16.5" customHeight="1"/>
    <row r="270" s="90" customFormat="1" ht="16.5" customHeight="1"/>
    <row r="271" s="90" customFormat="1" ht="16.5" customHeight="1"/>
    <row r="272" s="90" customFormat="1" ht="16.5" customHeight="1"/>
    <row r="273" s="90" customFormat="1" ht="16.5" customHeight="1"/>
    <row r="274" s="90" customFormat="1" ht="16.5" customHeight="1"/>
    <row r="275" s="90" customFormat="1" ht="16.5" customHeight="1"/>
    <row r="276" s="90" customFormat="1" ht="16.5" customHeight="1"/>
    <row r="277" s="90" customFormat="1" ht="16.5" customHeight="1"/>
    <row r="278" s="90" customFormat="1" ht="16.5" customHeight="1"/>
    <row r="279" s="90" customFormat="1" ht="16.5" customHeight="1"/>
    <row r="280" s="90" customFormat="1" ht="16.5" customHeight="1"/>
    <row r="281" s="90" customFormat="1" ht="16.5" customHeight="1"/>
    <row r="282" s="90" customFormat="1" ht="16.5" customHeight="1"/>
    <row r="283" s="90" customFormat="1" ht="16.5" customHeight="1"/>
    <row r="284" s="90" customFormat="1" ht="16.5" customHeight="1"/>
    <row r="285" s="90" customFormat="1" ht="16.5" customHeight="1"/>
    <row r="286" s="90" customFormat="1" ht="16.5" customHeight="1"/>
    <row r="287" s="90" customFormat="1" ht="16.5" customHeight="1"/>
    <row r="288" s="90" customFormat="1" ht="16.5" customHeight="1"/>
    <row r="289" s="90" customFormat="1" ht="16.5" customHeight="1"/>
    <row r="290" s="90" customFormat="1" ht="16.5" customHeight="1"/>
    <row r="291" s="90" customFormat="1" ht="16.5" customHeight="1"/>
    <row r="292" s="90" customFormat="1" ht="16.5" customHeight="1"/>
    <row r="293" s="90" customFormat="1" ht="16.5" customHeight="1"/>
    <row r="294" s="90" customFormat="1" ht="16.5" customHeight="1"/>
    <row r="295" s="90" customFormat="1" ht="16.5" customHeight="1"/>
    <row r="296" s="90" customFormat="1" ht="16.5" customHeight="1"/>
    <row r="297" s="90" customFormat="1" ht="16.5" customHeight="1"/>
    <row r="298" s="90" customFormat="1" ht="16.5" customHeight="1"/>
    <row r="299" s="90" customFormat="1" ht="16.5" customHeight="1"/>
    <row r="300" s="90" customFormat="1" ht="16.5" customHeight="1"/>
    <row r="301" s="90" customFormat="1" ht="16.5" customHeight="1"/>
    <row r="302" s="90" customFormat="1" ht="16.5" customHeight="1"/>
    <row r="303" s="90" customFormat="1" ht="16.5" customHeight="1"/>
    <row r="304" s="90" customFormat="1" ht="16.5" customHeight="1"/>
    <row r="305" s="90" customFormat="1" ht="16.5" customHeight="1"/>
    <row r="306" s="90" customFormat="1" ht="16.5" customHeight="1"/>
    <row r="307" s="90" customFormat="1" ht="16.5" customHeight="1"/>
    <row r="308" s="90" customFormat="1" ht="16.5" customHeight="1"/>
    <row r="309" s="90" customFormat="1" ht="16.5" customHeight="1"/>
    <row r="310" s="90" customFormat="1" ht="16.5" customHeight="1"/>
    <row r="311" s="90" customFormat="1" ht="16.5" customHeight="1"/>
    <row r="312" s="90" customFormat="1" ht="16.5" customHeight="1"/>
    <row r="313" s="90" customFormat="1" ht="16.5" customHeight="1"/>
    <row r="314" s="90" customFormat="1" ht="16.5" customHeight="1"/>
    <row r="315" s="90" customFormat="1" ht="16.5" customHeight="1"/>
    <row r="316" s="90" customFormat="1" ht="16.5" customHeight="1"/>
    <row r="317" s="90" customFormat="1" ht="16.5" customHeight="1"/>
    <row r="318" s="90" customFormat="1" ht="16.5" customHeight="1"/>
    <row r="319" s="90" customFormat="1" ht="16.5" customHeight="1"/>
    <row r="320" s="90" customFormat="1" ht="16.5" customHeight="1"/>
    <row r="321" s="90" customFormat="1" ht="16.5" customHeight="1"/>
    <row r="322" s="90" customFormat="1" ht="16.5" customHeight="1"/>
    <row r="323" s="90" customFormat="1" ht="16.5" customHeight="1"/>
    <row r="324" s="90" customFormat="1" ht="16.5" customHeight="1"/>
    <row r="325" s="90" customFormat="1" ht="16.5" customHeight="1"/>
    <row r="326" s="90" customFormat="1" ht="16.5" customHeight="1"/>
    <row r="327" s="90" customFormat="1" ht="16.5" customHeight="1"/>
    <row r="328" s="90" customFormat="1" ht="16.5" customHeight="1"/>
    <row r="329" s="90" customFormat="1" ht="16.5" customHeight="1"/>
    <row r="330" s="90" customFormat="1" ht="16.5" customHeight="1"/>
    <row r="331" s="90" customFormat="1" ht="16.5" customHeight="1"/>
    <row r="332" s="90" customFormat="1" ht="16.5" customHeight="1"/>
    <row r="333" s="90" customFormat="1" ht="16.5" customHeight="1"/>
    <row r="334" s="90" customFormat="1" ht="16.5" customHeight="1"/>
    <row r="335" s="90" customFormat="1" ht="16.5" customHeight="1"/>
    <row r="336" s="90" customFormat="1" ht="16.5" customHeight="1"/>
    <row r="337" s="90" customFormat="1" ht="16.5" customHeight="1"/>
    <row r="338" s="90" customFormat="1" ht="16.5" customHeight="1"/>
    <row r="339" s="90" customFormat="1" ht="16.5" customHeight="1"/>
    <row r="340" s="90" customFormat="1" ht="16.5" customHeight="1"/>
    <row r="341" s="90" customFormat="1" ht="16.5" customHeight="1"/>
    <row r="342" s="90" customFormat="1" ht="16.5" customHeight="1"/>
    <row r="343" s="90" customFormat="1" ht="16.5" customHeight="1"/>
    <row r="344" s="90" customFormat="1" ht="16.5" customHeight="1"/>
    <row r="345" s="90" customFormat="1" ht="16.5" customHeight="1"/>
    <row r="346" s="90" customFormat="1" ht="16.5" customHeight="1"/>
    <row r="347" s="90" customFormat="1" ht="16.5" customHeight="1"/>
    <row r="348" s="90" customFormat="1" ht="16.5" customHeight="1"/>
    <row r="349" s="90" customFormat="1" ht="16.5" customHeight="1"/>
    <row r="350" s="90" customFormat="1" ht="16.5" customHeight="1"/>
    <row r="351" s="90" customFormat="1" ht="16.5" customHeight="1"/>
    <row r="352" s="90" customFormat="1" ht="16.5" customHeight="1"/>
    <row r="353" s="90" customFormat="1" ht="16.5" customHeight="1"/>
    <row r="354" s="90" customFormat="1" ht="16.5" customHeight="1"/>
    <row r="355" s="90" customFormat="1" ht="16.5" customHeight="1"/>
    <row r="356" s="90" customFormat="1" ht="16.5" customHeight="1"/>
    <row r="357" s="90" customFormat="1" ht="16.5" customHeight="1"/>
    <row r="358" s="90" customFormat="1" ht="16.5" customHeight="1"/>
    <row r="359" s="90" customFormat="1" ht="16.5" customHeight="1"/>
    <row r="360" s="90" customFormat="1" ht="16.5" customHeight="1"/>
    <row r="361" s="90" customFormat="1" ht="16.5" customHeight="1"/>
    <row r="362" s="90" customFormat="1" ht="16.5" customHeight="1"/>
    <row r="363" s="90" customFormat="1" ht="16.5" customHeight="1"/>
    <row r="364" s="90" customFormat="1" ht="16.5" customHeight="1"/>
    <row r="365" s="90" customFormat="1" ht="16.5" customHeight="1"/>
    <row r="366" s="90" customFormat="1" ht="16.5" customHeight="1"/>
    <row r="367" s="90" customFormat="1" ht="16.5" customHeight="1"/>
    <row r="368" s="90" customFormat="1" ht="16.5" customHeight="1"/>
    <row r="369" s="90" customFormat="1" ht="16.5" customHeight="1"/>
    <row r="370" s="90" customFormat="1" ht="16.5" customHeight="1"/>
    <row r="371" s="90" customFormat="1" ht="16.5" customHeight="1"/>
    <row r="372" s="90" customFormat="1" ht="16.5" customHeight="1"/>
    <row r="373" s="90" customFormat="1" ht="16.5" customHeight="1"/>
    <row r="374" s="90" customFormat="1" ht="16.5" customHeight="1"/>
    <row r="375" s="90" customFormat="1" ht="16.5" customHeight="1"/>
    <row r="376" s="90" customFormat="1" ht="16.5" customHeight="1"/>
    <row r="377" s="90" customFormat="1" ht="16.5" customHeight="1"/>
    <row r="378" s="90" customFormat="1" ht="16.5" customHeight="1"/>
    <row r="379" s="90" customFormat="1" ht="16.5" customHeight="1"/>
    <row r="380" s="90" customFormat="1" ht="16.5" customHeight="1"/>
    <row r="381" s="90" customFormat="1" ht="16.5" customHeight="1"/>
    <row r="382" s="90" customFormat="1" ht="16.5" customHeight="1"/>
    <row r="383" s="90" customFormat="1" ht="16.5" customHeight="1"/>
    <row r="384" s="90" customFormat="1" ht="16.5" customHeight="1"/>
    <row r="385" s="90" customFormat="1" ht="16.5" customHeight="1"/>
    <row r="386" s="90" customFormat="1" ht="16.5" customHeight="1"/>
    <row r="387" s="90" customFormat="1" ht="16.5" customHeight="1"/>
    <row r="388" s="90" customFormat="1" ht="16.5" customHeight="1"/>
    <row r="389" s="90" customFormat="1" ht="16.5" customHeight="1"/>
    <row r="390" s="90" customFormat="1" ht="16.5" customHeight="1"/>
    <row r="391" s="90" customFormat="1" ht="16.5" customHeight="1"/>
    <row r="392" s="90" customFormat="1" ht="16.5" customHeight="1"/>
    <row r="393" s="90" customFormat="1" ht="16.5" customHeight="1"/>
    <row r="394" s="90" customFormat="1" ht="16.5" customHeight="1"/>
    <row r="395" s="90" customFormat="1" ht="16.5" customHeight="1"/>
    <row r="396" s="90" customFormat="1" ht="16.5" customHeight="1"/>
    <row r="397" s="90" customFormat="1" ht="16.5" customHeight="1"/>
    <row r="398" s="90" customFormat="1" ht="16.5" customHeight="1"/>
    <row r="399" s="90" customFormat="1" ht="16.5" customHeight="1"/>
    <row r="400" s="90" customFormat="1" ht="16.5" customHeight="1"/>
    <row r="401" s="90" customFormat="1" ht="16.5" customHeight="1"/>
    <row r="402" s="90" customFormat="1" ht="16.5" customHeight="1"/>
    <row r="403" s="90" customFormat="1" ht="16.5" customHeight="1"/>
    <row r="404" s="90" customFormat="1" ht="16.5" customHeight="1"/>
    <row r="405" s="90" customFormat="1" ht="16.5" customHeight="1"/>
    <row r="406" s="90" customFormat="1" ht="16.5" customHeight="1"/>
    <row r="407" s="90" customFormat="1" ht="16.5" customHeight="1"/>
    <row r="408" s="90" customFormat="1" ht="16.5" customHeight="1"/>
    <row r="409" s="90" customFormat="1" ht="16.5" customHeight="1"/>
    <row r="410" s="90" customFormat="1" ht="16.5" customHeight="1"/>
    <row r="411" s="90" customFormat="1" ht="16.5" customHeight="1"/>
    <row r="412" s="90" customFormat="1" ht="16.5" customHeight="1"/>
    <row r="413" s="90" customFormat="1" ht="16.5" customHeight="1"/>
    <row r="414" s="90" customFormat="1" ht="16.5" customHeight="1"/>
    <row r="415" s="90" customFormat="1" ht="16.5" customHeight="1"/>
    <row r="416" s="90" customFormat="1" ht="16.5" customHeight="1"/>
    <row r="417" s="90" customFormat="1" ht="16.5" customHeight="1"/>
    <row r="418" s="90" customFormat="1" ht="16.5" customHeight="1"/>
    <row r="419" s="90" customFormat="1" ht="16.5" customHeight="1"/>
    <row r="420" s="90" customFormat="1" ht="16.5" customHeight="1"/>
    <row r="421" s="90" customFormat="1" ht="16.5" customHeight="1"/>
    <row r="422" s="90" customFormat="1" ht="16.5" customHeight="1"/>
    <row r="423" s="90" customFormat="1" ht="16.5" customHeight="1"/>
    <row r="424" s="90" customFormat="1" ht="16.5" customHeight="1"/>
    <row r="425" s="90" customFormat="1" ht="16.5" customHeight="1"/>
    <row r="426" s="90" customFormat="1" ht="16.5" customHeight="1"/>
    <row r="427" s="90" customFormat="1" ht="16.5" customHeight="1"/>
    <row r="428" s="90" customFormat="1" ht="16.5" customHeight="1"/>
    <row r="429" s="90" customFormat="1" ht="16.5" customHeight="1"/>
    <row r="430" s="90" customFormat="1" ht="16.5" customHeight="1"/>
    <row r="431" s="90" customFormat="1" ht="16.5" customHeight="1"/>
    <row r="432" s="90" customFormat="1" ht="16.5" customHeight="1"/>
    <row r="433" s="90" customFormat="1" ht="16.5" customHeight="1"/>
    <row r="434" s="90" customFormat="1" ht="16.5" customHeight="1"/>
    <row r="435" s="90" customFormat="1" ht="16.5" customHeight="1"/>
    <row r="436" s="90" customFormat="1" ht="16.5" customHeight="1"/>
    <row r="437" s="90" customFormat="1" ht="16.5" customHeight="1"/>
    <row r="438" s="90" customFormat="1" ht="16.5" customHeight="1"/>
    <row r="439" s="90" customFormat="1" ht="16.5" customHeight="1"/>
    <row r="440" s="90" customFormat="1" ht="16.5" customHeight="1"/>
    <row r="441" s="90" customFormat="1" ht="16.5" customHeight="1"/>
    <row r="442" s="90" customFormat="1" ht="16.5" customHeight="1"/>
    <row r="443" s="90" customFormat="1" ht="16.5" customHeight="1"/>
    <row r="444" s="90" customFormat="1" ht="16.5" customHeight="1"/>
    <row r="445" s="90" customFormat="1" ht="16.5" customHeight="1"/>
    <row r="446" s="90" customFormat="1" ht="16.5" customHeight="1"/>
    <row r="447" s="90" customFormat="1" ht="16.5" customHeight="1"/>
    <row r="448" s="90" customFormat="1" ht="16.5" customHeight="1"/>
    <row r="449" s="90" customFormat="1" ht="16.5" customHeight="1"/>
    <row r="450" s="90" customFormat="1" ht="16.5" customHeight="1"/>
    <row r="451" s="90" customFormat="1" ht="16.5" customHeight="1"/>
    <row r="452" s="90" customFormat="1" ht="16.5" customHeight="1"/>
    <row r="453" s="90" customFormat="1" ht="16.5" customHeight="1"/>
    <row r="454" s="90" customFormat="1" ht="16.5" customHeight="1"/>
    <row r="455" s="90" customFormat="1" ht="16.5" customHeight="1"/>
    <row r="456" s="90" customFormat="1" ht="16.5" customHeight="1"/>
    <row r="457" s="90" customFormat="1" ht="16.5" customHeight="1"/>
    <row r="458" s="90" customFormat="1" ht="16.5" customHeight="1"/>
    <row r="459" s="90" customFormat="1" ht="16.5" customHeight="1"/>
    <row r="460" s="90" customFormat="1" ht="16.5" customHeight="1"/>
    <row r="461" s="90" customFormat="1" ht="16.5" customHeight="1"/>
    <row r="462" s="90" customFormat="1" ht="16.5" customHeight="1"/>
    <row r="463" s="90" customFormat="1" ht="16.5" customHeight="1"/>
    <row r="464" s="90" customFormat="1" ht="16.5" customHeight="1"/>
    <row r="465" s="90" customFormat="1" ht="16.5" customHeight="1"/>
    <row r="466" s="90" customFormat="1" ht="16.5" customHeight="1"/>
    <row r="467" s="90" customFormat="1" ht="16.5" customHeight="1"/>
    <row r="468" s="90" customFormat="1" ht="16.5" customHeight="1"/>
    <row r="469" s="90" customFormat="1" ht="16.5" customHeight="1"/>
    <row r="470" s="90" customFormat="1" ht="16.5" customHeight="1"/>
    <row r="471" s="90" customFormat="1" ht="16.5" customHeight="1"/>
    <row r="472" s="90" customFormat="1" ht="16.5" customHeight="1"/>
    <row r="473" s="90" customFormat="1" ht="16.5" customHeight="1"/>
    <row r="474" s="90" customFormat="1" ht="16.5" customHeight="1"/>
    <row r="475" s="90" customFormat="1" ht="16.5" customHeight="1"/>
    <row r="476" s="90" customFormat="1" ht="16.5" customHeight="1"/>
    <row r="477" s="90" customFormat="1" ht="16.5" customHeight="1"/>
    <row r="478" s="90" customFormat="1" ht="16.5" customHeight="1"/>
    <row r="479" s="90" customFormat="1" ht="16.5" customHeight="1"/>
    <row r="480" s="90" customFormat="1" ht="16.5" customHeight="1"/>
    <row r="481" s="90" customFormat="1" ht="16.5" customHeight="1"/>
    <row r="482" s="90" customFormat="1" ht="16.5" customHeight="1"/>
    <row r="483" s="90" customFormat="1" ht="16.5" customHeight="1"/>
    <row r="484" s="90" customFormat="1" ht="16.5" customHeight="1"/>
    <row r="485" s="90" customFormat="1" ht="16.5" customHeight="1"/>
    <row r="486" s="90" customFormat="1" ht="16.5" customHeight="1"/>
    <row r="487" s="90" customFormat="1" ht="16.5" customHeight="1"/>
    <row r="488" s="90" customFormat="1" ht="16.5" customHeight="1"/>
    <row r="489" s="90" customFormat="1" ht="16.5" customHeight="1"/>
    <row r="490" s="90" customFormat="1" ht="16.5" customHeight="1"/>
    <row r="491" s="90" customFormat="1" ht="16.5" customHeight="1"/>
    <row r="492" s="90" customFormat="1" ht="16.5" customHeight="1"/>
    <row r="493" s="90" customFormat="1" ht="16.5" customHeight="1"/>
    <row r="494" s="90" customFormat="1" ht="16.5" customHeight="1"/>
    <row r="495" s="90" customFormat="1" ht="16.5" customHeight="1"/>
    <row r="496" s="90" customFormat="1" ht="16.5" customHeight="1"/>
    <row r="497" s="90" customFormat="1" ht="16.5" customHeight="1"/>
    <row r="498" s="90" customFormat="1" ht="16.5" customHeight="1"/>
    <row r="499" s="90" customFormat="1" ht="16.5" customHeight="1"/>
    <row r="500" s="90" customFormat="1" ht="16.5" customHeight="1"/>
    <row r="501" s="90" customFormat="1" ht="16.5" customHeight="1"/>
    <row r="502" s="90" customFormat="1" ht="16.5" customHeight="1"/>
    <row r="503" s="90" customFormat="1" ht="16.5" customHeight="1"/>
    <row r="504" s="90" customFormat="1" ht="16.5" customHeight="1"/>
    <row r="505" s="90" customFormat="1" ht="16.5" customHeight="1"/>
    <row r="506" s="90" customFormat="1" ht="16.5" customHeight="1"/>
    <row r="507" s="90" customFormat="1" ht="16.5" customHeight="1"/>
    <row r="508" s="90" customFormat="1" ht="16.5" customHeight="1"/>
    <row r="509" s="90" customFormat="1" ht="16.5" customHeight="1"/>
    <row r="510" s="90" customFormat="1" ht="16.5" customHeight="1"/>
    <row r="511" s="90" customFormat="1" ht="16.5" customHeight="1"/>
    <row r="512" s="90" customFormat="1" ht="16.5" customHeight="1"/>
    <row r="513" s="90" customFormat="1" ht="16.5" customHeight="1"/>
    <row r="514" s="90" customFormat="1" ht="16.5" customHeight="1"/>
    <row r="515" s="90" customFormat="1" ht="16.5" customHeight="1"/>
    <row r="516" s="90" customFormat="1" ht="16.5" customHeight="1"/>
    <row r="517" s="90" customFormat="1" ht="16.5" customHeight="1"/>
    <row r="518" s="90" customFormat="1" ht="16.5" customHeight="1"/>
    <row r="519" s="90" customFormat="1" ht="16.5" customHeight="1"/>
    <row r="520" s="90" customFormat="1" ht="16.5" customHeight="1"/>
    <row r="521" s="90" customFormat="1" ht="16.5" customHeight="1"/>
    <row r="522" s="90" customFormat="1" ht="16.5" customHeight="1"/>
    <row r="523" s="90" customFormat="1" ht="16.5" customHeight="1"/>
    <row r="524" s="90" customFormat="1" ht="16.5" customHeight="1"/>
    <row r="525" s="90" customFormat="1" ht="16.5" customHeight="1"/>
    <row r="526" s="90" customFormat="1" ht="16.5" customHeight="1"/>
    <row r="527" s="90" customFormat="1" ht="16.5" customHeight="1"/>
    <row r="528" s="90" customFormat="1" ht="16.5" customHeight="1"/>
    <row r="529" s="90" customFormat="1" ht="16.5" customHeight="1"/>
    <row r="530" s="90" customFormat="1" ht="16.5" customHeight="1"/>
    <row r="531" s="90" customFormat="1" ht="16.5" customHeight="1"/>
    <row r="532" s="90" customFormat="1" ht="16.5" customHeight="1"/>
    <row r="533" s="90" customFormat="1" ht="16.5" customHeight="1"/>
    <row r="534" s="90" customFormat="1" ht="16.5" customHeight="1"/>
    <row r="535" s="90" customFormat="1" ht="16.5" customHeight="1"/>
    <row r="536" s="90" customFormat="1" ht="16.5" customHeight="1"/>
    <row r="537" s="90" customFormat="1" ht="16.5" customHeight="1"/>
    <row r="538" s="90" customFormat="1" ht="16.5" customHeight="1"/>
    <row r="539" s="90" customFormat="1" ht="16.5" customHeight="1"/>
    <row r="540" s="90" customFormat="1" ht="16.5" customHeight="1"/>
    <row r="541" s="90" customFormat="1" ht="16.5" customHeight="1"/>
    <row r="542" s="90" customFormat="1" ht="16.5" customHeight="1"/>
    <row r="543" s="90" customFormat="1" ht="16.5" customHeight="1"/>
    <row r="544" s="90" customFormat="1" ht="16.5" customHeight="1"/>
    <row r="545" s="90" customFormat="1" ht="16.5" customHeight="1"/>
    <row r="546" s="90" customFormat="1" ht="16.5" customHeight="1"/>
    <row r="547" s="90" customFormat="1" ht="16.5" customHeight="1"/>
    <row r="548" s="90" customFormat="1" ht="16.5" customHeight="1"/>
    <row r="549" s="90" customFormat="1" ht="16.5" customHeight="1"/>
    <row r="550" s="90" customFormat="1" ht="16.5" customHeight="1"/>
    <row r="551" s="90" customFormat="1" ht="16.5" customHeight="1"/>
    <row r="552" s="90" customFormat="1" ht="16.5" customHeight="1"/>
    <row r="553" s="90" customFormat="1" ht="16.5" customHeight="1"/>
    <row r="554" s="90" customFormat="1" ht="16.5" customHeight="1"/>
    <row r="555" s="90" customFormat="1" ht="16.5" customHeight="1"/>
    <row r="556" s="90" customFormat="1" ht="16.5" customHeight="1"/>
    <row r="557" s="90" customFormat="1" ht="16.5" customHeight="1"/>
    <row r="558" s="90" customFormat="1" ht="16.5" customHeight="1"/>
    <row r="559" s="90" customFormat="1" ht="16.5" customHeight="1"/>
    <row r="560" s="90" customFormat="1" ht="16.5" customHeight="1"/>
    <row r="561" s="90" customFormat="1" ht="16.5" customHeight="1"/>
    <row r="562" s="90" customFormat="1" ht="16.5" customHeight="1"/>
    <row r="563" s="90" customFormat="1" ht="16.5" customHeight="1"/>
    <row r="564" s="90" customFormat="1" ht="16.5" customHeight="1"/>
    <row r="565" s="90" customFormat="1" ht="16.5" customHeight="1"/>
    <row r="566" s="90" customFormat="1" ht="16.5" customHeight="1"/>
    <row r="567" s="90" customFormat="1" ht="16.5" customHeight="1"/>
    <row r="568" s="90" customFormat="1" ht="16.5" customHeight="1"/>
    <row r="569" s="90" customFormat="1" ht="16.5" customHeight="1"/>
    <row r="570" s="90" customFormat="1" ht="16.5" customHeight="1"/>
    <row r="571" s="90" customFormat="1" ht="16.5" customHeight="1"/>
    <row r="572" s="90" customFormat="1" ht="16.5" customHeight="1"/>
    <row r="573" s="90" customFormat="1" ht="16.5" customHeight="1"/>
    <row r="574" s="90" customFormat="1" ht="16.5" customHeight="1"/>
    <row r="575" s="90" customFormat="1" ht="16.5" customHeight="1"/>
    <row r="576" s="90" customFormat="1" ht="16.5" customHeight="1"/>
    <row r="577" s="90" customFormat="1" ht="16.5" customHeight="1"/>
    <row r="578" s="90" customFormat="1" ht="16.5" customHeight="1"/>
    <row r="579" s="90" customFormat="1" ht="16.5" customHeight="1"/>
    <row r="580" s="90" customFormat="1" ht="16.5" customHeight="1"/>
    <row r="581" s="90" customFormat="1" ht="16.5" customHeight="1"/>
    <row r="582" s="90" customFormat="1" ht="16.5" customHeight="1"/>
    <row r="583" s="90" customFormat="1" ht="16.5" customHeight="1"/>
    <row r="584" s="90" customFormat="1" ht="16.5" customHeight="1"/>
    <row r="585" s="90" customFormat="1" ht="16.5" customHeight="1"/>
    <row r="586" s="90" customFormat="1" ht="16.5" customHeight="1"/>
    <row r="587" s="90" customFormat="1" ht="16.5" customHeight="1"/>
    <row r="588" s="90" customFormat="1" ht="16.5" customHeight="1"/>
    <row r="589" s="90" customFormat="1" ht="16.5" customHeight="1"/>
    <row r="590" s="90" customFormat="1" ht="16.5" customHeight="1"/>
    <row r="591" s="90" customFormat="1" ht="16.5" customHeight="1"/>
    <row r="592" s="90" customFormat="1" ht="16.5" customHeight="1"/>
    <row r="593" s="90" customFormat="1" ht="16.5" customHeight="1"/>
    <row r="594" s="90" customFormat="1" ht="16.5" customHeight="1"/>
    <row r="595" s="90" customFormat="1" ht="16.5" customHeight="1"/>
    <row r="596" s="90" customFormat="1" ht="16.5" customHeight="1"/>
    <row r="597" s="90" customFormat="1" ht="16.5" customHeight="1"/>
    <row r="598" s="90" customFormat="1" ht="16.5" customHeight="1"/>
    <row r="599" s="90" customFormat="1" ht="16.5" customHeight="1"/>
    <row r="600" s="90" customFormat="1" ht="16.5" customHeight="1"/>
    <row r="601" s="90" customFormat="1" ht="16.5" customHeight="1"/>
    <row r="602" s="90" customFormat="1" ht="16.5" customHeight="1"/>
    <row r="603" s="90" customFormat="1" ht="16.5" customHeight="1"/>
    <row r="604" s="90" customFormat="1" ht="16.5" customHeight="1"/>
    <row r="605" s="90" customFormat="1" ht="16.5" customHeight="1"/>
    <row r="606" s="90" customFormat="1" ht="16.5" customHeight="1"/>
    <row r="607" s="90" customFormat="1" ht="16.5" customHeight="1"/>
    <row r="608" s="90" customFormat="1" ht="16.5" customHeight="1"/>
    <row r="609" s="90" customFormat="1" ht="16.5" customHeight="1"/>
    <row r="610" s="90" customFormat="1" ht="16.5" customHeight="1"/>
    <row r="611" s="90" customFormat="1" ht="16.5" customHeight="1"/>
    <row r="612" s="90" customFormat="1" ht="16.5" customHeight="1"/>
    <row r="613" s="90" customFormat="1" ht="16.5" customHeight="1"/>
    <row r="614" s="90" customFormat="1" ht="16.5" customHeight="1"/>
    <row r="615" s="90" customFormat="1" ht="16.5" customHeight="1"/>
    <row r="616" s="90" customFormat="1" ht="16.5" customHeight="1"/>
    <row r="617" s="90" customFormat="1" ht="16.5" customHeight="1"/>
    <row r="618" s="90" customFormat="1" ht="16.5" customHeight="1"/>
    <row r="619" s="90" customFormat="1" ht="16.5" customHeight="1"/>
    <row r="620" s="90" customFormat="1" ht="16.5" customHeight="1"/>
    <row r="621" s="90" customFormat="1" ht="16.5" customHeight="1"/>
    <row r="622" s="90" customFormat="1" ht="16.5" customHeight="1"/>
    <row r="623" s="90" customFormat="1" ht="16.5" customHeight="1"/>
    <row r="624" s="90" customFormat="1" ht="16.5" customHeight="1"/>
    <row r="625" s="90" customFormat="1" ht="16.5" customHeight="1"/>
    <row r="626" s="90" customFormat="1" ht="16.5" customHeight="1"/>
    <row r="627" s="90" customFormat="1" ht="16.5" customHeight="1"/>
    <row r="628" s="90" customFormat="1" ht="16.5" customHeight="1"/>
    <row r="629" s="90" customFormat="1" ht="16.5" customHeight="1"/>
    <row r="630" s="90" customFormat="1" ht="16.5" customHeight="1"/>
    <row r="631" s="90" customFormat="1" ht="16.5" customHeight="1"/>
    <row r="632" s="90" customFormat="1" ht="16.5" customHeight="1"/>
    <row r="633" s="90" customFormat="1" ht="16.5" customHeight="1"/>
    <row r="634" s="90" customFormat="1" ht="16.5" customHeight="1"/>
    <row r="635" s="90" customFormat="1" ht="16.5" customHeight="1"/>
    <row r="636" s="90" customFormat="1" ht="16.5" customHeight="1"/>
    <row r="637" s="90" customFormat="1" ht="16.5" customHeight="1"/>
    <row r="638" s="90" customFormat="1" ht="16.5" customHeight="1"/>
    <row r="639" s="90" customFormat="1" ht="16.5" customHeight="1"/>
    <row r="640" s="90" customFormat="1" ht="16.5" customHeight="1"/>
    <row r="641" s="90" customFormat="1" ht="16.5" customHeight="1"/>
    <row r="642" s="90" customFormat="1" ht="16.5" customHeight="1"/>
    <row r="643" s="90" customFormat="1" ht="16.5" customHeight="1"/>
    <row r="644" s="90" customFormat="1" ht="16.5" customHeight="1"/>
    <row r="645" s="90" customFormat="1" ht="16.5" customHeight="1"/>
    <row r="646" s="90" customFormat="1" ht="16.5" customHeight="1"/>
    <row r="647" s="90" customFormat="1" ht="16.5" customHeight="1"/>
    <row r="648" s="90" customFormat="1" ht="16.5" customHeight="1"/>
    <row r="649" s="90" customFormat="1" ht="16.5" customHeight="1"/>
    <row r="650" s="90" customFormat="1" ht="16.5" customHeight="1"/>
    <row r="651" s="90" customFormat="1" ht="16.5" customHeight="1"/>
    <row r="652" s="90" customFormat="1" ht="16.5" customHeight="1"/>
    <row r="653" s="90" customFormat="1" ht="16.5" customHeight="1"/>
    <row r="654" s="90" customFormat="1" ht="16.5" customHeight="1"/>
    <row r="655" s="90" customFormat="1" ht="16.5" customHeight="1"/>
    <row r="656" s="90" customFormat="1" ht="16.5" customHeight="1"/>
    <row r="657" s="90" customFormat="1" ht="16.5" customHeight="1"/>
    <row r="658" s="90" customFormat="1" ht="16.5" customHeight="1"/>
    <row r="659" s="90" customFormat="1" ht="16.5" customHeight="1"/>
    <row r="660" s="90" customFormat="1" ht="16.5" customHeight="1"/>
    <row r="661" s="90" customFormat="1" ht="16.5" customHeight="1"/>
    <row r="662" s="90" customFormat="1" ht="16.5" customHeight="1"/>
    <row r="663" s="90" customFormat="1" ht="16.5" customHeight="1"/>
    <row r="664" s="90" customFormat="1" ht="16.5" customHeight="1"/>
    <row r="665" s="90" customFormat="1" ht="16.5" customHeight="1"/>
    <row r="666" s="90" customFormat="1" ht="16.5" customHeight="1"/>
    <row r="667" s="90" customFormat="1" ht="16.5" customHeight="1"/>
    <row r="668" s="90" customFormat="1" ht="16.5" customHeight="1"/>
    <row r="669" s="90" customFormat="1" ht="16.5" customHeight="1"/>
    <row r="670" s="90" customFormat="1" ht="16.5" customHeight="1"/>
    <row r="671" s="90" customFormat="1" ht="16.5" customHeight="1"/>
    <row r="672" s="90" customFormat="1" ht="16.5" customHeight="1"/>
    <row r="673" s="90" customFormat="1" ht="16.5" customHeight="1"/>
    <row r="674" s="90" customFormat="1" ht="16.5" customHeight="1"/>
    <row r="675" s="90" customFormat="1" ht="16.5" customHeight="1"/>
    <row r="676" s="90" customFormat="1" ht="16.5" customHeight="1"/>
    <row r="677" s="90" customFormat="1" ht="16.5" customHeight="1"/>
    <row r="678" s="90" customFormat="1" ht="16.5" customHeight="1"/>
    <row r="679" s="90" customFormat="1" ht="16.5" customHeight="1"/>
    <row r="680" s="90" customFormat="1" ht="16.5" customHeight="1"/>
    <row r="681" s="90" customFormat="1" ht="16.5" customHeight="1"/>
    <row r="682" s="90" customFormat="1" ht="16.5" customHeight="1"/>
    <row r="683" s="90" customFormat="1" ht="16.5" customHeight="1"/>
    <row r="684" s="90" customFormat="1" ht="16.5" customHeight="1"/>
    <row r="685" s="90" customFormat="1" ht="16.5" customHeight="1"/>
    <row r="686" s="90" customFormat="1" ht="16.5" customHeight="1"/>
    <row r="687" s="90" customFormat="1" ht="16.5" customHeight="1"/>
    <row r="688" s="90" customFormat="1" ht="16.5" customHeight="1"/>
    <row r="689" s="90" customFormat="1" ht="16.5" customHeight="1"/>
    <row r="690" s="90" customFormat="1" ht="16.5" customHeight="1"/>
    <row r="691" s="90" customFormat="1" ht="16.5" customHeight="1"/>
    <row r="692" s="90" customFormat="1" ht="16.5" customHeight="1"/>
    <row r="693" s="90" customFormat="1" ht="16.5" customHeight="1"/>
    <row r="694" s="90" customFormat="1" ht="16.5" customHeight="1"/>
    <row r="695" s="90" customFormat="1" ht="16.5" customHeight="1"/>
    <row r="696" s="90" customFormat="1" ht="16.5" customHeight="1"/>
    <row r="697" s="90" customFormat="1" ht="16.5" customHeight="1"/>
    <row r="698" s="90" customFormat="1" ht="16.5" customHeight="1"/>
    <row r="699" s="90" customFormat="1" ht="16.5" customHeight="1"/>
    <row r="700" s="90" customFormat="1" ht="16.5" customHeight="1"/>
    <row r="701" s="90" customFormat="1" ht="16.5" customHeight="1"/>
    <row r="702" s="90" customFormat="1" ht="16.5" customHeight="1"/>
    <row r="703" s="90" customFormat="1" ht="16.5" customHeight="1"/>
    <row r="704" s="90" customFormat="1" ht="16.5" customHeight="1"/>
    <row r="705" s="90" customFormat="1" ht="16.5" customHeight="1"/>
    <row r="706" s="90" customFormat="1" ht="16.5" customHeight="1"/>
    <row r="707" s="90" customFormat="1" ht="16.5" customHeight="1"/>
    <row r="708" s="90" customFormat="1" ht="16.5" customHeight="1"/>
    <row r="709" s="90" customFormat="1" ht="16.5" customHeight="1"/>
    <row r="710" s="90" customFormat="1" ht="16.5" customHeight="1"/>
    <row r="711" s="90" customFormat="1" ht="16.5" customHeight="1"/>
    <row r="712" s="90" customFormat="1" ht="16.5" customHeight="1"/>
    <row r="713" s="90" customFormat="1" ht="16.5" customHeight="1"/>
    <row r="714" s="90" customFormat="1" ht="16.5" customHeight="1"/>
    <row r="715" s="90" customFormat="1" ht="16.5" customHeight="1"/>
    <row r="716" s="90" customFormat="1" ht="16.5" customHeight="1"/>
    <row r="717" s="90" customFormat="1" ht="16.5" customHeight="1"/>
    <row r="718" s="90" customFormat="1" ht="16.5" customHeight="1"/>
    <row r="719" s="90" customFormat="1" ht="16.5" customHeight="1"/>
    <row r="720" s="90" customFormat="1" ht="16.5" customHeight="1"/>
    <row r="721" s="90" customFormat="1" ht="16.5" customHeight="1"/>
    <row r="722" s="90" customFormat="1" ht="16.5" customHeight="1"/>
    <row r="723" s="90" customFormat="1" ht="16.5" customHeight="1"/>
    <row r="724" s="90" customFormat="1" ht="16.5" customHeight="1"/>
    <row r="725" s="90" customFormat="1" ht="16.5" customHeight="1"/>
    <row r="726" s="90" customFormat="1" ht="16.5" customHeight="1"/>
    <row r="727" s="90" customFormat="1" ht="16.5" customHeight="1"/>
    <row r="728" s="90" customFormat="1" ht="16.5" customHeight="1"/>
    <row r="729" s="90" customFormat="1" ht="16.5" customHeight="1"/>
    <row r="730" s="90" customFormat="1" ht="16.5" customHeight="1"/>
    <row r="731" s="90" customFormat="1" ht="16.5" customHeight="1"/>
    <row r="732" s="90" customFormat="1" ht="16.5" customHeight="1"/>
    <row r="733" s="90" customFormat="1" ht="16.5" customHeight="1"/>
    <row r="734" s="90" customFormat="1" ht="16.5" customHeight="1"/>
    <row r="735" s="90" customFormat="1" ht="16.5" customHeight="1"/>
    <row r="736" s="90" customFormat="1" ht="16.5" customHeight="1"/>
    <row r="737" s="90" customFormat="1" ht="16.5" customHeight="1"/>
    <row r="738" s="90" customFormat="1" ht="16.5" customHeight="1"/>
    <row r="739" s="90" customFormat="1" ht="16.5" customHeight="1"/>
    <row r="740" s="90" customFormat="1" ht="16.5" customHeight="1"/>
    <row r="741" s="90" customFormat="1" ht="16.5" customHeight="1"/>
    <row r="742" s="90" customFormat="1" ht="16.5" customHeight="1"/>
    <row r="743" s="90" customFormat="1" ht="16.5" customHeight="1"/>
    <row r="744" s="90" customFormat="1" ht="16.5" customHeight="1"/>
    <row r="745" s="90" customFormat="1" ht="16.5" customHeight="1"/>
    <row r="746" s="90" customFormat="1" ht="16.5" customHeight="1"/>
    <row r="747" s="90" customFormat="1" ht="16.5" customHeight="1"/>
    <row r="748" s="90" customFormat="1" ht="16.5" customHeight="1"/>
    <row r="749" s="90" customFormat="1" ht="16.5" customHeight="1"/>
    <row r="750" s="90" customFormat="1" ht="16.5" customHeight="1"/>
    <row r="751" s="90" customFormat="1" ht="16.5" customHeight="1"/>
    <row r="752" s="90" customFormat="1" ht="16.5" customHeight="1"/>
    <row r="753" s="90" customFormat="1" ht="16.5" customHeight="1"/>
    <row r="754" s="90" customFormat="1" ht="16.5" customHeight="1"/>
    <row r="755" s="90" customFormat="1" ht="16.5" customHeight="1"/>
    <row r="756" s="90" customFormat="1" ht="16.5" customHeight="1"/>
    <row r="757" s="90" customFormat="1" ht="16.5" customHeight="1"/>
    <row r="758" s="90" customFormat="1" ht="16.5" customHeight="1"/>
    <row r="759" s="90" customFormat="1" ht="16.5" customHeight="1"/>
    <row r="760" s="90" customFormat="1" ht="16.5" customHeight="1"/>
    <row r="761" s="90" customFormat="1" ht="16.5" customHeight="1"/>
    <row r="762" s="90" customFormat="1" ht="16.5" customHeight="1"/>
    <row r="763" s="90" customFormat="1" ht="16.5" customHeight="1"/>
    <row r="764" s="90" customFormat="1" ht="16.5" customHeight="1"/>
    <row r="765" s="90" customFormat="1" ht="16.5" customHeight="1"/>
    <row r="766" s="90" customFormat="1" ht="16.5" customHeight="1"/>
    <row r="767" s="90" customFormat="1" ht="16.5" customHeight="1"/>
    <row r="768" s="90" customFormat="1" ht="16.5" customHeight="1"/>
    <row r="769" s="90" customFormat="1" ht="16.5" customHeight="1"/>
    <row r="770" s="90" customFormat="1" ht="16.5" customHeight="1"/>
    <row r="771" s="90" customFormat="1" ht="16.5" customHeight="1"/>
    <row r="772" s="90" customFormat="1" ht="16.5" customHeight="1"/>
    <row r="773" s="90" customFormat="1" ht="16.5" customHeight="1"/>
    <row r="774" s="90" customFormat="1" ht="16.5" customHeight="1"/>
    <row r="775" s="90" customFormat="1" ht="16.5" customHeight="1"/>
    <row r="776" s="90" customFormat="1" ht="16.5" customHeight="1"/>
    <row r="777" s="90" customFormat="1" ht="16.5" customHeight="1"/>
    <row r="778" s="90" customFormat="1" ht="16.5" customHeight="1"/>
    <row r="779" s="90" customFormat="1" ht="16.5" customHeight="1"/>
    <row r="780" s="90" customFormat="1" ht="16.5" customHeight="1"/>
    <row r="781" s="90" customFormat="1" ht="16.5" customHeight="1"/>
    <row r="782" s="90" customFormat="1" ht="16.5" customHeight="1"/>
    <row r="783" s="90" customFormat="1" ht="16.5" customHeight="1"/>
    <row r="784" s="90" customFormat="1" ht="16.5" customHeight="1"/>
    <row r="785" s="90" customFormat="1" ht="16.5" customHeight="1"/>
    <row r="786" s="90" customFormat="1" ht="16.5" customHeight="1"/>
    <row r="787" s="90" customFormat="1" ht="16.5" customHeight="1"/>
    <row r="788" s="90" customFormat="1" ht="16.5" customHeight="1"/>
    <row r="789" s="90" customFormat="1" ht="16.5" customHeight="1"/>
    <row r="790" s="90" customFormat="1" ht="16.5" customHeight="1"/>
    <row r="791" s="90" customFormat="1" ht="16.5" customHeight="1"/>
    <row r="792" s="90" customFormat="1" ht="16.5" customHeight="1"/>
    <row r="793" s="90" customFormat="1" ht="16.5" customHeight="1"/>
    <row r="794" s="90" customFormat="1" ht="16.5" customHeight="1"/>
    <row r="795" s="90" customFormat="1" ht="16.5" customHeight="1"/>
    <row r="796" s="90" customFormat="1" ht="16.5" customHeight="1"/>
    <row r="797" s="90" customFormat="1" ht="16.5" customHeight="1"/>
    <row r="798" s="90" customFormat="1" ht="16.5" customHeight="1"/>
    <row r="799" s="90" customFormat="1" ht="16.5" customHeight="1"/>
    <row r="800" s="90" customFormat="1" ht="16.5" customHeight="1"/>
    <row r="801" s="90" customFormat="1" ht="16.5" customHeight="1"/>
    <row r="802" s="90" customFormat="1" ht="16.5" customHeight="1"/>
    <row r="803" s="90" customFormat="1" ht="16.5" customHeight="1"/>
    <row r="804" s="90" customFormat="1" ht="16.5" customHeight="1"/>
    <row r="805" s="90" customFormat="1" ht="16.5" customHeight="1"/>
    <row r="806" s="90" customFormat="1" ht="16.5" customHeight="1"/>
    <row r="807" s="90" customFormat="1" ht="16.5" customHeight="1"/>
    <row r="808" s="90" customFormat="1" ht="16.5" customHeight="1"/>
    <row r="809" s="90" customFormat="1" ht="16.5" customHeight="1"/>
    <row r="810" s="90" customFormat="1" ht="16.5" customHeight="1"/>
    <row r="811" s="90" customFormat="1" ht="16.5" customHeight="1"/>
    <row r="812" s="90" customFormat="1" ht="16.5" customHeight="1"/>
    <row r="813" s="90" customFormat="1" ht="16.5" customHeight="1"/>
    <row r="814" s="90" customFormat="1" ht="16.5" customHeight="1"/>
    <row r="815" s="90" customFormat="1" ht="16.5" customHeight="1"/>
    <row r="816" s="90" customFormat="1" ht="16.5" customHeight="1"/>
    <row r="817" s="90" customFormat="1" ht="16.5" customHeight="1"/>
    <row r="818" s="90" customFormat="1" ht="16.5" customHeight="1"/>
    <row r="819" s="90" customFormat="1" ht="16.5" customHeight="1"/>
    <row r="820" s="90" customFormat="1" ht="16.5" customHeight="1"/>
    <row r="821" s="90" customFormat="1" ht="16.5" customHeight="1"/>
    <row r="822" s="90" customFormat="1" ht="16.5" customHeight="1"/>
    <row r="823" s="90" customFormat="1" ht="16.5" customHeight="1"/>
    <row r="824" s="90" customFormat="1" ht="16.5" customHeight="1"/>
    <row r="825" s="90" customFormat="1" ht="16.5" customHeight="1"/>
    <row r="826" s="90" customFormat="1" ht="16.5" customHeight="1"/>
    <row r="827" s="90" customFormat="1" ht="16.5" customHeight="1"/>
    <row r="828" s="90" customFormat="1" ht="16.5" customHeight="1"/>
    <row r="829" s="90" customFormat="1" ht="16.5" customHeight="1"/>
    <row r="830" s="90" customFormat="1" ht="16.5" customHeight="1"/>
    <row r="831" s="90" customFormat="1" ht="16.5" customHeight="1"/>
    <row r="832" s="90" customFormat="1" ht="16.5" customHeight="1"/>
    <row r="833" s="90" customFormat="1" ht="16.5" customHeight="1"/>
    <row r="834" s="90" customFormat="1" ht="16.5" customHeight="1"/>
    <row r="835" s="90" customFormat="1" ht="16.5" customHeight="1"/>
    <row r="836" s="90" customFormat="1" ht="16.5" customHeight="1"/>
    <row r="837" s="90" customFormat="1" ht="16.5" customHeight="1"/>
    <row r="838" s="90" customFormat="1" ht="16.5" customHeight="1"/>
    <row r="839" s="90" customFormat="1" ht="16.5" customHeight="1"/>
    <row r="840" s="90" customFormat="1" ht="16.5" customHeight="1"/>
    <row r="841" s="90" customFormat="1" ht="16.5" customHeight="1"/>
    <row r="842" s="90" customFormat="1" ht="16.5" customHeight="1"/>
    <row r="843" s="90" customFormat="1" ht="16.5" customHeight="1"/>
    <row r="844" s="90" customFormat="1" ht="16.5" customHeight="1"/>
    <row r="845" s="90" customFormat="1" ht="16.5" customHeight="1"/>
    <row r="846" s="90" customFormat="1" ht="16.5" customHeight="1"/>
    <row r="847" s="90" customFormat="1" ht="16.5" customHeight="1"/>
    <row r="848" s="90" customFormat="1" ht="16.5" customHeight="1"/>
    <row r="849" s="90" customFormat="1" ht="16.5" customHeight="1"/>
    <row r="850" s="90" customFormat="1" ht="16.5" customHeight="1"/>
    <row r="851" s="90" customFormat="1" ht="16.5" customHeight="1"/>
    <row r="852" s="90" customFormat="1" ht="16.5" customHeight="1"/>
    <row r="853" s="90" customFormat="1" ht="16.5" customHeight="1"/>
    <row r="854" s="90" customFormat="1" ht="16.5" customHeight="1"/>
    <row r="855" s="90" customFormat="1" ht="16.5" customHeight="1"/>
    <row r="856" s="90" customFormat="1" ht="16.5" customHeight="1"/>
    <row r="857" s="90" customFormat="1" ht="16.5" customHeight="1"/>
    <row r="858" s="90" customFormat="1" ht="16.5" customHeight="1"/>
    <row r="859" s="90" customFormat="1" ht="16.5" customHeight="1"/>
    <row r="860" s="90" customFormat="1" ht="16.5" customHeight="1"/>
    <row r="861" s="90" customFormat="1" ht="16.5" customHeight="1"/>
    <row r="862" s="90" customFormat="1" ht="16.5" customHeight="1"/>
    <row r="863" s="90" customFormat="1" ht="16.5" customHeight="1"/>
    <row r="864" s="90" customFormat="1" ht="16.5" customHeight="1"/>
    <row r="865" s="90" customFormat="1" ht="16.5" customHeight="1"/>
    <row r="866" s="90" customFormat="1" ht="16.5" customHeight="1"/>
    <row r="867" s="90" customFormat="1" ht="16.5" customHeight="1"/>
    <row r="868" s="90" customFormat="1" ht="16.5" customHeight="1"/>
    <row r="869" s="90" customFormat="1" ht="16.5" customHeight="1"/>
    <row r="870" s="90" customFormat="1" ht="16.5" customHeight="1"/>
    <row r="871" s="90" customFormat="1" ht="16.5" customHeight="1"/>
    <row r="872" s="90" customFormat="1" ht="16.5" customHeight="1"/>
    <row r="873" s="90" customFormat="1" ht="16.5" customHeight="1"/>
    <row r="874" s="90" customFormat="1" ht="16.5" customHeight="1"/>
    <row r="875" s="90" customFormat="1" ht="16.5" customHeight="1"/>
    <row r="876" s="90" customFormat="1" ht="16.5" customHeight="1"/>
    <row r="877" s="90" customFormat="1" ht="16.5" customHeight="1"/>
    <row r="878" s="90" customFormat="1" ht="16.5" customHeight="1"/>
    <row r="879" s="90" customFormat="1" ht="16.5" customHeight="1"/>
    <row r="880" s="90" customFormat="1" ht="16.5" customHeight="1"/>
    <row r="881" s="90" customFormat="1" ht="16.5" customHeight="1"/>
    <row r="882" s="90" customFormat="1" ht="16.5" customHeight="1"/>
    <row r="883" s="90" customFormat="1" ht="16.5" customHeight="1"/>
    <row r="884" s="90" customFormat="1" ht="16.5" customHeight="1"/>
    <row r="885" s="90" customFormat="1" ht="16.5" customHeight="1"/>
    <row r="886" s="90" customFormat="1" ht="16.5" customHeight="1"/>
    <row r="887" s="90" customFormat="1" ht="16.5" customHeight="1"/>
    <row r="888" s="90" customFormat="1" ht="16.5" customHeight="1"/>
    <row r="889" s="90" customFormat="1" ht="16.5" customHeight="1"/>
    <row r="890" s="90" customFormat="1" ht="16.5" customHeight="1"/>
    <row r="891" s="90" customFormat="1" ht="16.5" customHeight="1"/>
    <row r="892" s="90" customFormat="1" ht="16.5" customHeight="1"/>
    <row r="893" s="90" customFormat="1" ht="16.5" customHeight="1"/>
    <row r="894" s="90" customFormat="1" ht="16.5" customHeight="1"/>
    <row r="895" s="90" customFormat="1" ht="16.5" customHeight="1"/>
    <row r="896" s="90" customFormat="1" ht="16.5" customHeight="1"/>
    <row r="897" s="90" customFormat="1" ht="16.5" customHeight="1"/>
    <row r="898" s="90" customFormat="1" ht="16.5" customHeight="1"/>
    <row r="899" s="90" customFormat="1" ht="16.5" customHeight="1"/>
    <row r="900" s="90" customFormat="1" ht="16.5" customHeight="1"/>
    <row r="901" s="90" customFormat="1" ht="16.5" customHeight="1"/>
    <row r="902" s="90" customFormat="1" ht="16.5" customHeight="1"/>
    <row r="903" s="90" customFormat="1" ht="16.5" customHeight="1"/>
    <row r="904" s="90" customFormat="1" ht="16.5" customHeight="1"/>
    <row r="905" s="90" customFormat="1" ht="16.5" customHeight="1"/>
    <row r="906" s="90" customFormat="1" ht="16.5" customHeight="1"/>
    <row r="907" s="90" customFormat="1" ht="16.5" customHeight="1"/>
    <row r="908" s="90" customFormat="1" ht="16.5" customHeight="1"/>
    <row r="909" s="90" customFormat="1" ht="16.5" customHeight="1"/>
    <row r="910" s="90" customFormat="1" ht="16.5" customHeight="1"/>
    <row r="911" s="90" customFormat="1" ht="16.5" customHeight="1"/>
    <row r="912" s="90" customFormat="1" ht="16.5" customHeight="1"/>
    <row r="913" s="90" customFormat="1" ht="16.5" customHeight="1"/>
    <row r="914" s="90" customFormat="1" ht="16.5" customHeight="1"/>
    <row r="915" s="90" customFormat="1" ht="16.5" customHeight="1"/>
    <row r="916" s="90" customFormat="1" ht="16.5" customHeight="1"/>
    <row r="917" s="90" customFormat="1" ht="16.5" customHeight="1"/>
    <row r="918" s="90" customFormat="1" ht="16.5" customHeight="1"/>
    <row r="919" s="90" customFormat="1" ht="16.5" customHeight="1"/>
    <row r="920" s="90" customFormat="1" ht="16.5" customHeight="1"/>
    <row r="921" s="90" customFormat="1" ht="16.5" customHeight="1"/>
    <row r="922" s="90" customFormat="1" ht="16.5" customHeight="1"/>
    <row r="923" s="90" customFormat="1" ht="16.5" customHeight="1"/>
    <row r="924" s="90" customFormat="1" ht="16.5" customHeight="1"/>
    <row r="925" s="90" customFormat="1" ht="16.5" customHeight="1"/>
    <row r="926" s="90" customFormat="1" ht="16.5" customHeight="1"/>
    <row r="927" s="90" customFormat="1" ht="16.5" customHeight="1"/>
    <row r="928" s="90" customFormat="1" ht="16.5" customHeight="1"/>
    <row r="929" s="90" customFormat="1" ht="16.5" customHeight="1"/>
    <row r="930" s="90" customFormat="1" ht="16.5" customHeight="1"/>
    <row r="931" s="90" customFormat="1" ht="16.5" customHeight="1"/>
    <row r="932" s="90" customFormat="1" ht="16.5" customHeight="1"/>
    <row r="933" s="90" customFormat="1" ht="16.5" customHeight="1"/>
    <row r="934" s="90" customFormat="1" ht="16.5" customHeight="1"/>
    <row r="935" s="90" customFormat="1" ht="16.5" customHeight="1"/>
    <row r="936" s="90" customFormat="1" ht="16.5" customHeight="1"/>
    <row r="937" s="90" customFormat="1" ht="16.5" customHeight="1"/>
    <row r="938" s="90" customFormat="1" ht="16.5" customHeight="1"/>
    <row r="939" s="90" customFormat="1" ht="16.5" customHeight="1"/>
    <row r="940" s="90" customFormat="1" ht="16.5" customHeight="1"/>
    <row r="941" s="90" customFormat="1" ht="16.5" customHeight="1"/>
    <row r="942" s="90" customFormat="1" ht="16.5" customHeight="1"/>
    <row r="943" s="90" customFormat="1" ht="16.5" customHeight="1"/>
    <row r="944" s="90" customFormat="1" ht="16.5" customHeight="1"/>
    <row r="945" s="90" customFormat="1" ht="16.5" customHeight="1"/>
    <row r="946" s="90" customFormat="1" ht="16.5" customHeight="1"/>
    <row r="947" s="90" customFormat="1" ht="16.5" customHeight="1"/>
    <row r="948" s="90" customFormat="1" ht="16.5" customHeight="1"/>
    <row r="949" s="90" customFormat="1" ht="16.5" customHeight="1"/>
    <row r="950" s="90" customFormat="1" ht="16.5" customHeight="1"/>
    <row r="951" s="90" customFormat="1" ht="16.5" customHeight="1"/>
    <row r="952" s="90" customFormat="1" ht="16.5" customHeight="1"/>
    <row r="953" s="90" customFormat="1" ht="16.5" customHeight="1"/>
    <row r="954" s="90" customFormat="1" ht="16.5" customHeight="1"/>
    <row r="955" s="90" customFormat="1" ht="16.5" customHeight="1"/>
    <row r="956" s="90" customFormat="1" ht="16.5" customHeight="1"/>
    <row r="957" s="90" customFormat="1" ht="16.5" customHeight="1"/>
    <row r="958" s="90" customFormat="1" ht="16.5" customHeight="1"/>
    <row r="959" s="90" customFormat="1" ht="16.5" customHeight="1"/>
    <row r="960" s="90" customFormat="1" ht="16.5" customHeight="1"/>
    <row r="961" s="90" customFormat="1" ht="16.5" customHeight="1"/>
    <row r="962" s="90" customFormat="1" ht="16.5" customHeight="1"/>
    <row r="963" s="90" customFormat="1" ht="16.5" customHeight="1"/>
    <row r="964" s="90" customFormat="1" ht="16.5" customHeight="1"/>
    <row r="965" s="90" customFormat="1" ht="16.5" customHeight="1"/>
    <row r="966" s="90" customFormat="1" ht="16.5" customHeight="1"/>
    <row r="967" s="90" customFormat="1" ht="16.5" customHeight="1"/>
    <row r="968" s="90" customFormat="1" ht="16.5" customHeight="1"/>
    <row r="969" s="90" customFormat="1" ht="16.5" customHeight="1"/>
    <row r="970" s="90" customFormat="1" ht="16.5" customHeight="1"/>
    <row r="971" s="90" customFormat="1" ht="16.5" customHeight="1"/>
    <row r="972" s="90" customFormat="1" ht="16.5" customHeight="1"/>
    <row r="973" s="90" customFormat="1" ht="16.5" customHeight="1"/>
    <row r="974" s="90" customFormat="1" ht="16.5" customHeight="1"/>
    <row r="975" s="90" customFormat="1" ht="16.5" customHeight="1"/>
    <row r="976" s="90" customFormat="1" ht="16.5" customHeight="1"/>
    <row r="977" s="90" customFormat="1" ht="16.5" customHeight="1"/>
    <row r="978" s="90" customFormat="1" ht="16.5" customHeight="1"/>
    <row r="979" s="90" customFormat="1" ht="16.5" customHeight="1"/>
    <row r="980" s="90" customFormat="1" ht="16.5" customHeight="1"/>
    <row r="981" s="90" customFormat="1" ht="16.5" customHeight="1"/>
    <row r="982" s="90" customFormat="1" ht="16.5" customHeight="1"/>
    <row r="983" s="90" customFormat="1" ht="16.5" customHeight="1"/>
    <row r="984" s="90" customFormat="1" ht="16.5" customHeight="1"/>
    <row r="985" s="90" customFormat="1" ht="16.5" customHeight="1"/>
    <row r="986" s="90" customFormat="1" ht="16.5" customHeight="1"/>
    <row r="987" s="90" customFormat="1" ht="16.5" customHeight="1"/>
    <row r="988" s="90" customFormat="1" ht="16.5" customHeight="1"/>
    <row r="989" s="90" customFormat="1" ht="16.5" customHeight="1"/>
    <row r="990" s="90" customFormat="1" ht="16.5" customHeight="1"/>
    <row r="991" s="90" customFormat="1" ht="16.5" customHeight="1"/>
    <row r="992" s="90" customFormat="1" ht="16.5" customHeight="1"/>
    <row r="993" s="90" customFormat="1" ht="16.5" customHeight="1"/>
    <row r="994" s="90" customFormat="1" ht="16.5" customHeight="1"/>
    <row r="995" s="90" customFormat="1" ht="16.5" customHeight="1"/>
    <row r="996" s="90" customFormat="1" ht="16.5" customHeight="1"/>
    <row r="997" s="90" customFormat="1" ht="16.5" customHeight="1"/>
    <row r="998" s="90" customFormat="1" ht="16.5" customHeight="1"/>
    <row r="999" s="90" customFormat="1" ht="16.5" customHeight="1"/>
    <row r="1000" s="90" customFormat="1" ht="16.5" customHeight="1"/>
  </sheetData>
  <phoneticPr fontId="12" type="noConversion"/>
  <pageMargins left="0.7" right="0.7" top="0.75" bottom="0.75" header="0" footer="0"/>
  <pageSetup orientation="landscape" r:id="rId1"/>
</worksheet>
</file>

<file path=docMetadata/LabelInfo.xml><?xml version="1.0" encoding="utf-8"?>
<clbl:labelList xmlns:clbl="http://schemas.microsoft.com/office/2020/mipLabelMetadata">
  <clbl:label id="{c7ef1c8b-ba63-4702-8e74-5094387a97de}" enabled="0" method="" siteId="{c7ef1c8b-ba63-4702-8e74-5094387a97de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21</vt:i4>
      </vt:variant>
      <vt:variant>
        <vt:lpstr>Named Ranges</vt:lpstr>
      </vt:variant>
      <vt:variant>
        <vt:i4>2</vt:i4>
      </vt:variant>
    </vt:vector>
  </HeadingPairs>
  <TitlesOfParts>
    <vt:vector size="23" baseType="lpstr">
      <vt:lpstr>Claude Log</vt:lpstr>
      <vt:lpstr>About</vt:lpstr>
      <vt:lpstr>에너지원별 발전량</vt:lpstr>
      <vt:lpstr>발전사별 설비용량</vt:lpstr>
      <vt:lpstr>Subsidies Paid</vt:lpstr>
      <vt:lpstr>LCOE</vt:lpstr>
      <vt:lpstr>Cal-CAPEX (정리)</vt:lpstr>
      <vt:lpstr>Sheet1</vt:lpstr>
      <vt:lpstr>BSpUECB_세액공제액</vt:lpstr>
      <vt:lpstr>BS-BSfTFpEUP</vt:lpstr>
      <vt:lpstr>BS-BSfTFpEUP-transportation</vt:lpstr>
      <vt:lpstr>BS-BSfTFpEUP-electricity</vt:lpstr>
      <vt:lpstr>BS-BSfTFpEUP-res-bldgs</vt:lpstr>
      <vt:lpstr>BS-BSfTFpEUP-com-bldgs</vt:lpstr>
      <vt:lpstr>BS-BSfTFpEUP-industry</vt:lpstr>
      <vt:lpstr>BS-BSfTFpEUP-dist-heat-hydgn</vt:lpstr>
      <vt:lpstr>BS-BSfTFpEUP-geoeng</vt:lpstr>
      <vt:lpstr>BS-BSpUEO</vt:lpstr>
      <vt:lpstr>BS-BSpUEOfEP</vt:lpstr>
      <vt:lpstr>BS-BSpUECB</vt:lpstr>
      <vt:lpstr>BS-DoSpUEO</vt:lpstr>
      <vt:lpstr>dollars_2018_to_2012</vt:lpstr>
      <vt:lpstr>dollars_2021_2012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Mary Francis Swint</cp:lastModifiedBy>
  <dcterms:created xsi:type="dcterms:W3CDTF">2014-08-21T02:04:37Z</dcterms:created>
  <dcterms:modified xsi:type="dcterms:W3CDTF">2026-04-16T16:51:08Z</dcterms:modified>
</cp:coreProperties>
</file>