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Modeling\EPS\US\eps-us\InputData\hydgn\HPEbP\"/>
    </mc:Choice>
  </mc:AlternateContent>
  <xr:revisionPtr revIDLastSave="0" documentId="13_ncr:1_{10499DD2-7318-451E-9808-596E76F4B105}" xr6:coauthVersionLast="47" xr6:coauthVersionMax="47" xr10:uidLastSave="{00000000-0000-0000-0000-000000000000}"/>
  <bookViews>
    <workbookView xWindow="31335" yWindow="510" windowWidth="21630" windowHeight="13245" activeTab="3" xr2:uid="{00000000-000D-0000-FFFF-FFFF00000000}"/>
  </bookViews>
  <sheets>
    <sheet name="About" sheetId="1" r:id="rId1"/>
    <sheet name="IEA Data" sheetId="3" r:id="rId2"/>
    <sheet name="POX" sheetId="4" r:id="rId3"/>
    <sheet name="HPEb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4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B8" i="2"/>
  <c r="B7" i="2"/>
  <c r="B3" i="2" l="1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E18" i="3"/>
  <c r="D18" i="3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</calcChain>
</file>

<file path=xl/sharedStrings.xml><?xml version="1.0" encoding="utf-8"?>
<sst xmlns="http://schemas.openxmlformats.org/spreadsheetml/2006/main" count="66" uniqueCount="49">
  <si>
    <t>HPEbP Hydrogen Production Efficiency by Pathway</t>
  </si>
  <si>
    <t>Sources:</t>
  </si>
  <si>
    <t>electrolysis</t>
  </si>
  <si>
    <t>natural gas reforming</t>
  </si>
  <si>
    <t>coal gasification</t>
  </si>
  <si>
    <t>biomass gasification</t>
  </si>
  <si>
    <t>Notes</t>
  </si>
  <si>
    <t>This variable expresses the amount of energy input of each</t>
  </si>
  <si>
    <t>source fuel to produce one unit of energy of hydrogen.</t>
  </si>
  <si>
    <t>Long Term</t>
  </si>
  <si>
    <t>Today</t>
  </si>
  <si>
    <t>Parameter</t>
  </si>
  <si>
    <t>Units</t>
  </si>
  <si>
    <t>Technology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</si>
  <si>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</si>
  <si>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</si>
  <si>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</si>
  <si>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</si>
  <si>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</si>
  <si>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</si>
  <si>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</si>
  <si>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</si>
  <si>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Emission factor</t>
  </si>
  <si>
    <t>kgCO2/kgH2</t>
  </si>
  <si>
    <t>Mapped Year</t>
  </si>
  <si>
    <t>International Energy Agency</t>
  </si>
  <si>
    <t>The Future of Hydrogen</t>
  </si>
  <si>
    <t>Assumptions annex, Page 3</t>
  </si>
  <si>
    <t>Efficiency (dimensionless)</t>
  </si>
  <si>
    <t>https://iea.blob.core.windows.net/assets/a02a0c80-77b2-462e-a9d5-1099e0e572ce/IEA-The-Future-of-Hydrogen-Assumptions-Annex.pdf</t>
  </si>
  <si>
    <t>Annual Improvement Rate for Electrolysis</t>
  </si>
  <si>
    <t>Improvement Rates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</si>
  <si>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</si>
  <si>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</si>
  <si>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</si>
  <si>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</si>
  <si>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</si>
  <si>
    <t>electrolysis with guaranteed clean electricity</t>
  </si>
  <si>
    <t>natural gas reforming with CCS</t>
  </si>
  <si>
    <t>hydrocarbon partial oxidation</t>
  </si>
  <si>
    <t>Efficiency Data (POX)</t>
  </si>
  <si>
    <t>Journal of Power and Energy Engineering</t>
  </si>
  <si>
    <t>Hydrogen Production Technologies Overview</t>
  </si>
  <si>
    <t>https://www.scirp.org/journal/paperinformation?paperid=90227</t>
  </si>
  <si>
    <t>Section 3.2</t>
  </si>
  <si>
    <t>From El-Shafie et al.</t>
  </si>
  <si>
    <t>Mostafa El-Shafie et al.</t>
  </si>
  <si>
    <t>60-75%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</si>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</sst>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10" workbookViewId="0">
      <selection activeCell="B26" sqref="B26"/>
    </sheetView>
  </sheetViews>
  <sheetFormatPr defaultRowHeight="14.5" x14ac:dyDescent="0.35"/>
  <cols>
    <col min="2" max="2" width="98.72656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2" t="s">
        <v>31</v>
      </c>
    </row>
    <row r="4" spans="1:2" x14ac:dyDescent="0.35">
      <c r="B4" t="s">
        <v>25</v>
      </c>
    </row>
    <row r="5" spans="1:2" x14ac:dyDescent="0.35">
      <c r="B5" s="3">
        <v>2019</v>
      </c>
    </row>
    <row r="6" spans="1:2" x14ac:dyDescent="0.35">
      <c r="B6" t="s">
        <v>26</v>
      </c>
    </row>
    <row r="7" spans="1:2" x14ac:dyDescent="0.35">
      <c r="B7" s="4" t="s">
        <v>29</v>
      </c>
    </row>
    <row r="8" spans="1:2" x14ac:dyDescent="0.35">
      <c r="B8" t="s">
        <v>27</v>
      </c>
    </row>
    <row r="10" spans="1:2" x14ac:dyDescent="0.35">
      <c r="B10" s="2" t="s">
        <v>32</v>
      </c>
    </row>
    <row r="11" spans="1:2" x14ac:dyDescent="0.35">
      <c r="B11" t="s">
        <v>33</v>
      </c>
    </row>
    <row r="12" spans="1:2" x14ac:dyDescent="0.35">
      <c r="B12" s="3">
        <v>2013</v>
      </c>
    </row>
    <row r="13" spans="1:2" x14ac:dyDescent="0.35">
      <c r="B13" t="s">
        <v>34</v>
      </c>
    </row>
    <row r="14" spans="1:2" x14ac:dyDescent="0.35">
      <c r="B14" s="4" t="s">
        <v>35</v>
      </c>
    </row>
    <row r="15" spans="1:2" x14ac:dyDescent="0.35">
      <c r="B15" t="s">
        <v>36</v>
      </c>
    </row>
    <row r="17" spans="1:2" x14ac:dyDescent="0.35">
      <c r="B17" s="2" t="s">
        <v>40</v>
      </c>
    </row>
    <row r="18" spans="1:2" x14ac:dyDescent="0.35">
      <c r="B18" t="s">
        <v>41</v>
      </c>
    </row>
    <row r="19" spans="1:2" x14ac:dyDescent="0.35">
      <c r="B19" s="3">
        <v>2019</v>
      </c>
    </row>
    <row r="20" spans="1:2" x14ac:dyDescent="0.35">
      <c r="B20" t="s">
        <v>42</v>
      </c>
    </row>
    <row r="21" spans="1:2" x14ac:dyDescent="0.35">
      <c r="B21" t="s">
        <v>46</v>
      </c>
    </row>
    <row r="22" spans="1:2" x14ac:dyDescent="0.35">
      <c r="B22" s="4" t="s">
        <v>43</v>
      </c>
    </row>
    <row r="23" spans="1:2" x14ac:dyDescent="0.35">
      <c r="B23" t="s">
        <v>44</v>
      </c>
    </row>
    <row r="26" spans="1:2" x14ac:dyDescent="0.35">
      <c r="A26" s="1" t="s">
        <v>6</v>
      </c>
    </row>
    <row r="27" spans="1:2" x14ac:dyDescent="0.35">
      <c r="A27" t="s">
        <v>7</v>
      </c>
    </row>
    <row r="28" spans="1:2" x14ac:dyDescent="0.35">
      <c r="A28" t="s">
        <v>8</v>
      </c>
    </row>
    <row r="30" spans="1:2" x14ac:dyDescent="0.35">
      <c r="A30" s="1"/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>
      <selection activeCell="I6" sqref="I6"/>
    </sheetView>
  </sheetViews>
  <sheetFormatPr defaultRowHeight="14.5" x14ac:dyDescent="0.35"/>
  <cols>
    <col min="1" max="3" width="25.453125" customWidth="1"/>
    <col min="4" max="4" width="11.54296875" customWidth="1"/>
    <col min="5" max="5" width="10.1796875" customWidth="1"/>
    <col min="6" max="6" width="14.54296875" customWidth="1"/>
  </cols>
  <sheetData>
    <row r="1" spans="1:6" ht="15" thickBot="1" x14ac:dyDescent="0.4">
      <c r="A1" s="10" t="s">
        <v>13</v>
      </c>
      <c r="B1" s="10" t="s">
        <v>11</v>
      </c>
      <c r="C1" s="10" t="s">
        <v>12</v>
      </c>
      <c r="D1" s="11" t="s">
        <v>10</v>
      </c>
      <c r="E1" s="11">
        <v>2030</v>
      </c>
      <c r="F1" s="11" t="s">
        <v>9</v>
      </c>
    </row>
    <row r="2" spans="1:6" ht="15" thickTop="1" x14ac:dyDescent="0.35">
      <c r="A2" t="s">
        <v>2</v>
      </c>
      <c r="B2" t="s">
        <v>14</v>
      </c>
      <c r="C2" t="s">
        <v>15</v>
      </c>
      <c r="D2">
        <v>900</v>
      </c>
      <c r="E2">
        <v>700</v>
      </c>
      <c r="F2">
        <v>450</v>
      </c>
    </row>
    <row r="3" spans="1:6" x14ac:dyDescent="0.35">
      <c r="B3" t="s">
        <v>16</v>
      </c>
      <c r="C3" t="s">
        <v>17</v>
      </c>
      <c r="D3" s="7">
        <v>0.64</v>
      </c>
      <c r="E3" s="7">
        <v>0.69</v>
      </c>
      <c r="F3" s="7">
        <v>0.74</v>
      </c>
    </row>
    <row r="4" spans="1:6" x14ac:dyDescent="0.35">
      <c r="B4" t="s">
        <v>18</v>
      </c>
      <c r="C4" t="s">
        <v>19</v>
      </c>
      <c r="D4" s="8">
        <v>1.4999999999999999E-2</v>
      </c>
      <c r="E4" s="8">
        <v>1.4999999999999999E-2</v>
      </c>
      <c r="F4" s="8">
        <v>1.4999999999999999E-2</v>
      </c>
    </row>
    <row r="5" spans="1:6" ht="15" thickBot="1" x14ac:dyDescent="0.4">
      <c r="A5" s="9"/>
      <c r="B5" s="9" t="s">
        <v>20</v>
      </c>
      <c r="C5" s="9" t="s">
        <v>21</v>
      </c>
      <c r="D5" s="9">
        <v>95000</v>
      </c>
      <c r="E5" s="9">
        <v>95000</v>
      </c>
      <c r="F5" s="9">
        <v>100000</v>
      </c>
    </row>
    <row r="6" spans="1:6" ht="15" thickTop="1" x14ac:dyDescent="0.35">
      <c r="A6" t="s">
        <v>3</v>
      </c>
      <c r="B6" t="s">
        <v>14</v>
      </c>
      <c r="C6" t="s">
        <v>15</v>
      </c>
      <c r="D6">
        <v>910</v>
      </c>
      <c r="E6">
        <v>910</v>
      </c>
      <c r="F6">
        <v>910</v>
      </c>
    </row>
    <row r="7" spans="1:6" x14ac:dyDescent="0.35">
      <c r="B7" t="s">
        <v>16</v>
      </c>
      <c r="C7" t="s">
        <v>17</v>
      </c>
      <c r="D7" s="7">
        <v>0.76</v>
      </c>
      <c r="E7" s="7">
        <v>0.76</v>
      </c>
      <c r="F7" s="7">
        <v>0.76</v>
      </c>
    </row>
    <row r="8" spans="1:6" x14ac:dyDescent="0.35">
      <c r="B8" t="s">
        <v>18</v>
      </c>
      <c r="C8" t="s">
        <v>19</v>
      </c>
      <c r="D8" s="8">
        <v>4.7E-2</v>
      </c>
      <c r="E8" s="8">
        <v>4.7E-2</v>
      </c>
      <c r="F8" s="8">
        <v>4.7E-2</v>
      </c>
    </row>
    <row r="9" spans="1:6" ht="15" thickBot="1" x14ac:dyDescent="0.4">
      <c r="A9" s="9"/>
      <c r="B9" s="9" t="s">
        <v>22</v>
      </c>
      <c r="C9" s="9" t="s">
        <v>23</v>
      </c>
      <c r="D9" s="9">
        <v>8.9</v>
      </c>
      <c r="E9" s="9">
        <v>8.9</v>
      </c>
      <c r="F9" s="9">
        <v>8.9</v>
      </c>
    </row>
    <row r="10" spans="1:6" ht="15" thickTop="1" x14ac:dyDescent="0.35">
      <c r="A10" t="s">
        <v>4</v>
      </c>
      <c r="B10" t="s">
        <v>14</v>
      </c>
      <c r="C10" t="s">
        <v>15</v>
      </c>
      <c r="D10">
        <v>2670</v>
      </c>
      <c r="E10">
        <v>2670</v>
      </c>
      <c r="F10">
        <v>2670</v>
      </c>
    </row>
    <row r="11" spans="1:6" x14ac:dyDescent="0.35">
      <c r="B11" t="s">
        <v>16</v>
      </c>
      <c r="C11" t="s">
        <v>17</v>
      </c>
      <c r="D11" s="7">
        <v>0.6</v>
      </c>
      <c r="E11" s="7">
        <v>0.6</v>
      </c>
      <c r="F11" s="7">
        <v>0.6</v>
      </c>
    </row>
    <row r="12" spans="1:6" x14ac:dyDescent="0.35">
      <c r="B12" t="s">
        <v>18</v>
      </c>
      <c r="C12" t="s">
        <v>19</v>
      </c>
      <c r="D12" s="7">
        <v>0.05</v>
      </c>
      <c r="E12" s="7">
        <v>0.05</v>
      </c>
      <c r="F12" s="7">
        <v>0.05</v>
      </c>
    </row>
    <row r="13" spans="1:6" ht="15" thickBot="1" x14ac:dyDescent="0.4">
      <c r="A13" s="9"/>
      <c r="B13" s="9" t="s">
        <v>22</v>
      </c>
      <c r="C13" s="9" t="s">
        <v>23</v>
      </c>
      <c r="D13" s="9">
        <v>20.2</v>
      </c>
      <c r="E13" s="9">
        <v>20.2</v>
      </c>
      <c r="F13" s="9">
        <v>20.2</v>
      </c>
    </row>
    <row r="14" spans="1:6" ht="15" thickTop="1" x14ac:dyDescent="0.35"/>
    <row r="15" spans="1:6" x14ac:dyDescent="0.35">
      <c r="A15" t="s">
        <v>24</v>
      </c>
      <c r="D15">
        <v>2017</v>
      </c>
      <c r="E15">
        <v>2030</v>
      </c>
      <c r="F15">
        <v>2050</v>
      </c>
    </row>
    <row r="18" spans="1:5" x14ac:dyDescent="0.35">
      <c r="A18" t="s">
        <v>30</v>
      </c>
      <c r="D18">
        <f>(E3/D3)^(1/(2030-2017))</f>
        <v>1.0058031906667322</v>
      </c>
      <c r="E18">
        <f>(F3/E3)^(1/(2050-2030))</f>
        <v>1.0035040543248961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BC32-7095-4848-8418-2D28C06105DB}">
  <dimension ref="B2:C5"/>
  <sheetViews>
    <sheetView workbookViewId="0">
      <selection activeCell="B6" sqref="B6"/>
    </sheetView>
  </sheetViews>
  <sheetFormatPr defaultRowHeight="14.5" x14ac:dyDescent="0.35"/>
  <sheetData>
    <row r="2" spans="2:3" x14ac:dyDescent="0.35">
      <c r="B2" t="s">
        <v>45</v>
      </c>
    </row>
    <row r="3" spans="2:3" x14ac:dyDescent="0.35">
      <c r="B3" t="s">
        <v>47</v>
      </c>
      <c r="C3" t="s">
        <v>48</v>
      </c>
    </row>
    <row r="5" spans="2:3" x14ac:dyDescent="0.35">
      <c r="B5">
        <f>AVERAGE(0.6,0.75)</f>
        <v>0.67500000000000004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8"/>
  <sheetViews>
    <sheetView tabSelected="1" workbookViewId="0">
      <selection activeCell="B6" sqref="B6"/>
    </sheetView>
  </sheetViews>
  <sheetFormatPr defaultRowHeight="14.5" x14ac:dyDescent="0.35"/>
  <cols>
    <col min="1" max="1" width="30.1796875" customWidth="1"/>
    <col min="2" max="2" width="9.453125" bestFit="1" customWidth="1"/>
  </cols>
  <sheetData>
    <row r="1" spans="1:35" x14ac:dyDescent="0.35">
      <c r="A1" s="1" t="s">
        <v>28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3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35">
      <c r="A2" t="s">
        <v>2</v>
      </c>
      <c r="B2" s="6">
        <f>118/176</f>
        <v>0.67045454545454541</v>
      </c>
      <c r="C2" s="6">
        <f>B2*'IEA Data'!$D$18</f>
        <v>0.6743453210151954</v>
      </c>
      <c r="D2" s="6">
        <f>C2*'IEA Data'!$D$18</f>
        <v>0.67825867548826535</v>
      </c>
      <c r="E2" s="6">
        <f>D2*'IEA Data'!$D$18</f>
        <v>0.682194739903489</v>
      </c>
      <c r="F2" s="6">
        <f>E2*'IEA Data'!$D$18</f>
        <v>0.68615364605099072</v>
      </c>
      <c r="G2" s="6">
        <f>F2*'IEA Data'!$D$18</f>
        <v>0.69013552648569809</v>
      </c>
      <c r="H2" s="6">
        <f>G2*'IEA Data'!$D$18</f>
        <v>0.69414051453178016</v>
      </c>
      <c r="I2" s="6">
        <f>H2*'IEA Data'!$D$18</f>
        <v>0.69816874428711162</v>
      </c>
      <c r="J2" s="6">
        <f>I2*'IEA Data'!$D$18</f>
        <v>0.70222035062776267</v>
      </c>
      <c r="K2" s="6">
        <f>J2*'IEA Data'!$D$18</f>
        <v>0.70629546921251507</v>
      </c>
      <c r="L2" s="6">
        <f>K2*'IEA Data'!$D$18</f>
        <v>0.71039423648740441</v>
      </c>
      <c r="M2" s="6">
        <f>L2*'IEA Data'!$D$18</f>
        <v>0.71451678969028842</v>
      </c>
      <c r="N2" s="6">
        <f>M2*'IEA Data'!$D$18</f>
        <v>0.71866326685544257</v>
      </c>
      <c r="O2" s="6">
        <f>N2*'IEA Data'!$D$18</f>
        <v>0.72283380681818132</v>
      </c>
      <c r="P2" s="12">
        <f>O2*'IEA Data'!$E$18</f>
        <v>0.7253666557451437</v>
      </c>
      <c r="Q2" s="6">
        <f>P2*'IEA Data'!$E$18</f>
        <v>0.72790837991234292</v>
      </c>
      <c r="R2" s="6">
        <f>Q2*'IEA Data'!$E$18</f>
        <v>0.73045901041910288</v>
      </c>
      <c r="S2" s="6">
        <f>R2*'IEA Data'!$E$18</f>
        <v>0.73301857847372121</v>
      </c>
      <c r="T2" s="6">
        <f>S2*'IEA Data'!$E$18</f>
        <v>0.73558711539385124</v>
      </c>
      <c r="U2" s="6">
        <f>T2*'IEA Data'!$E$18</f>
        <v>0.73816465260688491</v>
      </c>
      <c r="V2" s="6">
        <f>U2*'IEA Data'!$E$18</f>
        <v>0.74075122165033747</v>
      </c>
      <c r="W2" s="6">
        <f>V2*'IEA Data'!$E$18</f>
        <v>0.74334685417223334</v>
      </c>
      <c r="X2" s="6">
        <f>W2*'IEA Data'!$E$18</f>
        <v>0.74595158193149347</v>
      </c>
      <c r="Y2" s="6">
        <f>X2*'IEA Data'!$E$18</f>
        <v>0.74856543679832355</v>
      </c>
      <c r="Z2" s="6">
        <f>Y2*'IEA Data'!$E$18</f>
        <v>0.7511884507546045</v>
      </c>
      <c r="AA2" s="6">
        <f>Z2*'IEA Data'!$E$18</f>
        <v>0.75382065589428315</v>
      </c>
      <c r="AB2" s="6">
        <f>AA2*'IEA Data'!$E$18</f>
        <v>0.7564620844237655</v>
      </c>
      <c r="AC2" s="6">
        <f>AB2*'IEA Data'!$E$18</f>
        <v>0.75911276866231048</v>
      </c>
      <c r="AD2" s="6">
        <f>AC2*'IEA Data'!$E$18</f>
        <v>0.76177274104242554</v>
      </c>
      <c r="AE2" s="6">
        <f>AD2*'IEA Data'!$E$18</f>
        <v>0.76444203411026324</v>
      </c>
      <c r="AF2" s="6">
        <f>AE2*'IEA Data'!$E$18</f>
        <v>0.76712068052601967</v>
      </c>
      <c r="AG2" s="6">
        <f>AF2*'IEA Data'!$E$18</f>
        <v>0.76980871306433407</v>
      </c>
      <c r="AH2" s="6">
        <f>AG2*'IEA Data'!$E$18</f>
        <v>0.77250616461468979</v>
      </c>
      <c r="AI2" s="6">
        <f>AH2*'IEA Data'!$E$18</f>
        <v>0.77521306818181679</v>
      </c>
    </row>
    <row r="3" spans="1:35" x14ac:dyDescent="0.35">
      <c r="A3" t="s">
        <v>3</v>
      </c>
      <c r="B3" s="6">
        <f>118/(162+2)</f>
        <v>0.71951219512195119</v>
      </c>
      <c r="C3" s="6">
        <f>B3</f>
        <v>0.71951219512195119</v>
      </c>
      <c r="D3" s="6">
        <f t="shared" ref="D3:O3" si="0">C3</f>
        <v>0.71951219512195119</v>
      </c>
      <c r="E3" s="6">
        <f t="shared" si="0"/>
        <v>0.71951219512195119</v>
      </c>
      <c r="F3" s="6">
        <f t="shared" si="0"/>
        <v>0.71951219512195119</v>
      </c>
      <c r="G3" s="6">
        <f t="shared" si="0"/>
        <v>0.71951219512195119</v>
      </c>
      <c r="H3" s="6">
        <f t="shared" si="0"/>
        <v>0.71951219512195119</v>
      </c>
      <c r="I3" s="6">
        <f t="shared" si="0"/>
        <v>0.71951219512195119</v>
      </c>
      <c r="J3" s="6">
        <f t="shared" si="0"/>
        <v>0.71951219512195119</v>
      </c>
      <c r="K3" s="6">
        <f t="shared" si="0"/>
        <v>0.71951219512195119</v>
      </c>
      <c r="L3" s="6">
        <f t="shared" si="0"/>
        <v>0.71951219512195119</v>
      </c>
      <c r="M3" s="6">
        <f t="shared" si="0"/>
        <v>0.71951219512195119</v>
      </c>
      <c r="N3" s="6">
        <f t="shared" si="0"/>
        <v>0.71951219512195119</v>
      </c>
      <c r="O3" s="6">
        <f t="shared" si="0"/>
        <v>0.71951219512195119</v>
      </c>
      <c r="P3" s="12">
        <f>O3</f>
        <v>0.71951219512195119</v>
      </c>
      <c r="Q3" s="6">
        <f t="shared" ref="Q3:AI3" si="1">P3</f>
        <v>0.71951219512195119</v>
      </c>
      <c r="R3" s="6">
        <f t="shared" si="1"/>
        <v>0.71951219512195119</v>
      </c>
      <c r="S3" s="6">
        <f t="shared" si="1"/>
        <v>0.71951219512195119</v>
      </c>
      <c r="T3" s="6">
        <f t="shared" si="1"/>
        <v>0.71951219512195119</v>
      </c>
      <c r="U3" s="6">
        <f t="shared" si="1"/>
        <v>0.71951219512195119</v>
      </c>
      <c r="V3" s="6">
        <f t="shared" si="1"/>
        <v>0.71951219512195119</v>
      </c>
      <c r="W3" s="6">
        <f t="shared" si="1"/>
        <v>0.71951219512195119</v>
      </c>
      <c r="X3" s="6">
        <f t="shared" si="1"/>
        <v>0.71951219512195119</v>
      </c>
      <c r="Y3" s="6">
        <f t="shared" si="1"/>
        <v>0.71951219512195119</v>
      </c>
      <c r="Z3" s="6">
        <f t="shared" si="1"/>
        <v>0.71951219512195119</v>
      </c>
      <c r="AA3" s="6">
        <f t="shared" si="1"/>
        <v>0.71951219512195119</v>
      </c>
      <c r="AB3" s="6">
        <f t="shared" si="1"/>
        <v>0.71951219512195119</v>
      </c>
      <c r="AC3" s="6">
        <f t="shared" si="1"/>
        <v>0.71951219512195119</v>
      </c>
      <c r="AD3" s="6">
        <f t="shared" si="1"/>
        <v>0.71951219512195119</v>
      </c>
      <c r="AE3" s="6">
        <f t="shared" si="1"/>
        <v>0.71951219512195119</v>
      </c>
      <c r="AF3" s="6">
        <f t="shared" si="1"/>
        <v>0.71951219512195119</v>
      </c>
      <c r="AG3" s="6">
        <f t="shared" si="1"/>
        <v>0.71951219512195119</v>
      </c>
      <c r="AH3" s="6">
        <f t="shared" si="1"/>
        <v>0.71951219512195119</v>
      </c>
      <c r="AI3" s="6">
        <f t="shared" si="1"/>
        <v>0.71951219512195119</v>
      </c>
    </row>
    <row r="4" spans="1:35" x14ac:dyDescent="0.35">
      <c r="A4" t="s">
        <v>4</v>
      </c>
      <c r="B4" s="6">
        <f>118/SUM(201,6)</f>
        <v>0.57004830917874394</v>
      </c>
      <c r="C4" s="6">
        <f t="shared" ref="C4:P6" si="2">B4</f>
        <v>0.57004830917874394</v>
      </c>
      <c r="D4" s="6">
        <f t="shared" si="2"/>
        <v>0.57004830917874394</v>
      </c>
      <c r="E4" s="6">
        <f t="shared" si="2"/>
        <v>0.57004830917874394</v>
      </c>
      <c r="F4" s="6">
        <f t="shared" si="2"/>
        <v>0.57004830917874394</v>
      </c>
      <c r="G4" s="6">
        <f t="shared" si="2"/>
        <v>0.57004830917874394</v>
      </c>
      <c r="H4" s="6">
        <f t="shared" si="2"/>
        <v>0.57004830917874394</v>
      </c>
      <c r="I4" s="6">
        <f t="shared" si="2"/>
        <v>0.57004830917874394</v>
      </c>
      <c r="J4" s="6">
        <f t="shared" si="2"/>
        <v>0.57004830917874394</v>
      </c>
      <c r="K4" s="6">
        <f t="shared" si="2"/>
        <v>0.57004830917874394</v>
      </c>
      <c r="L4" s="6">
        <f t="shared" si="2"/>
        <v>0.57004830917874394</v>
      </c>
      <c r="M4" s="6">
        <f t="shared" si="2"/>
        <v>0.57004830917874394</v>
      </c>
      <c r="N4" s="6">
        <f t="shared" si="2"/>
        <v>0.57004830917874394</v>
      </c>
      <c r="O4" s="6">
        <f t="shared" si="2"/>
        <v>0.57004830917874394</v>
      </c>
      <c r="P4" s="12">
        <f t="shared" si="2"/>
        <v>0.57004830917874394</v>
      </c>
      <c r="Q4" s="6">
        <f t="shared" ref="Q4:AI4" si="3">P4</f>
        <v>0.57004830917874394</v>
      </c>
      <c r="R4" s="6">
        <f t="shared" si="3"/>
        <v>0.57004830917874394</v>
      </c>
      <c r="S4" s="6">
        <f t="shared" si="3"/>
        <v>0.57004830917874394</v>
      </c>
      <c r="T4" s="6">
        <f t="shared" si="3"/>
        <v>0.57004830917874394</v>
      </c>
      <c r="U4" s="6">
        <f t="shared" si="3"/>
        <v>0.57004830917874394</v>
      </c>
      <c r="V4" s="6">
        <f t="shared" si="3"/>
        <v>0.57004830917874394</v>
      </c>
      <c r="W4" s="6">
        <f t="shared" si="3"/>
        <v>0.57004830917874394</v>
      </c>
      <c r="X4" s="6">
        <f t="shared" si="3"/>
        <v>0.57004830917874394</v>
      </c>
      <c r="Y4" s="6">
        <f t="shared" si="3"/>
        <v>0.57004830917874394</v>
      </c>
      <c r="Z4" s="6">
        <f t="shared" si="3"/>
        <v>0.57004830917874394</v>
      </c>
      <c r="AA4" s="6">
        <f t="shared" si="3"/>
        <v>0.57004830917874394</v>
      </c>
      <c r="AB4" s="6">
        <f t="shared" si="3"/>
        <v>0.57004830917874394</v>
      </c>
      <c r="AC4" s="6">
        <f t="shared" si="3"/>
        <v>0.57004830917874394</v>
      </c>
      <c r="AD4" s="6">
        <f t="shared" si="3"/>
        <v>0.57004830917874394</v>
      </c>
      <c r="AE4" s="6">
        <f t="shared" si="3"/>
        <v>0.57004830917874394</v>
      </c>
      <c r="AF4" s="6">
        <f t="shared" si="3"/>
        <v>0.57004830917874394</v>
      </c>
      <c r="AG4" s="6">
        <f t="shared" si="3"/>
        <v>0.57004830917874394</v>
      </c>
      <c r="AH4" s="6">
        <f t="shared" si="3"/>
        <v>0.57004830917874394</v>
      </c>
      <c r="AI4" s="6">
        <f t="shared" si="3"/>
        <v>0.57004830917874394</v>
      </c>
    </row>
    <row r="5" spans="1:35" x14ac:dyDescent="0.35">
      <c r="A5" t="s">
        <v>5</v>
      </c>
      <c r="B5" s="6">
        <f>118/(246+3+6)</f>
        <v>0.46274509803921571</v>
      </c>
      <c r="C5" s="6">
        <f t="shared" si="2"/>
        <v>0.46274509803921571</v>
      </c>
      <c r="D5" s="6">
        <f t="shared" si="2"/>
        <v>0.46274509803921571</v>
      </c>
      <c r="E5" s="6">
        <f t="shared" si="2"/>
        <v>0.46274509803921571</v>
      </c>
      <c r="F5" s="6">
        <f t="shared" si="2"/>
        <v>0.46274509803921571</v>
      </c>
      <c r="G5" s="6">
        <f t="shared" si="2"/>
        <v>0.46274509803921571</v>
      </c>
      <c r="H5" s="6">
        <f t="shared" si="2"/>
        <v>0.46274509803921571</v>
      </c>
      <c r="I5" s="6">
        <f t="shared" si="2"/>
        <v>0.46274509803921571</v>
      </c>
      <c r="J5" s="6">
        <f t="shared" si="2"/>
        <v>0.46274509803921571</v>
      </c>
      <c r="K5" s="6">
        <f t="shared" si="2"/>
        <v>0.46274509803921571</v>
      </c>
      <c r="L5" s="6">
        <f t="shared" si="2"/>
        <v>0.46274509803921571</v>
      </c>
      <c r="M5" s="6">
        <f t="shared" si="2"/>
        <v>0.46274509803921571</v>
      </c>
      <c r="N5" s="6">
        <f t="shared" si="2"/>
        <v>0.46274509803921571</v>
      </c>
      <c r="O5" s="6">
        <f t="shared" si="2"/>
        <v>0.46274509803921571</v>
      </c>
      <c r="P5" s="12">
        <f t="shared" si="2"/>
        <v>0.46274509803921571</v>
      </c>
      <c r="Q5" s="6">
        <f t="shared" ref="Q5:AI5" si="4">P5</f>
        <v>0.46274509803921571</v>
      </c>
      <c r="R5" s="6">
        <f t="shared" si="4"/>
        <v>0.46274509803921571</v>
      </c>
      <c r="S5" s="6">
        <f t="shared" si="4"/>
        <v>0.46274509803921571</v>
      </c>
      <c r="T5" s="6">
        <f t="shared" si="4"/>
        <v>0.46274509803921571</v>
      </c>
      <c r="U5" s="6">
        <f t="shared" si="4"/>
        <v>0.46274509803921571</v>
      </c>
      <c r="V5" s="6">
        <f t="shared" si="4"/>
        <v>0.46274509803921571</v>
      </c>
      <c r="W5" s="6">
        <f t="shared" si="4"/>
        <v>0.46274509803921571</v>
      </c>
      <c r="X5" s="6">
        <f t="shared" si="4"/>
        <v>0.46274509803921571</v>
      </c>
      <c r="Y5" s="6">
        <f t="shared" si="4"/>
        <v>0.46274509803921571</v>
      </c>
      <c r="Z5" s="6">
        <f t="shared" si="4"/>
        <v>0.46274509803921571</v>
      </c>
      <c r="AA5" s="6">
        <f t="shared" si="4"/>
        <v>0.46274509803921571</v>
      </c>
      <c r="AB5" s="6">
        <f t="shared" si="4"/>
        <v>0.46274509803921571</v>
      </c>
      <c r="AC5" s="6">
        <f t="shared" si="4"/>
        <v>0.46274509803921571</v>
      </c>
      <c r="AD5" s="6">
        <f t="shared" si="4"/>
        <v>0.46274509803921571</v>
      </c>
      <c r="AE5" s="6">
        <f t="shared" si="4"/>
        <v>0.46274509803921571</v>
      </c>
      <c r="AF5" s="6">
        <f t="shared" si="4"/>
        <v>0.46274509803921571</v>
      </c>
      <c r="AG5" s="6">
        <f t="shared" si="4"/>
        <v>0.46274509803921571</v>
      </c>
      <c r="AH5" s="6">
        <f t="shared" si="4"/>
        <v>0.46274509803921571</v>
      </c>
      <c r="AI5" s="6">
        <f t="shared" si="4"/>
        <v>0.46274509803921571</v>
      </c>
    </row>
    <row r="6" spans="1:35" x14ac:dyDescent="0.35">
      <c r="A6" t="s">
        <v>39</v>
      </c>
      <c r="B6" s="6">
        <f>POX!B5</f>
        <v>0.67500000000000004</v>
      </c>
      <c r="C6" s="6">
        <f t="shared" si="2"/>
        <v>0.67500000000000004</v>
      </c>
      <c r="D6" s="6">
        <f t="shared" si="2"/>
        <v>0.67500000000000004</v>
      </c>
      <c r="E6" s="6">
        <f t="shared" si="2"/>
        <v>0.67500000000000004</v>
      </c>
      <c r="F6" s="6">
        <f t="shared" si="2"/>
        <v>0.67500000000000004</v>
      </c>
      <c r="G6" s="6">
        <f t="shared" si="2"/>
        <v>0.67500000000000004</v>
      </c>
      <c r="H6" s="6">
        <f t="shared" si="2"/>
        <v>0.67500000000000004</v>
      </c>
      <c r="I6" s="6">
        <f t="shared" si="2"/>
        <v>0.67500000000000004</v>
      </c>
      <c r="J6" s="6">
        <f t="shared" si="2"/>
        <v>0.67500000000000004</v>
      </c>
      <c r="K6" s="6">
        <f t="shared" si="2"/>
        <v>0.67500000000000004</v>
      </c>
      <c r="L6" s="6">
        <f t="shared" si="2"/>
        <v>0.67500000000000004</v>
      </c>
      <c r="M6" s="6">
        <f t="shared" si="2"/>
        <v>0.67500000000000004</v>
      </c>
      <c r="N6" s="6">
        <f t="shared" si="2"/>
        <v>0.67500000000000004</v>
      </c>
      <c r="O6" s="6">
        <f t="shared" si="2"/>
        <v>0.67500000000000004</v>
      </c>
      <c r="P6" s="12">
        <f t="shared" si="2"/>
        <v>0.67500000000000004</v>
      </c>
      <c r="Q6" s="6">
        <f t="shared" ref="Q6:AI6" si="5">P6</f>
        <v>0.67500000000000004</v>
      </c>
      <c r="R6" s="6">
        <f t="shared" si="5"/>
        <v>0.67500000000000004</v>
      </c>
      <c r="S6" s="6">
        <f t="shared" si="5"/>
        <v>0.67500000000000004</v>
      </c>
      <c r="T6" s="6">
        <f t="shared" si="5"/>
        <v>0.67500000000000004</v>
      </c>
      <c r="U6" s="6">
        <f t="shared" si="5"/>
        <v>0.67500000000000004</v>
      </c>
      <c r="V6" s="6">
        <f t="shared" si="5"/>
        <v>0.67500000000000004</v>
      </c>
      <c r="W6" s="6">
        <f t="shared" si="5"/>
        <v>0.67500000000000004</v>
      </c>
      <c r="X6" s="6">
        <f t="shared" si="5"/>
        <v>0.67500000000000004</v>
      </c>
      <c r="Y6" s="6">
        <f t="shared" si="5"/>
        <v>0.67500000000000004</v>
      </c>
      <c r="Z6" s="6">
        <f t="shared" si="5"/>
        <v>0.67500000000000004</v>
      </c>
      <c r="AA6" s="6">
        <f t="shared" si="5"/>
        <v>0.67500000000000004</v>
      </c>
      <c r="AB6" s="6">
        <f t="shared" si="5"/>
        <v>0.67500000000000004</v>
      </c>
      <c r="AC6" s="6">
        <f t="shared" si="5"/>
        <v>0.67500000000000004</v>
      </c>
      <c r="AD6" s="6">
        <f t="shared" si="5"/>
        <v>0.67500000000000004</v>
      </c>
      <c r="AE6" s="6">
        <f t="shared" si="5"/>
        <v>0.67500000000000004</v>
      </c>
      <c r="AF6" s="6">
        <f t="shared" si="5"/>
        <v>0.67500000000000004</v>
      </c>
      <c r="AG6" s="6">
        <f t="shared" si="5"/>
        <v>0.67500000000000004</v>
      </c>
      <c r="AH6" s="6">
        <f t="shared" si="5"/>
        <v>0.67500000000000004</v>
      </c>
      <c r="AI6" s="6">
        <f t="shared" si="5"/>
        <v>0.67500000000000004</v>
      </c>
    </row>
    <row r="7" spans="1:35" x14ac:dyDescent="0.35">
      <c r="A7" t="s">
        <v>37</v>
      </c>
      <c r="B7" s="6">
        <f>B2</f>
        <v>0.67045454545454541</v>
      </c>
      <c r="C7" s="6">
        <f t="shared" ref="C7:AI7" si="6">C2</f>
        <v>0.6743453210151954</v>
      </c>
      <c r="D7" s="6">
        <f t="shared" si="6"/>
        <v>0.67825867548826535</v>
      </c>
      <c r="E7" s="6">
        <f t="shared" si="6"/>
        <v>0.682194739903489</v>
      </c>
      <c r="F7" s="6">
        <f t="shared" si="6"/>
        <v>0.68615364605099072</v>
      </c>
      <c r="G7" s="6">
        <f t="shared" si="6"/>
        <v>0.69013552648569809</v>
      </c>
      <c r="H7" s="6">
        <f t="shared" si="6"/>
        <v>0.69414051453178016</v>
      </c>
      <c r="I7" s="6">
        <f t="shared" si="6"/>
        <v>0.69816874428711162</v>
      </c>
      <c r="J7" s="6">
        <f t="shared" si="6"/>
        <v>0.70222035062776267</v>
      </c>
      <c r="K7" s="6">
        <f t="shared" si="6"/>
        <v>0.70629546921251507</v>
      </c>
      <c r="L7" s="6">
        <f t="shared" si="6"/>
        <v>0.71039423648740441</v>
      </c>
      <c r="M7" s="6">
        <f t="shared" si="6"/>
        <v>0.71451678969028842</v>
      </c>
      <c r="N7" s="6">
        <f t="shared" si="6"/>
        <v>0.71866326685544257</v>
      </c>
      <c r="O7" s="6">
        <f t="shared" si="6"/>
        <v>0.72283380681818132</v>
      </c>
      <c r="P7" s="6">
        <f t="shared" si="6"/>
        <v>0.7253666557451437</v>
      </c>
      <c r="Q7" s="6">
        <f t="shared" si="6"/>
        <v>0.72790837991234292</v>
      </c>
      <c r="R7" s="6">
        <f t="shared" si="6"/>
        <v>0.73045901041910288</v>
      </c>
      <c r="S7" s="6">
        <f t="shared" si="6"/>
        <v>0.73301857847372121</v>
      </c>
      <c r="T7" s="6">
        <f t="shared" si="6"/>
        <v>0.73558711539385124</v>
      </c>
      <c r="U7" s="6">
        <f t="shared" si="6"/>
        <v>0.73816465260688491</v>
      </c>
      <c r="V7" s="6">
        <f t="shared" si="6"/>
        <v>0.74075122165033747</v>
      </c>
      <c r="W7" s="6">
        <f t="shared" si="6"/>
        <v>0.74334685417223334</v>
      </c>
      <c r="X7" s="6">
        <f t="shared" si="6"/>
        <v>0.74595158193149347</v>
      </c>
      <c r="Y7" s="6">
        <f t="shared" si="6"/>
        <v>0.74856543679832355</v>
      </c>
      <c r="Z7" s="6">
        <f t="shared" si="6"/>
        <v>0.7511884507546045</v>
      </c>
      <c r="AA7" s="6">
        <f t="shared" si="6"/>
        <v>0.75382065589428315</v>
      </c>
      <c r="AB7" s="6">
        <f t="shared" si="6"/>
        <v>0.7564620844237655</v>
      </c>
      <c r="AC7" s="6">
        <f t="shared" si="6"/>
        <v>0.75911276866231048</v>
      </c>
      <c r="AD7" s="6">
        <f t="shared" si="6"/>
        <v>0.76177274104242554</v>
      </c>
      <c r="AE7" s="6">
        <f t="shared" si="6"/>
        <v>0.76444203411026324</v>
      </c>
      <c r="AF7" s="6">
        <f t="shared" si="6"/>
        <v>0.76712068052601967</v>
      </c>
      <c r="AG7" s="6">
        <f t="shared" si="6"/>
        <v>0.76980871306433407</v>
      </c>
      <c r="AH7" s="6">
        <f t="shared" si="6"/>
        <v>0.77250616461468979</v>
      </c>
      <c r="AI7" s="6">
        <f t="shared" si="6"/>
        <v>0.77521306818181679</v>
      </c>
    </row>
    <row r="8" spans="1:35" x14ac:dyDescent="0.35">
      <c r="A8" t="s">
        <v>38</v>
      </c>
      <c r="B8" s="6">
        <f>B3</f>
        <v>0.71951219512195119</v>
      </c>
      <c r="C8" s="6">
        <f t="shared" ref="C8:AI8" si="7">C3</f>
        <v>0.71951219512195119</v>
      </c>
      <c r="D8" s="6">
        <f t="shared" si="7"/>
        <v>0.71951219512195119</v>
      </c>
      <c r="E8" s="6">
        <f t="shared" si="7"/>
        <v>0.71951219512195119</v>
      </c>
      <c r="F8" s="6">
        <f t="shared" si="7"/>
        <v>0.71951219512195119</v>
      </c>
      <c r="G8" s="6">
        <f t="shared" si="7"/>
        <v>0.71951219512195119</v>
      </c>
      <c r="H8" s="6">
        <f t="shared" si="7"/>
        <v>0.71951219512195119</v>
      </c>
      <c r="I8" s="6">
        <f t="shared" si="7"/>
        <v>0.71951219512195119</v>
      </c>
      <c r="J8" s="6">
        <f t="shared" si="7"/>
        <v>0.71951219512195119</v>
      </c>
      <c r="K8" s="6">
        <f t="shared" si="7"/>
        <v>0.71951219512195119</v>
      </c>
      <c r="L8" s="6">
        <f t="shared" si="7"/>
        <v>0.71951219512195119</v>
      </c>
      <c r="M8" s="6">
        <f t="shared" si="7"/>
        <v>0.71951219512195119</v>
      </c>
      <c r="N8" s="6">
        <f t="shared" si="7"/>
        <v>0.71951219512195119</v>
      </c>
      <c r="O8" s="6">
        <f t="shared" si="7"/>
        <v>0.71951219512195119</v>
      </c>
      <c r="P8" s="6">
        <f t="shared" si="7"/>
        <v>0.71951219512195119</v>
      </c>
      <c r="Q8" s="6">
        <f t="shared" si="7"/>
        <v>0.71951219512195119</v>
      </c>
      <c r="R8" s="6">
        <f t="shared" si="7"/>
        <v>0.71951219512195119</v>
      </c>
      <c r="S8" s="6">
        <f t="shared" si="7"/>
        <v>0.71951219512195119</v>
      </c>
      <c r="T8" s="6">
        <f t="shared" si="7"/>
        <v>0.71951219512195119</v>
      </c>
      <c r="U8" s="6">
        <f t="shared" si="7"/>
        <v>0.71951219512195119</v>
      </c>
      <c r="V8" s="6">
        <f t="shared" si="7"/>
        <v>0.71951219512195119</v>
      </c>
      <c r="W8" s="6">
        <f t="shared" si="7"/>
        <v>0.71951219512195119</v>
      </c>
      <c r="X8" s="6">
        <f t="shared" si="7"/>
        <v>0.71951219512195119</v>
      </c>
      <c r="Y8" s="6">
        <f t="shared" si="7"/>
        <v>0.71951219512195119</v>
      </c>
      <c r="Z8" s="6">
        <f t="shared" si="7"/>
        <v>0.71951219512195119</v>
      </c>
      <c r="AA8" s="6">
        <f t="shared" si="7"/>
        <v>0.71951219512195119</v>
      </c>
      <c r="AB8" s="6">
        <f t="shared" si="7"/>
        <v>0.71951219512195119</v>
      </c>
      <c r="AC8" s="6">
        <f t="shared" si="7"/>
        <v>0.71951219512195119</v>
      </c>
      <c r="AD8" s="6">
        <f t="shared" si="7"/>
        <v>0.71951219512195119</v>
      </c>
      <c r="AE8" s="6">
        <f t="shared" si="7"/>
        <v>0.71951219512195119</v>
      </c>
      <c r="AF8" s="6">
        <f t="shared" si="7"/>
        <v>0.71951219512195119</v>
      </c>
      <c r="AG8" s="6">
        <f t="shared" si="7"/>
        <v>0.71951219512195119</v>
      </c>
      <c r="AH8" s="6">
        <f t="shared" si="7"/>
        <v>0.71951219512195119</v>
      </c>
      <c r="AI8" s="6">
        <f t="shared" si="7"/>
        <v>0.71951219512195119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112D04-023C-40F4-8C38-4825A4A8E615}"/>
</file>

<file path=customXml/itemProps2.xml><?xml version="1.0" encoding="utf-8"?>
<ds:datastoreItem xmlns:ds="http://schemas.openxmlformats.org/officeDocument/2006/customXml" ds:itemID="{38FBE478-E252-4A81-831A-248175B4DB5B}"/>
</file>

<file path=customXml/itemProps3.xml><?xml version="1.0" encoding="utf-8"?>
<ds:datastoreItem xmlns:ds="http://schemas.openxmlformats.org/officeDocument/2006/customXml" ds:itemID="{E7C72A1E-226C-4618-9C93-31F128898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IEA Data</vt:lpstr>
      <vt:lpstr>POX</vt:lpstr>
      <vt:lpstr>HPEbP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2019-07-22T20:58:41Z</dcterms:created>
  <dcterms:modified xsi:type="dcterms:W3CDTF">2024-10-29T14:33:14Z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