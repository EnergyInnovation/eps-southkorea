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autoCompressPictures="0" defaultThemeVersion="124226"/>
  <mc:AlternateContent xmlns:mc="http://schemas.openxmlformats.org/markup-compatibility/2006">
    <mc:Choice Requires="x15">
      <x15ac:absPath xmlns:x15ac="http://schemas.microsoft.com/office/spreadsheetml/2010/11/ac" url="G:\내 드라이브\2026\01.EPS\01.EI\01.메일로주고받은파일\BIFUbC\"/>
    </mc:Choice>
  </mc:AlternateContent>
  <xr:revisionPtr revIDLastSave="0" documentId="13_ncr:1_{35D3E117-8F9F-4CF9-BD70-68BBA4213923}" xr6:coauthVersionLast="47" xr6:coauthVersionMax="47" xr10:uidLastSave="{00000000-0000-0000-0000-000000000000}"/>
  <bookViews>
    <workbookView xWindow="-120" yWindow="-120" windowWidth="29040" windowHeight="15720" tabRatio="856" xr2:uid="{86C96A3C-07F4-493F-8C20-BCAE2E55EE5A}"/>
  </bookViews>
  <sheets>
    <sheet name="About" sheetId="1" r:id="rId1"/>
    <sheet name="KEEI BAU - Overview" sheetId="90" r:id="rId2"/>
    <sheet name="KEEI BAU - Industry" sheetId="74" r:id="rId3"/>
    <sheet name="KEEI BAU - Gas Supply" sheetId="87" r:id="rId4"/>
    <sheet name="KEEI BAU - Coal Supply" sheetId="88" r:id="rId5"/>
    <sheet name="2019 KESIS Energy Balance" sheetId="79" r:id="rId6"/>
    <sheet name="2022 Energy Balance" sheetId="98" r:id="rId7"/>
    <sheet name="BAU Energy Forecast_Transport" sheetId="75" state="hidden" r:id="rId8"/>
    <sheet name="Energy BAU_Residential" sheetId="76" state="hidden" r:id="rId9"/>
    <sheet name="Energy BAU_Service" sheetId="77" state="hidden" r:id="rId10"/>
    <sheet name="Steel Split" sheetId="84" r:id="rId11"/>
    <sheet name="Petrochemicals Split" sheetId="82" r:id="rId12"/>
    <sheet name="Non-ferrous Metals Split" sheetId="85" r:id="rId13"/>
    <sheet name="Others Split" sheetId="81" r:id="rId14"/>
    <sheet name="Machinery Split" sheetId="86" r:id="rId15"/>
    <sheet name="Water and Waste" sheetId="91" r:id="rId16"/>
    <sheet name="CHP" sheetId="93" r:id="rId17"/>
    <sheet name="BIFUbC-coal pre-CHP" sheetId="94" r:id="rId18"/>
    <sheet name="BIFUbC-natural-gas pre-CHP" sheetId="95" r:id="rId19"/>
    <sheet name="BIFUbC-biomass pre-CHP" sheetId="96" r:id="rId20"/>
    <sheet name="BIFUbC-petroleum-diesel pre-CHP" sheetId="97" r:id="rId21"/>
    <sheet name="sum_all" sheetId="92" r:id="rId22"/>
    <sheet name="BIFUbC-coal" sheetId="16" r:id="rId23"/>
    <sheet name="BIFUbC-natural-gas" sheetId="17" r:id="rId24"/>
    <sheet name="BIFUbC-biomass" sheetId="18" r:id="rId25"/>
    <sheet name="BIFUbC-petroleum-diesel" sheetId="19" r:id="rId26"/>
    <sheet name="BIFUbC-electricity" sheetId="15" r:id="rId27"/>
    <sheet name="BIFUbC-heat" sheetId="20" r:id="rId28"/>
    <sheet name="KEEI BAU - Oil Supply" sheetId="89" r:id="rId29"/>
    <sheet name="BIFUbC-crude-oil" sheetId="21" r:id="rId30"/>
    <sheet name="BIFUbC-heavy-or-residual-oil" sheetId="22" r:id="rId31"/>
    <sheet name="BIFUbC-LPG-propane-or-butane" sheetId="23" r:id="rId32"/>
    <sheet name="BIFUbC-hydrogen" sheetId="24" r:id="rId33"/>
  </sheets>
  <externalReferences>
    <externalReference r:id="rId34"/>
  </externalReferences>
  <definedNames>
    <definedName name="_xlnm._FilterDatabase" localSheetId="0" hidden="1">About!$A$90:$U$115</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2" l="1"/>
  <c r="E2" i="22"/>
  <c r="F2" i="22"/>
  <c r="G2" i="22"/>
  <c r="H2" i="22"/>
  <c r="I2" i="22"/>
  <c r="J2" i="22"/>
  <c r="K2" i="22"/>
  <c r="L2" i="22"/>
  <c r="M2" i="22"/>
  <c r="N2" i="22"/>
  <c r="O2" i="22"/>
  <c r="P2" i="22"/>
  <c r="Q2" i="22"/>
  <c r="R2" i="22"/>
  <c r="S2" i="22"/>
  <c r="T2" i="22"/>
  <c r="U2" i="22"/>
  <c r="V2" i="22"/>
  <c r="W2" i="22"/>
  <c r="X2" i="22"/>
  <c r="Y2" i="22"/>
  <c r="Z2" i="22"/>
  <c r="AA2" i="22"/>
  <c r="AB2" i="22"/>
  <c r="AC2" i="22"/>
  <c r="AD2" i="22"/>
  <c r="AE2" i="22"/>
  <c r="AF2" i="22"/>
  <c r="D3" i="22"/>
  <c r="E3" i="22"/>
  <c r="F3" i="22"/>
  <c r="G3" i="22"/>
  <c r="H3" i="22"/>
  <c r="I3" i="22"/>
  <c r="J3" i="22" s="1"/>
  <c r="K3" i="22" s="1"/>
  <c r="L3" i="22" s="1"/>
  <c r="M3" i="22" s="1"/>
  <c r="N3" i="22" s="1"/>
  <c r="O3" i="22" s="1"/>
  <c r="P3" i="22" s="1"/>
  <c r="Q3" i="22" s="1"/>
  <c r="R3" i="22" s="1"/>
  <c r="S3" i="22" s="1"/>
  <c r="T3" i="22" s="1"/>
  <c r="U3" i="22" s="1"/>
  <c r="V3" i="22" s="1"/>
  <c r="W3" i="22" s="1"/>
  <c r="X3" i="22" s="1"/>
  <c r="Y3" i="22" s="1"/>
  <c r="Z3" i="22" s="1"/>
  <c r="AA3" i="22" s="1"/>
  <c r="AB3" i="22" s="1"/>
  <c r="AC3" i="22" s="1"/>
  <c r="AD3" i="22" s="1"/>
  <c r="AE3" i="22" s="1"/>
  <c r="AF3" i="22" s="1"/>
  <c r="D5" i="22"/>
  <c r="E5" i="22"/>
  <c r="F5" i="22"/>
  <c r="G5" i="22"/>
  <c r="H5" i="22"/>
  <c r="I5" i="22"/>
  <c r="J5" i="22"/>
  <c r="K5" i="22"/>
  <c r="L5" i="22"/>
  <c r="M5" i="22"/>
  <c r="N5" i="22"/>
  <c r="O5" i="22"/>
  <c r="P5" i="22"/>
  <c r="Q5" i="22"/>
  <c r="R5" i="22"/>
  <c r="S5" i="22"/>
  <c r="T5" i="22"/>
  <c r="U5" i="22"/>
  <c r="V5" i="22"/>
  <c r="W5" i="22"/>
  <c r="X5" i="22"/>
  <c r="Y5" i="22"/>
  <c r="Z5" i="22"/>
  <c r="AA5" i="22"/>
  <c r="AB5" i="22"/>
  <c r="AC5" i="22"/>
  <c r="AD5" i="22"/>
  <c r="AE5" i="22"/>
  <c r="AF5" i="22"/>
  <c r="D6" i="22"/>
  <c r="E6" i="22"/>
  <c r="F6" i="22"/>
  <c r="G6" i="22"/>
  <c r="H6" i="22"/>
  <c r="I6" i="22"/>
  <c r="J6" i="22"/>
  <c r="K6" i="22"/>
  <c r="L6" i="22"/>
  <c r="M6" i="22"/>
  <c r="N6" i="22"/>
  <c r="O6" i="22"/>
  <c r="P6" i="22"/>
  <c r="Q6" i="22"/>
  <c r="R6" i="22"/>
  <c r="S6" i="22"/>
  <c r="T6" i="22"/>
  <c r="U6" i="22"/>
  <c r="V6" i="22"/>
  <c r="W6" i="22"/>
  <c r="X6" i="22"/>
  <c r="Y6" i="22"/>
  <c r="Z6" i="22"/>
  <c r="AA6" i="22"/>
  <c r="AB6" i="22"/>
  <c r="AC6" i="22"/>
  <c r="AD6" i="22"/>
  <c r="AE6" i="22"/>
  <c r="AF6" i="22"/>
  <c r="D7" i="22"/>
  <c r="E7" i="22"/>
  <c r="F7" i="22"/>
  <c r="G7" i="22"/>
  <c r="H7" i="22"/>
  <c r="I7" i="22"/>
  <c r="J7" i="22"/>
  <c r="K7" i="22"/>
  <c r="L7" i="22"/>
  <c r="M7" i="22"/>
  <c r="N7" i="22"/>
  <c r="O7" i="22"/>
  <c r="P7" i="22"/>
  <c r="Q7" i="22"/>
  <c r="R7" i="22"/>
  <c r="S7" i="22"/>
  <c r="T7" i="22"/>
  <c r="U7" i="22"/>
  <c r="V7" i="22"/>
  <c r="W7" i="22"/>
  <c r="X7" i="22"/>
  <c r="Y7" i="22"/>
  <c r="Z7" i="22"/>
  <c r="AA7" i="22"/>
  <c r="AB7" i="22"/>
  <c r="AC7" i="22"/>
  <c r="AD7" i="22"/>
  <c r="AE7" i="22"/>
  <c r="AF7" i="22"/>
  <c r="D8" i="22"/>
  <c r="E8" i="22"/>
  <c r="F8" i="22"/>
  <c r="G8" i="22"/>
  <c r="H8" i="22"/>
  <c r="I8" i="22"/>
  <c r="J8" i="22"/>
  <c r="K8" i="22"/>
  <c r="L8" i="22"/>
  <c r="M8" i="22"/>
  <c r="N8" i="22"/>
  <c r="O8" i="22"/>
  <c r="P8" i="22"/>
  <c r="Q8" i="22"/>
  <c r="R8" i="22"/>
  <c r="S8" i="22"/>
  <c r="T8" i="22"/>
  <c r="U8" i="22"/>
  <c r="V8" i="22"/>
  <c r="W8" i="22"/>
  <c r="X8" i="22"/>
  <c r="Y8" i="22"/>
  <c r="Z8" i="22"/>
  <c r="AA8" i="22"/>
  <c r="AB8" i="22"/>
  <c r="AC8" i="22"/>
  <c r="AD8" i="22"/>
  <c r="AE8" i="22"/>
  <c r="AF8" i="22"/>
  <c r="D9" i="22"/>
  <c r="E9" i="22"/>
  <c r="F9" i="22"/>
  <c r="G9" i="22"/>
  <c r="H9" i="22"/>
  <c r="I9" i="22"/>
  <c r="J9" i="22"/>
  <c r="K9" i="22"/>
  <c r="L9" i="22"/>
  <c r="M9" i="22"/>
  <c r="N9" i="22"/>
  <c r="O9" i="22"/>
  <c r="P9" i="22"/>
  <c r="Q9" i="22"/>
  <c r="R9" i="22"/>
  <c r="S9" i="22"/>
  <c r="T9" i="22"/>
  <c r="U9" i="22"/>
  <c r="V9" i="22"/>
  <c r="W9" i="22"/>
  <c r="X9" i="22"/>
  <c r="Y9" i="22"/>
  <c r="Z9" i="22"/>
  <c r="AA9" i="22"/>
  <c r="AB9" i="22"/>
  <c r="AC9" i="22"/>
  <c r="AD9" i="22"/>
  <c r="AE9" i="22"/>
  <c r="AF9" i="22"/>
  <c r="D11" i="22"/>
  <c r="E11" i="22"/>
  <c r="F11" i="22"/>
  <c r="G11" i="22"/>
  <c r="H11" i="22"/>
  <c r="I11" i="22"/>
  <c r="J11" i="22"/>
  <c r="K11" i="22"/>
  <c r="L11" i="22"/>
  <c r="M11" i="22"/>
  <c r="N11" i="22"/>
  <c r="O11" i="22"/>
  <c r="P11" i="22"/>
  <c r="Q11" i="22"/>
  <c r="R11" i="22"/>
  <c r="S11" i="22"/>
  <c r="T11" i="22"/>
  <c r="U11" i="22"/>
  <c r="V11" i="22"/>
  <c r="W11" i="22"/>
  <c r="X11" i="22"/>
  <c r="Y11" i="22"/>
  <c r="Z11" i="22"/>
  <c r="AA11" i="22"/>
  <c r="AB11" i="22"/>
  <c r="AC11" i="22"/>
  <c r="AD11" i="22"/>
  <c r="AE11" i="22"/>
  <c r="AF11" i="22"/>
  <c r="D12" i="22"/>
  <c r="E12" i="22"/>
  <c r="F12" i="22"/>
  <c r="G12" i="22"/>
  <c r="H12" i="22"/>
  <c r="I12" i="22"/>
  <c r="J12" i="22"/>
  <c r="K12" i="22"/>
  <c r="L12" i="22"/>
  <c r="M12" i="22"/>
  <c r="N12" i="22"/>
  <c r="O12" i="22"/>
  <c r="P12" i="22"/>
  <c r="Q12" i="22"/>
  <c r="R12" i="22"/>
  <c r="S12" i="22"/>
  <c r="T12" i="22"/>
  <c r="U12" i="22"/>
  <c r="V12" i="22"/>
  <c r="W12" i="22"/>
  <c r="X12" i="22"/>
  <c r="Y12" i="22"/>
  <c r="Z12" i="22"/>
  <c r="AA12" i="22"/>
  <c r="AB12" i="22"/>
  <c r="AC12" i="22"/>
  <c r="AD12" i="22"/>
  <c r="AE12" i="22"/>
  <c r="AF12" i="22"/>
  <c r="D13" i="22"/>
  <c r="E13" i="22"/>
  <c r="F13" i="22"/>
  <c r="G13" i="22"/>
  <c r="H13" i="22"/>
  <c r="I13" i="22"/>
  <c r="J13" i="22"/>
  <c r="K13" i="22"/>
  <c r="L13" i="22"/>
  <c r="M13" i="22"/>
  <c r="N13" i="22"/>
  <c r="O13" i="22"/>
  <c r="P13" i="22"/>
  <c r="Q13" i="22"/>
  <c r="R13" i="22"/>
  <c r="S13" i="22"/>
  <c r="T13" i="22"/>
  <c r="U13" i="22"/>
  <c r="V13" i="22"/>
  <c r="W13" i="22"/>
  <c r="X13" i="22"/>
  <c r="Y13" i="22"/>
  <c r="Z13" i="22"/>
  <c r="AA13" i="22"/>
  <c r="AB13" i="22"/>
  <c r="AC13" i="22"/>
  <c r="AD13" i="22"/>
  <c r="AE13" i="22"/>
  <c r="AF13" i="22"/>
  <c r="D14" i="22"/>
  <c r="E14" i="22"/>
  <c r="F14" i="22"/>
  <c r="G14" i="22"/>
  <c r="H14" i="22"/>
  <c r="I14" i="22"/>
  <c r="J14" i="22"/>
  <c r="K14" i="22"/>
  <c r="L14" i="22"/>
  <c r="M14" i="22"/>
  <c r="N14" i="22"/>
  <c r="O14" i="22"/>
  <c r="P14" i="22"/>
  <c r="Q14" i="22"/>
  <c r="R14" i="22"/>
  <c r="S14" i="22"/>
  <c r="T14" i="22"/>
  <c r="U14" i="22"/>
  <c r="V14" i="22"/>
  <c r="W14" i="22"/>
  <c r="X14" i="22"/>
  <c r="Y14" i="22"/>
  <c r="Z14" i="22"/>
  <c r="AA14" i="22"/>
  <c r="AB14" i="22"/>
  <c r="AC14" i="22"/>
  <c r="AD14" i="22"/>
  <c r="AE14" i="22"/>
  <c r="AF14" i="22"/>
  <c r="D15" i="22"/>
  <c r="E15" i="22"/>
  <c r="F15" i="22"/>
  <c r="G15" i="22"/>
  <c r="H15" i="22"/>
  <c r="I15" i="22"/>
  <c r="J15" i="22"/>
  <c r="K15" i="22"/>
  <c r="L15" i="22"/>
  <c r="M15" i="22"/>
  <c r="N15" i="22"/>
  <c r="O15" i="22"/>
  <c r="P15" i="22"/>
  <c r="Q15" i="22"/>
  <c r="R15" i="22"/>
  <c r="S15" i="22"/>
  <c r="T15" i="22"/>
  <c r="U15" i="22"/>
  <c r="V15" i="22"/>
  <c r="W15" i="22"/>
  <c r="X15" i="22"/>
  <c r="Y15" i="22"/>
  <c r="Z15" i="22"/>
  <c r="AA15" i="22"/>
  <c r="AB15" i="22"/>
  <c r="AC15" i="22"/>
  <c r="AD15" i="22"/>
  <c r="AE15" i="22"/>
  <c r="AF15" i="22"/>
  <c r="D16" i="22"/>
  <c r="E16" i="22"/>
  <c r="F16" i="22"/>
  <c r="G16" i="22"/>
  <c r="H16" i="22"/>
  <c r="I16" i="22"/>
  <c r="J16" i="22"/>
  <c r="K16" i="22"/>
  <c r="L16" i="22"/>
  <c r="M16" i="22"/>
  <c r="N16" i="22"/>
  <c r="O16" i="22"/>
  <c r="P16" i="22"/>
  <c r="Q16" i="22"/>
  <c r="R16" i="22"/>
  <c r="S16" i="22"/>
  <c r="T16" i="22"/>
  <c r="U16" i="22"/>
  <c r="V16" i="22"/>
  <c r="W16" i="22"/>
  <c r="X16" i="22"/>
  <c r="Y16" i="22"/>
  <c r="Z16" i="22"/>
  <c r="AA16" i="22"/>
  <c r="AB16" i="22"/>
  <c r="AC16" i="22"/>
  <c r="AD16" i="22"/>
  <c r="AE16" i="22"/>
  <c r="AF16" i="22"/>
  <c r="D17" i="22"/>
  <c r="E17" i="22"/>
  <c r="F17" i="22"/>
  <c r="G17" i="22"/>
  <c r="H17" i="22"/>
  <c r="I17" i="22"/>
  <c r="J17" i="22"/>
  <c r="K17" i="22"/>
  <c r="L17" i="22"/>
  <c r="M17" i="22"/>
  <c r="N17" i="22"/>
  <c r="O17" i="22"/>
  <c r="P17" i="22"/>
  <c r="Q17" i="22"/>
  <c r="R17" i="22"/>
  <c r="S17" i="22"/>
  <c r="T17" i="22"/>
  <c r="U17" i="22"/>
  <c r="V17" i="22"/>
  <c r="W17" i="22"/>
  <c r="X17" i="22"/>
  <c r="Y17" i="22"/>
  <c r="Z17" i="22"/>
  <c r="AA17" i="22"/>
  <c r="AB17" i="22"/>
  <c r="AC17" i="22"/>
  <c r="AD17" i="22"/>
  <c r="AE17" i="22"/>
  <c r="AF17" i="22"/>
  <c r="D18" i="22"/>
  <c r="E18" i="22"/>
  <c r="F18" i="22"/>
  <c r="G18" i="22"/>
  <c r="H18" i="22"/>
  <c r="I18" i="22"/>
  <c r="J18" i="22"/>
  <c r="K18" i="22"/>
  <c r="L18" i="22"/>
  <c r="M18" i="22"/>
  <c r="N18" i="22"/>
  <c r="O18" i="22"/>
  <c r="P18" i="22"/>
  <c r="Q18" i="22"/>
  <c r="R18" i="22"/>
  <c r="S18" i="22"/>
  <c r="T18" i="22"/>
  <c r="U18" i="22"/>
  <c r="V18" i="22"/>
  <c r="W18" i="22"/>
  <c r="X18" i="22"/>
  <c r="Y18" i="22"/>
  <c r="Z18" i="22"/>
  <c r="AA18" i="22"/>
  <c r="AB18" i="22"/>
  <c r="AC18" i="22"/>
  <c r="AD18" i="22"/>
  <c r="AE18" i="22"/>
  <c r="AF18" i="22"/>
  <c r="D19" i="22"/>
  <c r="E19" i="22"/>
  <c r="F19" i="22"/>
  <c r="G19" i="22"/>
  <c r="H19" i="22"/>
  <c r="I19" i="22"/>
  <c r="J19" i="22"/>
  <c r="K19" i="22"/>
  <c r="L19" i="22"/>
  <c r="M19" i="22"/>
  <c r="N19" i="22"/>
  <c r="O19" i="22"/>
  <c r="P19" i="22"/>
  <c r="Q19" i="22"/>
  <c r="R19" i="22"/>
  <c r="S19" i="22"/>
  <c r="T19" i="22"/>
  <c r="U19" i="22"/>
  <c r="V19" i="22"/>
  <c r="W19" i="22"/>
  <c r="X19" i="22"/>
  <c r="Y19" i="22"/>
  <c r="Z19" i="22"/>
  <c r="AA19" i="22"/>
  <c r="AB19" i="22"/>
  <c r="AC19" i="22"/>
  <c r="AD19" i="22"/>
  <c r="AE19" i="22"/>
  <c r="AF19" i="22"/>
  <c r="D20" i="22"/>
  <c r="E20" i="22"/>
  <c r="F20" i="22"/>
  <c r="G20" i="22"/>
  <c r="H20" i="22"/>
  <c r="I20" i="22"/>
  <c r="J20" i="22"/>
  <c r="K20" i="22"/>
  <c r="L20" i="22"/>
  <c r="M20" i="22"/>
  <c r="N20" i="22"/>
  <c r="O20" i="22"/>
  <c r="P20" i="22"/>
  <c r="Q20" i="22"/>
  <c r="R20" i="22"/>
  <c r="S20" i="22"/>
  <c r="T20" i="22"/>
  <c r="U20" i="22"/>
  <c r="V20" i="22"/>
  <c r="W20" i="22"/>
  <c r="X20" i="22"/>
  <c r="Y20" i="22"/>
  <c r="Z20" i="22"/>
  <c r="AA20" i="22"/>
  <c r="AB20" i="22"/>
  <c r="AC20" i="22"/>
  <c r="AD20" i="22"/>
  <c r="AE20" i="22"/>
  <c r="AF20" i="22"/>
  <c r="D21" i="22"/>
  <c r="E21" i="22"/>
  <c r="F21" i="22"/>
  <c r="G21" i="22"/>
  <c r="H21" i="22"/>
  <c r="I21" i="22"/>
  <c r="J21" i="22"/>
  <c r="K21" i="22"/>
  <c r="L21" i="22"/>
  <c r="M21" i="22"/>
  <c r="N21" i="22"/>
  <c r="O21" i="22"/>
  <c r="P21" i="22"/>
  <c r="Q21" i="22"/>
  <c r="R21" i="22"/>
  <c r="S21" i="22"/>
  <c r="T21" i="22"/>
  <c r="U21" i="22"/>
  <c r="V21" i="22"/>
  <c r="W21" i="22"/>
  <c r="X21" i="22"/>
  <c r="Y21" i="22"/>
  <c r="Z21" i="22"/>
  <c r="AA21" i="22"/>
  <c r="AB21" i="22"/>
  <c r="AC21" i="22"/>
  <c r="AD21" i="22"/>
  <c r="AE21" i="22"/>
  <c r="AF21" i="22"/>
  <c r="D22" i="22"/>
  <c r="E22" i="22"/>
  <c r="F22" i="22"/>
  <c r="G22" i="22"/>
  <c r="H22" i="22"/>
  <c r="I22" i="22"/>
  <c r="J22" i="22"/>
  <c r="K22" i="22"/>
  <c r="L22" i="22"/>
  <c r="M22" i="22"/>
  <c r="N22" i="22"/>
  <c r="O22" i="22"/>
  <c r="P22" i="22"/>
  <c r="Q22" i="22"/>
  <c r="R22" i="22"/>
  <c r="S22" i="22"/>
  <c r="T22" i="22"/>
  <c r="U22" i="22"/>
  <c r="V22" i="22"/>
  <c r="W22" i="22"/>
  <c r="X22" i="22"/>
  <c r="Y22" i="22"/>
  <c r="Z22" i="22"/>
  <c r="AA22" i="22"/>
  <c r="AB22" i="22"/>
  <c r="AC22" i="22"/>
  <c r="AD22" i="22"/>
  <c r="AE22" i="22"/>
  <c r="AF22" i="22"/>
  <c r="D23" i="22"/>
  <c r="E23" i="22"/>
  <c r="F23" i="22"/>
  <c r="G23" i="22"/>
  <c r="H23" i="22"/>
  <c r="I23" i="22"/>
  <c r="J23" i="22"/>
  <c r="K23" i="22"/>
  <c r="L23" i="22"/>
  <c r="M23" i="22"/>
  <c r="N23" i="22"/>
  <c r="O23" i="22"/>
  <c r="P23" i="22"/>
  <c r="Q23" i="22"/>
  <c r="R23" i="22"/>
  <c r="S23" i="22"/>
  <c r="T23" i="22"/>
  <c r="U23" i="22"/>
  <c r="V23" i="22"/>
  <c r="W23" i="22"/>
  <c r="X23" i="22"/>
  <c r="Y23" i="22"/>
  <c r="Z23" i="22"/>
  <c r="AA23" i="22"/>
  <c r="AB23" i="22"/>
  <c r="AC23" i="22"/>
  <c r="AD23" i="22"/>
  <c r="AE23" i="22"/>
  <c r="AF23" i="22"/>
  <c r="D26" i="22"/>
  <c r="E26" i="22"/>
  <c r="F26" i="22"/>
  <c r="G26" i="22"/>
  <c r="H26" i="22"/>
  <c r="I26" i="22"/>
  <c r="J26" i="22"/>
  <c r="K26" i="22"/>
  <c r="L26" i="22"/>
  <c r="M26" i="22"/>
  <c r="N26" i="22"/>
  <c r="O26" i="22"/>
  <c r="P26" i="22"/>
  <c r="Q26" i="22"/>
  <c r="R26" i="22"/>
  <c r="S26" i="22"/>
  <c r="T26" i="22"/>
  <c r="U26" i="22"/>
  <c r="V26" i="22"/>
  <c r="W26" i="22"/>
  <c r="X26" i="22"/>
  <c r="Y26" i="22"/>
  <c r="Z26" i="22"/>
  <c r="AA26" i="22"/>
  <c r="AB26" i="22"/>
  <c r="AC26" i="22"/>
  <c r="AD26" i="22"/>
  <c r="AE26" i="22"/>
  <c r="AF26" i="22"/>
  <c r="D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D4" i="23"/>
  <c r="E4" i="23" s="1"/>
  <c r="F4" i="23" s="1"/>
  <c r="G4" i="23" s="1"/>
  <c r="H4" i="23" s="1"/>
  <c r="I4" i="23" s="1"/>
  <c r="J4" i="23" s="1"/>
  <c r="K4" i="23" s="1"/>
  <c r="L4" i="23" s="1"/>
  <c r="M4" i="23" s="1"/>
  <c r="N4" i="23" s="1"/>
  <c r="O4" i="23" s="1"/>
  <c r="P4" i="23" s="1"/>
  <c r="Q4" i="23" s="1"/>
  <c r="R4" i="23" s="1"/>
  <c r="S4" i="23" s="1"/>
  <c r="T4" i="23" s="1"/>
  <c r="U4" i="23" s="1"/>
  <c r="V4" i="23" s="1"/>
  <c r="W4" i="23" s="1"/>
  <c r="X4" i="23" s="1"/>
  <c r="Y4" i="23" s="1"/>
  <c r="Z4" i="23" s="1"/>
  <c r="AA4" i="23" s="1"/>
  <c r="AB4" i="23" s="1"/>
  <c r="AC4" i="23" s="1"/>
  <c r="AD4" i="23" s="1"/>
  <c r="AE4" i="23" s="1"/>
  <c r="AF4" i="23" s="1"/>
  <c r="D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D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D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D8" i="23"/>
  <c r="E8" i="23"/>
  <c r="F8" i="23"/>
  <c r="G8" i="23"/>
  <c r="H8" i="23"/>
  <c r="I8" i="23"/>
  <c r="J8" i="23"/>
  <c r="K8" i="23"/>
  <c r="L8" i="23"/>
  <c r="M8" i="23"/>
  <c r="N8" i="23"/>
  <c r="O8" i="23"/>
  <c r="P8" i="23"/>
  <c r="Q8" i="23"/>
  <c r="R8" i="23"/>
  <c r="S8" i="23"/>
  <c r="T8" i="23"/>
  <c r="U8" i="23"/>
  <c r="V8" i="23"/>
  <c r="W8" i="23"/>
  <c r="X8" i="23"/>
  <c r="Y8" i="23"/>
  <c r="Z8" i="23"/>
  <c r="AA8" i="23"/>
  <c r="AB8" i="23"/>
  <c r="AC8" i="23"/>
  <c r="AD8" i="23"/>
  <c r="AE8" i="23"/>
  <c r="AF8" i="23"/>
  <c r="D9" i="23"/>
  <c r="E9" i="23"/>
  <c r="F9" i="23"/>
  <c r="G9" i="23"/>
  <c r="H9" i="23"/>
  <c r="I9" i="23"/>
  <c r="J9" i="23"/>
  <c r="K9" i="23"/>
  <c r="L9" i="23"/>
  <c r="M9" i="23"/>
  <c r="N9" i="23"/>
  <c r="O9" i="23"/>
  <c r="P9" i="23"/>
  <c r="Q9" i="23"/>
  <c r="R9" i="23"/>
  <c r="S9" i="23"/>
  <c r="T9" i="23"/>
  <c r="U9" i="23"/>
  <c r="V9" i="23"/>
  <c r="W9" i="23"/>
  <c r="X9" i="23"/>
  <c r="Y9" i="23"/>
  <c r="Z9" i="23"/>
  <c r="AA9" i="23"/>
  <c r="AB9" i="23"/>
  <c r="AC9" i="23"/>
  <c r="AD9" i="23"/>
  <c r="AE9" i="23"/>
  <c r="AF9" i="23"/>
  <c r="D11" i="23"/>
  <c r="E11" i="23"/>
  <c r="F11" i="23"/>
  <c r="G11" i="23"/>
  <c r="H11" i="23"/>
  <c r="I11" i="23"/>
  <c r="J11" i="23"/>
  <c r="K11" i="23"/>
  <c r="L11" i="23"/>
  <c r="M11" i="23"/>
  <c r="N11" i="23"/>
  <c r="O11" i="23"/>
  <c r="P11" i="23"/>
  <c r="Q11" i="23"/>
  <c r="R11" i="23"/>
  <c r="S11" i="23"/>
  <c r="T11" i="23"/>
  <c r="U11" i="23"/>
  <c r="V11" i="23"/>
  <c r="W11" i="23"/>
  <c r="X11" i="23"/>
  <c r="Y11" i="23"/>
  <c r="Z11" i="23"/>
  <c r="AA11" i="23"/>
  <c r="AB11" i="23"/>
  <c r="AC11" i="23"/>
  <c r="AD11" i="23"/>
  <c r="AE11" i="23"/>
  <c r="AF11" i="23"/>
  <c r="D12" i="23"/>
  <c r="E12" i="23"/>
  <c r="F12" i="23"/>
  <c r="G12" i="23"/>
  <c r="H12" i="23"/>
  <c r="I12" i="23"/>
  <c r="J12" i="23"/>
  <c r="K12" i="23"/>
  <c r="L12" i="23"/>
  <c r="M12" i="23"/>
  <c r="N12" i="23"/>
  <c r="O12" i="23"/>
  <c r="P12" i="23"/>
  <c r="Q12" i="23"/>
  <c r="R12" i="23"/>
  <c r="S12" i="23"/>
  <c r="T12" i="23"/>
  <c r="U12" i="23"/>
  <c r="V12" i="23"/>
  <c r="W12" i="23"/>
  <c r="X12" i="23"/>
  <c r="Y12" i="23"/>
  <c r="Z12" i="23"/>
  <c r="AA12" i="23"/>
  <c r="AB12" i="23"/>
  <c r="AC12" i="23"/>
  <c r="AD12" i="23"/>
  <c r="AE12" i="23"/>
  <c r="AF12" i="23"/>
  <c r="D13" i="23"/>
  <c r="E13" i="23"/>
  <c r="F13" i="23"/>
  <c r="G13" i="23"/>
  <c r="H13" i="23"/>
  <c r="I13" i="23"/>
  <c r="J13" i="23"/>
  <c r="K13" i="23"/>
  <c r="L13" i="23"/>
  <c r="M13" i="23"/>
  <c r="N13" i="23"/>
  <c r="O13" i="23"/>
  <c r="P13" i="23"/>
  <c r="Q13" i="23"/>
  <c r="R13" i="23"/>
  <c r="S13" i="23"/>
  <c r="T13" i="23"/>
  <c r="U13" i="23"/>
  <c r="V13" i="23"/>
  <c r="W13" i="23"/>
  <c r="X13" i="23"/>
  <c r="Y13" i="23"/>
  <c r="Z13" i="23"/>
  <c r="AA13" i="23"/>
  <c r="AB13" i="23"/>
  <c r="AC13" i="23"/>
  <c r="AD13" i="23"/>
  <c r="AE13" i="23"/>
  <c r="AF13" i="23"/>
  <c r="D14" i="23"/>
  <c r="E14" i="23"/>
  <c r="F14" i="23"/>
  <c r="G14" i="23"/>
  <c r="H14" i="23"/>
  <c r="I14" i="23"/>
  <c r="J14" i="23"/>
  <c r="K14" i="23"/>
  <c r="L14" i="23"/>
  <c r="M14" i="23"/>
  <c r="N14" i="23"/>
  <c r="O14" i="23"/>
  <c r="P14" i="23"/>
  <c r="Q14" i="23"/>
  <c r="R14" i="23"/>
  <c r="S14" i="23"/>
  <c r="T14" i="23"/>
  <c r="U14" i="23"/>
  <c r="V14" i="23"/>
  <c r="W14" i="23"/>
  <c r="X14" i="23"/>
  <c r="Y14" i="23"/>
  <c r="Z14" i="23"/>
  <c r="AA14" i="23"/>
  <c r="AB14" i="23"/>
  <c r="AC14" i="23"/>
  <c r="AD14" i="23"/>
  <c r="AE14" i="23"/>
  <c r="AF14" i="23"/>
  <c r="D15" i="23"/>
  <c r="E15" i="23"/>
  <c r="F15" i="23"/>
  <c r="G15" i="23"/>
  <c r="H15" i="23"/>
  <c r="I15" i="23"/>
  <c r="J15" i="23"/>
  <c r="K15" i="23"/>
  <c r="L15" i="23"/>
  <c r="M15" i="23"/>
  <c r="N15" i="23"/>
  <c r="O15" i="23"/>
  <c r="P15" i="23"/>
  <c r="Q15" i="23"/>
  <c r="R15" i="23"/>
  <c r="S15" i="23"/>
  <c r="T15" i="23"/>
  <c r="U15" i="23"/>
  <c r="V15" i="23"/>
  <c r="W15" i="23"/>
  <c r="X15" i="23"/>
  <c r="Y15" i="23"/>
  <c r="Z15" i="23"/>
  <c r="AA15" i="23"/>
  <c r="AB15" i="23"/>
  <c r="AC15" i="23"/>
  <c r="AD15" i="23"/>
  <c r="AE15" i="23"/>
  <c r="AF15" i="23"/>
  <c r="D16" i="23"/>
  <c r="E16" i="23"/>
  <c r="F16" i="23"/>
  <c r="G16" i="23"/>
  <c r="H16" i="23"/>
  <c r="I16" i="23"/>
  <c r="J16" i="23"/>
  <c r="K16" i="23"/>
  <c r="L16" i="23"/>
  <c r="M16" i="23"/>
  <c r="N16" i="23"/>
  <c r="O16" i="23"/>
  <c r="P16" i="23"/>
  <c r="Q16" i="23"/>
  <c r="R16" i="23"/>
  <c r="S16" i="23"/>
  <c r="T16" i="23"/>
  <c r="U16" i="23"/>
  <c r="V16" i="23"/>
  <c r="W16" i="23"/>
  <c r="X16" i="23"/>
  <c r="Y16" i="23"/>
  <c r="Z16" i="23"/>
  <c r="AA16" i="23"/>
  <c r="AB16" i="23"/>
  <c r="AC16" i="23"/>
  <c r="AD16" i="23"/>
  <c r="AE16" i="23"/>
  <c r="AF16" i="23"/>
  <c r="D17" i="23"/>
  <c r="E17" i="23"/>
  <c r="F17" i="23"/>
  <c r="G17" i="23"/>
  <c r="H17" i="23"/>
  <c r="I17" i="23"/>
  <c r="J17" i="23"/>
  <c r="K17" i="23"/>
  <c r="L17" i="23"/>
  <c r="M17" i="23"/>
  <c r="N17" i="23"/>
  <c r="O17" i="23"/>
  <c r="P17" i="23"/>
  <c r="Q17" i="23"/>
  <c r="R17" i="23"/>
  <c r="S17" i="23"/>
  <c r="T17" i="23"/>
  <c r="U17" i="23"/>
  <c r="V17" i="23"/>
  <c r="W17" i="23"/>
  <c r="X17" i="23"/>
  <c r="Y17" i="23"/>
  <c r="Z17" i="23"/>
  <c r="AA17" i="23"/>
  <c r="AB17" i="23"/>
  <c r="AC17" i="23"/>
  <c r="AD17" i="23"/>
  <c r="AE17" i="23"/>
  <c r="AF17" i="23"/>
  <c r="D18" i="23"/>
  <c r="E18" i="23"/>
  <c r="F18" i="23"/>
  <c r="G18" i="23"/>
  <c r="H18" i="23"/>
  <c r="I18" i="23"/>
  <c r="J18" i="23"/>
  <c r="K18" i="23"/>
  <c r="L18" i="23"/>
  <c r="M18" i="23"/>
  <c r="N18" i="23"/>
  <c r="O18" i="23"/>
  <c r="P18" i="23"/>
  <c r="Q18" i="23"/>
  <c r="R18" i="23"/>
  <c r="S18" i="23"/>
  <c r="T18" i="23"/>
  <c r="U18" i="23"/>
  <c r="V18" i="23"/>
  <c r="W18" i="23"/>
  <c r="X18" i="23"/>
  <c r="Y18" i="23"/>
  <c r="Z18" i="23"/>
  <c r="AA18" i="23"/>
  <c r="AB18" i="23"/>
  <c r="AC18" i="23"/>
  <c r="AD18" i="23"/>
  <c r="AE18" i="23"/>
  <c r="AF18" i="23"/>
  <c r="D19" i="23"/>
  <c r="E19" i="23"/>
  <c r="F19" i="23"/>
  <c r="G19" i="23"/>
  <c r="H19" i="23"/>
  <c r="I19" i="23"/>
  <c r="J19" i="23"/>
  <c r="K19" i="23"/>
  <c r="L19" i="23"/>
  <c r="M19" i="23"/>
  <c r="N19" i="23"/>
  <c r="O19" i="23"/>
  <c r="P19" i="23"/>
  <c r="Q19" i="23"/>
  <c r="R19" i="23"/>
  <c r="S19" i="23"/>
  <c r="T19" i="23"/>
  <c r="U19" i="23"/>
  <c r="V19" i="23"/>
  <c r="W19" i="23"/>
  <c r="X19" i="23"/>
  <c r="Y19" i="23"/>
  <c r="Z19" i="23"/>
  <c r="AA19" i="23"/>
  <c r="AB19" i="23"/>
  <c r="AC19" i="23"/>
  <c r="AD19" i="23"/>
  <c r="AE19" i="23"/>
  <c r="AF19" i="23"/>
  <c r="D20" i="23"/>
  <c r="E20" i="23"/>
  <c r="F20" i="23"/>
  <c r="G20" i="23"/>
  <c r="H20" i="23"/>
  <c r="I20" i="23"/>
  <c r="J20" i="23"/>
  <c r="K20" i="23"/>
  <c r="L20" i="23"/>
  <c r="M20" i="23"/>
  <c r="N20" i="23"/>
  <c r="O20" i="23"/>
  <c r="P20" i="23"/>
  <c r="Q20" i="23"/>
  <c r="R20" i="23"/>
  <c r="S20" i="23"/>
  <c r="T20" i="23"/>
  <c r="U20" i="23"/>
  <c r="V20" i="23"/>
  <c r="W20" i="23"/>
  <c r="X20" i="23"/>
  <c r="Y20" i="23"/>
  <c r="Z20" i="23"/>
  <c r="AA20" i="23"/>
  <c r="AB20" i="23"/>
  <c r="AC20" i="23"/>
  <c r="AD20" i="23"/>
  <c r="AE20" i="23"/>
  <c r="AF20" i="23"/>
  <c r="D21" i="23"/>
  <c r="E21" i="23"/>
  <c r="F21" i="23"/>
  <c r="G21" i="23"/>
  <c r="H21" i="23"/>
  <c r="I21" i="23"/>
  <c r="J21" i="23"/>
  <c r="K21" i="23"/>
  <c r="L21" i="23"/>
  <c r="M21" i="23"/>
  <c r="N21" i="23"/>
  <c r="O21" i="23"/>
  <c r="P21" i="23"/>
  <c r="Q21" i="23"/>
  <c r="R21" i="23"/>
  <c r="S21" i="23"/>
  <c r="T21" i="23"/>
  <c r="U21" i="23"/>
  <c r="V21" i="23"/>
  <c r="W21" i="23"/>
  <c r="X21" i="23"/>
  <c r="Y21" i="23"/>
  <c r="Z21" i="23"/>
  <c r="AA21" i="23"/>
  <c r="AB21" i="23"/>
  <c r="AC21" i="23"/>
  <c r="AD21" i="23"/>
  <c r="AE21" i="23"/>
  <c r="AF21" i="23"/>
  <c r="D22" i="23"/>
  <c r="E22" i="23"/>
  <c r="F22" i="23"/>
  <c r="G22" i="23"/>
  <c r="H22" i="23"/>
  <c r="I22" i="23"/>
  <c r="J22" i="23"/>
  <c r="K22" i="23"/>
  <c r="L22" i="23"/>
  <c r="M22" i="23"/>
  <c r="N22" i="23"/>
  <c r="O22" i="23"/>
  <c r="P22" i="23"/>
  <c r="Q22" i="23"/>
  <c r="R22" i="23"/>
  <c r="S22" i="23"/>
  <c r="T22" i="23"/>
  <c r="U22" i="23"/>
  <c r="V22" i="23"/>
  <c r="W22" i="23"/>
  <c r="X22" i="23"/>
  <c r="Y22" i="23"/>
  <c r="Z22" i="23"/>
  <c r="AA22" i="23"/>
  <c r="AB22" i="23"/>
  <c r="AC22" i="23"/>
  <c r="AD22" i="23"/>
  <c r="AE22" i="23"/>
  <c r="AF22" i="23"/>
  <c r="D23" i="23"/>
  <c r="E23" i="23"/>
  <c r="F23" i="23"/>
  <c r="G23" i="23"/>
  <c r="H23" i="23"/>
  <c r="I23" i="23"/>
  <c r="J23" i="23"/>
  <c r="K23" i="23"/>
  <c r="L23" i="23"/>
  <c r="M23" i="23"/>
  <c r="N23" i="23"/>
  <c r="O23" i="23"/>
  <c r="P23" i="23"/>
  <c r="Q23" i="23"/>
  <c r="R23" i="23"/>
  <c r="S23" i="23"/>
  <c r="T23" i="23"/>
  <c r="U23" i="23"/>
  <c r="V23" i="23"/>
  <c r="W23" i="23"/>
  <c r="X23" i="23"/>
  <c r="Y23" i="23"/>
  <c r="Z23" i="23"/>
  <c r="AA23" i="23"/>
  <c r="AB23" i="23"/>
  <c r="AC23" i="23"/>
  <c r="AD23" i="23"/>
  <c r="AE23" i="23"/>
  <c r="AF23" i="23"/>
  <c r="D24" i="23"/>
  <c r="E24" i="23" s="1"/>
  <c r="F24" i="23" s="1"/>
  <c r="G24" i="23" s="1"/>
  <c r="H24" i="23" s="1"/>
  <c r="I24" i="23" s="1"/>
  <c r="J24" i="23" s="1"/>
  <c r="K24" i="23" s="1"/>
  <c r="L24" i="23" s="1"/>
  <c r="M24" i="23" s="1"/>
  <c r="N24" i="23" s="1"/>
  <c r="O24" i="23" s="1"/>
  <c r="P24" i="23" s="1"/>
  <c r="Q24" i="23" s="1"/>
  <c r="R24" i="23" s="1"/>
  <c r="S24" i="23" s="1"/>
  <c r="T24" i="23" s="1"/>
  <c r="U24" i="23" s="1"/>
  <c r="V24" i="23" s="1"/>
  <c r="W24" i="23" s="1"/>
  <c r="X24" i="23" s="1"/>
  <c r="Y24" i="23" s="1"/>
  <c r="Z24" i="23" s="1"/>
  <c r="AA24" i="23" s="1"/>
  <c r="AB24" i="23" s="1"/>
  <c r="AC24" i="23" s="1"/>
  <c r="AD24" i="23" s="1"/>
  <c r="AE24" i="23" s="1"/>
  <c r="AF24" i="23" s="1"/>
  <c r="D26" i="23"/>
  <c r="E26" i="23"/>
  <c r="F26" i="23"/>
  <c r="G26" i="23"/>
  <c r="H26" i="23"/>
  <c r="I26" i="23"/>
  <c r="J26" i="23"/>
  <c r="K26" i="23"/>
  <c r="L26" i="23"/>
  <c r="M26" i="23"/>
  <c r="N26" i="23"/>
  <c r="O26" i="23"/>
  <c r="P26" i="23"/>
  <c r="Q26" i="23"/>
  <c r="R26" i="23"/>
  <c r="S26" i="23"/>
  <c r="T26" i="23"/>
  <c r="U26" i="23"/>
  <c r="V26" i="23"/>
  <c r="W26" i="23"/>
  <c r="X26" i="23"/>
  <c r="Y26" i="23"/>
  <c r="Z26" i="23"/>
  <c r="AA26" i="23"/>
  <c r="AB26" i="23"/>
  <c r="AC26" i="23"/>
  <c r="AD26" i="23"/>
  <c r="AE26" i="23"/>
  <c r="AF26" i="23"/>
  <c r="AU37" i="74"/>
  <c r="AU30" i="74"/>
  <c r="AU23" i="74"/>
  <c r="AU16" i="74"/>
  <c r="AU9" i="74"/>
  <c r="D2" i="15"/>
  <c r="E2" i="15"/>
  <c r="F2" i="15"/>
  <c r="G2" i="15"/>
  <c r="H2" i="15"/>
  <c r="I2" i="15"/>
  <c r="J2" i="15"/>
  <c r="K2" i="15"/>
  <c r="L2" i="15"/>
  <c r="M2" i="15"/>
  <c r="N2" i="15"/>
  <c r="O2" i="15"/>
  <c r="P2" i="15"/>
  <c r="Q2" i="15"/>
  <c r="R2" i="15"/>
  <c r="S2" i="15"/>
  <c r="T2" i="15"/>
  <c r="U2" i="15"/>
  <c r="V2" i="15"/>
  <c r="W2" i="15"/>
  <c r="X2" i="15"/>
  <c r="Y2" i="15"/>
  <c r="Z2" i="15"/>
  <c r="AA2" i="15"/>
  <c r="AB2" i="15"/>
  <c r="AC2" i="15"/>
  <c r="AD2" i="15"/>
  <c r="AE2" i="15"/>
  <c r="AF2" i="15"/>
  <c r="D5" i="15"/>
  <c r="E5" i="15"/>
  <c r="F5" i="15"/>
  <c r="G5" i="15"/>
  <c r="H5" i="15"/>
  <c r="I5" i="15"/>
  <c r="J5" i="15"/>
  <c r="K5" i="15"/>
  <c r="L5" i="15"/>
  <c r="M5" i="15"/>
  <c r="N5" i="15"/>
  <c r="O5" i="15"/>
  <c r="P5" i="15"/>
  <c r="Q5" i="15"/>
  <c r="R5" i="15"/>
  <c r="S5" i="15"/>
  <c r="T5" i="15"/>
  <c r="U5" i="15"/>
  <c r="V5" i="15"/>
  <c r="W5" i="15"/>
  <c r="X5" i="15"/>
  <c r="Y5" i="15"/>
  <c r="Z5" i="15"/>
  <c r="AA5" i="15"/>
  <c r="AB5" i="15"/>
  <c r="AC5" i="15"/>
  <c r="AD5" i="15"/>
  <c r="AE5" i="15"/>
  <c r="AF5" i="15"/>
  <c r="D6" i="15"/>
  <c r="E6" i="15"/>
  <c r="F6" i="15"/>
  <c r="G6" i="15"/>
  <c r="H6" i="15"/>
  <c r="I6" i="15"/>
  <c r="J6" i="15"/>
  <c r="K6" i="15"/>
  <c r="L6" i="15"/>
  <c r="M6" i="15"/>
  <c r="N6" i="15"/>
  <c r="O6" i="15"/>
  <c r="P6" i="15"/>
  <c r="Q6" i="15"/>
  <c r="R6" i="15"/>
  <c r="S6" i="15"/>
  <c r="T6" i="15"/>
  <c r="U6" i="15"/>
  <c r="V6" i="15"/>
  <c r="W6" i="15"/>
  <c r="X6" i="15"/>
  <c r="Y6" i="15"/>
  <c r="Z6" i="15"/>
  <c r="AA6" i="15"/>
  <c r="AB6" i="15"/>
  <c r="AC6" i="15"/>
  <c r="AD6" i="15"/>
  <c r="AE6" i="15"/>
  <c r="AF6" i="15"/>
  <c r="D7" i="15"/>
  <c r="E7" i="15"/>
  <c r="F7" i="15"/>
  <c r="G7" i="15"/>
  <c r="H7" i="15"/>
  <c r="I7" i="15"/>
  <c r="J7" i="15"/>
  <c r="K7" i="15"/>
  <c r="L7" i="15"/>
  <c r="M7" i="15"/>
  <c r="N7" i="15"/>
  <c r="O7" i="15"/>
  <c r="P7" i="15"/>
  <c r="Q7" i="15"/>
  <c r="R7" i="15"/>
  <c r="S7" i="15"/>
  <c r="T7" i="15"/>
  <c r="U7" i="15"/>
  <c r="V7" i="15"/>
  <c r="W7" i="15"/>
  <c r="X7" i="15"/>
  <c r="Y7" i="15"/>
  <c r="Z7" i="15"/>
  <c r="AA7" i="15"/>
  <c r="AB7" i="15"/>
  <c r="AC7" i="15"/>
  <c r="AD7" i="15"/>
  <c r="AE7" i="15"/>
  <c r="AF7" i="15"/>
  <c r="D8" i="15"/>
  <c r="E8" i="15"/>
  <c r="F8" i="15"/>
  <c r="G8" i="15"/>
  <c r="H8" i="15"/>
  <c r="I8" i="15"/>
  <c r="J8" i="15"/>
  <c r="K8" i="15"/>
  <c r="L8" i="15"/>
  <c r="M8" i="15"/>
  <c r="N8" i="15"/>
  <c r="O8" i="15"/>
  <c r="P8" i="15"/>
  <c r="Q8" i="15"/>
  <c r="R8" i="15"/>
  <c r="S8" i="15"/>
  <c r="T8" i="15"/>
  <c r="U8" i="15"/>
  <c r="V8" i="15"/>
  <c r="W8" i="15"/>
  <c r="X8" i="15"/>
  <c r="Y8" i="15"/>
  <c r="Z8" i="15"/>
  <c r="AA8" i="15"/>
  <c r="AB8" i="15"/>
  <c r="AC8" i="15"/>
  <c r="AD8" i="15"/>
  <c r="AE8" i="15"/>
  <c r="AF8" i="15"/>
  <c r="D9" i="15"/>
  <c r="E9" i="15"/>
  <c r="F9" i="15"/>
  <c r="G9" i="15"/>
  <c r="H9" i="15"/>
  <c r="I9" i="15"/>
  <c r="J9" i="15"/>
  <c r="K9" i="15"/>
  <c r="L9" i="15"/>
  <c r="M9" i="15"/>
  <c r="N9" i="15"/>
  <c r="O9" i="15"/>
  <c r="P9" i="15"/>
  <c r="Q9" i="15"/>
  <c r="R9" i="15"/>
  <c r="S9" i="15"/>
  <c r="T9" i="15"/>
  <c r="U9" i="15"/>
  <c r="V9" i="15"/>
  <c r="W9" i="15"/>
  <c r="X9" i="15"/>
  <c r="Y9" i="15"/>
  <c r="Z9" i="15"/>
  <c r="AA9" i="15"/>
  <c r="AB9" i="15"/>
  <c r="AC9" i="15"/>
  <c r="AD9" i="15"/>
  <c r="AE9" i="15"/>
  <c r="AF9"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AC11" i="15"/>
  <c r="AD11" i="15"/>
  <c r="AE11" i="15"/>
  <c r="AF11" i="15"/>
  <c r="D12" i="15"/>
  <c r="E12" i="15"/>
  <c r="F12" i="15"/>
  <c r="G12" i="15"/>
  <c r="H12" i="15"/>
  <c r="I12" i="15"/>
  <c r="J12" i="15"/>
  <c r="K12" i="15"/>
  <c r="L12" i="15"/>
  <c r="M12" i="15"/>
  <c r="N12" i="15"/>
  <c r="O12" i="15"/>
  <c r="P12" i="15"/>
  <c r="Q12" i="15"/>
  <c r="R12" i="15"/>
  <c r="S12" i="15"/>
  <c r="T12" i="15"/>
  <c r="U12" i="15"/>
  <c r="V12" i="15"/>
  <c r="W12" i="15"/>
  <c r="X12" i="15"/>
  <c r="Y12" i="15"/>
  <c r="Z12" i="15"/>
  <c r="AA12" i="15"/>
  <c r="AB12" i="15"/>
  <c r="AC12" i="15"/>
  <c r="AD12" i="15"/>
  <c r="AE12" i="15"/>
  <c r="AF12" i="15"/>
  <c r="D13" i="15"/>
  <c r="E13" i="15"/>
  <c r="F13" i="15"/>
  <c r="G13" i="15"/>
  <c r="H13" i="15"/>
  <c r="I13" i="15"/>
  <c r="J13" i="15"/>
  <c r="K13" i="15"/>
  <c r="L13" i="15"/>
  <c r="M13" i="15"/>
  <c r="N13" i="15"/>
  <c r="O13" i="15"/>
  <c r="P13" i="15"/>
  <c r="Q13" i="15"/>
  <c r="R13" i="15"/>
  <c r="S13" i="15"/>
  <c r="T13" i="15"/>
  <c r="U13" i="15"/>
  <c r="V13" i="15"/>
  <c r="W13" i="15"/>
  <c r="X13" i="15"/>
  <c r="Y13" i="15"/>
  <c r="Z13" i="15"/>
  <c r="AA13" i="15"/>
  <c r="AB13" i="15"/>
  <c r="AC13" i="15"/>
  <c r="AD13" i="15"/>
  <c r="AE13" i="15"/>
  <c r="AF13" i="15"/>
  <c r="D14" i="15"/>
  <c r="E14" i="15"/>
  <c r="F14" i="15"/>
  <c r="G14" i="15"/>
  <c r="H14" i="15"/>
  <c r="I14" i="15"/>
  <c r="J14" i="15"/>
  <c r="K14" i="15"/>
  <c r="L14" i="15"/>
  <c r="M14" i="15"/>
  <c r="N14" i="15"/>
  <c r="O14" i="15"/>
  <c r="P14" i="15"/>
  <c r="Q14" i="15"/>
  <c r="R14" i="15"/>
  <c r="S14" i="15"/>
  <c r="T14" i="15"/>
  <c r="U14" i="15"/>
  <c r="V14" i="15"/>
  <c r="W14" i="15"/>
  <c r="X14" i="15"/>
  <c r="Y14" i="15"/>
  <c r="Z14" i="15"/>
  <c r="AA14" i="15"/>
  <c r="AB14" i="15"/>
  <c r="AC14" i="15"/>
  <c r="AD14" i="15"/>
  <c r="AE14" i="15"/>
  <c r="AF14" i="15"/>
  <c r="D15" i="15"/>
  <c r="E15" i="15"/>
  <c r="F15" i="15"/>
  <c r="G15" i="15"/>
  <c r="H15" i="15"/>
  <c r="I15" i="15"/>
  <c r="J15" i="15"/>
  <c r="K15" i="15"/>
  <c r="L15" i="15"/>
  <c r="M15" i="15"/>
  <c r="N15" i="15"/>
  <c r="O15" i="15"/>
  <c r="P15" i="15"/>
  <c r="Q15" i="15"/>
  <c r="R15" i="15"/>
  <c r="S15" i="15"/>
  <c r="T15" i="15"/>
  <c r="U15" i="15"/>
  <c r="V15" i="15"/>
  <c r="W15" i="15"/>
  <c r="X15" i="15"/>
  <c r="Y15" i="15"/>
  <c r="Z15" i="15"/>
  <c r="AA15" i="15"/>
  <c r="AB15" i="15"/>
  <c r="AC15" i="15"/>
  <c r="AD15" i="15"/>
  <c r="AE15" i="15"/>
  <c r="AF15" i="15"/>
  <c r="D16" i="15"/>
  <c r="E16" i="15"/>
  <c r="F16" i="15"/>
  <c r="G16" i="15"/>
  <c r="H16" i="15"/>
  <c r="I16" i="15"/>
  <c r="J16" i="15"/>
  <c r="K16" i="15"/>
  <c r="L16" i="15"/>
  <c r="M16" i="15"/>
  <c r="N16" i="15"/>
  <c r="O16" i="15"/>
  <c r="P16" i="15"/>
  <c r="Q16" i="15"/>
  <c r="R16" i="15"/>
  <c r="S16" i="15"/>
  <c r="T16" i="15"/>
  <c r="U16" i="15"/>
  <c r="V16" i="15"/>
  <c r="W16" i="15"/>
  <c r="X16" i="15"/>
  <c r="Y16" i="15"/>
  <c r="Z16" i="15"/>
  <c r="AA16" i="15"/>
  <c r="AB16" i="15"/>
  <c r="AC16" i="15"/>
  <c r="AD16" i="15"/>
  <c r="AE16" i="15"/>
  <c r="AF16" i="15"/>
  <c r="D17" i="15"/>
  <c r="E17" i="15"/>
  <c r="F17" i="15"/>
  <c r="G17" i="15"/>
  <c r="H17" i="15"/>
  <c r="I17" i="15"/>
  <c r="J17" i="15"/>
  <c r="K17" i="15"/>
  <c r="L17" i="15"/>
  <c r="M17" i="15"/>
  <c r="N17" i="15"/>
  <c r="O17" i="15"/>
  <c r="P17" i="15"/>
  <c r="Q17" i="15"/>
  <c r="R17" i="15"/>
  <c r="S17" i="15"/>
  <c r="T17" i="15"/>
  <c r="U17" i="15"/>
  <c r="V17" i="15"/>
  <c r="W17" i="15"/>
  <c r="X17" i="15"/>
  <c r="Y17" i="15"/>
  <c r="Z17" i="15"/>
  <c r="AA17" i="15"/>
  <c r="AB17" i="15"/>
  <c r="AC17" i="15"/>
  <c r="AD17" i="15"/>
  <c r="AE17" i="15"/>
  <c r="AF17" i="15"/>
  <c r="D18" i="15"/>
  <c r="E18" i="15"/>
  <c r="F18" i="15"/>
  <c r="G18" i="15"/>
  <c r="H18" i="15"/>
  <c r="I18" i="15"/>
  <c r="J18" i="15"/>
  <c r="K18" i="15"/>
  <c r="L18" i="15"/>
  <c r="M18" i="15"/>
  <c r="N18" i="15"/>
  <c r="O18" i="15"/>
  <c r="P18" i="15"/>
  <c r="Q18" i="15"/>
  <c r="R18" i="15"/>
  <c r="S18" i="15"/>
  <c r="T18" i="15"/>
  <c r="U18" i="15"/>
  <c r="V18" i="15"/>
  <c r="W18" i="15"/>
  <c r="X18" i="15"/>
  <c r="Y18" i="15"/>
  <c r="Z18" i="15"/>
  <c r="AA18" i="15"/>
  <c r="AB18" i="15"/>
  <c r="AC18" i="15"/>
  <c r="AD18" i="15"/>
  <c r="AE18" i="15"/>
  <c r="AF18" i="15"/>
  <c r="D19" i="15"/>
  <c r="E19" i="15"/>
  <c r="F19" i="15"/>
  <c r="G19" i="15"/>
  <c r="H19" i="15"/>
  <c r="I19" i="15"/>
  <c r="J19" i="15"/>
  <c r="K19" i="15"/>
  <c r="L19" i="15"/>
  <c r="M19" i="15"/>
  <c r="N19" i="15"/>
  <c r="O19" i="15"/>
  <c r="P19" i="15"/>
  <c r="Q19" i="15"/>
  <c r="R19" i="15"/>
  <c r="S19" i="15"/>
  <c r="T19" i="15"/>
  <c r="U19" i="15"/>
  <c r="V19" i="15"/>
  <c r="W19" i="15"/>
  <c r="X19" i="15"/>
  <c r="Y19" i="15"/>
  <c r="Z19" i="15"/>
  <c r="AA19" i="15"/>
  <c r="AB19" i="15"/>
  <c r="AC19" i="15"/>
  <c r="AD19" i="15"/>
  <c r="AE19" i="15"/>
  <c r="AF19" i="15"/>
  <c r="D20" i="15"/>
  <c r="E20" i="15"/>
  <c r="F20" i="15"/>
  <c r="G20" i="15"/>
  <c r="H20" i="15"/>
  <c r="I20" i="15"/>
  <c r="J20" i="15"/>
  <c r="K20" i="15"/>
  <c r="L20" i="15"/>
  <c r="M20" i="15"/>
  <c r="N20" i="15"/>
  <c r="O20" i="15"/>
  <c r="P20" i="15"/>
  <c r="Q20" i="15"/>
  <c r="R20" i="15"/>
  <c r="S20" i="15"/>
  <c r="T20" i="15"/>
  <c r="U20" i="15"/>
  <c r="V20" i="15"/>
  <c r="W20" i="15"/>
  <c r="X20" i="15"/>
  <c r="Y20" i="15"/>
  <c r="Z20" i="15"/>
  <c r="AA20" i="15"/>
  <c r="AB20" i="15"/>
  <c r="AC20" i="15"/>
  <c r="AD20" i="15"/>
  <c r="AE20" i="15"/>
  <c r="AF20" i="15"/>
  <c r="D21" i="15"/>
  <c r="E21" i="15"/>
  <c r="F21" i="15"/>
  <c r="G21" i="15"/>
  <c r="H21" i="15"/>
  <c r="I21" i="15"/>
  <c r="J21" i="15"/>
  <c r="K21" i="15"/>
  <c r="L21" i="15"/>
  <c r="M21" i="15"/>
  <c r="N21" i="15"/>
  <c r="O21" i="15"/>
  <c r="P21" i="15"/>
  <c r="Q21" i="15"/>
  <c r="R21" i="15"/>
  <c r="S21" i="15"/>
  <c r="T21" i="15"/>
  <c r="U21" i="15"/>
  <c r="V21" i="15"/>
  <c r="W21" i="15"/>
  <c r="X21" i="15"/>
  <c r="Y21" i="15"/>
  <c r="Z21" i="15"/>
  <c r="AA21" i="15"/>
  <c r="AB21" i="15"/>
  <c r="AC21" i="15"/>
  <c r="AD21" i="15"/>
  <c r="AE21" i="15"/>
  <c r="AF21" i="15"/>
  <c r="D22" i="15"/>
  <c r="E22" i="15"/>
  <c r="F22" i="15"/>
  <c r="G22" i="15"/>
  <c r="H22" i="15"/>
  <c r="I22" i="15"/>
  <c r="J22" i="15"/>
  <c r="K22" i="15"/>
  <c r="L22" i="15"/>
  <c r="M22" i="15"/>
  <c r="N22" i="15"/>
  <c r="O22" i="15"/>
  <c r="P22" i="15"/>
  <c r="Q22" i="15"/>
  <c r="R22" i="15"/>
  <c r="S22" i="15"/>
  <c r="T22" i="15"/>
  <c r="U22" i="15"/>
  <c r="V22" i="15"/>
  <c r="W22" i="15"/>
  <c r="X22" i="15"/>
  <c r="Y22" i="15"/>
  <c r="Z22" i="15"/>
  <c r="AA22" i="15"/>
  <c r="AB22" i="15"/>
  <c r="AC22" i="15"/>
  <c r="AD22" i="15"/>
  <c r="AE22" i="15"/>
  <c r="AF22" i="15"/>
  <c r="D23" i="15"/>
  <c r="E23" i="15"/>
  <c r="F23" i="15"/>
  <c r="G23" i="15"/>
  <c r="H23" i="15"/>
  <c r="I23" i="15"/>
  <c r="J23" i="15"/>
  <c r="K23" i="15"/>
  <c r="L23" i="15"/>
  <c r="M23" i="15"/>
  <c r="N23" i="15"/>
  <c r="O23" i="15"/>
  <c r="P23" i="15"/>
  <c r="Q23" i="15"/>
  <c r="R23" i="15"/>
  <c r="S23" i="15"/>
  <c r="T23" i="15"/>
  <c r="U23" i="15"/>
  <c r="V23" i="15"/>
  <c r="W23" i="15"/>
  <c r="X23" i="15"/>
  <c r="Y23" i="15"/>
  <c r="Z23" i="15"/>
  <c r="AA23" i="15"/>
  <c r="AB23" i="15"/>
  <c r="AC23" i="15"/>
  <c r="AD23" i="15"/>
  <c r="AE23" i="15"/>
  <c r="AF23" i="15"/>
  <c r="D25" i="15"/>
  <c r="E25" i="15"/>
  <c r="D26" i="15"/>
  <c r="E26" i="15"/>
  <c r="F26" i="15"/>
  <c r="G26" i="15"/>
  <c r="H26" i="15"/>
  <c r="I26" i="15"/>
  <c r="J26" i="15"/>
  <c r="K26" i="15"/>
  <c r="L26" i="15"/>
  <c r="M26" i="15"/>
  <c r="N26" i="15"/>
  <c r="O26" i="15"/>
  <c r="P26" i="15"/>
  <c r="Q26" i="15"/>
  <c r="R26" i="15"/>
  <c r="S26" i="15"/>
  <c r="T26" i="15"/>
  <c r="U26" i="15"/>
  <c r="V26" i="15"/>
  <c r="W26" i="15"/>
  <c r="X26" i="15"/>
  <c r="Y26" i="15"/>
  <c r="Z26" i="15"/>
  <c r="AA26" i="15"/>
  <c r="AB26" i="15"/>
  <c r="AC26" i="15"/>
  <c r="AD26" i="15"/>
  <c r="AE26" i="15"/>
  <c r="AF26" i="15"/>
  <c r="D2" i="97"/>
  <c r="E2" i="97"/>
  <c r="F2" i="97"/>
  <c r="G2" i="97"/>
  <c r="H2" i="97"/>
  <c r="I2" i="97"/>
  <c r="J2" i="97"/>
  <c r="K2" i="97"/>
  <c r="L2" i="97"/>
  <c r="M2" i="97"/>
  <c r="N2" i="97"/>
  <c r="O2" i="97"/>
  <c r="P2" i="97"/>
  <c r="Q2" i="97"/>
  <c r="R2" i="97"/>
  <c r="S2" i="97"/>
  <c r="T2" i="97"/>
  <c r="U2" i="97"/>
  <c r="V2" i="97"/>
  <c r="W2" i="97"/>
  <c r="X2" i="97"/>
  <c r="Y2" i="97"/>
  <c r="Z2" i="97"/>
  <c r="AA2" i="97"/>
  <c r="AB2" i="97"/>
  <c r="AC2" i="97"/>
  <c r="AD2" i="97"/>
  <c r="AE2" i="97"/>
  <c r="AF2" i="97"/>
  <c r="D3" i="97"/>
  <c r="E3" i="97" s="1"/>
  <c r="F3" i="97" s="1"/>
  <c r="G3" i="97" s="1"/>
  <c r="H3" i="97" s="1"/>
  <c r="I3" i="97" s="1"/>
  <c r="J3" i="97" s="1"/>
  <c r="K3" i="97" s="1"/>
  <c r="L3" i="97" s="1"/>
  <c r="M3" i="97" s="1"/>
  <c r="N3" i="97" s="1"/>
  <c r="O3" i="97" s="1"/>
  <c r="P3" i="97" s="1"/>
  <c r="Q3" i="97" s="1"/>
  <c r="R3" i="97" s="1"/>
  <c r="S3" i="97" s="1"/>
  <c r="T3" i="97" s="1"/>
  <c r="U3" i="97" s="1"/>
  <c r="V3" i="97" s="1"/>
  <c r="W3" i="97" s="1"/>
  <c r="X3" i="97" s="1"/>
  <c r="Y3" i="97" s="1"/>
  <c r="Z3" i="97" s="1"/>
  <c r="AA3" i="97" s="1"/>
  <c r="AB3" i="97" s="1"/>
  <c r="AC3" i="97" s="1"/>
  <c r="AD3" i="97" s="1"/>
  <c r="AE3" i="97" s="1"/>
  <c r="AF3" i="97" s="1"/>
  <c r="D5" i="97"/>
  <c r="E5" i="97"/>
  <c r="F5" i="97"/>
  <c r="G5" i="97"/>
  <c r="H5" i="97"/>
  <c r="I5" i="97"/>
  <c r="J5" i="97"/>
  <c r="K5" i="97"/>
  <c r="L5" i="97"/>
  <c r="M5" i="97"/>
  <c r="N5" i="97"/>
  <c r="O5" i="97"/>
  <c r="P5" i="97"/>
  <c r="Q5" i="97"/>
  <c r="R5" i="97"/>
  <c r="S5" i="97"/>
  <c r="T5" i="97"/>
  <c r="U5" i="97"/>
  <c r="V5" i="97"/>
  <c r="W5" i="97"/>
  <c r="X5" i="97"/>
  <c r="Y5" i="97"/>
  <c r="Z5" i="97"/>
  <c r="AA5" i="97"/>
  <c r="AB5" i="97"/>
  <c r="AC5" i="97"/>
  <c r="AD5" i="97"/>
  <c r="AE5" i="97"/>
  <c r="AF5" i="97"/>
  <c r="D6" i="97"/>
  <c r="E6" i="97"/>
  <c r="F6" i="97"/>
  <c r="G6" i="97"/>
  <c r="H6" i="97"/>
  <c r="I6" i="97"/>
  <c r="J6" i="97"/>
  <c r="K6" i="97"/>
  <c r="L6" i="97"/>
  <c r="M6" i="97"/>
  <c r="N6" i="97"/>
  <c r="O6" i="97"/>
  <c r="P6" i="97"/>
  <c r="Q6" i="97"/>
  <c r="R6" i="97"/>
  <c r="S6" i="97"/>
  <c r="T6" i="97"/>
  <c r="U6" i="97"/>
  <c r="V6" i="97"/>
  <c r="W6" i="97"/>
  <c r="X6" i="97"/>
  <c r="Y6" i="97"/>
  <c r="Z6" i="97"/>
  <c r="AA6" i="97"/>
  <c r="AB6" i="97"/>
  <c r="AC6" i="97"/>
  <c r="AD6" i="97"/>
  <c r="AE6" i="97"/>
  <c r="AF6" i="97"/>
  <c r="D7" i="97"/>
  <c r="E7" i="97"/>
  <c r="F7" i="97"/>
  <c r="G7" i="97"/>
  <c r="H7" i="97"/>
  <c r="I7" i="97"/>
  <c r="J7" i="97"/>
  <c r="K7" i="97"/>
  <c r="L7" i="97"/>
  <c r="M7" i="97"/>
  <c r="N7" i="97"/>
  <c r="O7" i="97"/>
  <c r="P7" i="97"/>
  <c r="Q7" i="97"/>
  <c r="R7" i="97"/>
  <c r="S7" i="97"/>
  <c r="T7" i="97"/>
  <c r="U7" i="97"/>
  <c r="V7" i="97"/>
  <c r="W7" i="97"/>
  <c r="X7" i="97"/>
  <c r="Y7" i="97"/>
  <c r="Z7" i="97"/>
  <c r="AA7" i="97"/>
  <c r="AB7" i="97"/>
  <c r="AC7" i="97"/>
  <c r="AD7" i="97"/>
  <c r="AE7" i="97"/>
  <c r="AF7" i="97"/>
  <c r="D8" i="97"/>
  <c r="E8" i="97"/>
  <c r="F8" i="97"/>
  <c r="G8" i="97"/>
  <c r="H8" i="97"/>
  <c r="I8" i="97"/>
  <c r="J8" i="97"/>
  <c r="K8" i="97"/>
  <c r="L8" i="97"/>
  <c r="M8" i="97"/>
  <c r="N8" i="97"/>
  <c r="O8" i="97"/>
  <c r="P8" i="97"/>
  <c r="Q8" i="97"/>
  <c r="R8" i="97"/>
  <c r="S8" i="97"/>
  <c r="T8" i="97"/>
  <c r="U8" i="97"/>
  <c r="V8" i="97"/>
  <c r="W8" i="97"/>
  <c r="X8" i="97"/>
  <c r="Y8" i="97"/>
  <c r="Z8" i="97"/>
  <c r="AA8" i="97"/>
  <c r="AB8" i="97"/>
  <c r="AC8" i="97"/>
  <c r="AD8" i="97"/>
  <c r="AE8" i="97"/>
  <c r="AF8" i="97"/>
  <c r="D9" i="97"/>
  <c r="E9" i="97"/>
  <c r="F9" i="97"/>
  <c r="G9" i="97"/>
  <c r="H9" i="97"/>
  <c r="I9" i="97"/>
  <c r="J9" i="97"/>
  <c r="K9" i="97"/>
  <c r="L9" i="97"/>
  <c r="M9" i="97"/>
  <c r="N9" i="97"/>
  <c r="O9" i="97"/>
  <c r="P9" i="97"/>
  <c r="Q9" i="97"/>
  <c r="R9" i="97"/>
  <c r="S9" i="97"/>
  <c r="T9" i="97"/>
  <c r="U9" i="97"/>
  <c r="V9" i="97"/>
  <c r="W9" i="97"/>
  <c r="X9" i="97"/>
  <c r="Y9" i="97"/>
  <c r="Z9" i="97"/>
  <c r="AA9" i="97"/>
  <c r="AB9" i="97"/>
  <c r="AC9" i="97"/>
  <c r="AD9" i="97"/>
  <c r="AE9" i="97"/>
  <c r="AF9" i="97"/>
  <c r="D11" i="97"/>
  <c r="E11" i="97"/>
  <c r="F11" i="97"/>
  <c r="G11" i="97"/>
  <c r="H11" i="97"/>
  <c r="I11" i="97"/>
  <c r="J11" i="97"/>
  <c r="K11" i="97"/>
  <c r="L11" i="97"/>
  <c r="M11" i="97"/>
  <c r="N11" i="97"/>
  <c r="O11" i="97"/>
  <c r="P11" i="97"/>
  <c r="Q11" i="97"/>
  <c r="R11" i="97"/>
  <c r="S11" i="97"/>
  <c r="T11" i="97"/>
  <c r="U11" i="97"/>
  <c r="V11" i="97"/>
  <c r="W11" i="97"/>
  <c r="X11" i="97"/>
  <c r="Y11" i="97"/>
  <c r="Z11" i="97"/>
  <c r="AA11" i="97"/>
  <c r="AB11" i="97"/>
  <c r="AC11" i="97"/>
  <c r="AD11" i="97"/>
  <c r="AE11" i="97"/>
  <c r="AF11" i="97"/>
  <c r="D12" i="97"/>
  <c r="E12" i="97"/>
  <c r="F12" i="97"/>
  <c r="G12" i="97"/>
  <c r="H12" i="97"/>
  <c r="I12" i="97"/>
  <c r="J12" i="97"/>
  <c r="K12" i="97"/>
  <c r="L12" i="97"/>
  <c r="M12" i="97"/>
  <c r="N12" i="97"/>
  <c r="O12" i="97"/>
  <c r="P12" i="97"/>
  <c r="Q12" i="97"/>
  <c r="R12" i="97"/>
  <c r="S12" i="97"/>
  <c r="T12" i="97"/>
  <c r="U12" i="97"/>
  <c r="V12" i="97"/>
  <c r="W12" i="97"/>
  <c r="X12" i="97"/>
  <c r="Y12" i="97"/>
  <c r="Z12" i="97"/>
  <c r="AA12" i="97"/>
  <c r="AB12" i="97"/>
  <c r="AC12" i="97"/>
  <c r="AD12" i="97"/>
  <c r="AE12" i="97"/>
  <c r="AF12" i="97"/>
  <c r="D13" i="97"/>
  <c r="E13" i="97"/>
  <c r="F13" i="97"/>
  <c r="G13" i="97"/>
  <c r="H13" i="97"/>
  <c r="I13" i="97"/>
  <c r="J13" i="97"/>
  <c r="K13" i="97"/>
  <c r="L13" i="97"/>
  <c r="M13" i="97"/>
  <c r="N13" i="97"/>
  <c r="O13" i="97"/>
  <c r="P13" i="97"/>
  <c r="Q13" i="97"/>
  <c r="R13" i="97"/>
  <c r="S13" i="97"/>
  <c r="T13" i="97"/>
  <c r="U13" i="97"/>
  <c r="V13" i="97"/>
  <c r="W13" i="97"/>
  <c r="X13" i="97"/>
  <c r="Y13" i="97"/>
  <c r="Z13" i="97"/>
  <c r="AA13" i="97"/>
  <c r="AB13" i="97"/>
  <c r="AC13" i="97"/>
  <c r="AD13" i="97"/>
  <c r="AE13" i="97"/>
  <c r="AF13" i="97"/>
  <c r="D14" i="97"/>
  <c r="E14" i="97"/>
  <c r="F14" i="97"/>
  <c r="G14" i="97"/>
  <c r="H14" i="97"/>
  <c r="I14" i="97"/>
  <c r="J14" i="97"/>
  <c r="K14" i="97"/>
  <c r="L14" i="97"/>
  <c r="M14" i="97"/>
  <c r="N14" i="97"/>
  <c r="O14" i="97"/>
  <c r="P14" i="97"/>
  <c r="Q14" i="97"/>
  <c r="R14" i="97"/>
  <c r="S14" i="97"/>
  <c r="T14" i="97"/>
  <c r="U14" i="97"/>
  <c r="V14" i="97"/>
  <c r="W14" i="97"/>
  <c r="X14" i="97"/>
  <c r="Y14" i="97"/>
  <c r="Z14" i="97"/>
  <c r="AA14" i="97"/>
  <c r="AB14" i="97"/>
  <c r="AC14" i="97"/>
  <c r="AD14" i="97"/>
  <c r="AE14" i="97"/>
  <c r="AF14" i="97"/>
  <c r="D15" i="97"/>
  <c r="E15" i="97"/>
  <c r="F15" i="97"/>
  <c r="G15" i="97"/>
  <c r="H15" i="97"/>
  <c r="I15" i="97"/>
  <c r="J15" i="97"/>
  <c r="K15" i="97"/>
  <c r="L15" i="97"/>
  <c r="M15" i="97"/>
  <c r="N15" i="97"/>
  <c r="O15" i="97"/>
  <c r="P15" i="97"/>
  <c r="Q15" i="97"/>
  <c r="R15" i="97"/>
  <c r="S15" i="97"/>
  <c r="T15" i="97"/>
  <c r="U15" i="97"/>
  <c r="V15" i="97"/>
  <c r="W15" i="97"/>
  <c r="X15" i="97"/>
  <c r="Y15" i="97"/>
  <c r="Z15" i="97"/>
  <c r="AA15" i="97"/>
  <c r="AB15" i="97"/>
  <c r="AC15" i="97"/>
  <c r="AD15" i="97"/>
  <c r="AE15" i="97"/>
  <c r="AF15" i="97"/>
  <c r="D16" i="97"/>
  <c r="E16" i="97"/>
  <c r="F16" i="97"/>
  <c r="G16" i="97"/>
  <c r="H16" i="97"/>
  <c r="I16" i="97"/>
  <c r="J16" i="97"/>
  <c r="K16" i="97"/>
  <c r="L16" i="97"/>
  <c r="M16" i="97"/>
  <c r="N16" i="97"/>
  <c r="O16" i="97"/>
  <c r="P16" i="97"/>
  <c r="Q16" i="97"/>
  <c r="R16" i="97"/>
  <c r="S16" i="97"/>
  <c r="T16" i="97"/>
  <c r="U16" i="97"/>
  <c r="V16" i="97"/>
  <c r="W16" i="97"/>
  <c r="X16" i="97"/>
  <c r="Y16" i="97"/>
  <c r="Z16" i="97"/>
  <c r="AA16" i="97"/>
  <c r="AB16" i="97"/>
  <c r="AC16" i="97"/>
  <c r="AD16" i="97"/>
  <c r="AE16" i="97"/>
  <c r="AF16" i="97"/>
  <c r="D17" i="97"/>
  <c r="E17" i="97"/>
  <c r="F17" i="97"/>
  <c r="G17" i="97"/>
  <c r="H17" i="97"/>
  <c r="I17" i="97"/>
  <c r="J17" i="97"/>
  <c r="K17" i="97"/>
  <c r="L17" i="97"/>
  <c r="M17" i="97"/>
  <c r="N17" i="97"/>
  <c r="O17" i="97"/>
  <c r="P17" i="97"/>
  <c r="Q17" i="97"/>
  <c r="R17" i="97"/>
  <c r="S17" i="97"/>
  <c r="T17" i="97"/>
  <c r="U17" i="97"/>
  <c r="V17" i="97"/>
  <c r="W17" i="97"/>
  <c r="X17" i="97"/>
  <c r="Y17" i="97"/>
  <c r="Z17" i="97"/>
  <c r="AA17" i="97"/>
  <c r="AB17" i="97"/>
  <c r="AC17" i="97"/>
  <c r="AD17" i="97"/>
  <c r="AE17" i="97"/>
  <c r="AF17" i="97"/>
  <c r="D18" i="97"/>
  <c r="E18" i="97"/>
  <c r="F18" i="97"/>
  <c r="G18" i="97"/>
  <c r="H18" i="97"/>
  <c r="I18" i="97"/>
  <c r="J18" i="97"/>
  <c r="K18" i="97"/>
  <c r="L18" i="97"/>
  <c r="M18" i="97"/>
  <c r="N18" i="97"/>
  <c r="O18" i="97"/>
  <c r="P18" i="97"/>
  <c r="Q18" i="97"/>
  <c r="R18" i="97"/>
  <c r="S18" i="97"/>
  <c r="T18" i="97"/>
  <c r="U18" i="97"/>
  <c r="V18" i="97"/>
  <c r="W18" i="97"/>
  <c r="X18" i="97"/>
  <c r="Y18" i="97"/>
  <c r="Z18" i="97"/>
  <c r="AA18" i="97"/>
  <c r="AB18" i="97"/>
  <c r="AC18" i="97"/>
  <c r="AD18" i="97"/>
  <c r="AE18" i="97"/>
  <c r="AF18" i="97"/>
  <c r="D19" i="97"/>
  <c r="E19" i="97"/>
  <c r="F19" i="97"/>
  <c r="G19" i="97"/>
  <c r="H19" i="97"/>
  <c r="I19" i="97"/>
  <c r="J19" i="97"/>
  <c r="K19" i="97"/>
  <c r="L19" i="97"/>
  <c r="M19" i="97"/>
  <c r="N19" i="97"/>
  <c r="O19" i="97"/>
  <c r="P19" i="97"/>
  <c r="Q19" i="97"/>
  <c r="R19" i="97"/>
  <c r="S19" i="97"/>
  <c r="T19" i="97"/>
  <c r="U19" i="97"/>
  <c r="V19" i="97"/>
  <c r="W19" i="97"/>
  <c r="X19" i="97"/>
  <c r="Y19" i="97"/>
  <c r="Z19" i="97"/>
  <c r="AA19" i="97"/>
  <c r="AB19" i="97"/>
  <c r="AC19" i="97"/>
  <c r="AD19" i="97"/>
  <c r="AE19" i="97"/>
  <c r="AF19" i="97"/>
  <c r="D20" i="97"/>
  <c r="E20" i="97"/>
  <c r="F20" i="97"/>
  <c r="G20" i="97"/>
  <c r="H20" i="97"/>
  <c r="I20" i="97"/>
  <c r="J20" i="97"/>
  <c r="K20" i="97"/>
  <c r="L20" i="97"/>
  <c r="M20" i="97"/>
  <c r="N20" i="97"/>
  <c r="O20" i="97"/>
  <c r="P20" i="97"/>
  <c r="Q20" i="97"/>
  <c r="R20" i="97"/>
  <c r="S20" i="97"/>
  <c r="T20" i="97"/>
  <c r="U20" i="97"/>
  <c r="V20" i="97"/>
  <c r="W20" i="97"/>
  <c r="X20" i="97"/>
  <c r="Y20" i="97"/>
  <c r="Z20" i="97"/>
  <c r="AA20" i="97"/>
  <c r="AB20" i="97"/>
  <c r="AC20" i="97"/>
  <c r="AD20" i="97"/>
  <c r="AE20" i="97"/>
  <c r="AF20" i="97"/>
  <c r="D21" i="97"/>
  <c r="E21" i="97"/>
  <c r="F21" i="97"/>
  <c r="G21" i="97"/>
  <c r="H21" i="97"/>
  <c r="I21" i="97"/>
  <c r="J21" i="97"/>
  <c r="K21" i="97"/>
  <c r="L21" i="97"/>
  <c r="M21" i="97"/>
  <c r="N21" i="97"/>
  <c r="O21" i="97"/>
  <c r="P21" i="97"/>
  <c r="Q21" i="97"/>
  <c r="R21" i="97"/>
  <c r="S21" i="97"/>
  <c r="T21" i="97"/>
  <c r="U21" i="97"/>
  <c r="V21" i="97"/>
  <c r="W21" i="97"/>
  <c r="X21" i="97"/>
  <c r="Y21" i="97"/>
  <c r="Z21" i="97"/>
  <c r="AA21" i="97"/>
  <c r="AB21" i="97"/>
  <c r="AC21" i="97"/>
  <c r="AD21" i="97"/>
  <c r="AE21" i="97"/>
  <c r="AF21" i="97"/>
  <c r="D22" i="97"/>
  <c r="E22" i="97"/>
  <c r="F22" i="97"/>
  <c r="G22" i="97"/>
  <c r="H22" i="97"/>
  <c r="I22" i="97"/>
  <c r="J22" i="97"/>
  <c r="K22" i="97"/>
  <c r="L22" i="97"/>
  <c r="M22" i="97"/>
  <c r="N22" i="97"/>
  <c r="O22" i="97"/>
  <c r="P22" i="97"/>
  <c r="Q22" i="97"/>
  <c r="R22" i="97"/>
  <c r="S22" i="97"/>
  <c r="T22" i="97"/>
  <c r="U22" i="97"/>
  <c r="V22" i="97"/>
  <c r="W22" i="97"/>
  <c r="X22" i="97"/>
  <c r="Y22" i="97"/>
  <c r="Z22" i="97"/>
  <c r="AA22" i="97"/>
  <c r="AB22" i="97"/>
  <c r="AC22" i="97"/>
  <c r="AD22" i="97"/>
  <c r="AE22" i="97"/>
  <c r="AF22" i="97"/>
  <c r="D23" i="97"/>
  <c r="E23" i="97"/>
  <c r="F23" i="97"/>
  <c r="G23" i="97"/>
  <c r="H23" i="97"/>
  <c r="I23" i="97"/>
  <c r="J23" i="97"/>
  <c r="K23" i="97"/>
  <c r="L23" i="97"/>
  <c r="M23" i="97"/>
  <c r="N23" i="97"/>
  <c r="O23" i="97"/>
  <c r="P23" i="97"/>
  <c r="Q23" i="97"/>
  <c r="R23" i="97"/>
  <c r="S23" i="97"/>
  <c r="T23" i="97"/>
  <c r="U23" i="97"/>
  <c r="V23" i="97"/>
  <c r="W23" i="97"/>
  <c r="X23" i="97"/>
  <c r="Y23" i="97"/>
  <c r="Z23" i="97"/>
  <c r="AA23" i="97"/>
  <c r="AB23" i="97"/>
  <c r="AC23" i="97"/>
  <c r="AD23" i="97"/>
  <c r="AE23" i="97"/>
  <c r="AF23" i="97"/>
  <c r="D25" i="97"/>
  <c r="E25" i="97"/>
  <c r="F25" i="97"/>
  <c r="G25" i="97"/>
  <c r="H25" i="97"/>
  <c r="I25" i="97"/>
  <c r="J25" i="97"/>
  <c r="K25" i="97"/>
  <c r="L25" i="97" s="1"/>
  <c r="M25" i="97" s="1"/>
  <c r="N25" i="97" s="1"/>
  <c r="O25" i="97" s="1"/>
  <c r="P25" i="97" s="1"/>
  <c r="Q25" i="97" s="1"/>
  <c r="R25" i="97" s="1"/>
  <c r="S25" i="97" s="1"/>
  <c r="T25" i="97" s="1"/>
  <c r="U25" i="97" s="1"/>
  <c r="V25" i="97" s="1"/>
  <c r="W25" i="97" s="1"/>
  <c r="X25" i="97" s="1"/>
  <c r="Y25" i="97" s="1"/>
  <c r="Z25" i="97" s="1"/>
  <c r="AA25" i="97" s="1"/>
  <c r="AB25" i="97" s="1"/>
  <c r="AC25" i="97" s="1"/>
  <c r="AD25" i="97" s="1"/>
  <c r="AE25" i="97" s="1"/>
  <c r="AF25" i="97" s="1"/>
  <c r="D26" i="97"/>
  <c r="E26" i="97"/>
  <c r="F26" i="97"/>
  <c r="G26" i="97"/>
  <c r="H26" i="97"/>
  <c r="I26" i="97"/>
  <c r="J26" i="97"/>
  <c r="K26" i="97"/>
  <c r="L26" i="97"/>
  <c r="M26" i="97"/>
  <c r="N26" i="97"/>
  <c r="O26" i="97"/>
  <c r="P26" i="97"/>
  <c r="Q26" i="97"/>
  <c r="R26" i="97"/>
  <c r="S26" i="97"/>
  <c r="T26" i="97"/>
  <c r="U26" i="97"/>
  <c r="V26" i="97"/>
  <c r="W26" i="97"/>
  <c r="X26" i="97"/>
  <c r="Y26" i="97"/>
  <c r="Z26" i="97"/>
  <c r="AA26" i="97"/>
  <c r="AB26" i="97"/>
  <c r="AC26" i="97"/>
  <c r="AD26" i="97"/>
  <c r="AE26" i="97"/>
  <c r="AF26" i="97"/>
  <c r="D2" i="96"/>
  <c r="E2" i="96"/>
  <c r="F2" i="96"/>
  <c r="G2" i="96"/>
  <c r="H2" i="96"/>
  <c r="I2" i="96"/>
  <c r="J2" i="96"/>
  <c r="K2" i="96"/>
  <c r="L2" i="96"/>
  <c r="M2" i="96"/>
  <c r="N2" i="96"/>
  <c r="O2" i="96"/>
  <c r="P2" i="96"/>
  <c r="Q2" i="96"/>
  <c r="R2" i="96"/>
  <c r="S2" i="96"/>
  <c r="T2" i="96"/>
  <c r="U2" i="96"/>
  <c r="V2" i="96"/>
  <c r="W2" i="96"/>
  <c r="X2" i="96"/>
  <c r="Y2" i="96"/>
  <c r="Z2" i="96"/>
  <c r="AA2" i="96"/>
  <c r="AB2" i="96"/>
  <c r="AC2" i="96"/>
  <c r="AD2" i="96"/>
  <c r="AE2" i="96"/>
  <c r="AF2" i="96"/>
  <c r="D5" i="96"/>
  <c r="E5" i="96"/>
  <c r="F5" i="96"/>
  <c r="G5" i="96"/>
  <c r="H5" i="96"/>
  <c r="I5" i="96"/>
  <c r="J5" i="96"/>
  <c r="K5" i="96"/>
  <c r="L5" i="96"/>
  <c r="M5" i="96"/>
  <c r="N5" i="96"/>
  <c r="O5" i="96"/>
  <c r="P5" i="96"/>
  <c r="Q5" i="96"/>
  <c r="R5" i="96"/>
  <c r="S5" i="96"/>
  <c r="T5" i="96"/>
  <c r="U5" i="96"/>
  <c r="V5" i="96"/>
  <c r="W5" i="96"/>
  <c r="X5" i="96"/>
  <c r="Y5" i="96"/>
  <c r="Z5" i="96"/>
  <c r="AA5" i="96"/>
  <c r="AB5" i="96"/>
  <c r="AC5" i="96"/>
  <c r="AD5" i="96"/>
  <c r="AE5" i="96"/>
  <c r="AF5" i="96"/>
  <c r="D6" i="96"/>
  <c r="E6" i="96"/>
  <c r="F6" i="96"/>
  <c r="G6" i="96"/>
  <c r="H6" i="96"/>
  <c r="I6" i="96"/>
  <c r="J6" i="96"/>
  <c r="K6" i="96"/>
  <c r="L6" i="96"/>
  <c r="M6" i="96"/>
  <c r="N6" i="96"/>
  <c r="O6" i="96"/>
  <c r="P6" i="96"/>
  <c r="Q6" i="96"/>
  <c r="R6" i="96"/>
  <c r="S6" i="96"/>
  <c r="T6" i="96"/>
  <c r="U6" i="96"/>
  <c r="V6" i="96"/>
  <c r="W6" i="96"/>
  <c r="X6" i="96"/>
  <c r="Y6" i="96"/>
  <c r="Z6" i="96"/>
  <c r="AA6" i="96"/>
  <c r="AB6" i="96"/>
  <c r="AC6" i="96"/>
  <c r="AD6" i="96"/>
  <c r="AE6" i="96"/>
  <c r="AF6" i="96"/>
  <c r="D7" i="96"/>
  <c r="E7" i="96"/>
  <c r="F7" i="96"/>
  <c r="G7" i="96"/>
  <c r="H7" i="96"/>
  <c r="I7" i="96"/>
  <c r="J7" i="96"/>
  <c r="K7" i="96"/>
  <c r="L7" i="96"/>
  <c r="M7" i="96"/>
  <c r="N7" i="96"/>
  <c r="O7" i="96"/>
  <c r="P7" i="96"/>
  <c r="Q7" i="96"/>
  <c r="R7" i="96"/>
  <c r="S7" i="96"/>
  <c r="T7" i="96"/>
  <c r="U7" i="96"/>
  <c r="V7" i="96"/>
  <c r="W7" i="96"/>
  <c r="X7" i="96"/>
  <c r="Y7" i="96"/>
  <c r="Z7" i="96"/>
  <c r="AA7" i="96"/>
  <c r="AB7" i="96"/>
  <c r="AC7" i="96"/>
  <c r="AD7" i="96"/>
  <c r="AE7" i="96"/>
  <c r="AF7" i="96"/>
  <c r="D8" i="96"/>
  <c r="E8" i="96"/>
  <c r="F8" i="96"/>
  <c r="G8" i="96"/>
  <c r="H8" i="96"/>
  <c r="I8" i="96"/>
  <c r="J8" i="96"/>
  <c r="K8" i="96"/>
  <c r="L8" i="96"/>
  <c r="M8" i="96"/>
  <c r="N8" i="96"/>
  <c r="O8" i="96"/>
  <c r="P8" i="96"/>
  <c r="Q8" i="96"/>
  <c r="R8" i="96"/>
  <c r="S8" i="96"/>
  <c r="T8" i="96"/>
  <c r="U8" i="96"/>
  <c r="V8" i="96"/>
  <c r="W8" i="96"/>
  <c r="X8" i="96"/>
  <c r="Y8" i="96"/>
  <c r="Z8" i="96"/>
  <c r="AA8" i="96"/>
  <c r="AB8" i="96"/>
  <c r="AC8" i="96"/>
  <c r="AD8" i="96"/>
  <c r="AE8" i="96"/>
  <c r="AF8" i="96"/>
  <c r="D9" i="96"/>
  <c r="E9" i="96"/>
  <c r="F9" i="96"/>
  <c r="G9" i="96"/>
  <c r="H9" i="96"/>
  <c r="I9" i="96"/>
  <c r="J9" i="96"/>
  <c r="K9" i="96"/>
  <c r="L9" i="96"/>
  <c r="M9" i="96"/>
  <c r="N9" i="96"/>
  <c r="O9" i="96"/>
  <c r="P9" i="96"/>
  <c r="Q9" i="96"/>
  <c r="R9" i="96"/>
  <c r="S9" i="96"/>
  <c r="T9" i="96"/>
  <c r="U9" i="96"/>
  <c r="V9" i="96"/>
  <c r="W9" i="96"/>
  <c r="X9" i="96"/>
  <c r="Y9" i="96"/>
  <c r="Z9" i="96"/>
  <c r="AA9" i="96"/>
  <c r="AB9" i="96"/>
  <c r="AC9" i="96"/>
  <c r="AD9" i="96"/>
  <c r="AE9" i="96"/>
  <c r="AF9" i="96"/>
  <c r="D11" i="96"/>
  <c r="E11" i="96"/>
  <c r="F11" i="96"/>
  <c r="G11" i="96"/>
  <c r="H11" i="96"/>
  <c r="I11" i="96"/>
  <c r="J11" i="96"/>
  <c r="K11" i="96"/>
  <c r="L11" i="96"/>
  <c r="M11" i="96"/>
  <c r="N11" i="96"/>
  <c r="O11" i="96"/>
  <c r="P11" i="96"/>
  <c r="Q11" i="96"/>
  <c r="R11" i="96"/>
  <c r="S11" i="96"/>
  <c r="T11" i="96"/>
  <c r="U11" i="96"/>
  <c r="V11" i="96"/>
  <c r="W11" i="96"/>
  <c r="X11" i="96"/>
  <c r="Y11" i="96"/>
  <c r="Z11" i="96"/>
  <c r="AA11" i="96"/>
  <c r="AB11" i="96"/>
  <c r="AC11" i="96"/>
  <c r="AD11" i="96"/>
  <c r="AE11" i="96"/>
  <c r="AF11" i="96"/>
  <c r="D12" i="96"/>
  <c r="E12" i="96"/>
  <c r="F12" i="96"/>
  <c r="G12" i="96"/>
  <c r="H12" i="96"/>
  <c r="I12" i="96"/>
  <c r="J12" i="96"/>
  <c r="K12" i="96"/>
  <c r="L12" i="96"/>
  <c r="M12" i="96"/>
  <c r="N12" i="96"/>
  <c r="O12" i="96"/>
  <c r="P12" i="96"/>
  <c r="Q12" i="96"/>
  <c r="R12" i="96"/>
  <c r="S12" i="96"/>
  <c r="T12" i="96"/>
  <c r="U12" i="96"/>
  <c r="V12" i="96"/>
  <c r="W12" i="96"/>
  <c r="X12" i="96"/>
  <c r="Y12" i="96"/>
  <c r="Z12" i="96"/>
  <c r="AA12" i="96"/>
  <c r="AB12" i="96"/>
  <c r="AC12" i="96"/>
  <c r="AD12" i="96"/>
  <c r="AE12" i="96"/>
  <c r="AF12" i="96"/>
  <c r="D13" i="96"/>
  <c r="E13" i="96"/>
  <c r="F13" i="96"/>
  <c r="G13" i="96"/>
  <c r="H13" i="96"/>
  <c r="I13" i="96"/>
  <c r="J13" i="96"/>
  <c r="K13" i="96"/>
  <c r="L13" i="96"/>
  <c r="M13" i="96"/>
  <c r="N13" i="96"/>
  <c r="O13" i="96"/>
  <c r="P13" i="96"/>
  <c r="Q13" i="96"/>
  <c r="R13" i="96"/>
  <c r="S13" i="96"/>
  <c r="T13" i="96"/>
  <c r="U13" i="96"/>
  <c r="V13" i="96"/>
  <c r="W13" i="96"/>
  <c r="X13" i="96"/>
  <c r="Y13" i="96"/>
  <c r="Z13" i="96"/>
  <c r="AA13" i="96"/>
  <c r="AB13" i="96"/>
  <c r="AC13" i="96"/>
  <c r="AD13" i="96"/>
  <c r="AE13" i="96"/>
  <c r="AF13" i="96"/>
  <c r="D14" i="96"/>
  <c r="E14" i="96"/>
  <c r="F14" i="96"/>
  <c r="G14" i="96"/>
  <c r="H14" i="96"/>
  <c r="I14" i="96"/>
  <c r="J14" i="96"/>
  <c r="K14" i="96"/>
  <c r="L14" i="96"/>
  <c r="M14" i="96"/>
  <c r="N14" i="96"/>
  <c r="O14" i="96"/>
  <c r="P14" i="96"/>
  <c r="Q14" i="96"/>
  <c r="R14" i="96"/>
  <c r="S14" i="96"/>
  <c r="T14" i="96"/>
  <c r="U14" i="96"/>
  <c r="V14" i="96"/>
  <c r="W14" i="96"/>
  <c r="X14" i="96"/>
  <c r="Y14" i="96"/>
  <c r="Z14" i="96"/>
  <c r="AA14" i="96"/>
  <c r="AB14" i="96"/>
  <c r="AC14" i="96"/>
  <c r="AD14" i="96"/>
  <c r="AE14" i="96"/>
  <c r="AF14" i="96"/>
  <c r="D15" i="96"/>
  <c r="E15" i="96"/>
  <c r="F15" i="96"/>
  <c r="G15" i="96"/>
  <c r="H15" i="96"/>
  <c r="I15" i="96"/>
  <c r="J15" i="96"/>
  <c r="K15" i="96"/>
  <c r="L15" i="96"/>
  <c r="M15" i="96"/>
  <c r="N15" i="96"/>
  <c r="O15" i="96"/>
  <c r="P15" i="96"/>
  <c r="Q15" i="96"/>
  <c r="R15" i="96"/>
  <c r="S15" i="96"/>
  <c r="T15" i="96"/>
  <c r="U15" i="96"/>
  <c r="V15" i="96"/>
  <c r="W15" i="96"/>
  <c r="X15" i="96"/>
  <c r="Y15" i="96"/>
  <c r="Z15" i="96"/>
  <c r="AA15" i="96"/>
  <c r="AB15" i="96"/>
  <c r="AC15" i="96"/>
  <c r="AD15" i="96"/>
  <c r="AE15" i="96"/>
  <c r="AF15" i="96"/>
  <c r="D16" i="96"/>
  <c r="E16" i="96"/>
  <c r="F16" i="96"/>
  <c r="G16" i="96"/>
  <c r="H16" i="96"/>
  <c r="I16" i="96"/>
  <c r="J16" i="96"/>
  <c r="K16" i="96"/>
  <c r="L16" i="96"/>
  <c r="M16" i="96"/>
  <c r="N16" i="96"/>
  <c r="O16" i="96"/>
  <c r="P16" i="96"/>
  <c r="Q16" i="96"/>
  <c r="R16" i="96"/>
  <c r="S16" i="96"/>
  <c r="T16" i="96"/>
  <c r="U16" i="96"/>
  <c r="V16" i="96"/>
  <c r="W16" i="96"/>
  <c r="X16" i="96"/>
  <c r="Y16" i="96"/>
  <c r="Z16" i="96"/>
  <c r="AA16" i="96"/>
  <c r="AB16" i="96"/>
  <c r="AC16" i="96"/>
  <c r="AD16" i="96"/>
  <c r="AE16" i="96"/>
  <c r="AF16" i="96"/>
  <c r="D17" i="96"/>
  <c r="E17" i="96"/>
  <c r="F17" i="96"/>
  <c r="G17" i="96"/>
  <c r="H17" i="96"/>
  <c r="I17" i="96"/>
  <c r="J17" i="96"/>
  <c r="K17" i="96"/>
  <c r="L17" i="96"/>
  <c r="M17" i="96"/>
  <c r="N17" i="96"/>
  <c r="O17" i="96"/>
  <c r="P17" i="96"/>
  <c r="Q17" i="96"/>
  <c r="R17" i="96"/>
  <c r="S17" i="96"/>
  <c r="T17" i="96"/>
  <c r="U17" i="96"/>
  <c r="V17" i="96"/>
  <c r="W17" i="96"/>
  <c r="X17" i="96"/>
  <c r="Y17" i="96"/>
  <c r="Z17" i="96"/>
  <c r="AA17" i="96"/>
  <c r="AB17" i="96"/>
  <c r="AC17" i="96"/>
  <c r="AD17" i="96"/>
  <c r="AE17" i="96"/>
  <c r="AF17" i="96"/>
  <c r="D18" i="96"/>
  <c r="E18" i="96"/>
  <c r="F18" i="96"/>
  <c r="G18" i="96"/>
  <c r="H18" i="96"/>
  <c r="I18" i="96"/>
  <c r="J18" i="96"/>
  <c r="K18" i="96"/>
  <c r="L18" i="96"/>
  <c r="M18" i="96"/>
  <c r="N18" i="96"/>
  <c r="O18" i="96"/>
  <c r="P18" i="96"/>
  <c r="Q18" i="96"/>
  <c r="R18" i="96"/>
  <c r="S18" i="96"/>
  <c r="T18" i="96"/>
  <c r="U18" i="96"/>
  <c r="V18" i="96"/>
  <c r="W18" i="96"/>
  <c r="X18" i="96"/>
  <c r="Y18" i="96"/>
  <c r="Z18" i="96"/>
  <c r="AA18" i="96"/>
  <c r="AB18" i="96"/>
  <c r="AC18" i="96"/>
  <c r="AD18" i="96"/>
  <c r="AE18" i="96"/>
  <c r="AF18" i="96"/>
  <c r="D19" i="96"/>
  <c r="E19" i="96"/>
  <c r="F19" i="96"/>
  <c r="G19" i="96"/>
  <c r="H19" i="96"/>
  <c r="I19" i="96"/>
  <c r="J19" i="96"/>
  <c r="K19" i="96"/>
  <c r="L19" i="96"/>
  <c r="M19" i="96"/>
  <c r="N19" i="96"/>
  <c r="O19" i="96"/>
  <c r="P19" i="96"/>
  <c r="Q19" i="96"/>
  <c r="R19" i="96"/>
  <c r="S19" i="96"/>
  <c r="T19" i="96"/>
  <c r="U19" i="96"/>
  <c r="V19" i="96"/>
  <c r="W19" i="96"/>
  <c r="X19" i="96"/>
  <c r="Y19" i="96"/>
  <c r="Z19" i="96"/>
  <c r="AA19" i="96"/>
  <c r="AB19" i="96"/>
  <c r="AC19" i="96"/>
  <c r="AD19" i="96"/>
  <c r="AE19" i="96"/>
  <c r="AF19" i="96"/>
  <c r="D20" i="96"/>
  <c r="E20" i="96"/>
  <c r="F20" i="96"/>
  <c r="G20" i="96"/>
  <c r="H20" i="96"/>
  <c r="I20" i="96"/>
  <c r="J20" i="96"/>
  <c r="K20" i="96"/>
  <c r="L20" i="96"/>
  <c r="M20" i="96"/>
  <c r="N20" i="96"/>
  <c r="O20" i="96"/>
  <c r="P20" i="96"/>
  <c r="Q20" i="96"/>
  <c r="R20" i="96"/>
  <c r="S20" i="96"/>
  <c r="T20" i="96"/>
  <c r="U20" i="96"/>
  <c r="V20" i="96"/>
  <c r="W20" i="96"/>
  <c r="X20" i="96"/>
  <c r="Y20" i="96"/>
  <c r="Z20" i="96"/>
  <c r="AA20" i="96"/>
  <c r="AB20" i="96"/>
  <c r="AC20" i="96"/>
  <c r="AD20" i="96"/>
  <c r="AE20" i="96"/>
  <c r="AF20" i="96"/>
  <c r="D21" i="96"/>
  <c r="E21" i="96"/>
  <c r="F21" i="96"/>
  <c r="G21" i="96"/>
  <c r="H21" i="96"/>
  <c r="I21" i="96"/>
  <c r="J21" i="96"/>
  <c r="K21" i="96"/>
  <c r="L21" i="96"/>
  <c r="M21" i="96"/>
  <c r="N21" i="96"/>
  <c r="O21" i="96"/>
  <c r="P21" i="96"/>
  <c r="Q21" i="96"/>
  <c r="R21" i="96"/>
  <c r="S21" i="96"/>
  <c r="T21" i="96"/>
  <c r="U21" i="96"/>
  <c r="V21" i="96"/>
  <c r="W21" i="96"/>
  <c r="X21" i="96"/>
  <c r="Y21" i="96"/>
  <c r="Z21" i="96"/>
  <c r="AA21" i="96"/>
  <c r="AB21" i="96"/>
  <c r="AC21" i="96"/>
  <c r="AD21" i="96"/>
  <c r="AE21" i="96"/>
  <c r="AF21" i="96"/>
  <c r="D22" i="96"/>
  <c r="E22" i="96"/>
  <c r="F22" i="96"/>
  <c r="G22" i="96"/>
  <c r="H22" i="96"/>
  <c r="I22" i="96"/>
  <c r="J22" i="96"/>
  <c r="K22" i="96"/>
  <c r="L22" i="96"/>
  <c r="M22" i="96"/>
  <c r="N22" i="96"/>
  <c r="O22" i="96"/>
  <c r="P22" i="96"/>
  <c r="Q22" i="96"/>
  <c r="R22" i="96"/>
  <c r="S22" i="96"/>
  <c r="T22" i="96"/>
  <c r="U22" i="96"/>
  <c r="V22" i="96"/>
  <c r="W22" i="96"/>
  <c r="X22" i="96"/>
  <c r="Y22" i="96"/>
  <c r="Z22" i="96"/>
  <c r="AA22" i="96"/>
  <c r="AB22" i="96"/>
  <c r="AC22" i="96"/>
  <c r="AD22" i="96"/>
  <c r="AE22" i="96"/>
  <c r="AF22" i="96"/>
  <c r="D23" i="96"/>
  <c r="E23" i="96"/>
  <c r="F23" i="96"/>
  <c r="G23" i="96"/>
  <c r="H23" i="96"/>
  <c r="I23" i="96"/>
  <c r="J23" i="96"/>
  <c r="K23" i="96"/>
  <c r="L23" i="96"/>
  <c r="M23" i="96"/>
  <c r="N23" i="96"/>
  <c r="O23" i="96"/>
  <c r="P23" i="96"/>
  <c r="Q23" i="96"/>
  <c r="R23" i="96"/>
  <c r="S23" i="96"/>
  <c r="T23" i="96"/>
  <c r="U23" i="96"/>
  <c r="V23" i="96"/>
  <c r="W23" i="96"/>
  <c r="X23" i="96"/>
  <c r="Y23" i="96"/>
  <c r="Z23" i="96"/>
  <c r="AA23" i="96"/>
  <c r="AB23" i="96"/>
  <c r="AC23" i="96"/>
  <c r="AD23" i="96"/>
  <c r="AE23" i="96"/>
  <c r="AF23" i="96"/>
  <c r="D25" i="96"/>
  <c r="E25" i="96" s="1"/>
  <c r="F25" i="96" s="1"/>
  <c r="G25" i="96" s="1"/>
  <c r="H25" i="96" s="1"/>
  <c r="I25" i="96" s="1"/>
  <c r="J25" i="96" s="1"/>
  <c r="K25" i="96" s="1"/>
  <c r="L25" i="96" s="1"/>
  <c r="M25" i="96" s="1"/>
  <c r="N25" i="96" s="1"/>
  <c r="O25" i="96" s="1"/>
  <c r="P25" i="96" s="1"/>
  <c r="Q25" i="96" s="1"/>
  <c r="R25" i="96" s="1"/>
  <c r="S25" i="96" s="1"/>
  <c r="T25" i="96" s="1"/>
  <c r="U25" i="96" s="1"/>
  <c r="V25" i="96" s="1"/>
  <c r="W25" i="96" s="1"/>
  <c r="X25" i="96" s="1"/>
  <c r="Y25" i="96" s="1"/>
  <c r="Z25" i="96" s="1"/>
  <c r="AA25" i="96" s="1"/>
  <c r="AB25" i="96" s="1"/>
  <c r="AC25" i="96" s="1"/>
  <c r="AD25" i="96" s="1"/>
  <c r="AE25" i="96" s="1"/>
  <c r="AF25" i="96" s="1"/>
  <c r="D26" i="96"/>
  <c r="E26" i="96"/>
  <c r="F26" i="96"/>
  <c r="G26" i="96"/>
  <c r="H26" i="96"/>
  <c r="I26" i="96"/>
  <c r="J26" i="96"/>
  <c r="K26" i="96"/>
  <c r="L26" i="96"/>
  <c r="M26" i="96"/>
  <c r="N26" i="96"/>
  <c r="O26" i="96"/>
  <c r="P26" i="96"/>
  <c r="Q26" i="96"/>
  <c r="R26" i="96"/>
  <c r="S26" i="96"/>
  <c r="T26" i="96"/>
  <c r="U26" i="96"/>
  <c r="V26" i="96"/>
  <c r="W26" i="96"/>
  <c r="X26" i="96"/>
  <c r="Y26" i="96"/>
  <c r="Z26" i="96"/>
  <c r="AA26" i="96"/>
  <c r="AB26" i="96"/>
  <c r="AC26" i="96"/>
  <c r="AD26" i="96"/>
  <c r="AE26" i="96"/>
  <c r="AF26" i="96"/>
  <c r="D2" i="94"/>
  <c r="E2" i="94"/>
  <c r="F2" i="94"/>
  <c r="G2" i="94"/>
  <c r="H2" i="94"/>
  <c r="I2" i="94"/>
  <c r="J2" i="94"/>
  <c r="K2" i="94"/>
  <c r="L2" i="94"/>
  <c r="M2" i="94"/>
  <c r="N2" i="94"/>
  <c r="O2" i="94"/>
  <c r="P2" i="94"/>
  <c r="Q2" i="94"/>
  <c r="R2" i="94"/>
  <c r="S2" i="94"/>
  <c r="T2" i="94"/>
  <c r="U2" i="94"/>
  <c r="V2" i="94"/>
  <c r="W2" i="94"/>
  <c r="X2" i="94"/>
  <c r="Y2" i="94"/>
  <c r="Z2" i="94"/>
  <c r="AA2" i="94"/>
  <c r="AB2" i="94"/>
  <c r="AC2" i="94"/>
  <c r="D5" i="94"/>
  <c r="E5" i="94"/>
  <c r="F5" i="94"/>
  <c r="G5" i="94"/>
  <c r="H5" i="94"/>
  <c r="I5" i="94"/>
  <c r="J5" i="94"/>
  <c r="K5" i="94"/>
  <c r="L5" i="94"/>
  <c r="M5" i="94"/>
  <c r="N5" i="94"/>
  <c r="O5" i="94"/>
  <c r="P5" i="94"/>
  <c r="Q5" i="94"/>
  <c r="R5" i="94"/>
  <c r="S5" i="94"/>
  <c r="T5" i="94"/>
  <c r="U5" i="94"/>
  <c r="V5" i="94"/>
  <c r="W5" i="94"/>
  <c r="X5" i="94"/>
  <c r="Y5" i="94"/>
  <c r="Z5" i="94"/>
  <c r="AA5" i="94"/>
  <c r="AB5" i="94"/>
  <c r="AC5" i="94"/>
  <c r="D6" i="94"/>
  <c r="E6" i="94"/>
  <c r="F6" i="94"/>
  <c r="G6" i="94"/>
  <c r="H6" i="94"/>
  <c r="I6" i="94"/>
  <c r="J6" i="94"/>
  <c r="K6" i="94"/>
  <c r="L6" i="94"/>
  <c r="M6" i="94"/>
  <c r="N6" i="94"/>
  <c r="O6" i="94"/>
  <c r="P6" i="94"/>
  <c r="Q6" i="94"/>
  <c r="R6" i="94"/>
  <c r="S6" i="94"/>
  <c r="T6" i="94"/>
  <c r="U6" i="94"/>
  <c r="V6" i="94"/>
  <c r="W6" i="94"/>
  <c r="X6" i="94"/>
  <c r="Y6" i="94"/>
  <c r="Z6" i="94"/>
  <c r="AA6" i="94"/>
  <c r="AB6" i="94"/>
  <c r="AC6" i="94"/>
  <c r="D7" i="94"/>
  <c r="E7" i="94"/>
  <c r="F7" i="94"/>
  <c r="G7" i="94"/>
  <c r="H7" i="94"/>
  <c r="I7" i="94"/>
  <c r="J7" i="94"/>
  <c r="K7" i="94"/>
  <c r="L7" i="94"/>
  <c r="M7" i="94"/>
  <c r="N7" i="94"/>
  <c r="O7" i="94"/>
  <c r="P7" i="94"/>
  <c r="Q7" i="94"/>
  <c r="R7" i="94"/>
  <c r="S7" i="94"/>
  <c r="T7" i="94"/>
  <c r="U7" i="94"/>
  <c r="V7" i="94"/>
  <c r="W7" i="94"/>
  <c r="X7" i="94"/>
  <c r="Y7" i="94"/>
  <c r="Z7" i="94"/>
  <c r="AA7" i="94"/>
  <c r="AB7" i="94"/>
  <c r="AC7" i="94"/>
  <c r="D8" i="94"/>
  <c r="E8" i="94"/>
  <c r="F8" i="94"/>
  <c r="G8" i="94"/>
  <c r="H8" i="94"/>
  <c r="I8" i="94"/>
  <c r="J8" i="94"/>
  <c r="K8" i="94"/>
  <c r="L8" i="94"/>
  <c r="M8" i="94"/>
  <c r="N8" i="94"/>
  <c r="O8" i="94"/>
  <c r="P8" i="94"/>
  <c r="Q8" i="94"/>
  <c r="R8" i="94"/>
  <c r="S8" i="94"/>
  <c r="T8" i="94"/>
  <c r="U8" i="94"/>
  <c r="V8" i="94"/>
  <c r="W8" i="94"/>
  <c r="X8" i="94"/>
  <c r="Y8" i="94"/>
  <c r="Z8" i="94"/>
  <c r="AA8" i="94"/>
  <c r="AB8" i="94"/>
  <c r="AC8" i="94"/>
  <c r="D9" i="94"/>
  <c r="E9" i="94"/>
  <c r="F9" i="94"/>
  <c r="G9" i="94"/>
  <c r="H9" i="94"/>
  <c r="I9" i="94"/>
  <c r="J9" i="94"/>
  <c r="K9" i="94"/>
  <c r="L9" i="94"/>
  <c r="M9" i="94"/>
  <c r="N9" i="94"/>
  <c r="O9" i="94"/>
  <c r="P9" i="94"/>
  <c r="Q9" i="94"/>
  <c r="R9" i="94"/>
  <c r="S9" i="94"/>
  <c r="T9" i="94"/>
  <c r="U9" i="94"/>
  <c r="V9" i="94"/>
  <c r="W9" i="94"/>
  <c r="X9" i="94"/>
  <c r="Y9" i="94"/>
  <c r="Z9" i="94"/>
  <c r="AA9" i="94"/>
  <c r="AB9" i="94"/>
  <c r="AC9" i="94"/>
  <c r="D11" i="94"/>
  <c r="E11" i="94"/>
  <c r="F11" i="94"/>
  <c r="G11" i="94"/>
  <c r="H11" i="94"/>
  <c r="I11" i="94"/>
  <c r="J11" i="94"/>
  <c r="K11" i="94"/>
  <c r="L11" i="94"/>
  <c r="M11" i="94"/>
  <c r="N11" i="94"/>
  <c r="O11" i="94"/>
  <c r="P11" i="94"/>
  <c r="Q11" i="94"/>
  <c r="R11" i="94"/>
  <c r="S11" i="94"/>
  <c r="T11" i="94"/>
  <c r="U11" i="94"/>
  <c r="V11" i="94"/>
  <c r="W11" i="94"/>
  <c r="X11" i="94"/>
  <c r="Y11" i="94"/>
  <c r="Z11" i="94"/>
  <c r="AA11" i="94"/>
  <c r="AB11" i="94"/>
  <c r="AC11" i="94"/>
  <c r="D12" i="94"/>
  <c r="E12" i="94"/>
  <c r="F12" i="94"/>
  <c r="G12" i="94"/>
  <c r="H12" i="94"/>
  <c r="I12" i="94"/>
  <c r="J12" i="94"/>
  <c r="K12" i="94"/>
  <c r="L12" i="94"/>
  <c r="M12" i="94"/>
  <c r="N12" i="94"/>
  <c r="O12" i="94"/>
  <c r="P12" i="94"/>
  <c r="Q12" i="94"/>
  <c r="R12" i="94"/>
  <c r="S12" i="94"/>
  <c r="T12" i="94"/>
  <c r="U12" i="94"/>
  <c r="V12" i="94"/>
  <c r="W12" i="94"/>
  <c r="X12" i="94"/>
  <c r="Y12" i="94"/>
  <c r="Z12" i="94"/>
  <c r="AA12" i="94"/>
  <c r="AB12" i="94"/>
  <c r="AC12" i="94"/>
  <c r="D13" i="94"/>
  <c r="E13" i="94"/>
  <c r="F13" i="94"/>
  <c r="G13" i="94"/>
  <c r="H13" i="94"/>
  <c r="I13" i="94"/>
  <c r="J13" i="94"/>
  <c r="K13" i="94"/>
  <c r="L13" i="94"/>
  <c r="M13" i="94"/>
  <c r="N13" i="94"/>
  <c r="O13" i="94"/>
  <c r="P13" i="94"/>
  <c r="Q13" i="94"/>
  <c r="R13" i="94"/>
  <c r="S13" i="94"/>
  <c r="T13" i="94"/>
  <c r="U13" i="94"/>
  <c r="V13" i="94"/>
  <c r="W13" i="94"/>
  <c r="X13" i="94"/>
  <c r="Y13" i="94"/>
  <c r="Z13" i="94"/>
  <c r="AA13" i="94"/>
  <c r="AB13" i="94"/>
  <c r="AC13" i="94"/>
  <c r="D14" i="94"/>
  <c r="E14" i="94"/>
  <c r="F14" i="94"/>
  <c r="G14" i="94"/>
  <c r="H14" i="94"/>
  <c r="I14" i="94"/>
  <c r="J14" i="94"/>
  <c r="K14" i="94"/>
  <c r="L14" i="94"/>
  <c r="M14" i="94"/>
  <c r="N14" i="94"/>
  <c r="O14" i="94"/>
  <c r="P14" i="94"/>
  <c r="Q14" i="94"/>
  <c r="R14" i="94"/>
  <c r="S14" i="94"/>
  <c r="T14" i="94"/>
  <c r="U14" i="94"/>
  <c r="V14" i="94"/>
  <c r="W14" i="94"/>
  <c r="X14" i="94"/>
  <c r="Y14" i="94"/>
  <c r="Z14" i="94"/>
  <c r="AA14" i="94"/>
  <c r="AB14" i="94"/>
  <c r="AC14" i="94"/>
  <c r="D15" i="94"/>
  <c r="E15" i="94"/>
  <c r="F15" i="94"/>
  <c r="G15" i="94"/>
  <c r="H15" i="94"/>
  <c r="I15" i="94"/>
  <c r="J15" i="94"/>
  <c r="K15" i="94"/>
  <c r="L15" i="94"/>
  <c r="M15" i="94"/>
  <c r="N15" i="94"/>
  <c r="O15" i="94"/>
  <c r="P15" i="94"/>
  <c r="Q15" i="94"/>
  <c r="R15" i="94"/>
  <c r="S15" i="94"/>
  <c r="T15" i="94"/>
  <c r="U15" i="94"/>
  <c r="V15" i="94"/>
  <c r="W15" i="94"/>
  <c r="X15" i="94"/>
  <c r="Y15" i="94"/>
  <c r="Z15" i="94"/>
  <c r="AA15" i="94"/>
  <c r="AB15" i="94"/>
  <c r="AC15" i="94"/>
  <c r="D16" i="94"/>
  <c r="E16" i="94"/>
  <c r="F16" i="94"/>
  <c r="G16" i="94"/>
  <c r="H16" i="94"/>
  <c r="I16" i="94"/>
  <c r="J16" i="94"/>
  <c r="K16" i="94"/>
  <c r="L16" i="94"/>
  <c r="M16" i="94"/>
  <c r="N16" i="94"/>
  <c r="O16" i="94"/>
  <c r="P16" i="94"/>
  <c r="Q16" i="94"/>
  <c r="R16" i="94"/>
  <c r="S16" i="94"/>
  <c r="T16" i="94"/>
  <c r="U16" i="94"/>
  <c r="V16" i="94"/>
  <c r="W16" i="94"/>
  <c r="X16" i="94"/>
  <c r="Y16" i="94"/>
  <c r="Z16" i="94"/>
  <c r="AA16" i="94"/>
  <c r="AB16" i="94"/>
  <c r="AC16" i="94"/>
  <c r="D17" i="94"/>
  <c r="E17" i="94"/>
  <c r="F17" i="94"/>
  <c r="G17" i="94"/>
  <c r="H17" i="94"/>
  <c r="I17" i="94"/>
  <c r="J17" i="94"/>
  <c r="K17" i="94"/>
  <c r="L17" i="94"/>
  <c r="M17" i="94"/>
  <c r="N17" i="94"/>
  <c r="O17" i="94"/>
  <c r="P17" i="94"/>
  <c r="Q17" i="94"/>
  <c r="R17" i="94"/>
  <c r="S17" i="94"/>
  <c r="T17" i="94"/>
  <c r="U17" i="94"/>
  <c r="V17" i="94"/>
  <c r="W17" i="94"/>
  <c r="X17" i="94"/>
  <c r="Y17" i="94"/>
  <c r="Z17" i="94"/>
  <c r="AA17" i="94"/>
  <c r="AB17" i="94"/>
  <c r="AC17" i="94"/>
  <c r="D18" i="94"/>
  <c r="E18" i="94"/>
  <c r="F18" i="94"/>
  <c r="G18" i="94"/>
  <c r="H18" i="94"/>
  <c r="I18" i="94"/>
  <c r="J18" i="94"/>
  <c r="K18" i="94"/>
  <c r="L18" i="94"/>
  <c r="M18" i="94"/>
  <c r="N18" i="94"/>
  <c r="O18" i="94"/>
  <c r="P18" i="94"/>
  <c r="Q18" i="94"/>
  <c r="R18" i="94"/>
  <c r="S18" i="94"/>
  <c r="T18" i="94"/>
  <c r="U18" i="94"/>
  <c r="V18" i="94"/>
  <c r="W18" i="94"/>
  <c r="X18" i="94"/>
  <c r="Y18" i="94"/>
  <c r="Z18" i="94"/>
  <c r="AA18" i="94"/>
  <c r="AB18" i="94"/>
  <c r="AC18" i="94"/>
  <c r="D19" i="94"/>
  <c r="E19" i="94"/>
  <c r="F19" i="94"/>
  <c r="G19" i="94"/>
  <c r="H19" i="94"/>
  <c r="I19" i="94"/>
  <c r="J19" i="94"/>
  <c r="K19" i="94"/>
  <c r="L19" i="94"/>
  <c r="M19" i="94"/>
  <c r="N19" i="94"/>
  <c r="O19" i="94"/>
  <c r="P19" i="94"/>
  <c r="Q19" i="94"/>
  <c r="R19" i="94"/>
  <c r="S19" i="94"/>
  <c r="T19" i="94"/>
  <c r="U19" i="94"/>
  <c r="V19" i="94"/>
  <c r="W19" i="94"/>
  <c r="X19" i="94"/>
  <c r="Y19" i="94"/>
  <c r="Z19" i="94"/>
  <c r="AA19" i="94"/>
  <c r="AB19" i="94"/>
  <c r="AC19" i="94"/>
  <c r="D20" i="94"/>
  <c r="E20" i="94"/>
  <c r="F20" i="94"/>
  <c r="G20" i="94"/>
  <c r="H20" i="94"/>
  <c r="I20" i="94"/>
  <c r="J20" i="94"/>
  <c r="K20" i="94"/>
  <c r="L20" i="94"/>
  <c r="M20" i="94"/>
  <c r="N20" i="94"/>
  <c r="O20" i="94"/>
  <c r="P20" i="94"/>
  <c r="Q20" i="94"/>
  <c r="R20" i="94"/>
  <c r="S20" i="94"/>
  <c r="T20" i="94"/>
  <c r="U20" i="94"/>
  <c r="V20" i="94"/>
  <c r="W20" i="94"/>
  <c r="X20" i="94"/>
  <c r="Y20" i="94"/>
  <c r="Z20" i="94"/>
  <c r="AA20" i="94"/>
  <c r="AB20" i="94"/>
  <c r="AC20" i="94"/>
  <c r="D21" i="94"/>
  <c r="E21" i="94"/>
  <c r="F21" i="94"/>
  <c r="G21" i="94"/>
  <c r="H21" i="94"/>
  <c r="I21" i="94"/>
  <c r="J21" i="94"/>
  <c r="K21" i="94"/>
  <c r="L21" i="94"/>
  <c r="M21" i="94"/>
  <c r="N21" i="94"/>
  <c r="O21" i="94"/>
  <c r="P21" i="94"/>
  <c r="Q21" i="94"/>
  <c r="R21" i="94"/>
  <c r="S21" i="94"/>
  <c r="T21" i="94"/>
  <c r="U21" i="94"/>
  <c r="V21" i="94"/>
  <c r="W21" i="94"/>
  <c r="X21" i="94"/>
  <c r="Y21" i="94"/>
  <c r="Z21" i="94"/>
  <c r="AA21" i="94"/>
  <c r="AB21" i="94"/>
  <c r="AC21" i="94"/>
  <c r="D22" i="94"/>
  <c r="E22" i="94"/>
  <c r="F22" i="94"/>
  <c r="G22" i="94"/>
  <c r="H22" i="94"/>
  <c r="I22" i="94"/>
  <c r="J22" i="94"/>
  <c r="K22" i="94"/>
  <c r="L22" i="94"/>
  <c r="M22" i="94"/>
  <c r="N22" i="94"/>
  <c r="O22" i="94"/>
  <c r="P22" i="94"/>
  <c r="Q22" i="94"/>
  <c r="R22" i="94"/>
  <c r="S22" i="94"/>
  <c r="T22" i="94"/>
  <c r="U22" i="94"/>
  <c r="V22" i="94"/>
  <c r="W22" i="94"/>
  <c r="X22" i="94"/>
  <c r="Y22" i="94"/>
  <c r="Z22" i="94"/>
  <c r="AA22" i="94"/>
  <c r="AB22" i="94"/>
  <c r="AC22" i="94"/>
  <c r="D23" i="94"/>
  <c r="E23" i="94"/>
  <c r="F23" i="94"/>
  <c r="G23" i="94"/>
  <c r="H23" i="94"/>
  <c r="I23" i="94"/>
  <c r="J23" i="94"/>
  <c r="K23" i="94"/>
  <c r="L23" i="94"/>
  <c r="M23" i="94"/>
  <c r="N23" i="94"/>
  <c r="O23" i="94"/>
  <c r="P23" i="94"/>
  <c r="Q23" i="94"/>
  <c r="R23" i="94"/>
  <c r="S23" i="94"/>
  <c r="T23" i="94"/>
  <c r="U23" i="94"/>
  <c r="V23" i="94"/>
  <c r="W23" i="94"/>
  <c r="X23" i="94"/>
  <c r="Y23" i="94"/>
  <c r="Z23" i="94"/>
  <c r="AA23" i="94"/>
  <c r="AB23" i="94"/>
  <c r="AC23" i="94"/>
  <c r="D26" i="94"/>
  <c r="E26" i="94"/>
  <c r="F26" i="94"/>
  <c r="G26" i="94"/>
  <c r="H26" i="94"/>
  <c r="I26" i="94"/>
  <c r="J26" i="94"/>
  <c r="K26" i="94"/>
  <c r="L26" i="94"/>
  <c r="M26" i="94"/>
  <c r="N26" i="94"/>
  <c r="O26" i="94"/>
  <c r="P26" i="94"/>
  <c r="Q26" i="94"/>
  <c r="R26" i="94"/>
  <c r="S26" i="94"/>
  <c r="T26" i="94"/>
  <c r="U26" i="94"/>
  <c r="V26" i="94"/>
  <c r="W26" i="94"/>
  <c r="X26" i="94"/>
  <c r="Y26" i="94"/>
  <c r="Z26" i="94"/>
  <c r="AA26" i="94"/>
  <c r="AB26" i="94"/>
  <c r="AC26" i="94"/>
  <c r="AK10" i="74" a="1"/>
  <c r="AK10" i="74"/>
  <c r="AL10" i="74" a="1"/>
  <c r="AL10" i="74"/>
  <c r="AM10" i="74" a="1"/>
  <c r="AM10" i="74"/>
  <c r="AN10" i="74" a="1"/>
  <c r="AN10" i="74" s="1"/>
  <c r="AO10" i="74" a="1"/>
  <c r="AO10" i="74"/>
  <c r="AP10" i="74" a="1"/>
  <c r="AP10" i="74"/>
  <c r="AQ10" i="74" a="1"/>
  <c r="AQ10" i="74"/>
  <c r="AR10" i="74" a="1"/>
  <c r="AR10" i="74"/>
  <c r="AS10" i="74" a="1"/>
  <c r="AS10" i="74"/>
  <c r="AK11" i="74" a="1"/>
  <c r="AK11" i="74"/>
  <c r="AL11" i="74" a="1"/>
  <c r="AL11" i="74"/>
  <c r="AM11" i="74" a="1"/>
  <c r="AM11" i="74"/>
  <c r="AN11" i="74" a="1"/>
  <c r="AN11" i="74" s="1"/>
  <c r="AO11" i="74" a="1"/>
  <c r="AO11" i="74"/>
  <c r="AP11" i="74" a="1"/>
  <c r="AP11" i="74"/>
  <c r="AQ11" i="74" a="1"/>
  <c r="AQ11" i="74"/>
  <c r="AR11" i="74" a="1"/>
  <c r="AR11" i="74"/>
  <c r="AS11" i="74" a="1"/>
  <c r="AS11" i="74"/>
  <c r="AK12" i="74" a="1"/>
  <c r="AK12" i="74"/>
  <c r="AL12" i="74" a="1"/>
  <c r="AL12" i="74"/>
  <c r="AM12" i="74" a="1"/>
  <c r="AM12" i="74"/>
  <c r="AN12" i="74" a="1"/>
  <c r="AN12" i="74" s="1"/>
  <c r="AO12" i="74" a="1"/>
  <c r="AO12" i="74"/>
  <c r="AP12" i="74" a="1"/>
  <c r="AP12" i="74"/>
  <c r="AQ12" i="74" a="1"/>
  <c r="AQ12" i="74"/>
  <c r="AR12" i="74" a="1"/>
  <c r="AR12" i="74"/>
  <c r="AS12" i="74" a="1"/>
  <c r="AS12" i="74"/>
  <c r="AK13" i="74" a="1"/>
  <c r="AK13" i="74"/>
  <c r="AL13" i="74" a="1"/>
  <c r="AL13" i="74"/>
  <c r="AM13" i="74" a="1"/>
  <c r="AM13" i="74"/>
  <c r="AN13" i="74" a="1"/>
  <c r="AN13" i="74" s="1"/>
  <c r="AO13" i="74" a="1"/>
  <c r="AO13" i="74"/>
  <c r="AP13" i="74" a="1"/>
  <c r="AP13" i="74"/>
  <c r="AQ13" i="74" a="1"/>
  <c r="AQ13" i="74"/>
  <c r="AR13" i="74" a="1"/>
  <c r="AR13" i="74"/>
  <c r="AS13" i="74" a="1"/>
  <c r="AS13" i="74"/>
  <c r="AK14" i="74" a="1"/>
  <c r="AK14" i="74"/>
  <c r="AL14" i="74" a="1"/>
  <c r="AL14" i="74"/>
  <c r="AM14" i="74" a="1"/>
  <c r="AM14" i="74"/>
  <c r="AN14" i="74" a="1"/>
  <c r="AN14" i="74" s="1"/>
  <c r="AO14" i="74" a="1"/>
  <c r="AO14" i="74"/>
  <c r="AP14" i="74" a="1"/>
  <c r="AP14" i="74"/>
  <c r="AQ14" i="74" a="1"/>
  <c r="AQ14" i="74"/>
  <c r="AR14" i="74" a="1"/>
  <c r="AR14" i="74"/>
  <c r="AS14" i="74" a="1"/>
  <c r="AS14" i="74"/>
  <c r="AK15" i="74" a="1"/>
  <c r="AK15" i="74"/>
  <c r="AL15" i="74" a="1"/>
  <c r="AL15" i="74"/>
  <c r="AM15" i="74" a="1"/>
  <c r="AM15" i="74"/>
  <c r="AN15" i="74" a="1"/>
  <c r="AN15" i="74" s="1"/>
  <c r="AO15" i="74" a="1"/>
  <c r="AO15" i="74"/>
  <c r="AP15" i="74" a="1"/>
  <c r="AP15" i="74"/>
  <c r="AQ15" i="74" a="1"/>
  <c r="AQ15" i="74"/>
  <c r="AR15" i="74" a="1"/>
  <c r="AR15" i="74"/>
  <c r="AS15" i="74" a="1"/>
  <c r="AS15" i="74"/>
  <c r="AK16" i="74" a="1"/>
  <c r="AK16" i="74"/>
  <c r="AL16" i="74" a="1"/>
  <c r="AL16" i="74"/>
  <c r="AM16" i="74" a="1"/>
  <c r="AM16" i="74"/>
  <c r="AN16" i="74" a="1"/>
  <c r="AN16" i="74" s="1"/>
  <c r="AO16" i="74" a="1"/>
  <c r="AO16" i="74"/>
  <c r="AP16" i="74" a="1"/>
  <c r="AP16" i="74"/>
  <c r="AQ16" i="74" a="1"/>
  <c r="AQ16" i="74"/>
  <c r="AR16" i="74" a="1"/>
  <c r="AR16" i="74"/>
  <c r="AS16" i="74" a="1"/>
  <c r="AS16" i="74"/>
  <c r="AK17" i="74" a="1"/>
  <c r="AK17" i="74"/>
  <c r="AL17" i="74" a="1"/>
  <c r="AL17" i="74"/>
  <c r="AM17" i="74" a="1"/>
  <c r="AM17" i="74"/>
  <c r="AN17" i="74" a="1"/>
  <c r="AN17" i="74" s="1"/>
  <c r="AO17" i="74" a="1"/>
  <c r="AO17" i="74"/>
  <c r="AP17" i="74" a="1"/>
  <c r="AP17" i="74"/>
  <c r="AQ17" i="74" a="1"/>
  <c r="AQ17" i="74"/>
  <c r="AR17" i="74" a="1"/>
  <c r="AR17" i="74"/>
  <c r="AS17" i="74" a="1"/>
  <c r="AS17" i="74"/>
  <c r="AK18" i="74" a="1"/>
  <c r="AK18" i="74"/>
  <c r="AL18" i="74" a="1"/>
  <c r="AL18" i="74"/>
  <c r="AM18" i="74" a="1"/>
  <c r="AM18" i="74"/>
  <c r="AN18" i="74" a="1"/>
  <c r="AN18" i="74" s="1"/>
  <c r="AO18" i="74" a="1"/>
  <c r="AO18" i="74"/>
  <c r="AP18" i="74" a="1"/>
  <c r="AP18" i="74"/>
  <c r="AQ18" i="74" a="1"/>
  <c r="AQ18" i="74"/>
  <c r="AR18" i="74" a="1"/>
  <c r="AR18" i="74"/>
  <c r="AS18" i="74" a="1"/>
  <c r="AS18" i="74"/>
  <c r="AK19" i="74" a="1"/>
  <c r="AK19" i="74"/>
  <c r="AL19" i="74" a="1"/>
  <c r="AL19" i="74"/>
  <c r="AM19" i="74" a="1"/>
  <c r="AM19" i="74"/>
  <c r="AN19" i="74" a="1"/>
  <c r="AN19" i="74" s="1"/>
  <c r="AO19" i="74" a="1"/>
  <c r="AO19" i="74"/>
  <c r="AP19" i="74" a="1"/>
  <c r="AP19" i="74"/>
  <c r="AQ19" i="74" a="1"/>
  <c r="AQ19" i="74"/>
  <c r="AR19" i="74" a="1"/>
  <c r="AR19" i="74"/>
  <c r="AS19" i="74" a="1"/>
  <c r="AS19" i="74"/>
  <c r="AK20" i="74" a="1"/>
  <c r="AK20" i="74"/>
  <c r="AL20" i="74" a="1"/>
  <c r="AL20" i="74"/>
  <c r="AM20" i="74" a="1"/>
  <c r="AM20" i="74"/>
  <c r="AN20" i="74" a="1"/>
  <c r="AN20" i="74" s="1"/>
  <c r="AO20" i="74" a="1"/>
  <c r="AO20" i="74"/>
  <c r="AP20" i="74" a="1"/>
  <c r="AP20" i="74"/>
  <c r="AQ20" i="74" a="1"/>
  <c r="AQ20" i="74"/>
  <c r="AR20" i="74" a="1"/>
  <c r="AR20" i="74"/>
  <c r="AS20" i="74" a="1"/>
  <c r="AS20" i="74"/>
  <c r="AK21" i="74" a="1"/>
  <c r="AK21" i="74"/>
  <c r="AL21" i="74" a="1"/>
  <c r="AL21" i="74"/>
  <c r="AM21" i="74" a="1"/>
  <c r="AM21" i="74"/>
  <c r="AN21" i="74" a="1"/>
  <c r="AN21" i="74" s="1"/>
  <c r="AO21" i="74" a="1"/>
  <c r="AO21" i="74"/>
  <c r="AP21" i="74" a="1"/>
  <c r="AP21" i="74"/>
  <c r="AQ21" i="74" a="1"/>
  <c r="AQ21" i="74"/>
  <c r="AR21" i="74" a="1"/>
  <c r="AR21" i="74"/>
  <c r="AS21" i="74" a="1"/>
  <c r="AS21" i="74"/>
  <c r="AK22" i="74" a="1"/>
  <c r="AK22" i="74" s="1"/>
  <c r="AL22" i="74" a="1"/>
  <c r="AL22" i="74"/>
  <c r="AM22" i="74" a="1"/>
  <c r="AM22" i="74"/>
  <c r="AN22" i="74" a="1"/>
  <c r="AN22" i="74" s="1"/>
  <c r="AO22" i="74" a="1"/>
  <c r="AO22" i="74"/>
  <c r="AP22" i="74" a="1"/>
  <c r="AP22" i="74"/>
  <c r="AQ22" i="74" a="1"/>
  <c r="AQ22" i="74"/>
  <c r="AR22" i="74" a="1"/>
  <c r="AR22" i="74"/>
  <c r="AS22" i="74" a="1"/>
  <c r="AS22" i="74"/>
  <c r="AK23" i="74" a="1"/>
  <c r="AK23" i="74" s="1"/>
  <c r="AL23" i="74" a="1"/>
  <c r="AL23" i="74"/>
  <c r="AM23" i="74" a="1"/>
  <c r="AM23" i="74"/>
  <c r="AN23" i="74" a="1"/>
  <c r="AN23" i="74" s="1"/>
  <c r="AO23" i="74" a="1"/>
  <c r="AO23" i="74"/>
  <c r="AP23" i="74" a="1"/>
  <c r="AP23" i="74"/>
  <c r="AQ23" i="74" a="1"/>
  <c r="AQ23" i="74"/>
  <c r="AR23" i="74" a="1"/>
  <c r="AR23" i="74"/>
  <c r="AS23" i="74" a="1"/>
  <c r="AS23" i="74"/>
  <c r="AK24" i="74" a="1"/>
  <c r="AK24" i="74" s="1"/>
  <c r="AL24" i="74" a="1"/>
  <c r="AL24" i="74"/>
  <c r="AM24" i="74" a="1"/>
  <c r="AM24" i="74"/>
  <c r="AN24" i="74" a="1"/>
  <c r="AN24" i="74" s="1"/>
  <c r="AO24" i="74" a="1"/>
  <c r="AO24" i="74"/>
  <c r="AP24" i="74" a="1"/>
  <c r="AP24" i="74"/>
  <c r="AQ24" i="74" a="1"/>
  <c r="AQ24" i="74"/>
  <c r="AR24" i="74" a="1"/>
  <c r="AR24" i="74"/>
  <c r="AS24" i="74" a="1"/>
  <c r="AS24" i="74"/>
  <c r="AK25" i="74" a="1"/>
  <c r="AK25" i="74" s="1"/>
  <c r="AL25" i="74" a="1"/>
  <c r="AL25" i="74"/>
  <c r="AM25" i="74" a="1"/>
  <c r="AM25" i="74"/>
  <c r="AN25" i="74" a="1"/>
  <c r="AN25" i="74" s="1"/>
  <c r="AO25" i="74" a="1"/>
  <c r="AO25" i="74"/>
  <c r="AP25" i="74" a="1"/>
  <c r="AP25" i="74"/>
  <c r="AQ25" i="74" a="1"/>
  <c r="AQ25" i="74"/>
  <c r="AR25" i="74" a="1"/>
  <c r="AR25" i="74"/>
  <c r="AS25" i="74" a="1"/>
  <c r="AS25" i="74"/>
  <c r="AK26" i="74" a="1"/>
  <c r="AK26" i="74" s="1"/>
  <c r="AL26" i="74" a="1"/>
  <c r="AL26" i="74"/>
  <c r="AM26" i="74" a="1"/>
  <c r="AM26" i="74"/>
  <c r="AN26" i="74" a="1"/>
  <c r="AN26" i="74" s="1"/>
  <c r="AO26" i="74" a="1"/>
  <c r="AO26" i="74"/>
  <c r="AP26" i="74" a="1"/>
  <c r="AP26" i="74"/>
  <c r="AQ26" i="74" a="1"/>
  <c r="AQ26" i="74"/>
  <c r="AR26" i="74" a="1"/>
  <c r="AR26" i="74"/>
  <c r="AS26" i="74" a="1"/>
  <c r="AS26" i="74"/>
  <c r="AK27" i="74" a="1"/>
  <c r="AK27" i="74" s="1"/>
  <c r="AL27" i="74" a="1"/>
  <c r="AL27" i="74"/>
  <c r="AM27" i="74" a="1"/>
  <c r="AM27" i="74"/>
  <c r="AN27" i="74" a="1"/>
  <c r="AN27" i="74" s="1"/>
  <c r="AO27" i="74" a="1"/>
  <c r="AO27" i="74"/>
  <c r="AP27" i="74" a="1"/>
  <c r="AP27" i="74"/>
  <c r="AQ27" i="74" a="1"/>
  <c r="AQ27" i="74"/>
  <c r="AR27" i="74" a="1"/>
  <c r="AR27" i="74"/>
  <c r="AS27" i="74" a="1"/>
  <c r="AS27" i="74"/>
  <c r="AK28" i="74" a="1"/>
  <c r="AK28" i="74" s="1"/>
  <c r="AL28" i="74" a="1"/>
  <c r="AL28" i="74"/>
  <c r="AM28" i="74" a="1"/>
  <c r="AM28" i="74"/>
  <c r="AN28" i="74" a="1"/>
  <c r="AN28" i="74" s="1"/>
  <c r="AO28" i="74" a="1"/>
  <c r="AO28" i="74"/>
  <c r="AP28" i="74" a="1"/>
  <c r="AP28" i="74"/>
  <c r="AQ28" i="74" a="1"/>
  <c r="AQ28" i="74"/>
  <c r="AR28" i="74" a="1"/>
  <c r="AR28" i="74"/>
  <c r="AS28" i="74" a="1"/>
  <c r="AS28" i="74"/>
  <c r="AK29" i="74" a="1"/>
  <c r="AK29" i="74" s="1"/>
  <c r="AL29" i="74" a="1"/>
  <c r="AL29" i="74"/>
  <c r="AM29" i="74" a="1"/>
  <c r="AM29" i="74"/>
  <c r="AN29" i="74" a="1"/>
  <c r="AN29" i="74" s="1"/>
  <c r="AO29" i="74" a="1"/>
  <c r="AO29" i="74"/>
  <c r="AP29" i="74" a="1"/>
  <c r="AP29" i="74"/>
  <c r="AQ29" i="74" a="1"/>
  <c r="AQ29" i="74"/>
  <c r="AR29" i="74" a="1"/>
  <c r="AR29" i="74"/>
  <c r="AS29" i="74" a="1"/>
  <c r="AS29" i="74"/>
  <c r="AK30" i="74" a="1"/>
  <c r="AK30" i="74" s="1"/>
  <c r="AL30" i="74" a="1"/>
  <c r="AL30" i="74"/>
  <c r="AM30" i="74" a="1"/>
  <c r="AM30" i="74"/>
  <c r="AN30" i="74" a="1"/>
  <c r="AN30" i="74" s="1"/>
  <c r="AO30" i="74" a="1"/>
  <c r="AO30" i="74"/>
  <c r="AP30" i="74" a="1"/>
  <c r="AP30" i="74"/>
  <c r="AQ30" i="74" a="1"/>
  <c r="AQ30" i="74"/>
  <c r="AR30" i="74" a="1"/>
  <c r="AR30" i="74"/>
  <c r="AS30" i="74" a="1"/>
  <c r="AS30" i="74"/>
  <c r="AK31" i="74" a="1"/>
  <c r="AK31" i="74" s="1"/>
  <c r="AL31" i="74" a="1"/>
  <c r="AL31" i="74"/>
  <c r="AM31" i="74" a="1"/>
  <c r="AM31" i="74"/>
  <c r="AN31" i="74" a="1"/>
  <c r="AN31" i="74" s="1"/>
  <c r="AO31" i="74" a="1"/>
  <c r="AO31" i="74"/>
  <c r="AP31" i="74" a="1"/>
  <c r="AP31" i="74"/>
  <c r="AQ31" i="74" a="1"/>
  <c r="AQ31" i="74"/>
  <c r="AR31" i="74" a="1"/>
  <c r="AR31" i="74"/>
  <c r="AS31" i="74" a="1"/>
  <c r="AS31" i="74"/>
  <c r="AK32" i="74" a="1"/>
  <c r="AK32" i="74" s="1"/>
  <c r="AL32" i="74" a="1"/>
  <c r="AL32" i="74"/>
  <c r="AM32" i="74" a="1"/>
  <c r="AM32" i="74"/>
  <c r="AN32" i="74" a="1"/>
  <c r="AN32" i="74" s="1"/>
  <c r="AO32" i="74" a="1"/>
  <c r="AO32" i="74"/>
  <c r="AP32" i="74" a="1"/>
  <c r="AP32" i="74"/>
  <c r="AQ32" i="74" a="1"/>
  <c r="AQ32" i="74"/>
  <c r="AR32" i="74" a="1"/>
  <c r="AR32" i="74"/>
  <c r="AS32" i="74" a="1"/>
  <c r="AS32" i="74"/>
  <c r="AK33" i="74" a="1"/>
  <c r="AK33" i="74" s="1"/>
  <c r="AL33" i="74" a="1"/>
  <c r="AL33" i="74"/>
  <c r="AM33" i="74" a="1"/>
  <c r="AM33" i="74"/>
  <c r="AN33" i="74" a="1"/>
  <c r="AN33" i="74" s="1"/>
  <c r="AO33" i="74" a="1"/>
  <c r="AO33" i="74"/>
  <c r="AP33" i="74" a="1"/>
  <c r="AP33" i="74"/>
  <c r="AQ33" i="74" a="1"/>
  <c r="AQ33" i="74"/>
  <c r="AR33" i="74" a="1"/>
  <c r="AR33" i="74"/>
  <c r="AS33" i="74" a="1"/>
  <c r="AS33" i="74"/>
  <c r="AK34" i="74" a="1"/>
  <c r="AK34" i="74" s="1"/>
  <c r="AL34" i="74" a="1"/>
  <c r="AL34" i="74"/>
  <c r="AM34" i="74" a="1"/>
  <c r="AM34" i="74"/>
  <c r="AN34" i="74" a="1"/>
  <c r="AN34" i="74" s="1"/>
  <c r="AO34" i="74" a="1"/>
  <c r="AO34" i="74"/>
  <c r="AP34" i="74" a="1"/>
  <c r="AP34" i="74"/>
  <c r="AQ34" i="74" a="1"/>
  <c r="AQ34" i="74"/>
  <c r="AR34" i="74" a="1"/>
  <c r="AR34" i="74"/>
  <c r="AS34" i="74" a="1"/>
  <c r="AS34" i="74"/>
  <c r="AK35" i="74" a="1"/>
  <c r="AK35" i="74" s="1"/>
  <c r="AL35" i="74" a="1"/>
  <c r="AL35" i="74"/>
  <c r="AM35" i="74" a="1"/>
  <c r="AM35" i="74"/>
  <c r="AN35" i="74" a="1"/>
  <c r="AN35" i="74" s="1"/>
  <c r="AO35" i="74" a="1"/>
  <c r="AO35" i="74"/>
  <c r="AP35" i="74" a="1"/>
  <c r="AP35" i="74"/>
  <c r="AQ35" i="74" a="1"/>
  <c r="AQ35" i="74"/>
  <c r="AR35" i="74" a="1"/>
  <c r="AR35" i="74"/>
  <c r="AS35" i="74" a="1"/>
  <c r="AS35" i="74"/>
  <c r="AK36" i="74" a="1"/>
  <c r="AK36" i="74" s="1"/>
  <c r="AL36" i="74" a="1"/>
  <c r="AL36" i="74"/>
  <c r="AM36" i="74" a="1"/>
  <c r="AM36" i="74"/>
  <c r="AN36" i="74" a="1"/>
  <c r="AN36" i="74" s="1"/>
  <c r="AO36" i="74" a="1"/>
  <c r="AO36" i="74"/>
  <c r="AP36" i="74" a="1"/>
  <c r="AP36" i="74"/>
  <c r="AQ36" i="74" a="1"/>
  <c r="AQ36" i="74"/>
  <c r="AR36" i="74" a="1"/>
  <c r="AR36" i="74"/>
  <c r="AS36" i="74" a="1"/>
  <c r="AS36" i="74"/>
  <c r="AK37" i="74" a="1"/>
  <c r="AK37" i="74" s="1"/>
  <c r="AL37" i="74" a="1"/>
  <c r="AL37" i="74"/>
  <c r="AM37" i="74" a="1"/>
  <c r="AM37" i="74"/>
  <c r="AN37" i="74" a="1"/>
  <c r="AN37" i="74" s="1"/>
  <c r="AO37" i="74" a="1"/>
  <c r="AO37" i="74"/>
  <c r="AP37" i="74" a="1"/>
  <c r="AP37" i="74"/>
  <c r="AQ37" i="74" a="1"/>
  <c r="AQ37" i="74"/>
  <c r="AR37" i="74" a="1"/>
  <c r="AR37" i="74"/>
  <c r="AS37" i="74" a="1"/>
  <c r="AS37" i="74"/>
  <c r="AK38" i="74" a="1"/>
  <c r="AK38" i="74" s="1"/>
  <c r="AL38" i="74" a="1"/>
  <c r="AL38" i="74"/>
  <c r="AM38" i="74" a="1"/>
  <c r="AM38" i="74"/>
  <c r="AN38" i="74" a="1"/>
  <c r="AN38" i="74" s="1"/>
  <c r="AO38" i="74" a="1"/>
  <c r="AO38" i="74"/>
  <c r="AP38" i="74" a="1"/>
  <c r="AP38" i="74"/>
  <c r="AQ38" i="74" a="1"/>
  <c r="AQ38" i="74"/>
  <c r="AR38" i="74" a="1"/>
  <c r="AR38" i="74"/>
  <c r="AS38" i="74" a="1"/>
  <c r="AS38" i="74"/>
  <c r="AK39" i="74" a="1"/>
  <c r="AK39" i="74" s="1"/>
  <c r="AL39" i="74" a="1"/>
  <c r="AL39" i="74"/>
  <c r="AM39" i="74" a="1"/>
  <c r="AM39" i="74"/>
  <c r="AN39" i="74" a="1"/>
  <c r="AN39" i="74" s="1"/>
  <c r="AO39" i="74" a="1"/>
  <c r="AO39" i="74"/>
  <c r="AP39" i="74" a="1"/>
  <c r="AP39" i="74"/>
  <c r="AQ39" i="74" a="1"/>
  <c r="AQ39" i="74"/>
  <c r="AR39" i="74" a="1"/>
  <c r="AR39" i="74"/>
  <c r="AS39" i="74" a="1"/>
  <c r="AS39" i="74" s="1"/>
  <c r="AK40" i="74" a="1"/>
  <c r="AK40" i="74" s="1"/>
  <c r="AL40" i="74" a="1"/>
  <c r="AL40" i="74"/>
  <c r="AM40" i="74" a="1"/>
  <c r="AM40" i="74"/>
  <c r="AN40" i="74" a="1"/>
  <c r="AN40" i="74" s="1"/>
  <c r="AO40" i="74" a="1"/>
  <c r="AO40" i="74"/>
  <c r="AP40" i="74" a="1"/>
  <c r="AP40" i="74"/>
  <c r="AQ40" i="74" a="1"/>
  <c r="AQ40" i="74"/>
  <c r="AR40" i="74" a="1"/>
  <c r="AR40" i="74"/>
  <c r="AS40" i="74" a="1"/>
  <c r="AS40" i="74"/>
  <c r="AK41" i="74" a="1"/>
  <c r="AK41" i="74" s="1"/>
  <c r="AL41" i="74" a="1"/>
  <c r="AL41" i="74"/>
  <c r="AM41" i="74" a="1"/>
  <c r="AM41" i="74"/>
  <c r="AN41" i="74" a="1"/>
  <c r="AN41" i="74" s="1"/>
  <c r="AO41" i="74" a="1"/>
  <c r="AO41" i="74"/>
  <c r="AP41" i="74" a="1"/>
  <c r="AP41" i="74"/>
  <c r="AQ41" i="74" a="1"/>
  <c r="AQ41" i="74"/>
  <c r="AR41" i="74" a="1"/>
  <c r="AR41" i="74"/>
  <c r="AS41" i="74" a="1"/>
  <c r="AS41" i="74"/>
  <c r="AK42" i="74" a="1"/>
  <c r="AK42" i="74" s="1"/>
  <c r="AL42" i="74" a="1"/>
  <c r="AL42" i="74"/>
  <c r="AM42" i="74" a="1"/>
  <c r="AM42" i="74"/>
  <c r="AN42" i="74" a="1"/>
  <c r="AN42" i="74" s="1"/>
  <c r="AO42" i="74" a="1"/>
  <c r="AO42" i="74"/>
  <c r="AP42" i="74" a="1"/>
  <c r="AP42" i="74"/>
  <c r="AQ42" i="74" a="1"/>
  <c r="AQ42" i="74"/>
  <c r="AR42" i="74" a="1"/>
  <c r="AR42" i="74"/>
  <c r="AS42" i="74" a="1"/>
  <c r="AS42" i="74"/>
  <c r="AL9" i="74" a="1"/>
  <c r="AL9" i="74" s="1"/>
  <c r="AM9" i="74" a="1"/>
  <c r="AM9" i="74" s="1"/>
  <c r="AN9" i="74" a="1"/>
  <c r="AN9" i="74" s="1"/>
  <c r="AO9" i="74" a="1"/>
  <c r="AO9" i="74"/>
  <c r="AP9" i="74" a="1"/>
  <c r="AP9" i="74"/>
  <c r="AQ9" i="74" a="1"/>
  <c r="AQ9" i="74"/>
  <c r="AR9" i="74" a="1"/>
  <c r="AR9" i="74"/>
  <c r="AS9" i="74" a="1"/>
  <c r="AS9" i="74"/>
  <c r="AK9" i="74" a="1"/>
  <c r="AK9" i="74" s="1"/>
  <c r="AA10" i="74" a="1"/>
  <c r="AA10" i="74" s="1"/>
  <c r="AB10" i="74" a="1"/>
  <c r="AB10" i="74" s="1"/>
  <c r="AC10" i="74" a="1"/>
  <c r="AC10" i="74"/>
  <c r="AD10" i="74" a="1"/>
  <c r="AD10" i="74" s="1"/>
  <c r="AE10" i="74" a="1"/>
  <c r="AE10" i="74"/>
  <c r="AF10" i="74" a="1"/>
  <c r="AF10" i="74"/>
  <c r="AG10" i="74" a="1"/>
  <c r="AG10" i="74"/>
  <c r="AH10" i="74" a="1"/>
  <c r="AH10" i="74"/>
  <c r="AI10" i="74" a="1"/>
  <c r="AI10" i="74"/>
  <c r="AA11" i="74" a="1"/>
  <c r="AA11" i="74" s="1"/>
  <c r="AB11" i="74" a="1"/>
  <c r="AB11" i="74" s="1"/>
  <c r="AC11" i="74" a="1"/>
  <c r="AC11" i="74"/>
  <c r="AD11" i="74" a="1"/>
  <c r="AD11" i="74" s="1"/>
  <c r="AE11" i="74" a="1"/>
  <c r="AE11" i="74"/>
  <c r="AF11" i="74" a="1"/>
  <c r="AF11" i="74" s="1"/>
  <c r="AG11" i="74" a="1"/>
  <c r="AG11" i="74"/>
  <c r="AH11" i="74" a="1"/>
  <c r="AH11" i="74"/>
  <c r="AI11" i="74" a="1"/>
  <c r="AI11" i="74"/>
  <c r="AA12" i="74" a="1"/>
  <c r="AA12" i="74" s="1"/>
  <c r="AB12" i="74" a="1"/>
  <c r="AB12" i="74" s="1"/>
  <c r="AC12" i="74" a="1"/>
  <c r="AC12" i="74"/>
  <c r="AD12" i="74" a="1"/>
  <c r="AD12" i="74" s="1"/>
  <c r="AE12" i="74" a="1"/>
  <c r="AE12" i="74"/>
  <c r="AF12" i="74" a="1"/>
  <c r="AF12" i="74"/>
  <c r="AG12" i="74" a="1"/>
  <c r="AG12" i="74"/>
  <c r="AH12" i="74" a="1"/>
  <c r="AH12" i="74"/>
  <c r="AI12" i="74" a="1"/>
  <c r="AI12" i="74"/>
  <c r="AA13" i="74" a="1"/>
  <c r="AA13" i="74" s="1"/>
  <c r="AB13" i="74" a="1"/>
  <c r="AB13" i="74" s="1"/>
  <c r="AC13" i="74" a="1"/>
  <c r="AC13" i="74" s="1"/>
  <c r="AD13" i="74" a="1"/>
  <c r="AD13" i="74" s="1"/>
  <c r="AE13" i="74" a="1"/>
  <c r="AE13" i="74"/>
  <c r="AF13" i="74" a="1"/>
  <c r="AF13" i="74"/>
  <c r="AG13" i="74" a="1"/>
  <c r="AG13" i="74"/>
  <c r="AH13" i="74" a="1"/>
  <c r="AH13" i="74"/>
  <c r="AI13" i="74" a="1"/>
  <c r="AI13" i="74"/>
  <c r="AA14" i="74" a="1"/>
  <c r="AA14" i="74" s="1"/>
  <c r="AB14" i="74" a="1"/>
  <c r="AB14" i="74" s="1"/>
  <c r="AC14" i="74" a="1"/>
  <c r="AC14" i="74"/>
  <c r="AD14" i="74" a="1"/>
  <c r="AD14" i="74" s="1"/>
  <c r="AE14" i="74" a="1"/>
  <c r="AE14" i="74"/>
  <c r="AF14" i="74" a="1"/>
  <c r="AF14" i="74"/>
  <c r="AG14" i="74" a="1"/>
  <c r="AG14" i="74"/>
  <c r="AH14" i="74" a="1"/>
  <c r="AH14" i="74"/>
  <c r="AI14" i="74" a="1"/>
  <c r="AI14" i="74"/>
  <c r="AA15" i="74" a="1"/>
  <c r="AA15" i="74" s="1"/>
  <c r="AB15" i="74" a="1"/>
  <c r="AB15" i="74" s="1"/>
  <c r="AC15" i="74" a="1"/>
  <c r="AC15" i="74"/>
  <c r="AD15" i="74" a="1"/>
  <c r="AD15" i="74" s="1"/>
  <c r="AE15" i="74" a="1"/>
  <c r="AE15" i="74"/>
  <c r="AF15" i="74" a="1"/>
  <c r="AF15" i="74"/>
  <c r="AG15" i="74" a="1"/>
  <c r="AG15" i="74"/>
  <c r="AH15" i="74" a="1"/>
  <c r="AH15" i="74"/>
  <c r="AI15" i="74" a="1"/>
  <c r="AI15" i="74"/>
  <c r="AA16" i="74" a="1"/>
  <c r="AA16" i="74" s="1"/>
  <c r="AB16" i="74" a="1"/>
  <c r="AB16" i="74" s="1"/>
  <c r="AC16" i="74" a="1"/>
  <c r="AC16" i="74"/>
  <c r="AD16" i="74" a="1"/>
  <c r="AD16" i="74" s="1"/>
  <c r="AE16" i="74" a="1"/>
  <c r="AE16" i="74"/>
  <c r="AF16" i="74" a="1"/>
  <c r="AF16" i="74"/>
  <c r="AG16" i="74" a="1"/>
  <c r="AG16" i="74"/>
  <c r="AH16" i="74" a="1"/>
  <c r="AH16" i="74"/>
  <c r="AI16" i="74" a="1"/>
  <c r="AI16" i="74"/>
  <c r="AA17" i="74" a="1"/>
  <c r="AA17" i="74" s="1"/>
  <c r="AB17" i="74" a="1"/>
  <c r="AB17" i="74" s="1"/>
  <c r="AC17" i="74" a="1"/>
  <c r="AC17" i="74"/>
  <c r="AD17" i="74" a="1"/>
  <c r="AD17" i="74" s="1"/>
  <c r="AE17" i="74" a="1"/>
  <c r="AE17" i="74"/>
  <c r="AF17" i="74" a="1"/>
  <c r="AF17" i="74"/>
  <c r="AG17" i="74" a="1"/>
  <c r="AG17" i="74"/>
  <c r="AH17" i="74" a="1"/>
  <c r="AH17" i="74"/>
  <c r="AI17" i="74" a="1"/>
  <c r="AI17" i="74"/>
  <c r="AA18" i="74" a="1"/>
  <c r="AA18" i="74" s="1"/>
  <c r="AB18" i="74" a="1"/>
  <c r="AB18" i="74" s="1"/>
  <c r="AC18" i="74" a="1"/>
  <c r="AC18" i="74" s="1"/>
  <c r="AD18" i="74" a="1"/>
  <c r="AD18" i="74" s="1"/>
  <c r="AE18" i="74" a="1"/>
  <c r="AE18" i="74"/>
  <c r="AF18" i="74" a="1"/>
  <c r="AF18" i="74"/>
  <c r="AG18" i="74" a="1"/>
  <c r="AG18" i="74"/>
  <c r="AH18" i="74" a="1"/>
  <c r="AH18" i="74"/>
  <c r="AI18" i="74" a="1"/>
  <c r="AI18" i="74"/>
  <c r="AA19" i="74" a="1"/>
  <c r="AA19" i="74" s="1"/>
  <c r="AB19" i="74" a="1"/>
  <c r="AB19" i="74" s="1"/>
  <c r="AC19" i="74" a="1"/>
  <c r="AC19" i="74" s="1"/>
  <c r="AD19" i="74" a="1"/>
  <c r="AD19" i="74" s="1"/>
  <c r="AE19" i="74" a="1"/>
  <c r="AE19" i="74"/>
  <c r="AF19" i="74" a="1"/>
  <c r="AF19" i="74"/>
  <c r="AG19" i="74" a="1"/>
  <c r="AG19" i="74" s="1"/>
  <c r="AH19" i="74" a="1"/>
  <c r="AH19" i="74"/>
  <c r="AI19" i="74" a="1"/>
  <c r="AI19" i="74"/>
  <c r="AA20" i="74" a="1"/>
  <c r="AA20" i="74" s="1"/>
  <c r="AB20" i="74" a="1"/>
  <c r="AB20" i="74" s="1"/>
  <c r="AC20" i="74" a="1"/>
  <c r="AC20" i="74" s="1"/>
  <c r="AD20" i="74" a="1"/>
  <c r="AD20" i="74" s="1"/>
  <c r="AE20" i="74" a="1"/>
  <c r="AE20" i="74"/>
  <c r="AF20" i="74" a="1"/>
  <c r="AF20" i="74"/>
  <c r="AG20" i="74" a="1"/>
  <c r="AG20" i="74"/>
  <c r="AH20" i="74" a="1"/>
  <c r="AH20" i="74"/>
  <c r="AI20" i="74" a="1"/>
  <c r="AI20" i="74"/>
  <c r="AA21" i="74" a="1"/>
  <c r="AA21" i="74" s="1"/>
  <c r="AB21" i="74" a="1"/>
  <c r="AB21" i="74" s="1"/>
  <c r="AC21" i="74" a="1"/>
  <c r="AC21" i="74" s="1"/>
  <c r="AD21" i="74" a="1"/>
  <c r="AD21" i="74" s="1"/>
  <c r="AE21" i="74" a="1"/>
  <c r="AE21" i="74"/>
  <c r="AF21" i="74" a="1"/>
  <c r="AF21" i="74"/>
  <c r="AG21" i="74" a="1"/>
  <c r="AG21" i="74"/>
  <c r="AH21" i="74" a="1"/>
  <c r="AH21" i="74"/>
  <c r="AI21" i="74" a="1"/>
  <c r="AI21" i="74"/>
  <c r="AA22" i="74" a="1"/>
  <c r="AA22" i="74" s="1"/>
  <c r="AB22" i="74" a="1"/>
  <c r="AB22" i="74" s="1"/>
  <c r="AC22" i="74" a="1"/>
  <c r="AC22" i="74" s="1"/>
  <c r="AD22" i="74" a="1"/>
  <c r="AD22" i="74" s="1"/>
  <c r="AE22" i="74" a="1"/>
  <c r="AE22" i="74"/>
  <c r="AF22" i="74" a="1"/>
  <c r="AF22" i="74"/>
  <c r="AG22" i="74" a="1"/>
  <c r="AG22" i="74"/>
  <c r="AH22" i="74" a="1"/>
  <c r="AH22" i="74"/>
  <c r="AI22" i="74" a="1"/>
  <c r="AI22" i="74"/>
  <c r="AA23" i="74" a="1"/>
  <c r="AA23" i="74" s="1"/>
  <c r="AB23" i="74" a="1"/>
  <c r="AB23" i="74" s="1"/>
  <c r="AC23" i="74" a="1"/>
  <c r="AC23" i="74" s="1"/>
  <c r="AD23" i="74" a="1"/>
  <c r="AD23" i="74" s="1"/>
  <c r="AE23" i="74" a="1"/>
  <c r="AE23" i="74"/>
  <c r="AF23" i="74" a="1"/>
  <c r="AF23" i="74"/>
  <c r="AG23" i="74" a="1"/>
  <c r="AG23" i="74"/>
  <c r="AH23" i="74" a="1"/>
  <c r="AH23" i="74"/>
  <c r="AI23" i="74" a="1"/>
  <c r="AI23" i="74"/>
  <c r="AA24" i="74" a="1"/>
  <c r="AA24" i="74" s="1"/>
  <c r="AB24" i="74" a="1"/>
  <c r="AB24" i="74" s="1"/>
  <c r="AC24" i="74" a="1"/>
  <c r="AC24" i="74" s="1"/>
  <c r="AD24" i="74" a="1"/>
  <c r="AD24" i="74" s="1"/>
  <c r="AE24" i="74" a="1"/>
  <c r="AE24" i="74"/>
  <c r="AF24" i="74" a="1"/>
  <c r="AF24" i="74"/>
  <c r="AG24" i="74" a="1"/>
  <c r="AG24" i="74"/>
  <c r="AH24" i="74" a="1"/>
  <c r="AH24" i="74"/>
  <c r="AI24" i="74" a="1"/>
  <c r="AI24" i="74"/>
  <c r="AA25" i="74" a="1"/>
  <c r="AA25" i="74" s="1"/>
  <c r="AB25" i="74" a="1"/>
  <c r="AB25" i="74" s="1"/>
  <c r="AC25" i="74" a="1"/>
  <c r="AC25" i="74" s="1"/>
  <c r="AD25" i="74" a="1"/>
  <c r="AD25" i="74" s="1"/>
  <c r="AE25" i="74" a="1"/>
  <c r="AE25" i="74"/>
  <c r="AF25" i="74" a="1"/>
  <c r="AF25" i="74"/>
  <c r="AG25" i="74" a="1"/>
  <c r="AG25" i="74"/>
  <c r="AH25" i="74" a="1"/>
  <c r="AH25" i="74"/>
  <c r="AI25" i="74" a="1"/>
  <c r="AI25" i="74"/>
  <c r="AA26" i="74" a="1"/>
  <c r="AA26" i="74" s="1"/>
  <c r="AB26" i="74" a="1"/>
  <c r="AB26" i="74" s="1"/>
  <c r="AC26" i="74" a="1"/>
  <c r="AC26" i="74" s="1"/>
  <c r="AD26" i="74" a="1"/>
  <c r="AD26" i="74" s="1"/>
  <c r="AE26" i="74" a="1"/>
  <c r="AE26" i="74"/>
  <c r="AF26" i="74" a="1"/>
  <c r="AF26" i="74"/>
  <c r="AG26" i="74" a="1"/>
  <c r="AG26" i="74"/>
  <c r="AH26" i="74" a="1"/>
  <c r="AH26" i="74"/>
  <c r="AI26" i="74" a="1"/>
  <c r="AI26" i="74"/>
  <c r="AA27" i="74" a="1"/>
  <c r="AA27" i="74" s="1"/>
  <c r="AB27" i="74" a="1"/>
  <c r="AB27" i="74" s="1"/>
  <c r="AC27" i="74" a="1"/>
  <c r="AC27" i="74" s="1"/>
  <c r="AD27" i="74" a="1"/>
  <c r="AD27" i="74" s="1"/>
  <c r="AE27" i="74" a="1"/>
  <c r="AE27" i="74"/>
  <c r="AF27" i="74" a="1"/>
  <c r="AF27" i="74"/>
  <c r="AG27" i="74" a="1"/>
  <c r="AG27" i="74"/>
  <c r="AH27" i="74" a="1"/>
  <c r="AH27" i="74"/>
  <c r="AI27" i="74" a="1"/>
  <c r="AI27" i="74"/>
  <c r="AA28" i="74" a="1"/>
  <c r="AA28" i="74" s="1"/>
  <c r="AB28" i="74" a="1"/>
  <c r="AB28" i="74" s="1"/>
  <c r="AC28" i="74" a="1"/>
  <c r="AC28" i="74" s="1"/>
  <c r="AD28" i="74" a="1"/>
  <c r="AD28" i="74" s="1"/>
  <c r="AE28" i="74" a="1"/>
  <c r="AE28" i="74"/>
  <c r="AF28" i="74" a="1"/>
  <c r="AF28" i="74"/>
  <c r="AG28" i="74" a="1"/>
  <c r="AG28" i="74"/>
  <c r="AH28" i="74" a="1"/>
  <c r="AH28" i="74"/>
  <c r="AI28" i="74" a="1"/>
  <c r="AI28" i="74"/>
  <c r="AA29" i="74" a="1"/>
  <c r="AA29" i="74" s="1"/>
  <c r="AB29" i="74" a="1"/>
  <c r="AB29" i="74" s="1"/>
  <c r="AC29" i="74" a="1"/>
  <c r="AC29" i="74" s="1"/>
  <c r="AD29" i="74" a="1"/>
  <c r="AD29" i="74" s="1"/>
  <c r="AE29" i="74" a="1"/>
  <c r="AE29" i="74"/>
  <c r="AF29" i="74" a="1"/>
  <c r="AF29" i="74"/>
  <c r="AG29" i="74" a="1"/>
  <c r="AG29" i="74"/>
  <c r="AH29" i="74" a="1"/>
  <c r="AH29" i="74"/>
  <c r="AI29" i="74" a="1"/>
  <c r="AI29" i="74"/>
  <c r="AA30" i="74" a="1"/>
  <c r="AA30" i="74" s="1"/>
  <c r="AB30" i="74" a="1"/>
  <c r="AB30" i="74" s="1"/>
  <c r="AC30" i="74" a="1"/>
  <c r="AC30" i="74" s="1"/>
  <c r="AD30" i="74" a="1"/>
  <c r="AD30" i="74" s="1"/>
  <c r="AE30" i="74" a="1"/>
  <c r="AE30" i="74"/>
  <c r="AF30" i="74" a="1"/>
  <c r="AF30" i="74"/>
  <c r="AG30" i="74" a="1"/>
  <c r="AG30" i="74"/>
  <c r="AH30" i="74" a="1"/>
  <c r="AH30" i="74"/>
  <c r="AI30" i="74" a="1"/>
  <c r="AI30" i="74"/>
  <c r="AA31" i="74" a="1"/>
  <c r="AA31" i="74" s="1"/>
  <c r="AB31" i="74" a="1"/>
  <c r="AB31" i="74" s="1"/>
  <c r="AC31" i="74" a="1"/>
  <c r="AC31" i="74" s="1"/>
  <c r="AD31" i="74" a="1"/>
  <c r="AD31" i="74" s="1"/>
  <c r="AE31" i="74" a="1"/>
  <c r="AE31" i="74"/>
  <c r="AF31" i="74" a="1"/>
  <c r="AF31" i="74"/>
  <c r="AG31" i="74" a="1"/>
  <c r="AG31" i="74"/>
  <c r="AH31" i="74" a="1"/>
  <c r="AH31" i="74"/>
  <c r="AI31" i="74" a="1"/>
  <c r="AI31" i="74"/>
  <c r="AA32" i="74" a="1"/>
  <c r="AA32" i="74" s="1"/>
  <c r="AB32" i="74" a="1"/>
  <c r="AB32" i="74" s="1"/>
  <c r="AC32" i="74" a="1"/>
  <c r="AC32" i="74" s="1"/>
  <c r="AD32" i="74" a="1"/>
  <c r="AD32" i="74" s="1"/>
  <c r="AE32" i="74" a="1"/>
  <c r="AE32" i="74"/>
  <c r="AF32" i="74" a="1"/>
  <c r="AF32" i="74"/>
  <c r="AG32" i="74" a="1"/>
  <c r="AG32" i="74"/>
  <c r="AH32" i="74" a="1"/>
  <c r="AH32" i="74"/>
  <c r="AI32" i="74" a="1"/>
  <c r="AI32" i="74"/>
  <c r="AA33" i="74" a="1"/>
  <c r="AA33" i="74" s="1"/>
  <c r="AB33" i="74" a="1"/>
  <c r="AB33" i="74" s="1"/>
  <c r="AC33" i="74" a="1"/>
  <c r="AC33" i="74" s="1"/>
  <c r="AD33" i="74" a="1"/>
  <c r="AD33" i="74" s="1"/>
  <c r="AE33" i="74" a="1"/>
  <c r="AE33" i="74"/>
  <c r="AF33" i="74" a="1"/>
  <c r="AF33" i="74"/>
  <c r="AG33" i="74" a="1"/>
  <c r="AG33" i="74"/>
  <c r="AH33" i="74" a="1"/>
  <c r="AH33" i="74"/>
  <c r="AI33" i="74" a="1"/>
  <c r="AI33" i="74"/>
  <c r="AA34" i="74" a="1"/>
  <c r="AA34" i="74" s="1"/>
  <c r="AB34" i="74" a="1"/>
  <c r="AB34" i="74" s="1"/>
  <c r="AC34" i="74" a="1"/>
  <c r="AC34" i="74" s="1"/>
  <c r="AD34" i="74" a="1"/>
  <c r="AD34" i="74" s="1"/>
  <c r="AE34" i="74" a="1"/>
  <c r="AE34" i="74"/>
  <c r="AF34" i="74" a="1"/>
  <c r="AF34" i="74"/>
  <c r="AG34" i="74" a="1"/>
  <c r="AG34" i="74"/>
  <c r="AH34" i="74" a="1"/>
  <c r="AH34" i="74"/>
  <c r="AI34" i="74" a="1"/>
  <c r="AI34" i="74"/>
  <c r="AA35" i="74" a="1"/>
  <c r="AA35" i="74" s="1"/>
  <c r="AB35" i="74" a="1"/>
  <c r="AB35" i="74" s="1"/>
  <c r="AC35" i="74" a="1"/>
  <c r="AC35" i="74" s="1"/>
  <c r="AD35" i="74" a="1"/>
  <c r="AD35" i="74" s="1"/>
  <c r="AE35" i="74" a="1"/>
  <c r="AE35" i="74"/>
  <c r="AF35" i="74" a="1"/>
  <c r="AF35" i="74"/>
  <c r="AG35" i="74" a="1"/>
  <c r="AG35" i="74"/>
  <c r="AH35" i="74" a="1"/>
  <c r="AH35" i="74"/>
  <c r="AI35" i="74" a="1"/>
  <c r="AI35" i="74"/>
  <c r="AA36" i="74" a="1"/>
  <c r="AA36" i="74" s="1"/>
  <c r="AB36" i="74" a="1"/>
  <c r="AB36" i="74" s="1"/>
  <c r="AC36" i="74" a="1"/>
  <c r="AC36" i="74" s="1"/>
  <c r="AD36" i="74" a="1"/>
  <c r="AD36" i="74" s="1"/>
  <c r="AE36" i="74" a="1"/>
  <c r="AE36" i="74"/>
  <c r="AF36" i="74" a="1"/>
  <c r="AF36" i="74"/>
  <c r="AG36" i="74" a="1"/>
  <c r="AG36" i="74"/>
  <c r="AH36" i="74" a="1"/>
  <c r="AH36" i="74"/>
  <c r="AI36" i="74" a="1"/>
  <c r="AI36" i="74"/>
  <c r="AA37" i="74" a="1"/>
  <c r="AA37" i="74" s="1"/>
  <c r="AB37" i="74" a="1"/>
  <c r="AB37" i="74" s="1"/>
  <c r="AC37" i="74" a="1"/>
  <c r="AC37" i="74" s="1"/>
  <c r="AD37" i="74" a="1"/>
  <c r="AD37" i="74" s="1"/>
  <c r="AE37" i="74" a="1"/>
  <c r="AE37" i="74"/>
  <c r="AF37" i="74" a="1"/>
  <c r="AF37" i="74"/>
  <c r="AG37" i="74" a="1"/>
  <c r="AG37" i="74"/>
  <c r="AH37" i="74" a="1"/>
  <c r="AH37" i="74"/>
  <c r="AI37" i="74" a="1"/>
  <c r="AI37" i="74"/>
  <c r="AA38" i="74" a="1"/>
  <c r="AA38" i="74" s="1"/>
  <c r="AB38" i="74" a="1"/>
  <c r="AB38" i="74" s="1"/>
  <c r="AC38" i="74" a="1"/>
  <c r="AC38" i="74" s="1"/>
  <c r="AD38" i="74" a="1"/>
  <c r="AD38" i="74" s="1"/>
  <c r="AE38" i="74" a="1"/>
  <c r="AE38" i="74"/>
  <c r="AF38" i="74" a="1"/>
  <c r="AF38" i="74"/>
  <c r="AG38" i="74" a="1"/>
  <c r="AG38" i="74"/>
  <c r="AH38" i="74" a="1"/>
  <c r="AH38" i="74"/>
  <c r="AI38" i="74" a="1"/>
  <c r="AI38" i="74"/>
  <c r="AA39" i="74" a="1"/>
  <c r="AA39" i="74" s="1"/>
  <c r="AB39" i="74" a="1"/>
  <c r="AB39" i="74" s="1"/>
  <c r="AC39" i="74" a="1"/>
  <c r="AC39" i="74" s="1"/>
  <c r="AD39" i="74" a="1"/>
  <c r="AD39" i="74" s="1"/>
  <c r="AE39" i="74" a="1"/>
  <c r="AE39" i="74"/>
  <c r="AF39" i="74" a="1"/>
  <c r="AF39" i="74"/>
  <c r="AG39" i="74" a="1"/>
  <c r="AG39" i="74"/>
  <c r="AH39" i="74" a="1"/>
  <c r="AH39" i="74"/>
  <c r="AI39" i="74" a="1"/>
  <c r="AI39" i="74"/>
  <c r="AA40" i="74" a="1"/>
  <c r="AA40" i="74" s="1"/>
  <c r="AB40" i="74" a="1"/>
  <c r="AB40" i="74" s="1"/>
  <c r="AC40" i="74" a="1"/>
  <c r="AC40" i="74" s="1"/>
  <c r="AD40" i="74" a="1"/>
  <c r="AD40" i="74" s="1"/>
  <c r="AE40" i="74" a="1"/>
  <c r="AE40" i="74"/>
  <c r="AF40" i="74" a="1"/>
  <c r="AF40" i="74"/>
  <c r="AG40" i="74" a="1"/>
  <c r="AG40" i="74"/>
  <c r="AH40" i="74" a="1"/>
  <c r="AH40" i="74"/>
  <c r="AI40" i="74" a="1"/>
  <c r="AI40" i="74"/>
  <c r="AA41" i="74" a="1"/>
  <c r="AA41" i="74" s="1"/>
  <c r="AB41" i="74" a="1"/>
  <c r="AB41" i="74" s="1"/>
  <c r="AC41" i="74" a="1"/>
  <c r="AC41" i="74" s="1"/>
  <c r="AD41" i="74" a="1"/>
  <c r="AD41" i="74" s="1"/>
  <c r="AE41" i="74" a="1"/>
  <c r="AE41" i="74"/>
  <c r="AF41" i="74" a="1"/>
  <c r="AF41" i="74"/>
  <c r="AG41" i="74" a="1"/>
  <c r="AG41" i="74"/>
  <c r="AH41" i="74" a="1"/>
  <c r="AH41" i="74"/>
  <c r="AI41" i="74" a="1"/>
  <c r="AI41" i="74"/>
  <c r="AA42" i="74" a="1"/>
  <c r="AA42" i="74" s="1"/>
  <c r="AB42" i="74" a="1"/>
  <c r="AB42" i="74" s="1"/>
  <c r="AC42" i="74" a="1"/>
  <c r="AC42" i="74" s="1"/>
  <c r="AD42" i="74" a="1"/>
  <c r="AD42" i="74" s="1"/>
  <c r="AE42" i="74" a="1"/>
  <c r="AE42" i="74"/>
  <c r="AF42" i="74" a="1"/>
  <c r="AF42" i="74"/>
  <c r="AG42" i="74" a="1"/>
  <c r="AG42" i="74"/>
  <c r="AH42" i="74" a="1"/>
  <c r="AH42" i="74"/>
  <c r="AI42" i="74" a="1"/>
  <c r="AI42" i="74"/>
  <c r="AB9" i="74" a="1"/>
  <c r="AB9" i="74"/>
  <c r="AC9" i="74" a="1"/>
  <c r="AC9" i="74" s="1"/>
  <c r="AD9" i="74" a="1"/>
  <c r="AD9" i="74" s="1"/>
  <c r="AE9" i="74" a="1"/>
  <c r="AE9" i="74" s="1"/>
  <c r="AF9" i="74" a="1"/>
  <c r="AF9" i="74"/>
  <c r="AG9" i="74" a="1"/>
  <c r="AG9" i="74"/>
  <c r="AH9" i="74" a="1"/>
  <c r="AH9" i="74"/>
  <c r="AI9" i="74" a="1"/>
  <c r="AI9" i="74"/>
  <c r="AA9" i="74" a="1"/>
  <c r="AA9" i="74"/>
  <c r="T10" i="74" a="1"/>
  <c r="T10" i="74" s="1"/>
  <c r="U10" i="74" a="1"/>
  <c r="U10" i="74"/>
  <c r="V10" i="74" a="1"/>
  <c r="V10" i="74" s="1"/>
  <c r="W10" i="74" a="1"/>
  <c r="W10" i="74"/>
  <c r="X10" i="74" a="1"/>
  <c r="X10" i="74"/>
  <c r="Y10" i="74" a="1"/>
  <c r="Y10" i="74"/>
  <c r="T11" i="74" a="1"/>
  <c r="T11" i="74"/>
  <c r="U11" i="74" a="1"/>
  <c r="U11" i="74"/>
  <c r="V11" i="74" a="1"/>
  <c r="V11" i="74"/>
  <c r="W11" i="74" a="1"/>
  <c r="W11" i="74" s="1"/>
  <c r="X11" i="74" a="1"/>
  <c r="X11" i="74"/>
  <c r="Y11" i="74" a="1"/>
  <c r="Y11" i="74" s="1"/>
  <c r="T12" i="74" a="1"/>
  <c r="T12" i="74"/>
  <c r="U12" i="74" a="1"/>
  <c r="U12" i="74"/>
  <c r="V12" i="74" a="1"/>
  <c r="V12" i="74"/>
  <c r="W12" i="74" a="1"/>
  <c r="W12" i="74"/>
  <c r="X12" i="74" a="1"/>
  <c r="X12" i="74"/>
  <c r="Y12" i="74" a="1"/>
  <c r="Y12" i="74"/>
  <c r="T13" i="74" a="1"/>
  <c r="T13" i="74" s="1"/>
  <c r="U13" i="74" a="1"/>
  <c r="U13" i="74"/>
  <c r="V13" i="74" a="1"/>
  <c r="V13" i="74" s="1"/>
  <c r="W13" i="74" a="1"/>
  <c r="W13" i="74"/>
  <c r="X13" i="74" a="1"/>
  <c r="X13" i="74"/>
  <c r="Y13" i="74" a="1"/>
  <c r="Y13" i="74"/>
  <c r="T14" i="74" a="1"/>
  <c r="T14" i="74"/>
  <c r="U14" i="74" a="1"/>
  <c r="U14" i="74"/>
  <c r="V14" i="74" a="1"/>
  <c r="V14" i="74"/>
  <c r="W14" i="74" a="1"/>
  <c r="W14" i="74" s="1"/>
  <c r="X14" i="74" a="1"/>
  <c r="X14" i="74"/>
  <c r="Y14" i="74" a="1"/>
  <c r="Y14" i="74" s="1"/>
  <c r="T15" i="74" a="1"/>
  <c r="T15" i="74"/>
  <c r="U15" i="74" a="1"/>
  <c r="U15" i="74"/>
  <c r="V15" i="74" a="1"/>
  <c r="V15" i="74"/>
  <c r="W15" i="74" a="1"/>
  <c r="W15" i="74"/>
  <c r="X15" i="74" a="1"/>
  <c r="X15" i="74"/>
  <c r="Y15" i="74" a="1"/>
  <c r="Y15" i="74"/>
  <c r="T16" i="74" a="1"/>
  <c r="T16" i="74" s="1"/>
  <c r="U16" i="74" a="1"/>
  <c r="U16" i="74"/>
  <c r="V16" i="74" a="1"/>
  <c r="V16" i="74" s="1"/>
  <c r="W16" i="74" a="1"/>
  <c r="W16" i="74"/>
  <c r="X16" i="74" a="1"/>
  <c r="X16" i="74"/>
  <c r="Y16" i="74" a="1"/>
  <c r="Y16" i="74"/>
  <c r="T17" i="74" a="1"/>
  <c r="T17" i="74"/>
  <c r="U17" i="74" a="1"/>
  <c r="U17" i="74"/>
  <c r="V17" i="74" a="1"/>
  <c r="V17" i="74"/>
  <c r="W17" i="74" a="1"/>
  <c r="W17" i="74" s="1"/>
  <c r="X17" i="74" a="1"/>
  <c r="X17" i="74"/>
  <c r="Y17" i="74" a="1"/>
  <c r="Y17" i="74" s="1"/>
  <c r="T18" i="74" a="1"/>
  <c r="T18" i="74"/>
  <c r="U18" i="74" a="1"/>
  <c r="U18" i="74"/>
  <c r="V18" i="74" a="1"/>
  <c r="V18" i="74"/>
  <c r="W18" i="74" a="1"/>
  <c r="W18" i="74"/>
  <c r="X18" i="74" a="1"/>
  <c r="X18" i="74"/>
  <c r="Y18" i="74" a="1"/>
  <c r="Y18" i="74"/>
  <c r="T19" i="74" a="1"/>
  <c r="T19" i="74" s="1"/>
  <c r="U19" i="74" a="1"/>
  <c r="U19" i="74"/>
  <c r="V19" i="74" a="1"/>
  <c r="V19" i="74" s="1"/>
  <c r="W19" i="74" a="1"/>
  <c r="W19" i="74"/>
  <c r="X19" i="74" a="1"/>
  <c r="X19" i="74"/>
  <c r="Y19" i="74" a="1"/>
  <c r="Y19" i="74"/>
  <c r="T20" i="74" a="1"/>
  <c r="T20" i="74"/>
  <c r="U20" i="74" a="1"/>
  <c r="U20" i="74"/>
  <c r="V20" i="74" a="1"/>
  <c r="V20" i="74"/>
  <c r="W20" i="74" a="1"/>
  <c r="W20" i="74" s="1"/>
  <c r="X20" i="74" a="1"/>
  <c r="X20" i="74"/>
  <c r="Y20" i="74" a="1"/>
  <c r="Y20" i="74" s="1"/>
  <c r="T21" i="74" a="1"/>
  <c r="T21" i="74"/>
  <c r="U21" i="74" a="1"/>
  <c r="U21" i="74"/>
  <c r="V21" i="74" a="1"/>
  <c r="V21" i="74"/>
  <c r="W21" i="74" a="1"/>
  <c r="W21" i="74"/>
  <c r="X21" i="74" a="1"/>
  <c r="X21" i="74"/>
  <c r="Y21" i="74" a="1"/>
  <c r="Y21" i="74"/>
  <c r="T22" i="74" a="1"/>
  <c r="T22" i="74" s="1"/>
  <c r="U22" i="74" a="1"/>
  <c r="U22" i="74" s="1"/>
  <c r="V22" i="74" a="1"/>
  <c r="V22" i="74" s="1"/>
  <c r="W22" i="74" a="1"/>
  <c r="W22" i="74"/>
  <c r="X22" i="74" a="1"/>
  <c r="X22" i="74"/>
  <c r="Y22" i="74" a="1"/>
  <c r="Y22" i="74"/>
  <c r="T23" i="74" a="1"/>
  <c r="T23" i="74"/>
  <c r="U23" i="74" a="1"/>
  <c r="U23" i="74"/>
  <c r="V23" i="74" a="1"/>
  <c r="V23" i="74"/>
  <c r="W23" i="74" a="1"/>
  <c r="W23" i="74" s="1"/>
  <c r="X23" i="74" a="1"/>
  <c r="X23" i="74"/>
  <c r="Y23" i="74" a="1"/>
  <c r="Y23" i="74" s="1"/>
  <c r="T24" i="74" a="1"/>
  <c r="T24" i="74"/>
  <c r="U24" i="74" a="1"/>
  <c r="U24" i="74"/>
  <c r="V24" i="74" a="1"/>
  <c r="V24" i="74"/>
  <c r="W24" i="74" a="1"/>
  <c r="W24" i="74"/>
  <c r="X24" i="74" a="1"/>
  <c r="X24" i="74"/>
  <c r="Y24" i="74" a="1"/>
  <c r="Y24" i="74"/>
  <c r="T25" i="74" a="1"/>
  <c r="T25" i="74" s="1"/>
  <c r="U25" i="74" a="1"/>
  <c r="U25" i="74"/>
  <c r="V25" i="74" a="1"/>
  <c r="V25" i="74" s="1"/>
  <c r="W25" i="74" a="1"/>
  <c r="W25" i="74"/>
  <c r="X25" i="74" a="1"/>
  <c r="X25" i="74"/>
  <c r="Y25" i="74" a="1"/>
  <c r="Y25" i="74"/>
  <c r="T26" i="74" a="1"/>
  <c r="T26" i="74"/>
  <c r="U26" i="74" a="1"/>
  <c r="U26" i="74"/>
  <c r="V26" i="74" a="1"/>
  <c r="V26" i="74"/>
  <c r="W26" i="74" a="1"/>
  <c r="W26" i="74" s="1"/>
  <c r="X26" i="74" a="1"/>
  <c r="X26" i="74" s="1"/>
  <c r="Y26" i="74" a="1"/>
  <c r="Y26" i="74" s="1"/>
  <c r="T27" i="74" a="1"/>
  <c r="T27" i="74"/>
  <c r="U27" i="74" a="1"/>
  <c r="U27" i="74"/>
  <c r="V27" i="74" a="1"/>
  <c r="V27" i="74"/>
  <c r="W27" i="74" a="1"/>
  <c r="W27" i="74"/>
  <c r="X27" i="74" a="1"/>
  <c r="X27" i="74"/>
  <c r="Y27" i="74" a="1"/>
  <c r="Y27" i="74"/>
  <c r="T28" i="74" a="1"/>
  <c r="T28" i="74" s="1"/>
  <c r="U28" i="74" a="1"/>
  <c r="U28" i="74" s="1"/>
  <c r="V28" i="74" a="1"/>
  <c r="V28" i="74" s="1"/>
  <c r="W28" i="74" a="1"/>
  <c r="W28" i="74"/>
  <c r="X28" i="74" a="1"/>
  <c r="X28" i="74"/>
  <c r="Y28" i="74" a="1"/>
  <c r="Y28" i="74"/>
  <c r="T29" i="74" a="1"/>
  <c r="T29" i="74"/>
  <c r="U29" i="74" a="1"/>
  <c r="U29" i="74"/>
  <c r="V29" i="74" a="1"/>
  <c r="V29" i="74" s="1"/>
  <c r="W29" i="74" a="1"/>
  <c r="W29" i="74" s="1"/>
  <c r="X29" i="74" a="1"/>
  <c r="X29" i="74" s="1"/>
  <c r="Y29" i="74" a="1"/>
  <c r="Y29" i="74" s="1"/>
  <c r="T30" i="74" a="1"/>
  <c r="T30" i="74"/>
  <c r="U30" i="74" a="1"/>
  <c r="U30" i="74"/>
  <c r="V30" i="74" a="1"/>
  <c r="V30" i="74"/>
  <c r="W30" i="74" a="1"/>
  <c r="W30" i="74"/>
  <c r="X30" i="74" a="1"/>
  <c r="X30" i="74"/>
  <c r="Y30" i="74" a="1"/>
  <c r="Y30" i="74"/>
  <c r="T31" i="74" a="1"/>
  <c r="T31" i="74" s="1"/>
  <c r="U31" i="74" a="1"/>
  <c r="U31" i="74" s="1"/>
  <c r="V31" i="74" a="1"/>
  <c r="V31" i="74" s="1"/>
  <c r="W31" i="74" a="1"/>
  <c r="W31" i="74"/>
  <c r="X31" i="74" a="1"/>
  <c r="X31" i="74"/>
  <c r="Y31" i="74" a="1"/>
  <c r="Y31" i="74"/>
  <c r="T32" i="74" a="1"/>
  <c r="T32" i="74"/>
  <c r="U32" i="74" a="1"/>
  <c r="U32" i="74"/>
  <c r="V32" i="74" a="1"/>
  <c r="V32" i="74"/>
  <c r="W32" i="74" a="1"/>
  <c r="W32" i="74" s="1"/>
  <c r="X32" i="74" a="1"/>
  <c r="X32" i="74" s="1"/>
  <c r="Y32" i="74" a="1"/>
  <c r="Y32" i="74" s="1"/>
  <c r="T33" i="74" a="1"/>
  <c r="T33" i="74"/>
  <c r="U33" i="74" a="1"/>
  <c r="U33" i="74"/>
  <c r="V33" i="74" a="1"/>
  <c r="V33" i="74"/>
  <c r="W33" i="74" a="1"/>
  <c r="W33" i="74"/>
  <c r="X33" i="74" a="1"/>
  <c r="X33" i="74"/>
  <c r="Y33" i="74" a="1"/>
  <c r="Y33" i="74"/>
  <c r="T34" i="74" a="1"/>
  <c r="T34" i="74" s="1"/>
  <c r="U34" i="74" a="1"/>
  <c r="U34" i="74" s="1"/>
  <c r="V34" i="74" a="1"/>
  <c r="V34" i="74" s="1"/>
  <c r="W34" i="74" a="1"/>
  <c r="W34" i="74"/>
  <c r="X34" i="74" a="1"/>
  <c r="X34" i="74"/>
  <c r="Y34" i="74" a="1"/>
  <c r="Y34" i="74"/>
  <c r="T35" i="74" a="1"/>
  <c r="T35" i="74"/>
  <c r="U35" i="74" a="1"/>
  <c r="U35" i="74"/>
  <c r="V35" i="74" a="1"/>
  <c r="V35" i="74"/>
  <c r="W35" i="74" a="1"/>
  <c r="W35" i="74" s="1"/>
  <c r="X35" i="74" a="1"/>
  <c r="X35" i="74" s="1"/>
  <c r="Y35" i="74" a="1"/>
  <c r="Y35" i="74" s="1"/>
  <c r="T36" i="74" a="1"/>
  <c r="T36" i="74"/>
  <c r="U36" i="74" a="1"/>
  <c r="U36" i="74"/>
  <c r="V36" i="74" a="1"/>
  <c r="V36" i="74"/>
  <c r="W36" i="74" a="1"/>
  <c r="W36" i="74"/>
  <c r="X36" i="74" a="1"/>
  <c r="X36" i="74"/>
  <c r="Y36" i="74" a="1"/>
  <c r="Y36" i="74"/>
  <c r="T37" i="74" a="1"/>
  <c r="T37" i="74" s="1"/>
  <c r="U37" i="74" a="1"/>
  <c r="U37" i="74" s="1"/>
  <c r="V37" i="74" a="1"/>
  <c r="V37" i="74" s="1"/>
  <c r="W37" i="74" a="1"/>
  <c r="W37" i="74"/>
  <c r="X37" i="74" a="1"/>
  <c r="X37" i="74"/>
  <c r="Y37" i="74" a="1"/>
  <c r="Y37" i="74"/>
  <c r="T38" i="74" a="1"/>
  <c r="T38" i="74"/>
  <c r="U38" i="74" a="1"/>
  <c r="U38" i="74"/>
  <c r="V38" i="74" a="1"/>
  <c r="V38" i="74"/>
  <c r="W38" i="74" a="1"/>
  <c r="W38" i="74" s="1"/>
  <c r="X38" i="74" a="1"/>
  <c r="X38" i="74" s="1"/>
  <c r="Y38" i="74" a="1"/>
  <c r="Y38" i="74" s="1"/>
  <c r="T39" i="74" a="1"/>
  <c r="T39" i="74"/>
  <c r="U39" i="74" a="1"/>
  <c r="U39" i="74"/>
  <c r="V39" i="74" a="1"/>
  <c r="V39" i="74"/>
  <c r="W39" i="74" a="1"/>
  <c r="W39" i="74"/>
  <c r="X39" i="74" a="1"/>
  <c r="X39" i="74"/>
  <c r="Y39" i="74" a="1"/>
  <c r="Y39" i="74"/>
  <c r="T40" i="74" a="1"/>
  <c r="T40" i="74" s="1"/>
  <c r="U40" i="74" a="1"/>
  <c r="U40" i="74" s="1"/>
  <c r="V40" i="74" a="1"/>
  <c r="V40" i="74" s="1"/>
  <c r="W40" i="74" a="1"/>
  <c r="W40" i="74"/>
  <c r="X40" i="74" a="1"/>
  <c r="X40" i="74"/>
  <c r="Y40" i="74" a="1"/>
  <c r="Y40" i="74"/>
  <c r="T41" i="74" a="1"/>
  <c r="T41" i="74"/>
  <c r="U41" i="74" a="1"/>
  <c r="U41" i="74"/>
  <c r="V41" i="74" a="1"/>
  <c r="V41" i="74"/>
  <c r="W41" i="74" a="1"/>
  <c r="W41" i="74" s="1"/>
  <c r="X41" i="74" a="1"/>
  <c r="X41" i="74" s="1"/>
  <c r="Y41" i="74" a="1"/>
  <c r="Y41" i="74" s="1"/>
  <c r="T42" i="74" a="1"/>
  <c r="T42" i="74"/>
  <c r="U42" i="74" a="1"/>
  <c r="U42" i="74"/>
  <c r="V42" i="74" a="1"/>
  <c r="V42" i="74" s="1"/>
  <c r="W42" i="74" a="1"/>
  <c r="W42" i="74"/>
  <c r="X42" i="74" a="1"/>
  <c r="X42" i="74" s="1"/>
  <c r="Y42" i="74" a="1"/>
  <c r="Y42" i="74"/>
  <c r="U9" i="74" a="1"/>
  <c r="U9" i="74" s="1"/>
  <c r="V9" i="74" a="1"/>
  <c r="V9" i="74" s="1"/>
  <c r="W9" i="74" a="1"/>
  <c r="W9" i="74" s="1"/>
  <c r="X9" i="74" a="1"/>
  <c r="X9" i="74"/>
  <c r="Y9" i="74" a="1"/>
  <c r="Y9" i="74"/>
  <c r="T9" i="74" a="1"/>
  <c r="T9" i="74"/>
  <c r="N10" i="74" a="1"/>
  <c r="N10" i="74" s="1"/>
  <c r="O10" i="74" a="1"/>
  <c r="O10" i="74" s="1"/>
  <c r="P10" i="74" a="1"/>
  <c r="P10" i="74" s="1"/>
  <c r="Q10" i="74" a="1"/>
  <c r="Q10" i="74" s="1"/>
  <c r="R10" i="74" a="1"/>
  <c r="R10" i="74"/>
  <c r="N11" i="74" a="1"/>
  <c r="N11" i="74"/>
  <c r="O11" i="74" a="1"/>
  <c r="O11" i="74"/>
  <c r="P11" i="74" a="1"/>
  <c r="P11" i="74"/>
  <c r="Q11" i="74" a="1"/>
  <c r="Q11" i="74"/>
  <c r="R11" i="74" a="1"/>
  <c r="R11" i="74" s="1"/>
  <c r="N12" i="74" a="1"/>
  <c r="N12" i="74" s="1"/>
  <c r="O12" i="74" a="1"/>
  <c r="O12" i="74" s="1"/>
  <c r="P12" i="74" a="1"/>
  <c r="P12" i="74" s="1"/>
  <c r="Q12" i="74" a="1"/>
  <c r="Q12" i="74"/>
  <c r="R12" i="74" a="1"/>
  <c r="R12" i="74"/>
  <c r="N13" i="74" a="1"/>
  <c r="N13" i="74"/>
  <c r="O13" i="74" a="1"/>
  <c r="O13" i="74"/>
  <c r="P13" i="74" a="1"/>
  <c r="P13" i="74"/>
  <c r="Q13" i="74" a="1"/>
  <c r="Q13" i="74" s="1"/>
  <c r="R13" i="74" a="1"/>
  <c r="R13" i="74" s="1"/>
  <c r="N14" i="74" a="1"/>
  <c r="N14" i="74" s="1"/>
  <c r="O14" i="74" a="1"/>
  <c r="O14" i="74" s="1"/>
  <c r="P14" i="74" a="1"/>
  <c r="P14" i="74"/>
  <c r="Q14" i="74" a="1"/>
  <c r="Q14" i="74"/>
  <c r="R14" i="74" a="1"/>
  <c r="R14" i="74"/>
  <c r="N15" i="74" a="1"/>
  <c r="N15" i="74"/>
  <c r="O15" i="74" a="1"/>
  <c r="O15" i="74"/>
  <c r="P15" i="74" a="1"/>
  <c r="P15" i="74" s="1"/>
  <c r="Q15" i="74" a="1"/>
  <c r="Q15" i="74" s="1"/>
  <c r="R15" i="74" a="1"/>
  <c r="R15" i="74" s="1"/>
  <c r="N16" i="74" a="1"/>
  <c r="N16" i="74" s="1"/>
  <c r="O16" i="74" a="1"/>
  <c r="O16" i="74"/>
  <c r="P16" i="74" a="1"/>
  <c r="P16" i="74"/>
  <c r="Q16" i="74" a="1"/>
  <c r="Q16" i="74"/>
  <c r="R16" i="74" a="1"/>
  <c r="R16" i="74"/>
  <c r="N17" i="74" a="1"/>
  <c r="N17" i="74"/>
  <c r="O17" i="74" a="1"/>
  <c r="O17" i="74" s="1"/>
  <c r="P17" i="74" a="1"/>
  <c r="P17" i="74" s="1"/>
  <c r="Q17" i="74" a="1"/>
  <c r="Q17" i="74" s="1"/>
  <c r="R17" i="74" a="1"/>
  <c r="R17" i="74" s="1"/>
  <c r="N18" i="74" a="1"/>
  <c r="N18" i="74"/>
  <c r="O18" i="74" a="1"/>
  <c r="O18" i="74"/>
  <c r="P18" i="74" a="1"/>
  <c r="P18" i="74"/>
  <c r="Q18" i="74" a="1"/>
  <c r="Q18" i="74"/>
  <c r="R18" i="74" a="1"/>
  <c r="R18" i="74"/>
  <c r="N19" i="74" a="1"/>
  <c r="N19" i="74" s="1"/>
  <c r="O19" i="74" a="1"/>
  <c r="O19" i="74" s="1"/>
  <c r="P19" i="74" a="1"/>
  <c r="P19" i="74" s="1"/>
  <c r="Q19" i="74" a="1"/>
  <c r="Q19" i="74" s="1"/>
  <c r="R19" i="74" a="1"/>
  <c r="R19" i="74"/>
  <c r="N20" i="74" a="1"/>
  <c r="N20" i="74"/>
  <c r="O20" i="74" a="1"/>
  <c r="O20" i="74"/>
  <c r="P20" i="74" a="1"/>
  <c r="P20" i="74"/>
  <c r="Q20" i="74" a="1"/>
  <c r="Q20" i="74"/>
  <c r="R20" i="74" a="1"/>
  <c r="R20" i="74" s="1"/>
  <c r="N21" i="74" a="1"/>
  <c r="N21" i="74" s="1"/>
  <c r="O21" i="74" a="1"/>
  <c r="O21" i="74" s="1"/>
  <c r="P21" i="74" a="1"/>
  <c r="P21" i="74" s="1"/>
  <c r="Q21" i="74" a="1"/>
  <c r="Q21" i="74"/>
  <c r="R21" i="74" a="1"/>
  <c r="R21" i="74"/>
  <c r="N22" i="74" a="1"/>
  <c r="N22" i="74"/>
  <c r="O22" i="74" a="1"/>
  <c r="O22" i="74"/>
  <c r="P22" i="74" a="1"/>
  <c r="P22" i="74"/>
  <c r="Q22" i="74" a="1"/>
  <c r="Q22" i="74" s="1"/>
  <c r="R22" i="74" a="1"/>
  <c r="R22" i="74" s="1"/>
  <c r="N23" i="74" a="1"/>
  <c r="N23" i="74" s="1"/>
  <c r="O23" i="74" a="1"/>
  <c r="O23" i="74" s="1"/>
  <c r="P23" i="74" a="1"/>
  <c r="P23" i="74"/>
  <c r="Q23" i="74" a="1"/>
  <c r="Q23" i="74"/>
  <c r="R23" i="74" a="1"/>
  <c r="R23" i="74"/>
  <c r="N24" i="74" a="1"/>
  <c r="N24" i="74"/>
  <c r="O24" i="74" a="1"/>
  <c r="O24" i="74"/>
  <c r="P24" i="74" a="1"/>
  <c r="P24" i="74" s="1"/>
  <c r="Q24" i="74" a="1"/>
  <c r="Q24" i="74" s="1"/>
  <c r="R24" i="74" a="1"/>
  <c r="R24" i="74" s="1"/>
  <c r="N25" i="74" a="1"/>
  <c r="N25" i="74" s="1"/>
  <c r="O25" i="74" a="1"/>
  <c r="O25" i="74"/>
  <c r="P25" i="74" a="1"/>
  <c r="P25" i="74"/>
  <c r="Q25" i="74" a="1"/>
  <c r="Q25" i="74"/>
  <c r="R25" i="74" a="1"/>
  <c r="R25" i="74"/>
  <c r="N26" i="74" a="1"/>
  <c r="N26" i="74"/>
  <c r="O26" i="74" a="1"/>
  <c r="O26" i="74" s="1"/>
  <c r="P26" i="74" a="1"/>
  <c r="P26" i="74" s="1"/>
  <c r="Q26" i="74" a="1"/>
  <c r="Q26" i="74" s="1"/>
  <c r="R26" i="74" a="1"/>
  <c r="R26" i="74" s="1"/>
  <c r="N27" i="74" a="1"/>
  <c r="N27" i="74"/>
  <c r="O27" i="74" a="1"/>
  <c r="O27" i="74"/>
  <c r="P27" i="74" a="1"/>
  <c r="P27" i="74"/>
  <c r="Q27" i="74" a="1"/>
  <c r="Q27" i="74"/>
  <c r="R27" i="74" a="1"/>
  <c r="R27" i="74"/>
  <c r="N28" i="74" a="1"/>
  <c r="N28" i="74" s="1"/>
  <c r="O28" i="74" a="1"/>
  <c r="O28" i="74" s="1"/>
  <c r="P28" i="74" a="1"/>
  <c r="P28" i="74" s="1"/>
  <c r="Q28" i="74" a="1"/>
  <c r="Q28" i="74" s="1"/>
  <c r="R28" i="74" a="1"/>
  <c r="R28" i="74"/>
  <c r="N29" i="74" a="1"/>
  <c r="N29" i="74"/>
  <c r="O29" i="74" a="1"/>
  <c r="O29" i="74"/>
  <c r="P29" i="74" a="1"/>
  <c r="P29" i="74"/>
  <c r="Q29" i="74" a="1"/>
  <c r="Q29" i="74"/>
  <c r="R29" i="74" a="1"/>
  <c r="R29" i="74" s="1"/>
  <c r="N30" i="74" a="1"/>
  <c r="N30" i="74" s="1"/>
  <c r="O30" i="74" a="1"/>
  <c r="O30" i="74" s="1"/>
  <c r="P30" i="74" a="1"/>
  <c r="P30" i="74" s="1"/>
  <c r="Q30" i="74" a="1"/>
  <c r="Q30" i="74"/>
  <c r="R30" i="74" a="1"/>
  <c r="R30" i="74"/>
  <c r="N31" i="74" a="1"/>
  <c r="N31" i="74"/>
  <c r="O31" i="74" a="1"/>
  <c r="O31" i="74"/>
  <c r="P31" i="74" a="1"/>
  <c r="P31" i="74"/>
  <c r="Q31" i="74" a="1"/>
  <c r="Q31" i="74" s="1"/>
  <c r="R31" i="74" a="1"/>
  <c r="R31" i="74" s="1"/>
  <c r="N32" i="74" a="1"/>
  <c r="N32" i="74" s="1"/>
  <c r="O32" i="74" a="1"/>
  <c r="O32" i="74" s="1"/>
  <c r="P32" i="74" a="1"/>
  <c r="P32" i="74"/>
  <c r="Q32" i="74" a="1"/>
  <c r="Q32" i="74"/>
  <c r="R32" i="74" a="1"/>
  <c r="R32" i="74"/>
  <c r="N33" i="74" a="1"/>
  <c r="N33" i="74"/>
  <c r="O33" i="74" a="1"/>
  <c r="O33" i="74"/>
  <c r="P33" i="74" a="1"/>
  <c r="P33" i="74" s="1"/>
  <c r="Q33" i="74" a="1"/>
  <c r="Q33" i="74" s="1"/>
  <c r="R33" i="74" a="1"/>
  <c r="R33" i="74" s="1"/>
  <c r="N34" i="74" a="1"/>
  <c r="N34" i="74" s="1"/>
  <c r="O34" i="74" a="1"/>
  <c r="O34" i="74"/>
  <c r="P34" i="74" a="1"/>
  <c r="P34" i="74"/>
  <c r="Q34" i="74" a="1"/>
  <c r="Q34" i="74"/>
  <c r="R34" i="74" a="1"/>
  <c r="R34" i="74"/>
  <c r="N35" i="74" a="1"/>
  <c r="N35" i="74"/>
  <c r="O35" i="74" a="1"/>
  <c r="O35" i="74" s="1"/>
  <c r="P35" i="74" a="1"/>
  <c r="P35" i="74" s="1"/>
  <c r="Q35" i="74" a="1"/>
  <c r="Q35" i="74" s="1"/>
  <c r="R35" i="74" a="1"/>
  <c r="R35" i="74" s="1"/>
  <c r="N36" i="74" a="1"/>
  <c r="N36" i="74"/>
  <c r="O36" i="74" a="1"/>
  <c r="O36" i="74"/>
  <c r="P36" i="74" a="1"/>
  <c r="P36" i="74"/>
  <c r="Q36" i="74" a="1"/>
  <c r="Q36" i="74"/>
  <c r="R36" i="74" a="1"/>
  <c r="R36" i="74"/>
  <c r="N37" i="74" a="1"/>
  <c r="N37" i="74" s="1"/>
  <c r="O37" i="74" a="1"/>
  <c r="O37" i="74" s="1"/>
  <c r="P37" i="74" a="1"/>
  <c r="P37" i="74" s="1"/>
  <c r="Q37" i="74" a="1"/>
  <c r="Q37" i="74" s="1"/>
  <c r="R37" i="74" a="1"/>
  <c r="R37" i="74"/>
  <c r="N38" i="74" a="1"/>
  <c r="N38" i="74"/>
  <c r="O38" i="74" a="1"/>
  <c r="O38" i="74"/>
  <c r="P38" i="74" a="1"/>
  <c r="P38" i="74"/>
  <c r="Q38" i="74" a="1"/>
  <c r="Q38" i="74"/>
  <c r="R38" i="74" a="1"/>
  <c r="R38" i="74" s="1"/>
  <c r="N39" i="74" a="1"/>
  <c r="N39" i="74" s="1"/>
  <c r="O39" i="74" a="1"/>
  <c r="O39" i="74" s="1"/>
  <c r="P39" i="74" a="1"/>
  <c r="P39" i="74" s="1"/>
  <c r="Q39" i="74" a="1"/>
  <c r="Q39" i="74"/>
  <c r="R39" i="74" a="1"/>
  <c r="R39" i="74"/>
  <c r="N40" i="74" a="1"/>
  <c r="N40" i="74"/>
  <c r="O40" i="74" a="1"/>
  <c r="O40" i="74"/>
  <c r="P40" i="74" a="1"/>
  <c r="P40" i="74"/>
  <c r="Q40" i="74" a="1"/>
  <c r="Q40" i="74" s="1"/>
  <c r="R40" i="74" a="1"/>
  <c r="R40" i="74" s="1"/>
  <c r="N41" i="74" a="1"/>
  <c r="N41" i="74" s="1"/>
  <c r="O41" i="74" a="1"/>
  <c r="O41" i="74" s="1"/>
  <c r="P41" i="74" a="1"/>
  <c r="P41" i="74"/>
  <c r="Q41" i="74" a="1"/>
  <c r="Q41" i="74"/>
  <c r="R41" i="74" a="1"/>
  <c r="R41" i="74"/>
  <c r="N42" i="74" a="1"/>
  <c r="N42" i="74"/>
  <c r="O42" i="74" a="1"/>
  <c r="O42" i="74"/>
  <c r="P42" i="74" a="1"/>
  <c r="P42" i="74" s="1"/>
  <c r="Q42" i="74" a="1"/>
  <c r="Q42" i="74" s="1"/>
  <c r="R42" i="74" a="1"/>
  <c r="R42" i="74" s="1"/>
  <c r="O9" i="74" a="1"/>
  <c r="O9" i="74"/>
  <c r="P9" i="74" a="1"/>
  <c r="P9" i="74" s="1"/>
  <c r="Q9" i="74" a="1"/>
  <c r="Q9" i="74" s="1"/>
  <c r="R9" i="74" a="1"/>
  <c r="R9" i="74"/>
  <c r="N9" i="74" a="1"/>
  <c r="N9" i="74"/>
  <c r="N49" i="74"/>
  <c r="M50" i="74"/>
  <c r="N50" i="74"/>
  <c r="O50" i="74"/>
  <c r="P50" i="74"/>
  <c r="Q50" i="74"/>
  <c r="M51" i="74"/>
  <c r="N51" i="74"/>
  <c r="O51" i="74"/>
  <c r="P51" i="74"/>
  <c r="Q51" i="74"/>
  <c r="M52" i="74"/>
  <c r="N52" i="74"/>
  <c r="O52" i="74"/>
  <c r="P52" i="74"/>
  <c r="Q52" i="74"/>
  <c r="M53" i="74"/>
  <c r="N53" i="74"/>
  <c r="O53" i="74"/>
  <c r="P53" i="74"/>
  <c r="Q53" i="74"/>
  <c r="M54" i="74"/>
  <c r="N54" i="74"/>
  <c r="O54" i="74"/>
  <c r="P54" i="74"/>
  <c r="Q54" i="74"/>
  <c r="M55" i="74"/>
  <c r="N55" i="74"/>
  <c r="O55" i="74"/>
  <c r="P55" i="74"/>
  <c r="Q55" i="74"/>
  <c r="M56" i="74"/>
  <c r="N56" i="74"/>
  <c r="O56" i="74"/>
  <c r="P56" i="74"/>
  <c r="Q56" i="74"/>
  <c r="M57" i="74"/>
  <c r="N57" i="74"/>
  <c r="O57" i="74"/>
  <c r="P57" i="74"/>
  <c r="Q57" i="74"/>
  <c r="M58" i="74"/>
  <c r="N58" i="74"/>
  <c r="O58" i="74"/>
  <c r="P58" i="74"/>
  <c r="Q58" i="74"/>
  <c r="M59" i="74"/>
  <c r="N59" i="74"/>
  <c r="O59" i="74"/>
  <c r="P59" i="74"/>
  <c r="Q59" i="74"/>
  <c r="M60" i="74"/>
  <c r="N60" i="74"/>
  <c r="O60" i="74"/>
  <c r="P60" i="74"/>
  <c r="Q60" i="74"/>
  <c r="M61" i="74"/>
  <c r="N61" i="74"/>
  <c r="O61" i="74"/>
  <c r="P61" i="74"/>
  <c r="Q61" i="74"/>
  <c r="M62" i="74"/>
  <c r="N62" i="74"/>
  <c r="O62" i="74"/>
  <c r="P62" i="74"/>
  <c r="Q62" i="74"/>
  <c r="M63" i="74"/>
  <c r="N63" i="74"/>
  <c r="O63" i="74"/>
  <c r="P63" i="74"/>
  <c r="Q63" i="74"/>
  <c r="M64" i="74"/>
  <c r="N64" i="74"/>
  <c r="O64" i="74"/>
  <c r="P64" i="74"/>
  <c r="Q64" i="74"/>
  <c r="M65" i="74"/>
  <c r="N65" i="74"/>
  <c r="O65" i="74"/>
  <c r="P65" i="74"/>
  <c r="Q65" i="74"/>
  <c r="M66" i="74"/>
  <c r="N66" i="74"/>
  <c r="O66" i="74"/>
  <c r="P66" i="74"/>
  <c r="Q66" i="74"/>
  <c r="M67" i="74"/>
  <c r="N67" i="74"/>
  <c r="O67" i="74"/>
  <c r="P67" i="74"/>
  <c r="Q67" i="74"/>
  <c r="M68" i="74"/>
  <c r="N68" i="74"/>
  <c r="O68" i="74"/>
  <c r="P68" i="74"/>
  <c r="Q68" i="74"/>
  <c r="M69" i="74"/>
  <c r="N69" i="74"/>
  <c r="O69" i="74"/>
  <c r="P69" i="74"/>
  <c r="Q69" i="74"/>
  <c r="M70" i="74"/>
  <c r="N70" i="74"/>
  <c r="O70" i="74"/>
  <c r="P70" i="74"/>
  <c r="Q70" i="74"/>
  <c r="M71" i="74"/>
  <c r="N71" i="74"/>
  <c r="O71" i="74"/>
  <c r="P71" i="74"/>
  <c r="Q71" i="74"/>
  <c r="M72" i="74"/>
  <c r="N72" i="74"/>
  <c r="O72" i="74"/>
  <c r="P72" i="74"/>
  <c r="Q72" i="74"/>
  <c r="M73" i="74"/>
  <c r="N73" i="74"/>
  <c r="O73" i="74"/>
  <c r="P73" i="74"/>
  <c r="Q73" i="74"/>
  <c r="M74" i="74"/>
  <c r="N74" i="74"/>
  <c r="O74" i="74"/>
  <c r="P74" i="74"/>
  <c r="Q74" i="74"/>
  <c r="M75" i="74"/>
  <c r="N75" i="74"/>
  <c r="O75" i="74"/>
  <c r="P75" i="74"/>
  <c r="Q75" i="74"/>
  <c r="M76" i="74"/>
  <c r="N76" i="74"/>
  <c r="O76" i="74"/>
  <c r="P76" i="74"/>
  <c r="Q76" i="74"/>
  <c r="M77" i="74"/>
  <c r="N77" i="74"/>
  <c r="O77" i="74"/>
  <c r="P77" i="74"/>
  <c r="Q77" i="74"/>
  <c r="M78" i="74"/>
  <c r="N78" i="74"/>
  <c r="O78" i="74"/>
  <c r="P78" i="74"/>
  <c r="Q78" i="74"/>
  <c r="M79" i="74"/>
  <c r="N79" i="74"/>
  <c r="O79" i="74"/>
  <c r="P79" i="74"/>
  <c r="Q79" i="74"/>
  <c r="M80" i="74"/>
  <c r="N80" i="74"/>
  <c r="O80" i="74"/>
  <c r="P80" i="74"/>
  <c r="Q80" i="74"/>
  <c r="M81" i="74"/>
  <c r="N81" i="74"/>
  <c r="O81" i="74"/>
  <c r="P81" i="74"/>
  <c r="Q81" i="74"/>
  <c r="M82" i="74"/>
  <c r="N82" i="74"/>
  <c r="O82" i="74"/>
  <c r="P82" i="74"/>
  <c r="Q82" i="74"/>
  <c r="F25" i="15" l="1"/>
  <c r="G25" i="15" l="1"/>
  <c r="H25" i="15" l="1"/>
  <c r="I25" i="15" l="1"/>
  <c r="J25" i="15" l="1"/>
  <c r="K25" i="15" l="1"/>
  <c r="L25" i="15" l="1"/>
  <c r="M25" i="15" l="1"/>
  <c r="N25" i="15" l="1"/>
  <c r="O25" i="15" l="1"/>
  <c r="P25" i="15" l="1"/>
  <c r="Q25" i="15" l="1"/>
  <c r="R25" i="15" l="1"/>
  <c r="S25" i="15" l="1"/>
  <c r="T25" i="15" l="1"/>
  <c r="U25" i="15" l="1"/>
  <c r="E6" i="86"/>
  <c r="U14" i="87"/>
  <c r="V14" i="87"/>
  <c r="W14" i="87"/>
  <c r="T14" i="87"/>
  <c r="C24" i="95"/>
  <c r="D24" i="95"/>
  <c r="E24" i="95"/>
  <c r="B24" i="95"/>
  <c r="V25" i="15" l="1"/>
  <c r="H7" i="82"/>
  <c r="H6" i="82" s="1"/>
  <c r="W25" i="15" l="1"/>
  <c r="H6" i="85"/>
  <c r="H7" i="85"/>
  <c r="E7" i="82"/>
  <c r="C48" i="86"/>
  <c r="C47" i="86"/>
  <c r="C49" i="86"/>
  <c r="C54" i="81"/>
  <c r="C53" i="81"/>
  <c r="C52" i="81"/>
  <c r="C46" i="81"/>
  <c r="C41" i="86"/>
  <c r="C52" i="85"/>
  <c r="C50" i="85"/>
  <c r="C44" i="85"/>
  <c r="C45" i="85"/>
  <c r="C51" i="85"/>
  <c r="D51" i="85" s="1"/>
  <c r="C46" i="85"/>
  <c r="C45" i="82"/>
  <c r="C44" i="82"/>
  <c r="C43" i="82"/>
  <c r="C37" i="82"/>
  <c r="C39" i="82"/>
  <c r="C38" i="82"/>
  <c r="C12" i="84"/>
  <c r="C11" i="84"/>
  <c r="C10" i="84"/>
  <c r="C5" i="84"/>
  <c r="X25" i="15" l="1"/>
  <c r="D50" i="85"/>
  <c r="D52" i="85"/>
  <c r="D45" i="82"/>
  <c r="D43" i="82"/>
  <c r="D44" i="82"/>
  <c r="D10" i="84"/>
  <c r="D11" i="84"/>
  <c r="D12" i="84"/>
  <c r="Y25" i="15" l="1"/>
  <c r="D37" i="82"/>
  <c r="Z25" i="15" l="1"/>
  <c r="C17" i="96"/>
  <c r="B17" i="96"/>
  <c r="C16" i="96"/>
  <c r="B16" i="96"/>
  <c r="AE17" i="95"/>
  <c r="AD17" i="95"/>
  <c r="AC17" i="95"/>
  <c r="AB17" i="95"/>
  <c r="AA17" i="95"/>
  <c r="Z17" i="95"/>
  <c r="Y17" i="95"/>
  <c r="X17" i="95"/>
  <c r="W17" i="95"/>
  <c r="U17" i="95"/>
  <c r="T17" i="95"/>
  <c r="S17" i="95"/>
  <c r="R17" i="95"/>
  <c r="Q17" i="95"/>
  <c r="P17" i="95"/>
  <c r="O17" i="95"/>
  <c r="N17" i="95"/>
  <c r="M17" i="95"/>
  <c r="K17" i="95"/>
  <c r="J17" i="95"/>
  <c r="I17" i="95"/>
  <c r="H17" i="95"/>
  <c r="G17" i="95"/>
  <c r="AE16" i="95"/>
  <c r="AD16" i="95"/>
  <c r="AC16" i="95"/>
  <c r="AB16" i="95"/>
  <c r="AA16" i="95"/>
  <c r="Z16" i="95"/>
  <c r="Y16" i="95"/>
  <c r="X16" i="95"/>
  <c r="W16" i="95"/>
  <c r="U16" i="95"/>
  <c r="T16" i="95"/>
  <c r="S16" i="95"/>
  <c r="R16" i="95"/>
  <c r="Q16" i="95"/>
  <c r="P16" i="95"/>
  <c r="O16" i="95"/>
  <c r="N16" i="95"/>
  <c r="M16" i="95"/>
  <c r="K16" i="95"/>
  <c r="J16" i="95"/>
  <c r="I16" i="95"/>
  <c r="H16" i="95"/>
  <c r="G16" i="95"/>
  <c r="F10" i="95"/>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E18" i="94"/>
  <c r="AD18" i="94"/>
  <c r="C18" i="94"/>
  <c r="B18" i="94"/>
  <c r="AE17" i="94"/>
  <c r="AD17" i="94"/>
  <c r="C17" i="94"/>
  <c r="B17" i="94"/>
  <c r="AE16" i="94"/>
  <c r="AD16" i="94"/>
  <c r="C16" i="94"/>
  <c r="B16" i="94"/>
  <c r="B12" i="93"/>
  <c r="B13" i="93"/>
  <c r="B19" i="93"/>
  <c r="B33" i="93"/>
  <c r="AA25" i="15" l="1"/>
  <c r="C5" i="93"/>
  <c r="D5" i="93"/>
  <c r="E5" i="93"/>
  <c r="G5" i="93"/>
  <c r="B5" i="93"/>
  <c r="B7" i="93"/>
  <c r="AB25" i="15" l="1"/>
  <c r="C86" i="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AC25" i="15" l="1"/>
  <c r="V6" i="88"/>
  <c r="R31" i="88" s="1"/>
  <c r="V5" i="88"/>
  <c r="R30" i="88" s="1"/>
  <c r="AD7" i="88"/>
  <c r="S32" i="88" s="1"/>
  <c r="AX7" i="88"/>
  <c r="V7" i="88"/>
  <c r="R32" i="88" s="1"/>
  <c r="AN7" i="88"/>
  <c r="T32" i="88" s="1"/>
  <c r="AN6" i="88"/>
  <c r="T31" i="88" s="1"/>
  <c r="AD5" i="88"/>
  <c r="AX5" i="88"/>
  <c r="AX6" i="88"/>
  <c r="AN5" i="88"/>
  <c r="T30" i="88" s="1"/>
  <c r="R5" i="88"/>
  <c r="AD6" i="88"/>
  <c r="S31" i="88" s="1"/>
  <c r="B22" i="87"/>
  <c r="C31" i="91"/>
  <c r="L3" i="74"/>
  <c r="A33" i="89"/>
  <c r="J15" i="91"/>
  <c r="J21" i="91" s="1"/>
  <c r="H15" i="91"/>
  <c r="H21" i="91" s="1"/>
  <c r="I17" i="91"/>
  <c r="I15" i="91" s="1"/>
  <c r="I21" i="91" s="1"/>
  <c r="G16" i="91"/>
  <c r="G15" i="91" s="1"/>
  <c r="G21" i="91" s="1"/>
  <c r="I12" i="91"/>
  <c r="I18" i="91" s="1"/>
  <c r="J12" i="91"/>
  <c r="J18" i="91" s="1"/>
  <c r="H12" i="91"/>
  <c r="H18" i="91" s="1"/>
  <c r="G12" i="91"/>
  <c r="G18" i="91" s="1"/>
  <c r="E21" i="91"/>
  <c r="AD25" i="15" l="1"/>
  <c r="AT23" i="74"/>
  <c r="AT41" i="74"/>
  <c r="AJ25" i="74"/>
  <c r="Z42" i="74"/>
  <c r="Z27" i="74"/>
  <c r="S12" i="74"/>
  <c r="S30" i="74"/>
  <c r="M14" i="74"/>
  <c r="M32" i="74"/>
  <c r="O49" i="74"/>
  <c r="AT24" i="74"/>
  <c r="AT42" i="74"/>
  <c r="AJ26" i="74"/>
  <c r="V15" i="95" s="1"/>
  <c r="Z10" i="74"/>
  <c r="Z28" i="74"/>
  <c r="S13" i="74"/>
  <c r="S31" i="74"/>
  <c r="M15" i="74"/>
  <c r="M33" i="74"/>
  <c r="S14" i="74"/>
  <c r="M16" i="74"/>
  <c r="M34" i="74"/>
  <c r="M17" i="74"/>
  <c r="AT29" i="74"/>
  <c r="Z34" i="74"/>
  <c r="AJ33" i="74"/>
  <c r="AJ34" i="74"/>
  <c r="AJ17" i="74"/>
  <c r="Z20" i="74"/>
  <c r="AJ37" i="74"/>
  <c r="Z40" i="74"/>
  <c r="AJ21" i="74"/>
  <c r="Z9" i="74"/>
  <c r="M30" i="74"/>
  <c r="AJ24" i="74"/>
  <c r="P49" i="74"/>
  <c r="AT25" i="74"/>
  <c r="AT9" i="74"/>
  <c r="AJ27" i="74"/>
  <c r="Z11" i="74"/>
  <c r="Z29" i="74"/>
  <c r="S32" i="74"/>
  <c r="M20" i="74"/>
  <c r="AJ14" i="74"/>
  <c r="AT31" i="74"/>
  <c r="AF18" i="94" s="1"/>
  <c r="Z35" i="74"/>
  <c r="M22" i="74"/>
  <c r="AT32" i="74"/>
  <c r="Z36" i="74"/>
  <c r="S39" i="74"/>
  <c r="M41" i="74"/>
  <c r="AT33" i="74"/>
  <c r="AJ35" i="74"/>
  <c r="Z37" i="74"/>
  <c r="S40" i="74"/>
  <c r="AT34" i="74"/>
  <c r="AJ36" i="74"/>
  <c r="S23" i="74"/>
  <c r="AT35" i="74"/>
  <c r="Z21" i="74"/>
  <c r="M26" i="74"/>
  <c r="AT36" i="74"/>
  <c r="AJ38" i="74"/>
  <c r="M27" i="74"/>
  <c r="AT37" i="74"/>
  <c r="Z23" i="74"/>
  <c r="M10" i="74"/>
  <c r="AT38" i="74"/>
  <c r="AJ40" i="74"/>
  <c r="M11" i="74"/>
  <c r="AT21" i="74"/>
  <c r="Z25" i="74"/>
  <c r="AT40" i="74"/>
  <c r="AJ42" i="74"/>
  <c r="M13" i="74"/>
  <c r="Q49" i="74"/>
  <c r="AT26" i="74"/>
  <c r="AJ10" i="74"/>
  <c r="AJ28" i="74"/>
  <c r="Z12" i="74"/>
  <c r="Z30" i="74"/>
  <c r="S15" i="74"/>
  <c r="S33" i="74"/>
  <c r="M35" i="74"/>
  <c r="AJ32" i="74"/>
  <c r="AJ16" i="74"/>
  <c r="M42" i="74"/>
  <c r="M25" i="74"/>
  <c r="S42" i="74"/>
  <c r="S25" i="74"/>
  <c r="S26" i="74"/>
  <c r="S27" i="74"/>
  <c r="S28" i="74"/>
  <c r="S29" i="74"/>
  <c r="M49" i="74"/>
  <c r="AT27" i="74"/>
  <c r="AJ11" i="74"/>
  <c r="AJ29" i="74"/>
  <c r="Z13" i="74"/>
  <c r="Z31" i="74"/>
  <c r="S16" i="74"/>
  <c r="S34" i="74"/>
  <c r="M18" i="74"/>
  <c r="M36" i="74"/>
  <c r="AT10" i="74"/>
  <c r="AT28" i="74"/>
  <c r="AJ12" i="74"/>
  <c r="AJ30" i="74"/>
  <c r="Z14" i="74"/>
  <c r="Z32" i="74"/>
  <c r="S17" i="74"/>
  <c r="S35" i="74"/>
  <c r="M19" i="74"/>
  <c r="M37" i="74"/>
  <c r="AT11" i="74"/>
  <c r="AJ13" i="74"/>
  <c r="AJ31" i="74"/>
  <c r="Z15" i="74"/>
  <c r="Z33" i="74"/>
  <c r="S18" i="74"/>
  <c r="S36" i="74"/>
  <c r="M38" i="74"/>
  <c r="AT12" i="74"/>
  <c r="AT30" i="74"/>
  <c r="Z16" i="74"/>
  <c r="S19" i="74"/>
  <c r="S37" i="74"/>
  <c r="M21" i="74"/>
  <c r="M39" i="74"/>
  <c r="AT13" i="74"/>
  <c r="AJ15" i="74"/>
  <c r="Z17" i="74"/>
  <c r="S20" i="74"/>
  <c r="S38" i="74"/>
  <c r="M40" i="74"/>
  <c r="AT14" i="74"/>
  <c r="Z18" i="74"/>
  <c r="S21" i="74"/>
  <c r="M23" i="74"/>
  <c r="AT15" i="74"/>
  <c r="Z19" i="74"/>
  <c r="S22" i="74"/>
  <c r="M24" i="74"/>
  <c r="AT16" i="74"/>
  <c r="AJ18" i="74"/>
  <c r="Z38" i="74"/>
  <c r="S41" i="74"/>
  <c r="AT17" i="74"/>
  <c r="AJ19" i="74"/>
  <c r="Z39" i="74"/>
  <c r="S24" i="74"/>
  <c r="AT18" i="74"/>
  <c r="AJ20" i="74"/>
  <c r="Z22" i="74"/>
  <c r="S9" i="74"/>
  <c r="AT19" i="74"/>
  <c r="AJ39" i="74"/>
  <c r="Z41" i="74"/>
  <c r="M28" i="74"/>
  <c r="AT20" i="74"/>
  <c r="AJ22" i="74"/>
  <c r="Z24" i="74"/>
  <c r="M29" i="74"/>
  <c r="AT39" i="74"/>
  <c r="AJ23" i="74"/>
  <c r="AJ41" i="74"/>
  <c r="S10" i="74"/>
  <c r="M12" i="74"/>
  <c r="AT22" i="74"/>
  <c r="Z26" i="74"/>
  <c r="L15" i="95" s="1"/>
  <c r="S11" i="74"/>
  <c r="M31" i="74"/>
  <c r="AJ9" i="74"/>
  <c r="AF15" i="94"/>
  <c r="AF15" i="95"/>
  <c r="S30" i="88"/>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AE15" i="94"/>
  <c r="X15" i="95"/>
  <c r="AA15" i="95"/>
  <c r="W15" i="95"/>
  <c r="Z15" i="95"/>
  <c r="R15" i="95"/>
  <c r="T15" i="95"/>
  <c r="AE15" i="95"/>
  <c r="AB15" i="95"/>
  <c r="AD15" i="94"/>
  <c r="AD15" i="95"/>
  <c r="Y15" i="95"/>
  <c r="U15" i="95"/>
  <c r="AC15" i="95"/>
  <c r="S15" i="95"/>
  <c r="O5" i="89"/>
  <c r="T6" i="89"/>
  <c r="P32" i="89" s="1"/>
  <c r="O6" i="89"/>
  <c r="O32" i="89" s="1"/>
  <c r="O7" i="89"/>
  <c r="O33" i="89" s="1"/>
  <c r="T7" i="89"/>
  <c r="P33" i="89" s="1"/>
  <c r="AV5" i="89"/>
  <c r="S31" i="89" s="1"/>
  <c r="AB5" i="89"/>
  <c r="Q31" i="89" s="1"/>
  <c r="AL5" i="89"/>
  <c r="R31" i="89" s="1"/>
  <c r="AU5" i="89" s="1" a="1"/>
  <c r="AU5" i="89" s="1"/>
  <c r="T5" i="89"/>
  <c r="P31" i="89" s="1"/>
  <c r="AV7" i="89"/>
  <c r="S33" i="89" s="1"/>
  <c r="AV6" i="89"/>
  <c r="S32" i="89" s="1"/>
  <c r="AL6" i="89"/>
  <c r="R32" i="89" s="1"/>
  <c r="AU6" i="89" s="1" a="1"/>
  <c r="AU6" i="89" s="1"/>
  <c r="AB7" i="89"/>
  <c r="Q33" i="89" s="1"/>
  <c r="AB6" i="89"/>
  <c r="Q32" i="89" s="1"/>
  <c r="AL7" i="89"/>
  <c r="R33" i="89" s="1"/>
  <c r="B11" i="23"/>
  <c r="B15" i="94"/>
  <c r="P15" i="95"/>
  <c r="C15" i="94"/>
  <c r="Q15" i="95"/>
  <c r="B12" i="96"/>
  <c r="B15" i="96"/>
  <c r="N15" i="95"/>
  <c r="O15" i="95"/>
  <c r="C12" i="96"/>
  <c r="C15" i="96"/>
  <c r="H15" i="95"/>
  <c r="K15" i="95"/>
  <c r="M15" i="95"/>
  <c r="G15" i="95"/>
  <c r="J15" i="95"/>
  <c r="I15" i="95"/>
  <c r="M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H24" i="91"/>
  <c r="D39" i="91" s="1"/>
  <c r="B25" i="97" s="1"/>
  <c r="G24" i="91"/>
  <c r="C39" i="91" s="1"/>
  <c r="B25" i="15" s="1"/>
  <c r="J24" i="91"/>
  <c r="F39" i="91" s="1"/>
  <c r="B25" i="96" s="1"/>
  <c r="I24" i="91"/>
  <c r="E39" i="91" s="1"/>
  <c r="C48" i="91" s="1"/>
  <c r="D48" i="91" s="1"/>
  <c r="E48" i="91" s="1"/>
  <c r="E5" i="91"/>
  <c r="E9" i="91"/>
  <c r="E15" i="91"/>
  <c r="E18" i="91"/>
  <c r="E12" i="91"/>
  <c r="AE25" i="15" l="1"/>
  <c r="S7" i="89" a="1"/>
  <c r="S7" i="89" s="1"/>
  <c r="P7" i="89" a="1"/>
  <c r="P7" i="89" s="1"/>
  <c r="Q7" i="89" a="1"/>
  <c r="Q7" i="89" s="1"/>
  <c r="R7" i="89" a="1"/>
  <c r="R7" i="89" s="1"/>
  <c r="S6" i="89" a="1"/>
  <c r="S6" i="89" s="1"/>
  <c r="Q6" i="89" a="1"/>
  <c r="Q6" i="89" s="1"/>
  <c r="P6" i="89" a="1"/>
  <c r="P6" i="89" s="1"/>
  <c r="P24" i="89" s="1"/>
  <c r="R6" i="89" a="1"/>
  <c r="R6" i="89" s="1"/>
  <c r="V16" i="95"/>
  <c r="V17" i="95"/>
  <c r="L17" i="95"/>
  <c r="L16" i="95"/>
  <c r="AF17" i="94"/>
  <c r="AF16" i="94"/>
  <c r="AF17" i="95"/>
  <c r="AF16" i="95"/>
  <c r="F48" i="9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S11" i="95"/>
  <c r="S12" i="95"/>
  <c r="AC12" i="95"/>
  <c r="AC11" i="95"/>
  <c r="Z11" i="95"/>
  <c r="Z12" i="95"/>
  <c r="R11" i="95"/>
  <c r="R12" i="95"/>
  <c r="AA12" i="95"/>
  <c r="AA11" i="95"/>
  <c r="T12" i="95"/>
  <c r="T11" i="95"/>
  <c r="AD12" i="95"/>
  <c r="AD11" i="95"/>
  <c r="V12" i="95"/>
  <c r="V11" i="95"/>
  <c r="AF11" i="94"/>
  <c r="AF12" i="94"/>
  <c r="Y12" i="95"/>
  <c r="Y11" i="95"/>
  <c r="AB12" i="95"/>
  <c r="AB11" i="95"/>
  <c r="AF12" i="95"/>
  <c r="AF11" i="95"/>
  <c r="X11" i="95"/>
  <c r="X12" i="95"/>
  <c r="W11" i="95"/>
  <c r="W12" i="95"/>
  <c r="AE11" i="95"/>
  <c r="AE12" i="95"/>
  <c r="U12" i="95"/>
  <c r="U11" i="95"/>
  <c r="AD12" i="94"/>
  <c r="AD11" i="94"/>
  <c r="AE12" i="94"/>
  <c r="AE11" i="94"/>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Q25"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Q24" i="89" s="1"/>
  <c r="X6" i="89" a="1"/>
  <c r="X6" i="89" s="1"/>
  <c r="O31" i="89"/>
  <c r="O23" i="89"/>
  <c r="B11" i="94"/>
  <c r="B12" i="94"/>
  <c r="N12" i="95"/>
  <c r="N11" i="95"/>
  <c r="I11" i="95"/>
  <c r="I12" i="95"/>
  <c r="L12" i="95"/>
  <c r="L11" i="95"/>
  <c r="C15" i="22"/>
  <c r="C15" i="23"/>
  <c r="C15" i="97"/>
  <c r="C12" i="94"/>
  <c r="C11" i="94"/>
  <c r="M11" i="95"/>
  <c r="M12" i="95"/>
  <c r="G12" i="95"/>
  <c r="G11" i="95"/>
  <c r="O11" i="95"/>
  <c r="O12" i="95"/>
  <c r="P11" i="95"/>
  <c r="P12" i="95"/>
  <c r="H11" i="95"/>
  <c r="H12" i="95"/>
  <c r="Q12" i="95"/>
  <c r="Q11" i="95"/>
  <c r="B15" i="22"/>
  <c r="B15" i="23"/>
  <c r="B15" i="97"/>
  <c r="K12" i="95"/>
  <c r="K11" i="95"/>
  <c r="B15" i="95" a="1"/>
  <c r="B15" i="95" s="1"/>
  <c r="E15" i="95" a="1"/>
  <c r="E15" i="95" s="1"/>
  <c r="C15" i="95" a="1"/>
  <c r="C15" i="95" s="1"/>
  <c r="F15" i="95" a="1"/>
  <c r="F15" i="95" s="1"/>
  <c r="D15" i="95" a="1"/>
  <c r="D15" i="95" s="1"/>
  <c r="J12" i="95"/>
  <c r="J11" i="95"/>
  <c r="S29" i="87"/>
  <c r="W5" i="87" s="1" a="1"/>
  <c r="W5" i="87" s="1"/>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C25" i="96"/>
  <c r="C25" i="97"/>
  <c r="C25" i="15"/>
  <c r="B34" i="93"/>
  <c r="T24" i="89"/>
  <c r="T25" i="89"/>
  <c r="S24" i="89"/>
  <c r="S25" i="89"/>
  <c r="R24" i="89"/>
  <c r="R25" i="89"/>
  <c r="O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AF25" i="15" l="1"/>
  <c r="Z5" i="87" a="1"/>
  <c r="Z5" i="87" s="1"/>
  <c r="S5" i="89" a="1"/>
  <c r="S5" i="89" s="1"/>
  <c r="Q5" i="89" a="1"/>
  <c r="Q5" i="89" s="1"/>
  <c r="R5" i="89" a="1"/>
  <c r="R5" i="89" s="1"/>
  <c r="P5" i="89" a="1"/>
  <c r="P5" i="89" s="1"/>
  <c r="P23" i="89" s="1"/>
  <c r="F16" i="95" a="1"/>
  <c r="F16" i="95" s="1"/>
  <c r="E16" i="95" a="1"/>
  <c r="E16" i="95" s="1"/>
  <c r="B16" i="95" a="1"/>
  <c r="B16" i="95" s="1"/>
  <c r="D16" i="95" a="1"/>
  <c r="D16" i="95" s="1"/>
  <c r="C16" i="95" a="1"/>
  <c r="C16" i="95" s="1"/>
  <c r="C17" i="95" a="1"/>
  <c r="C17" i="95" s="1"/>
  <c r="E17" i="95" a="1"/>
  <c r="E17" i="95" s="1"/>
  <c r="B17" i="95" a="1"/>
  <c r="B17" i="95" s="1"/>
  <c r="F17" i="95" a="1"/>
  <c r="F17" i="95" s="1"/>
  <c r="D17" i="95" a="1"/>
  <c r="D17" i="95" s="1"/>
  <c r="AF13" i="94"/>
  <c r="AE13" i="94"/>
  <c r="AD13" i="94"/>
  <c r="C13" i="94"/>
  <c r="B13" i="94"/>
  <c r="B14" i="94"/>
  <c r="C14" i="94"/>
  <c r="AE14" i="94"/>
  <c r="AD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B13" i="96"/>
  <c r="C13" i="96"/>
  <c r="C14" i="96"/>
  <c r="B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Y5" i="87" a="1"/>
  <c r="Y5" i="87" s="1"/>
  <c r="S23" i="87" s="1"/>
  <c r="AA5" i="87" a="1"/>
  <c r="AA5" i="87" s="1"/>
  <c r="AB5" i="87" a="1"/>
  <c r="AB5" i="87" s="1"/>
  <c r="X5" i="87" a="1"/>
  <c r="X5" i="87" s="1"/>
  <c r="C34" i="93"/>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3" i="86"/>
  <c r="C42" i="86"/>
  <c r="H10" i="86"/>
  <c r="H9" i="86"/>
  <c r="H8" i="86"/>
  <c r="H7" i="86"/>
  <c r="H6" i="86"/>
  <c r="G10" i="86"/>
  <c r="G9" i="86"/>
  <c r="G8" i="86"/>
  <c r="G7" i="86"/>
  <c r="G6" i="86"/>
  <c r="F10" i="86"/>
  <c r="F9" i="86"/>
  <c r="F8" i="86"/>
  <c r="F7" i="86"/>
  <c r="F6" i="86"/>
  <c r="E10" i="86"/>
  <c r="E9" i="86"/>
  <c r="E8" i="86"/>
  <c r="E7" i="86"/>
  <c r="J6" i="85"/>
  <c r="J7" i="85" s="1"/>
  <c r="M6" i="85"/>
  <c r="M7" i="85" s="1"/>
  <c r="L6" i="85"/>
  <c r="L7" i="85" s="1"/>
  <c r="I6" i="85"/>
  <c r="I7" i="85" s="1"/>
  <c r="G6" i="85"/>
  <c r="G7" i="85" s="1"/>
  <c r="F6" i="85"/>
  <c r="F7" i="85" s="1"/>
  <c r="E6" i="85"/>
  <c r="V18" i="95" l="1"/>
  <c r="U18" i="95"/>
  <c r="I18" i="95"/>
  <c r="AF18" i="95"/>
  <c r="T18" i="95"/>
  <c r="H18" i="95"/>
  <c r="K18" i="95"/>
  <c r="AE18" i="95"/>
  <c r="S18" i="95"/>
  <c r="G18" i="95"/>
  <c r="AD18" i="95"/>
  <c r="R18" i="95"/>
  <c r="W18" i="95"/>
  <c r="AC18" i="95"/>
  <c r="Q18" i="95"/>
  <c r="AB18" i="95"/>
  <c r="P18" i="95"/>
  <c r="AA18" i="95"/>
  <c r="O18" i="95"/>
  <c r="Z18" i="95"/>
  <c r="N18" i="95"/>
  <c r="Y18" i="95"/>
  <c r="M18" i="95"/>
  <c r="X18" i="95"/>
  <c r="L18" i="95"/>
  <c r="J18" i="95"/>
  <c r="AF19" i="95"/>
  <c r="T19" i="95"/>
  <c r="H19" i="95"/>
  <c r="AE19" i="95"/>
  <c r="S19" i="95"/>
  <c r="G19" i="95"/>
  <c r="AD19" i="95"/>
  <c r="R19" i="95"/>
  <c r="Y19" i="95"/>
  <c r="U19" i="95"/>
  <c r="I19" i="95"/>
  <c r="AC19" i="95"/>
  <c r="Q19" i="95"/>
  <c r="AB19" i="95"/>
  <c r="P19" i="95"/>
  <c r="AA19" i="95"/>
  <c r="O19" i="95"/>
  <c r="Z19" i="95"/>
  <c r="N19" i="95"/>
  <c r="M19" i="95"/>
  <c r="X19" i="95"/>
  <c r="L19" i="95"/>
  <c r="W19" i="95"/>
  <c r="K19" i="95"/>
  <c r="V19" i="95"/>
  <c r="J19" i="95"/>
  <c r="AD20" i="95"/>
  <c r="R20" i="95"/>
  <c r="AC20" i="95"/>
  <c r="Q20" i="95"/>
  <c r="AB20" i="95"/>
  <c r="P20" i="95"/>
  <c r="AE20" i="95"/>
  <c r="S20" i="95"/>
  <c r="AA20" i="95"/>
  <c r="O20" i="95"/>
  <c r="Z20" i="95"/>
  <c r="N20" i="95"/>
  <c r="W20" i="95"/>
  <c r="G20" i="95"/>
  <c r="Y20" i="95"/>
  <c r="M20" i="95"/>
  <c r="K20" i="95"/>
  <c r="X20" i="95"/>
  <c r="L20" i="95"/>
  <c r="V20" i="95"/>
  <c r="J20" i="95"/>
  <c r="U20" i="95"/>
  <c r="I20" i="95"/>
  <c r="AF20" i="95"/>
  <c r="T20" i="95"/>
  <c r="H20" i="95"/>
  <c r="AB21" i="95"/>
  <c r="AA21" i="95"/>
  <c r="O21" i="95"/>
  <c r="Z21" i="95"/>
  <c r="N21" i="95"/>
  <c r="Y21" i="95"/>
  <c r="M21" i="95"/>
  <c r="U21" i="95"/>
  <c r="AC21" i="95"/>
  <c r="X21" i="95"/>
  <c r="L21" i="95"/>
  <c r="P21" i="95"/>
  <c r="W21" i="95"/>
  <c r="K21" i="95"/>
  <c r="V21" i="95"/>
  <c r="J21" i="95"/>
  <c r="I21" i="95"/>
  <c r="Q21" i="95"/>
  <c r="AF21" i="95"/>
  <c r="T21" i="95"/>
  <c r="H21" i="95"/>
  <c r="AE21" i="95"/>
  <c r="S21" i="95"/>
  <c r="G21" i="95"/>
  <c r="AD21" i="95"/>
  <c r="R21" i="95"/>
  <c r="AD20" i="94"/>
  <c r="AF20" i="94"/>
  <c r="AE20" i="94"/>
  <c r="B20" i="94"/>
  <c r="C20" i="94"/>
  <c r="Z22" i="95"/>
  <c r="N22" i="95"/>
  <c r="Y22" i="95"/>
  <c r="M22" i="95"/>
  <c r="X22" i="95"/>
  <c r="L22" i="95"/>
  <c r="O22" i="95"/>
  <c r="W22" i="95"/>
  <c r="K22" i="95"/>
  <c r="V22" i="95"/>
  <c r="J22" i="95"/>
  <c r="AA22" i="95"/>
  <c r="U22" i="95"/>
  <c r="I22" i="95"/>
  <c r="AF22" i="95"/>
  <c r="T22" i="95"/>
  <c r="H22" i="95"/>
  <c r="AE22" i="95"/>
  <c r="S22" i="95"/>
  <c r="G22" i="95"/>
  <c r="AD22" i="95"/>
  <c r="R22" i="95"/>
  <c r="AC22" i="95"/>
  <c r="Q22" i="95"/>
  <c r="AB22" i="95"/>
  <c r="P22" i="95"/>
  <c r="AF22" i="94"/>
  <c r="AE22" i="94"/>
  <c r="AD22" i="94"/>
  <c r="C22" i="94"/>
  <c r="B22" i="94"/>
  <c r="B19" i="96"/>
  <c r="C19" i="96"/>
  <c r="B21" i="96"/>
  <c r="C21" i="96"/>
  <c r="AD21" i="94"/>
  <c r="C21" i="94"/>
  <c r="B21" i="94"/>
  <c r="AE21" i="94"/>
  <c r="AF21" i="94"/>
  <c r="C18" i="96"/>
  <c r="B18" i="96"/>
  <c r="C20" i="96"/>
  <c r="B20" i="96"/>
  <c r="C22" i="96"/>
  <c r="B22" i="96"/>
  <c r="C19" i="94"/>
  <c r="AD19" i="94"/>
  <c r="B19" i="94"/>
  <c r="AE19" i="94"/>
  <c r="AF19" i="94"/>
  <c r="D47" i="86"/>
  <c r="D48" i="86"/>
  <c r="D49" i="86"/>
  <c r="B2" i="94"/>
  <c r="C2" i="94"/>
  <c r="AE2" i="94"/>
  <c r="AF2" i="94"/>
  <c r="AD2" i="94"/>
  <c r="AE6" i="94"/>
  <c r="C6" i="94"/>
  <c r="AD6" i="94"/>
  <c r="B6" i="94"/>
  <c r="AF6" i="94"/>
  <c r="AF23" i="94"/>
  <c r="AD23" i="94"/>
  <c r="AE23" i="94"/>
  <c r="C23" i="94"/>
  <c r="B23" i="94"/>
  <c r="C6" i="96"/>
  <c r="B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C7" i="94"/>
  <c r="AD7" i="94"/>
  <c r="AF7" i="94"/>
  <c r="AE7" i="94"/>
  <c r="B7" i="94"/>
  <c r="B8" i="94"/>
  <c r="AD8" i="94"/>
  <c r="AE8" i="94"/>
  <c r="AF8" i="94"/>
  <c r="C8" i="94"/>
  <c r="C5" i="96"/>
  <c r="B5" i="96"/>
  <c r="AB2" i="95"/>
  <c r="P2" i="95"/>
  <c r="O2" i="95"/>
  <c r="Z2" i="95"/>
  <c r="N2" i="95"/>
  <c r="W2" i="95"/>
  <c r="K2" i="95"/>
  <c r="AE2" i="95"/>
  <c r="M2" i="95"/>
  <c r="I2" i="95"/>
  <c r="AD2" i="95"/>
  <c r="L2" i="95"/>
  <c r="AA2" i="95"/>
  <c r="AC2" i="95"/>
  <c r="J2" i="95"/>
  <c r="X2" i="95"/>
  <c r="G2" i="95"/>
  <c r="Q2" i="95"/>
  <c r="V2" i="95"/>
  <c r="U2" i="95"/>
  <c r="H2" i="95"/>
  <c r="Y2" i="95"/>
  <c r="S2" i="95"/>
  <c r="AF2" i="95"/>
  <c r="T2" i="95"/>
  <c r="R2" i="95"/>
  <c r="B8" i="96"/>
  <c r="C8" i="96"/>
  <c r="D52" i="81"/>
  <c r="D54" i="81"/>
  <c r="D53" i="81"/>
  <c r="AD26" i="94"/>
  <c r="C26" i="94"/>
  <c r="B26" i="94"/>
  <c r="AF26" i="94"/>
  <c r="AE26" i="94"/>
  <c r="Z5" i="95"/>
  <c r="N5" i="95"/>
  <c r="Y5" i="95"/>
  <c r="M5" i="95"/>
  <c r="X5" i="95"/>
  <c r="L5" i="95"/>
  <c r="U5" i="95"/>
  <c r="I5" i="95"/>
  <c r="V5" i="95"/>
  <c r="T5" i="95"/>
  <c r="S5" i="95"/>
  <c r="R5" i="95"/>
  <c r="AF5" i="95"/>
  <c r="P5" i="95"/>
  <c r="O5" i="95"/>
  <c r="G5" i="95"/>
  <c r="AE5" i="95"/>
  <c r="AD5" i="95"/>
  <c r="AB5" i="95"/>
  <c r="K5" i="95"/>
  <c r="H5" i="95"/>
  <c r="AA5" i="95"/>
  <c r="J5" i="95"/>
  <c r="AC5" i="95"/>
  <c r="W5" i="95"/>
  <c r="Q5" i="95"/>
  <c r="C9" i="96"/>
  <c r="B9" i="96"/>
  <c r="AE5" i="94"/>
  <c r="B5" i="94"/>
  <c r="C5" i="94"/>
  <c r="AD5" i="94"/>
  <c r="AF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C2" i="96"/>
  <c r="B2" i="96"/>
  <c r="B9" i="94"/>
  <c r="AF9" i="94"/>
  <c r="AE9" i="94"/>
  <c r="AD9" i="94"/>
  <c r="C9" i="94"/>
  <c r="X6" i="95"/>
  <c r="L6" i="95"/>
  <c r="W6" i="95"/>
  <c r="K6" i="95"/>
  <c r="V6" i="95"/>
  <c r="J6" i="95"/>
  <c r="AE6" i="95"/>
  <c r="S6" i="95"/>
  <c r="G6" i="95"/>
  <c r="AF6" i="95"/>
  <c r="O6" i="95"/>
  <c r="M6" i="95"/>
  <c r="I6" i="95"/>
  <c r="AD6" i="95"/>
  <c r="N6" i="95"/>
  <c r="AB6" i="95"/>
  <c r="AC6" i="95"/>
  <c r="Z6" i="95"/>
  <c r="T6" i="95"/>
  <c r="R6" i="95"/>
  <c r="H6" i="95"/>
  <c r="Y6" i="95"/>
  <c r="Q6" i="95"/>
  <c r="P6" i="95"/>
  <c r="AA6" i="95"/>
  <c r="U6" i="95"/>
  <c r="C23" i="96"/>
  <c r="B23" i="96"/>
  <c r="C13" i="95" a="1"/>
  <c r="C13" i="95" s="1"/>
  <c r="E13" i="95" a="1"/>
  <c r="E13" i="95" s="1"/>
  <c r="B13" i="95" a="1"/>
  <c r="B13" i="95" s="1"/>
  <c r="D13" i="95" a="1"/>
  <c r="D13" i="95" s="1"/>
  <c r="F13" i="95" a="1"/>
  <c r="F13" i="95" s="1"/>
  <c r="C7" i="96"/>
  <c r="B7" i="96"/>
  <c r="V7" i="95"/>
  <c r="J7" i="95"/>
  <c r="U7" i="95"/>
  <c r="I7" i="95"/>
  <c r="AF7" i="95"/>
  <c r="T7" i="95"/>
  <c r="H7" i="95"/>
  <c r="AC7" i="95"/>
  <c r="Q7" i="95"/>
  <c r="Y7" i="95"/>
  <c r="S7" i="95"/>
  <c r="X7" i="95"/>
  <c r="R7" i="95"/>
  <c r="W7" i="95"/>
  <c r="P7" i="95"/>
  <c r="AB7" i="95"/>
  <c r="K7" i="95"/>
  <c r="G7" i="95"/>
  <c r="AE7" i="95"/>
  <c r="AA7" i="95"/>
  <c r="Z7" i="95"/>
  <c r="O7" i="95"/>
  <c r="N7" i="95"/>
  <c r="M7" i="95"/>
  <c r="L7" i="95"/>
  <c r="AD7" i="95"/>
  <c r="C26" i="96"/>
  <c r="B26" i="96"/>
  <c r="H48" i="91"/>
  <c r="D25" i="95"/>
  <c r="Q25" i="88"/>
  <c r="Q32" i="88"/>
  <c r="Q23" i="88"/>
  <c r="Q30" i="88"/>
  <c r="Q24" i="88"/>
  <c r="Q31" i="88"/>
  <c r="T24" i="88"/>
  <c r="V24" i="88"/>
  <c r="V23" i="88"/>
  <c r="AN9" i="88" s="1"/>
  <c r="D34" i="93"/>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1" i="86"/>
  <c r="D43" i="86"/>
  <c r="D42" i="86"/>
  <c r="D22" i="95" l="1" a="1"/>
  <c r="D22" i="95" s="1"/>
  <c r="B22" i="95" a="1"/>
  <c r="B22" i="95" s="1"/>
  <c r="C22" i="95" a="1"/>
  <c r="C22" i="95" s="1"/>
  <c r="F22" i="95" a="1"/>
  <c r="F22" i="95" s="1"/>
  <c r="E22" i="95" a="1"/>
  <c r="E22" i="95" s="1"/>
  <c r="C18" i="95" a="1"/>
  <c r="C18" i="95" s="1"/>
  <c r="F18" i="95" a="1"/>
  <c r="F18" i="95" s="1"/>
  <c r="E18" i="95" a="1"/>
  <c r="E18" i="95" s="1"/>
  <c r="B18" i="95" a="1"/>
  <c r="B18" i="95" s="1"/>
  <c r="D18" i="95" a="1"/>
  <c r="D18" i="95" s="1"/>
  <c r="E19" i="95" a="1"/>
  <c r="E19" i="95" s="1"/>
  <c r="B19" i="95" a="1"/>
  <c r="B19" i="95" s="1"/>
  <c r="C19" i="95" a="1"/>
  <c r="C19" i="95" s="1"/>
  <c r="D19" i="95" a="1"/>
  <c r="D19" i="95" s="1"/>
  <c r="F19" i="95" a="1"/>
  <c r="F19" i="95" s="1"/>
  <c r="B21" i="95" a="1"/>
  <c r="B21" i="95" s="1"/>
  <c r="C21" i="95" a="1"/>
  <c r="C21" i="95" s="1"/>
  <c r="E21" i="95" a="1"/>
  <c r="E21" i="95" s="1"/>
  <c r="F21" i="95" a="1"/>
  <c r="F21" i="95" s="1"/>
  <c r="D21" i="95" a="1"/>
  <c r="D21" i="95" s="1"/>
  <c r="C20" i="95" a="1"/>
  <c r="C20" i="95" s="1"/>
  <c r="B20" i="95" a="1"/>
  <c r="B20" i="95" s="1"/>
  <c r="F20" i="95" a="1"/>
  <c r="F20" i="95" s="1"/>
  <c r="E20" i="95" a="1"/>
  <c r="E20" i="95" s="1"/>
  <c r="D20" i="95" a="1"/>
  <c r="D20" i="95" s="1"/>
  <c r="D23" i="95"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C18" i="97"/>
  <c r="B18" i="97"/>
  <c r="C19" i="97"/>
  <c r="B19" i="97"/>
  <c r="C20" i="97"/>
  <c r="B20" i="97"/>
  <c r="C21" i="97"/>
  <c r="B21" i="97"/>
  <c r="C22" i="97"/>
  <c r="B22" i="97"/>
  <c r="AM9" i="88"/>
  <c r="AJ9" i="88"/>
  <c r="W9" i="89"/>
  <c r="E34" i="93"/>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B3" i="97"/>
  <c r="F34" i="93"/>
  <c r="B10" i="21"/>
  <c r="C10" i="21" s="1"/>
  <c r="B4" i="23"/>
  <c r="AV9" i="87"/>
  <c r="AU9" i="87"/>
  <c r="AR9" i="89"/>
  <c r="AQ9" i="87"/>
  <c r="AT9" i="87"/>
  <c r="AP9" i="87"/>
  <c r="AX9" i="87"/>
  <c r="AS9" i="87"/>
  <c r="AW5" i="89"/>
  <c r="B24" i="23"/>
  <c r="C24" i="23" s="1"/>
  <c r="AT9" i="89" l="1"/>
  <c r="K48" i="91"/>
  <c r="G25" i="95"/>
  <c r="AW5" i="88" a="1"/>
  <c r="AW5" i="88" s="1"/>
  <c r="AQ5" i="88" a="1"/>
  <c r="AQ5" i="88" s="1"/>
  <c r="AP5" i="88" a="1"/>
  <c r="AP5" i="88" s="1"/>
  <c r="AV5" i="88" a="1"/>
  <c r="AV5" i="88" s="1"/>
  <c r="AO5" i="88" a="1"/>
  <c r="AO5" i="88" s="1"/>
  <c r="AO9" i="88" s="1"/>
  <c r="AU5" i="88" a="1"/>
  <c r="AU5" i="88" s="1"/>
  <c r="AS5" i="88" a="1"/>
  <c r="AS5" i="88" s="1"/>
  <c r="AR5" i="88" a="1"/>
  <c r="AR5" i="88" s="1"/>
  <c r="AR9" i="88" s="1"/>
  <c r="AT5" i="88" a="1"/>
  <c r="AT5" i="88" s="1"/>
  <c r="AT9" i="88" s="1"/>
  <c r="AN9" i="89"/>
  <c r="AU9" i="89"/>
  <c r="AX9" i="88"/>
  <c r="AY5" i="88"/>
  <c r="G34" i="93"/>
  <c r="C3" i="97"/>
  <c r="C4" i="23"/>
  <c r="D10" i="21"/>
  <c r="N8" i="85"/>
  <c r="K8" i="85"/>
  <c r="C7" i="84"/>
  <c r="C6" i="84"/>
  <c r="J7" i="82"/>
  <c r="J6" i="82" s="1"/>
  <c r="M7" i="82"/>
  <c r="M6" i="82" s="1"/>
  <c r="L7" i="82"/>
  <c r="L6" i="82" s="1"/>
  <c r="I7" i="82"/>
  <c r="I6" i="82" s="1"/>
  <c r="G7" i="82"/>
  <c r="G6" i="82" s="1"/>
  <c r="F7" i="82"/>
  <c r="F6" i="82" s="1"/>
  <c r="E6" i="82"/>
  <c r="AS9" i="88" l="1"/>
  <c r="L48" i="91"/>
  <c r="H25" i="95"/>
  <c r="AP9" i="88"/>
  <c r="AU9" i="88"/>
  <c r="AV9" i="88"/>
  <c r="AW9" i="88"/>
  <c r="AQ9" i="88"/>
  <c r="C11" i="96"/>
  <c r="B11" i="96"/>
  <c r="H34" i="93"/>
  <c r="E10" i="21"/>
  <c r="D39" i="82"/>
  <c r="D38" i="82"/>
  <c r="D46" i="85"/>
  <c r="D45" i="85"/>
  <c r="L8" i="85"/>
  <c r="M8" i="85"/>
  <c r="J8" i="85"/>
  <c r="I8" i="85"/>
  <c r="H8" i="85"/>
  <c r="G8" i="85"/>
  <c r="F8" i="85"/>
  <c r="E8" i="85"/>
  <c r="D44" i="85"/>
  <c r="D6" i="84"/>
  <c r="D5" i="84"/>
  <c r="D7" i="84"/>
  <c r="G8" i="82"/>
  <c r="I8" i="82"/>
  <c r="F8" i="82"/>
  <c r="E8" i="82"/>
  <c r="M8" i="82"/>
  <c r="L8" i="82"/>
  <c r="H8" i="82"/>
  <c r="J8" i="82"/>
  <c r="M48" i="91" l="1"/>
  <c r="I25" i="95"/>
  <c r="B16" i="97"/>
  <c r="C17" i="97"/>
  <c r="B17" i="97"/>
  <c r="C16" i="97"/>
  <c r="C11" i="97"/>
  <c r="B11" i="97"/>
  <c r="C12" i="97"/>
  <c r="B12" i="97"/>
  <c r="I34" i="93"/>
  <c r="F10" i="21"/>
  <c r="L16" i="81"/>
  <c r="F16" i="81"/>
  <c r="I16" i="81"/>
  <c r="H16" i="81"/>
  <c r="E16" i="81"/>
  <c r="G16" i="81"/>
  <c r="M16" i="81"/>
  <c r="N48" i="91" l="1"/>
  <c r="J25" i="95"/>
  <c r="J34" i="93"/>
  <c r="G10" i="21"/>
  <c r="D46" i="81"/>
  <c r="O48" i="91" l="1"/>
  <c r="K25" i="95"/>
  <c r="C9" i="97"/>
  <c r="B8" i="97"/>
  <c r="C13" i="97"/>
  <c r="B9" i="97"/>
  <c r="C14" i="97"/>
  <c r="B13" i="97"/>
  <c r="B14" i="97"/>
  <c r="C2" i="97"/>
  <c r="C5" i="97"/>
  <c r="B2" i="97"/>
  <c r="C23" i="97"/>
  <c r="C6" i="97"/>
  <c r="B5" i="97"/>
  <c r="C26" i="97"/>
  <c r="B23" i="97"/>
  <c r="C7" i="97"/>
  <c r="B6" i="97"/>
  <c r="B26" i="97"/>
  <c r="C8" i="97"/>
  <c r="B7" i="97"/>
  <c r="K34" i="93"/>
  <c r="H10" i="21"/>
  <c r="D48" i="81"/>
  <c r="D47" i="81"/>
  <c r="R24" i="93"/>
  <c r="S24" i="93"/>
  <c r="T24" i="93"/>
  <c r="U24" i="93"/>
  <c r="R35" i="93"/>
  <c r="S35" i="93"/>
  <c r="T35" i="93"/>
  <c r="U35" i="93"/>
  <c r="M24" i="93"/>
  <c r="N24" i="93"/>
  <c r="O24" i="93"/>
  <c r="P24" i="93"/>
  <c r="M35" i="93"/>
  <c r="N35" i="93"/>
  <c r="O35" i="93"/>
  <c r="P35" i="93"/>
  <c r="H24" i="93"/>
  <c r="I24" i="93"/>
  <c r="J24" i="93"/>
  <c r="K24" i="93"/>
  <c r="H35" i="93"/>
  <c r="I35" i="93"/>
  <c r="J35" i="93"/>
  <c r="K35" i="93"/>
  <c r="B15" i="15"/>
  <c r="B24" i="93" s="1"/>
  <c r="C15" i="15"/>
  <c r="C24" i="93" s="1"/>
  <c r="D24" i="93"/>
  <c r="E24" i="93"/>
  <c r="F24" i="93"/>
  <c r="B26" i="15"/>
  <c r="B35" i="93" s="1"/>
  <c r="C26" i="15"/>
  <c r="C35" i="93" s="1"/>
  <c r="D35" i="93"/>
  <c r="E35" i="93"/>
  <c r="F35" i="93"/>
  <c r="P48" i="91" l="1"/>
  <c r="L25" i="95"/>
  <c r="L34" i="93"/>
  <c r="I10" i="21"/>
  <c r="U25" i="93"/>
  <c r="U26" i="93"/>
  <c r="B22" i="15"/>
  <c r="B20" i="15"/>
  <c r="B29" i="93" s="1"/>
  <c r="B21" i="15"/>
  <c r="B30" i="93" s="1"/>
  <c r="B18" i="15"/>
  <c r="B27" i="93" s="1"/>
  <c r="B19" i="15"/>
  <c r="B28" i="93" s="1"/>
  <c r="P25" i="93"/>
  <c r="P26" i="93"/>
  <c r="C12" i="15"/>
  <c r="C21" i="93" s="1"/>
  <c r="C11" i="15"/>
  <c r="C20" i="93" s="1"/>
  <c r="U31" i="93"/>
  <c r="U30" i="93"/>
  <c r="U29" i="93"/>
  <c r="U28" i="93"/>
  <c r="U27" i="93"/>
  <c r="R20" i="93"/>
  <c r="R21" i="93"/>
  <c r="S27" i="93"/>
  <c r="S31" i="93"/>
  <c r="S30" i="93"/>
  <c r="S29" i="93"/>
  <c r="S28" i="93"/>
  <c r="B18" i="22"/>
  <c r="B21" i="23"/>
  <c r="B21" i="22"/>
  <c r="B20" i="22"/>
  <c r="B20" i="23"/>
  <c r="B22" i="22"/>
  <c r="B18" i="23"/>
  <c r="B19" i="22"/>
  <c r="B22" i="23"/>
  <c r="B19" i="23"/>
  <c r="R31" i="93"/>
  <c r="R29" i="93"/>
  <c r="R27" i="93"/>
  <c r="R30" i="93"/>
  <c r="R28" i="93"/>
  <c r="T29" i="93"/>
  <c r="T28" i="93"/>
  <c r="T27" i="93"/>
  <c r="T31" i="93"/>
  <c r="T30" i="93"/>
  <c r="F25" i="93"/>
  <c r="F26" i="93"/>
  <c r="C17" i="22"/>
  <c r="C16" i="22"/>
  <c r="C16" i="23"/>
  <c r="C17" i="23"/>
  <c r="P20" i="93"/>
  <c r="P21" i="93"/>
  <c r="P28" i="93"/>
  <c r="P27" i="93"/>
  <c r="P31" i="93"/>
  <c r="P30" i="93"/>
  <c r="P29" i="93"/>
  <c r="F28" i="93"/>
  <c r="F27" i="93"/>
  <c r="F31" i="93"/>
  <c r="F30" i="93"/>
  <c r="F29" i="93"/>
  <c r="E25" i="93"/>
  <c r="E26" i="93"/>
  <c r="B16" i="23"/>
  <c r="B17" i="22"/>
  <c r="B17" i="23"/>
  <c r="B16" i="22"/>
  <c r="O20" i="93"/>
  <c r="O21" i="93"/>
  <c r="O27" i="93"/>
  <c r="O30" i="93"/>
  <c r="O28" i="93"/>
  <c r="O31" i="93"/>
  <c r="O29" i="93"/>
  <c r="E27" i="93"/>
  <c r="E31" i="93"/>
  <c r="E29" i="93"/>
  <c r="E30" i="93"/>
  <c r="E28" i="93"/>
  <c r="D25" i="93"/>
  <c r="D26" i="93"/>
  <c r="K21" i="93"/>
  <c r="K20" i="93"/>
  <c r="N21" i="93"/>
  <c r="N20" i="93"/>
  <c r="N27" i="93"/>
  <c r="N31" i="93"/>
  <c r="N30" i="93"/>
  <c r="N29" i="93"/>
  <c r="N28" i="93"/>
  <c r="T25" i="93"/>
  <c r="T26" i="93"/>
  <c r="D27" i="93"/>
  <c r="D31" i="93"/>
  <c r="D30" i="93"/>
  <c r="D29" i="93"/>
  <c r="D28" i="93"/>
  <c r="C16" i="15"/>
  <c r="C25" i="93" s="1"/>
  <c r="C17" i="15"/>
  <c r="C26" i="93" s="1"/>
  <c r="J20" i="93"/>
  <c r="J21" i="93"/>
  <c r="M21" i="93"/>
  <c r="M20" i="93"/>
  <c r="M31" i="93"/>
  <c r="M28" i="93"/>
  <c r="M30" i="93"/>
  <c r="M29" i="93"/>
  <c r="M27" i="93"/>
  <c r="S25" i="93"/>
  <c r="S26" i="93"/>
  <c r="B11" i="15"/>
  <c r="B20" i="93" s="1"/>
  <c r="B12" i="15"/>
  <c r="B21" i="93" s="1"/>
  <c r="B16" i="15"/>
  <c r="B25" i="93" s="1"/>
  <c r="B17" i="15"/>
  <c r="B26" i="93" s="1"/>
  <c r="K31" i="93"/>
  <c r="K30" i="93"/>
  <c r="K29" i="93"/>
  <c r="K28" i="93"/>
  <c r="K27" i="93"/>
  <c r="I20" i="93"/>
  <c r="I21" i="93"/>
  <c r="R25" i="93"/>
  <c r="R26" i="93"/>
  <c r="C22" i="15"/>
  <c r="C31" i="93" s="1"/>
  <c r="C21" i="15"/>
  <c r="C30" i="93" s="1"/>
  <c r="C20" i="15"/>
  <c r="C29" i="93" s="1"/>
  <c r="C19" i="15"/>
  <c r="C28" i="93" s="1"/>
  <c r="C18" i="15"/>
  <c r="C27" i="93" s="1"/>
  <c r="J29" i="93"/>
  <c r="J28" i="93"/>
  <c r="J27" i="93"/>
  <c r="J31" i="93"/>
  <c r="J30" i="93"/>
  <c r="H20" i="93"/>
  <c r="H21" i="93"/>
  <c r="O25" i="93"/>
  <c r="O26" i="93"/>
  <c r="I27" i="93"/>
  <c r="I31" i="93"/>
  <c r="I30" i="93"/>
  <c r="I29" i="93"/>
  <c r="I28" i="93"/>
  <c r="N25" i="93"/>
  <c r="N26" i="93"/>
  <c r="H27" i="93"/>
  <c r="H28" i="93"/>
  <c r="H31" i="93"/>
  <c r="H29" i="93"/>
  <c r="H30" i="93"/>
  <c r="K25" i="93"/>
  <c r="K26" i="93"/>
  <c r="M25" i="93"/>
  <c r="M26" i="93"/>
  <c r="C19" i="22"/>
  <c r="C18" i="23"/>
  <c r="C20" i="23"/>
  <c r="C20" i="22"/>
  <c r="C22" i="23"/>
  <c r="C21" i="22"/>
  <c r="C22" i="22"/>
  <c r="C21" i="23"/>
  <c r="C18" i="22"/>
  <c r="C19" i="23"/>
  <c r="C11" i="23"/>
  <c r="C12" i="23"/>
  <c r="C12" i="22"/>
  <c r="C11" i="22"/>
  <c r="J25" i="93"/>
  <c r="J26" i="93"/>
  <c r="I25" i="93"/>
  <c r="I26" i="93"/>
  <c r="U20" i="93"/>
  <c r="U21" i="93"/>
  <c r="E21" i="93"/>
  <c r="E20" i="93"/>
  <c r="H25" i="93"/>
  <c r="H26" i="93"/>
  <c r="T21" i="93"/>
  <c r="T20" i="93"/>
  <c r="F20" i="93"/>
  <c r="F21" i="93"/>
  <c r="B12" i="23"/>
  <c r="B11" i="22"/>
  <c r="B12" i="22"/>
  <c r="D21" i="93"/>
  <c r="D20" i="93"/>
  <c r="S21" i="93"/>
  <c r="S20" i="93"/>
  <c r="B9" i="22"/>
  <c r="B8" i="22"/>
  <c r="B7" i="22"/>
  <c r="B6" i="22"/>
  <c r="C26" i="22"/>
  <c r="B26" i="22"/>
  <c r="C23" i="22"/>
  <c r="C13" i="22"/>
  <c r="C14" i="22"/>
  <c r="C5" i="22"/>
  <c r="C6" i="22"/>
  <c r="C7" i="22"/>
  <c r="C8" i="22"/>
  <c r="C9" i="22"/>
  <c r="B23" i="22"/>
  <c r="B14" i="22"/>
  <c r="B13" i="22"/>
  <c r="B13" i="23"/>
  <c r="B9" i="23"/>
  <c r="B8" i="23"/>
  <c r="C26" i="23"/>
  <c r="B26" i="23"/>
  <c r="B7" i="23"/>
  <c r="B6" i="23"/>
  <c r="B14" i="23"/>
  <c r="C13" i="23"/>
  <c r="C5" i="23"/>
  <c r="C7" i="23"/>
  <c r="C9" i="23"/>
  <c r="C23" i="23"/>
  <c r="C6" i="23"/>
  <c r="B23" i="23"/>
  <c r="C14" i="23"/>
  <c r="C8" i="23"/>
  <c r="P23" i="93"/>
  <c r="P22" i="93"/>
  <c r="K23" i="93"/>
  <c r="K22" i="93"/>
  <c r="C13" i="15"/>
  <c r="C22" i="93" s="1"/>
  <c r="C14" i="15"/>
  <c r="C23" i="93" s="1"/>
  <c r="B13" i="15"/>
  <c r="B22" i="93" s="1"/>
  <c r="B14" i="15"/>
  <c r="J22" i="93"/>
  <c r="J23" i="93"/>
  <c r="U23" i="93"/>
  <c r="U22" i="93"/>
  <c r="I22" i="93"/>
  <c r="I23" i="93"/>
  <c r="D23" i="93"/>
  <c r="D22" i="93"/>
  <c r="S23" i="93"/>
  <c r="S22" i="93"/>
  <c r="R23" i="93"/>
  <c r="R22" i="93"/>
  <c r="O23" i="93"/>
  <c r="O22" i="93"/>
  <c r="E23" i="93"/>
  <c r="E22" i="93"/>
  <c r="N23" i="93"/>
  <c r="N22" i="93"/>
  <c r="M23" i="93"/>
  <c r="M22" i="93"/>
  <c r="T23" i="93"/>
  <c r="T22" i="93"/>
  <c r="H22" i="93"/>
  <c r="H23" i="93"/>
  <c r="F22" i="93"/>
  <c r="F23" i="93"/>
  <c r="G24" i="93"/>
  <c r="L24" i="93"/>
  <c r="V24" i="93"/>
  <c r="G35" i="93"/>
  <c r="L35" i="93"/>
  <c r="Q35" i="93"/>
  <c r="V35" i="93"/>
  <c r="Q48" i="91" l="1"/>
  <c r="M25" i="95"/>
  <c r="M34" i="93"/>
  <c r="B23" i="93"/>
  <c r="B31" i="93"/>
  <c r="J10" i="21"/>
  <c r="X25" i="93"/>
  <c r="Y21" i="93"/>
  <c r="AE24" i="93"/>
  <c r="AA27" i="93"/>
  <c r="V28" i="93"/>
  <c r="V27" i="93"/>
  <c r="V31" i="93"/>
  <c r="V30" i="93"/>
  <c r="V29" i="93"/>
  <c r="V21" i="93"/>
  <c r="V20" i="93"/>
  <c r="AC24" i="93"/>
  <c r="Q24" i="93"/>
  <c r="Q25" i="93"/>
  <c r="Q26" i="93"/>
  <c r="Q21" i="93"/>
  <c r="Q20" i="93"/>
  <c r="V26" i="93"/>
  <c r="V25" i="93"/>
  <c r="L27" i="93"/>
  <c r="L31" i="93"/>
  <c r="L30" i="93"/>
  <c r="L29" i="93"/>
  <c r="L28" i="93"/>
  <c r="L26" i="93"/>
  <c r="L25" i="93"/>
  <c r="L20" i="93"/>
  <c r="L21" i="93"/>
  <c r="G29" i="93"/>
  <c r="G28" i="93"/>
  <c r="G27" i="93"/>
  <c r="G31" i="93"/>
  <c r="G30" i="93"/>
  <c r="G26" i="93"/>
  <c r="G25" i="93"/>
  <c r="G21" i="93"/>
  <c r="G20" i="93"/>
  <c r="Q30" i="93"/>
  <c r="Q29" i="93"/>
  <c r="Q28" i="93"/>
  <c r="Q27" i="93"/>
  <c r="Q31" i="93"/>
  <c r="AC35" i="93"/>
  <c r="V23" i="93"/>
  <c r="V22" i="93"/>
  <c r="AB24" i="93"/>
  <c r="L22" i="93"/>
  <c r="L23" i="93"/>
  <c r="Y24" i="93"/>
  <c r="AF24" i="93"/>
  <c r="G22" i="93"/>
  <c r="G23" i="93"/>
  <c r="AA24" i="93"/>
  <c r="AD24" i="93"/>
  <c r="Q23" i="93"/>
  <c r="Q22" i="93"/>
  <c r="Z24" i="93"/>
  <c r="AA35" i="93"/>
  <c r="X24" i="93"/>
  <c r="W35" i="93"/>
  <c r="AE35" i="93"/>
  <c r="X35" i="93"/>
  <c r="AB35" i="93"/>
  <c r="W24" i="93"/>
  <c r="Z35" i="93"/>
  <c r="AF35" i="93"/>
  <c r="AD35" i="93"/>
  <c r="Y35" i="93"/>
  <c r="C2" i="22"/>
  <c r="B2" i="22"/>
  <c r="B2" i="23"/>
  <c r="C2" i="23"/>
  <c r="B5" i="22"/>
  <c r="B5" i="23"/>
  <c r="R48" i="91" l="1"/>
  <c r="N25" i="95"/>
  <c r="B15" i="20"/>
  <c r="C15" i="20" s="1"/>
  <c r="D15" i="20"/>
  <c r="N34" i="93"/>
  <c r="K10" i="21"/>
  <c r="X26" i="93"/>
  <c r="Y20" i="93"/>
  <c r="B26" i="20"/>
  <c r="C26" i="20" s="1"/>
  <c r="B14" i="20"/>
  <c r="C14" i="20" s="1"/>
  <c r="B13" i="20"/>
  <c r="C13" i="20" s="1"/>
  <c r="AA30" i="93"/>
  <c r="AA31" i="93"/>
  <c r="AA28" i="93"/>
  <c r="AA29" i="93"/>
  <c r="AC23" i="93"/>
  <c r="AC22" i="93"/>
  <c r="AB27" i="93"/>
  <c r="AB31" i="93"/>
  <c r="AB30" i="93"/>
  <c r="AB29" i="93"/>
  <c r="AB28" i="93"/>
  <c r="Y30" i="93"/>
  <c r="Y29" i="93"/>
  <c r="Y28" i="93"/>
  <c r="Y27" i="93"/>
  <c r="Y31" i="93"/>
  <c r="B12" i="20"/>
  <c r="C12" i="20" s="1"/>
  <c r="B11" i="20"/>
  <c r="C11" i="20" s="1"/>
  <c r="AA26" i="93"/>
  <c r="AA25" i="93"/>
  <c r="Z21" i="93"/>
  <c r="Z20" i="93"/>
  <c r="W29" i="93"/>
  <c r="W28" i="93"/>
  <c r="W27" i="93"/>
  <c r="W31" i="93"/>
  <c r="W30" i="93"/>
  <c r="W26" i="93"/>
  <c r="W25" i="93"/>
  <c r="AB20" i="93"/>
  <c r="AB21" i="93"/>
  <c r="AF26" i="93"/>
  <c r="AF25" i="93"/>
  <c r="B17" i="20"/>
  <c r="C17" i="20" s="1"/>
  <c r="B16" i="20"/>
  <c r="C16" i="20" s="1"/>
  <c r="AD26" i="93"/>
  <c r="AD25" i="93"/>
  <c r="AF21" i="93"/>
  <c r="AF20" i="93"/>
  <c r="B19" i="20"/>
  <c r="C19" i="20" s="1"/>
  <c r="B20" i="20"/>
  <c r="C20" i="20" s="1"/>
  <c r="B21" i="20"/>
  <c r="C21" i="20" s="1"/>
  <c r="B22" i="20"/>
  <c r="C22" i="20" s="1"/>
  <c r="B18" i="20"/>
  <c r="C18" i="20" s="1"/>
  <c r="W21" i="93"/>
  <c r="W20" i="93"/>
  <c r="Z25" i="93"/>
  <c r="Z26" i="93"/>
  <c r="AB26" i="93"/>
  <c r="AB25" i="93"/>
  <c r="AA21" i="93"/>
  <c r="AA20" i="93"/>
  <c r="AE29" i="93"/>
  <c r="AE28" i="93"/>
  <c r="AE27" i="93"/>
  <c r="AE31" i="93"/>
  <c r="AE30" i="93"/>
  <c r="Z30" i="93"/>
  <c r="Z29" i="93"/>
  <c r="Z28" i="93"/>
  <c r="Z31" i="93"/>
  <c r="Z27" i="93"/>
  <c r="AC26" i="93"/>
  <c r="AC25" i="93"/>
  <c r="X29" i="93"/>
  <c r="X28" i="93"/>
  <c r="X27" i="93"/>
  <c r="X31" i="93"/>
  <c r="X30" i="93"/>
  <c r="AF29" i="93"/>
  <c r="AF28" i="93"/>
  <c r="AF27" i="93"/>
  <c r="AF31" i="93"/>
  <c r="AF30" i="93"/>
  <c r="AD28" i="93"/>
  <c r="AD27" i="93"/>
  <c r="AD31" i="93"/>
  <c r="AD30" i="93"/>
  <c r="AD29" i="93"/>
  <c r="AC20" i="93"/>
  <c r="AC21" i="93"/>
  <c r="X21" i="93"/>
  <c r="X20" i="93"/>
  <c r="AD21" i="93"/>
  <c r="AD20" i="93"/>
  <c r="Y25" i="93"/>
  <c r="Y26" i="93"/>
  <c r="AC28" i="93"/>
  <c r="AC27" i="93"/>
  <c r="AC31" i="93"/>
  <c r="AC30" i="93"/>
  <c r="AC29" i="93"/>
  <c r="AE26" i="93"/>
  <c r="AE25" i="93"/>
  <c r="AE21" i="93"/>
  <c r="AE20" i="93"/>
  <c r="AA23" i="93"/>
  <c r="AA22" i="93"/>
  <c r="AB23" i="93"/>
  <c r="AB22" i="93"/>
  <c r="X23" i="93"/>
  <c r="X22" i="93"/>
  <c r="Y22" i="93"/>
  <c r="Y23" i="93"/>
  <c r="AE23" i="93"/>
  <c r="AE22" i="93"/>
  <c r="AD23" i="93"/>
  <c r="AD22" i="93"/>
  <c r="B8" i="20"/>
  <c r="C8" i="20" s="1"/>
  <c r="B2" i="20"/>
  <c r="C2" i="20" s="1"/>
  <c r="C3" i="92" s="1"/>
  <c r="B5" i="20"/>
  <c r="C5" i="20" s="1"/>
  <c r="B23" i="20"/>
  <c r="C23" i="20" s="1"/>
  <c r="B7" i="20"/>
  <c r="C7" i="20" s="1"/>
  <c r="B6" i="20"/>
  <c r="C6" i="20" s="1"/>
  <c r="B9" i="20"/>
  <c r="C9" i="20" s="1"/>
  <c r="AF23" i="93"/>
  <c r="AF22" i="93"/>
  <c r="Z22" i="93"/>
  <c r="Z23" i="93"/>
  <c r="W23" i="93"/>
  <c r="W22" i="93"/>
  <c r="J32" i="93"/>
  <c r="R32" i="93"/>
  <c r="Z32" i="93"/>
  <c r="G32" i="93"/>
  <c r="AF32" i="93"/>
  <c r="K32" i="93"/>
  <c r="S32" i="93"/>
  <c r="AA32" i="93"/>
  <c r="O32" i="93"/>
  <c r="X32" i="93"/>
  <c r="I32" i="93"/>
  <c r="D32" i="93"/>
  <c r="L32" i="93"/>
  <c r="T32" i="93"/>
  <c r="AB32" i="93"/>
  <c r="H32" i="93"/>
  <c r="E32" i="93"/>
  <c r="M32" i="93"/>
  <c r="U32" i="93"/>
  <c r="AC32" i="93"/>
  <c r="C23" i="15"/>
  <c r="C32" i="93" s="1"/>
  <c r="Q32" i="93"/>
  <c r="F32" i="93"/>
  <c r="N32" i="93"/>
  <c r="V32" i="93"/>
  <c r="AD32" i="93"/>
  <c r="B23" i="15"/>
  <c r="B32" i="93" s="1"/>
  <c r="W32" i="93"/>
  <c r="AE32" i="93"/>
  <c r="P32" i="93"/>
  <c r="Y32" i="93"/>
  <c r="H11" i="93"/>
  <c r="P11" i="93"/>
  <c r="X11" i="93"/>
  <c r="AF11" i="93"/>
  <c r="I11" i="93"/>
  <c r="Q11" i="93"/>
  <c r="Y11" i="93"/>
  <c r="AA11" i="93"/>
  <c r="D11" i="93"/>
  <c r="T11" i="93"/>
  <c r="M11" i="93"/>
  <c r="N11" i="93"/>
  <c r="V11" i="93"/>
  <c r="AD11" i="93"/>
  <c r="O11" i="93"/>
  <c r="AE11" i="93"/>
  <c r="J11" i="93"/>
  <c r="R11" i="93"/>
  <c r="Z11" i="93"/>
  <c r="C2" i="15"/>
  <c r="C11" i="93" s="1"/>
  <c r="K11" i="93"/>
  <c r="S11" i="93"/>
  <c r="L11" i="93"/>
  <c r="AB11" i="93"/>
  <c r="E11" i="93"/>
  <c r="U11" i="93"/>
  <c r="AC11" i="93"/>
  <c r="F11" i="93"/>
  <c r="G11" i="93"/>
  <c r="W11" i="93"/>
  <c r="K14" i="93"/>
  <c r="S14" i="93"/>
  <c r="AA14" i="93"/>
  <c r="E14" i="93"/>
  <c r="M14" i="93"/>
  <c r="U14" i="93"/>
  <c r="AC14" i="93"/>
  <c r="F14" i="93"/>
  <c r="N14" i="93"/>
  <c r="V14" i="93"/>
  <c r="AD14" i="93"/>
  <c r="H14" i="93"/>
  <c r="T14" i="93"/>
  <c r="B5" i="15"/>
  <c r="B14" i="93" s="1"/>
  <c r="AB14" i="93"/>
  <c r="Q14" i="93"/>
  <c r="I14" i="93"/>
  <c r="W14" i="93"/>
  <c r="AF14" i="93"/>
  <c r="J14" i="93"/>
  <c r="X14" i="93"/>
  <c r="AE14" i="93"/>
  <c r="L14" i="93"/>
  <c r="Y14" i="93"/>
  <c r="D14" i="93"/>
  <c r="R14" i="93"/>
  <c r="O14" i="93"/>
  <c r="Z14" i="93"/>
  <c r="P14" i="93"/>
  <c r="C5" i="15"/>
  <c r="C14" i="93" s="1"/>
  <c r="G14" i="93"/>
  <c r="F15" i="93"/>
  <c r="N15" i="93"/>
  <c r="V15" i="93"/>
  <c r="AD15" i="93"/>
  <c r="H15" i="93"/>
  <c r="P15" i="93"/>
  <c r="X15" i="93"/>
  <c r="AF15" i="93"/>
  <c r="I15" i="93"/>
  <c r="Q15" i="93"/>
  <c r="Y15" i="93"/>
  <c r="D15" i="93"/>
  <c r="R15" i="93"/>
  <c r="AC15" i="93"/>
  <c r="C6" i="15"/>
  <c r="C15" i="93" s="1"/>
  <c r="O15" i="93"/>
  <c r="E15" i="93"/>
  <c r="S15" i="93"/>
  <c r="AE15" i="93"/>
  <c r="G15" i="93"/>
  <c r="T15" i="93"/>
  <c r="B6" i="15"/>
  <c r="J15" i="93"/>
  <c r="U15" i="93"/>
  <c r="L15" i="93"/>
  <c r="K15" i="93"/>
  <c r="W15" i="93"/>
  <c r="Z15" i="93"/>
  <c r="M15" i="93"/>
  <c r="AA15" i="93"/>
  <c r="AB15" i="93"/>
  <c r="I16" i="93"/>
  <c r="Q16" i="93"/>
  <c r="Y16" i="93"/>
  <c r="K16" i="93"/>
  <c r="S16" i="93"/>
  <c r="AA16" i="93"/>
  <c r="D16" i="93"/>
  <c r="L16" i="93"/>
  <c r="T16" i="93"/>
  <c r="AB16" i="93"/>
  <c r="N16" i="93"/>
  <c r="Z16" i="93"/>
  <c r="H16" i="93"/>
  <c r="J16" i="93"/>
  <c r="O16" i="93"/>
  <c r="AC16" i="93"/>
  <c r="C7" i="15"/>
  <c r="C16" i="93" s="1"/>
  <c r="X16" i="93"/>
  <c r="E16" i="93"/>
  <c r="P16" i="93"/>
  <c r="AD16" i="93"/>
  <c r="V16" i="93"/>
  <c r="W16" i="93"/>
  <c r="B7" i="15"/>
  <c r="B16" i="93" s="1"/>
  <c r="M16" i="93"/>
  <c r="F16" i="93"/>
  <c r="R16" i="93"/>
  <c r="AE16" i="93"/>
  <c r="G16" i="93"/>
  <c r="U16" i="93"/>
  <c r="AF16" i="93"/>
  <c r="G18" i="93"/>
  <c r="O18" i="93"/>
  <c r="W18" i="93"/>
  <c r="AE18" i="93"/>
  <c r="H18" i="93"/>
  <c r="P18" i="93"/>
  <c r="X18" i="93"/>
  <c r="AF18" i="93"/>
  <c r="I18" i="93"/>
  <c r="Q18" i="93"/>
  <c r="Y18" i="93"/>
  <c r="B9" i="15"/>
  <c r="B18" i="93" s="1"/>
  <c r="J18" i="93"/>
  <c r="R18" i="93"/>
  <c r="Z18" i="93"/>
  <c r="N18" i="93"/>
  <c r="AD18" i="93"/>
  <c r="C9" i="15"/>
  <c r="C18" i="93" s="1"/>
  <c r="S18" i="93"/>
  <c r="K18" i="93"/>
  <c r="D18" i="93"/>
  <c r="T18" i="93"/>
  <c r="M18" i="93"/>
  <c r="E18" i="93"/>
  <c r="U18" i="93"/>
  <c r="AA18" i="93"/>
  <c r="AC18" i="93"/>
  <c r="F18" i="93"/>
  <c r="V18" i="93"/>
  <c r="L18" i="93"/>
  <c r="AB18" i="93"/>
  <c r="G17" i="93"/>
  <c r="O17" i="93"/>
  <c r="W17" i="93"/>
  <c r="AE17" i="93"/>
  <c r="U17" i="93"/>
  <c r="AD17" i="93"/>
  <c r="H17" i="93"/>
  <c r="P17" i="93"/>
  <c r="X17" i="93"/>
  <c r="AF17" i="93"/>
  <c r="D17" i="93"/>
  <c r="M17" i="93"/>
  <c r="I17" i="93"/>
  <c r="Q17" i="93"/>
  <c r="Y17" i="93"/>
  <c r="C8" i="15"/>
  <c r="C17" i="93" s="1"/>
  <c r="J17" i="93"/>
  <c r="R17" i="93"/>
  <c r="Z17" i="93"/>
  <c r="L17" i="93"/>
  <c r="T17" i="93"/>
  <c r="B8" i="15"/>
  <c r="B17" i="93" s="1"/>
  <c r="AC17" i="93"/>
  <c r="F17" i="93"/>
  <c r="K17" i="93"/>
  <c r="S17" i="93"/>
  <c r="AA17" i="93"/>
  <c r="AB17" i="93"/>
  <c r="E17" i="93"/>
  <c r="N17" i="93"/>
  <c r="V17" i="93"/>
  <c r="S48" i="91" l="1"/>
  <c r="O25" i="95"/>
  <c r="O34" i="93"/>
  <c r="B15" i="93"/>
  <c r="B74" i="93" s="1"/>
  <c r="L10" i="21"/>
  <c r="D7" i="20"/>
  <c r="D22" i="20"/>
  <c r="D26" i="20"/>
  <c r="D6" i="20"/>
  <c r="D18" i="20"/>
  <c r="D23" i="20"/>
  <c r="D21" i="20"/>
  <c r="D16" i="20"/>
  <c r="D20" i="20"/>
  <c r="D17" i="20"/>
  <c r="D9" i="20"/>
  <c r="D5" i="20"/>
  <c r="D2" i="20"/>
  <c r="D19" i="20"/>
  <c r="D14" i="20"/>
  <c r="D8" i="20"/>
  <c r="D11" i="20"/>
  <c r="D13" i="20"/>
  <c r="D12" i="20"/>
  <c r="E15" i="20"/>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H144" i="93"/>
  <c r="H23" i="18" s="1"/>
  <c r="P144" i="93"/>
  <c r="P23" i="18" s="1"/>
  <c r="AF116" i="93"/>
  <c r="AF23" i="17"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P34" i="93"/>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AB126" i="93" l="1"/>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E10" i="92"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B15" i="16"/>
  <c r="D52" i="93"/>
  <c r="D15" i="16" s="1"/>
  <c r="L52" i="93"/>
  <c r="L15" i="16" s="1"/>
  <c r="T52" i="93"/>
  <c r="T15" i="16" s="1"/>
  <c r="AB52" i="93"/>
  <c r="AB15" i="16" s="1"/>
  <c r="C52" i="93"/>
  <c r="C15" i="16" s="1"/>
  <c r="E52" i="93"/>
  <c r="E15" i="16" s="1"/>
  <c r="M52" i="93"/>
  <c r="M15" i="16" s="1"/>
  <c r="U52" i="93"/>
  <c r="U15" i="16" s="1"/>
  <c r="AC52" i="93"/>
  <c r="AC15" i="16" s="1"/>
  <c r="F52" i="93"/>
  <c r="F15" i="16" s="1"/>
  <c r="F16" i="92"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F27" i="92"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D27" i="92"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D17" i="92" s="1"/>
  <c r="L53" i="93"/>
  <c r="L16" i="16" s="1"/>
  <c r="T53" i="93"/>
  <c r="T16" i="16" s="1"/>
  <c r="AB53" i="93"/>
  <c r="AB16" i="16" s="1"/>
  <c r="E53" i="93"/>
  <c r="E16" i="16" s="1"/>
  <c r="E17" i="92"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E24" i="92"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E15" i="92"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H4" i="92" s="1"/>
  <c r="P40" i="93"/>
  <c r="P3" i="16" s="1"/>
  <c r="X40" i="93"/>
  <c r="X3" i="16" s="1"/>
  <c r="AF40" i="93"/>
  <c r="AF3" i="16" s="1"/>
  <c r="I40" i="93"/>
  <c r="I3" i="16" s="1"/>
  <c r="I4" i="92" s="1"/>
  <c r="Q40" i="93"/>
  <c r="Q3" i="16" s="1"/>
  <c r="Y40" i="93"/>
  <c r="Y3" i="16" s="1"/>
  <c r="J40" i="93"/>
  <c r="J3" i="16" s="1"/>
  <c r="J4" i="92" s="1"/>
  <c r="R40" i="93"/>
  <c r="R3" i="16" s="1"/>
  <c r="Z40" i="93"/>
  <c r="Z3" i="16" s="1"/>
  <c r="K40" i="93"/>
  <c r="K3" i="16" s="1"/>
  <c r="S40" i="93"/>
  <c r="S3" i="16" s="1"/>
  <c r="AA40" i="93"/>
  <c r="AA3" i="16" s="1"/>
  <c r="D40" i="93"/>
  <c r="D3" i="16" s="1"/>
  <c r="L40" i="93"/>
  <c r="L3" i="16" s="1"/>
  <c r="T40" i="93"/>
  <c r="T3" i="16" s="1"/>
  <c r="AB40" i="93"/>
  <c r="AB3" i="16" s="1"/>
  <c r="C40" i="93"/>
  <c r="C3" i="16" s="1"/>
  <c r="E40" i="93"/>
  <c r="E3" i="16" s="1"/>
  <c r="E4" i="92" s="1"/>
  <c r="M40" i="93"/>
  <c r="M3" i="16" s="1"/>
  <c r="U40" i="93"/>
  <c r="U3" i="16" s="1"/>
  <c r="AC40" i="93"/>
  <c r="AC3" i="16" s="1"/>
  <c r="F40" i="93"/>
  <c r="F3" i="16" s="1"/>
  <c r="F4" i="92"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N11" i="92" s="1"/>
  <c r="V47" i="93"/>
  <c r="V10" i="16" s="1"/>
  <c r="AD47" i="93"/>
  <c r="AD10" i="16" s="1"/>
  <c r="G47" i="93"/>
  <c r="G10" i="16" s="1"/>
  <c r="O47" i="93"/>
  <c r="O10" i="16" s="1"/>
  <c r="W47" i="93"/>
  <c r="W10" i="16" s="1"/>
  <c r="AE47" i="93"/>
  <c r="AE10" i="16" s="1"/>
  <c r="H47" i="93"/>
  <c r="H10" i="16" s="1"/>
  <c r="P47" i="93"/>
  <c r="P10" i="16" s="1"/>
  <c r="X47" i="93"/>
  <c r="X10" i="16" s="1"/>
  <c r="X11" i="92"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AA11" i="92"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D20" i="92"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D14" i="92"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E6" i="92"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D21" i="92" s="1"/>
  <c r="L57" i="93"/>
  <c r="L20" i="16" s="1"/>
  <c r="T57" i="93"/>
  <c r="T20" i="16" s="1"/>
  <c r="AB57" i="93"/>
  <c r="AB20" i="16" s="1"/>
  <c r="E57" i="93"/>
  <c r="E20" i="16" s="1"/>
  <c r="M57" i="93"/>
  <c r="M20" i="16" s="1"/>
  <c r="U57" i="93"/>
  <c r="U20" i="16" s="1"/>
  <c r="AC57" i="93"/>
  <c r="AC20" i="16" s="1"/>
  <c r="F57" i="93"/>
  <c r="F20" i="16" s="1"/>
  <c r="F21" i="92"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D18" i="92" s="1"/>
  <c r="L54" i="93"/>
  <c r="L17" i="16" s="1"/>
  <c r="T54" i="93"/>
  <c r="T17" i="16" s="1"/>
  <c r="AB54" i="93"/>
  <c r="AB17" i="16" s="1"/>
  <c r="C54" i="93"/>
  <c r="C17" i="16" s="1"/>
  <c r="E54" i="93"/>
  <c r="E17" i="16" s="1"/>
  <c r="E18" i="92"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E7" i="92"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K5" i="92" s="1"/>
  <c r="S41" i="93"/>
  <c r="S4" i="16" s="1"/>
  <c r="AA41" i="93"/>
  <c r="AA4" i="16" s="1"/>
  <c r="D41" i="93"/>
  <c r="D4" i="16" s="1"/>
  <c r="D5" i="92" s="1"/>
  <c r="L41" i="93"/>
  <c r="L4" i="16" s="1"/>
  <c r="T41" i="93"/>
  <c r="T4" i="16" s="1"/>
  <c r="T5" i="92" s="1"/>
  <c r="AB41" i="93"/>
  <c r="AB4" i="16" s="1"/>
  <c r="E41" i="93"/>
  <c r="E4" i="16" s="1"/>
  <c r="M41" i="93"/>
  <c r="M4" i="16" s="1"/>
  <c r="U41" i="93"/>
  <c r="U4" i="16" s="1"/>
  <c r="AC41" i="93"/>
  <c r="AC4" i="16" s="1"/>
  <c r="F41" i="93"/>
  <c r="F4" i="16" s="1"/>
  <c r="F5" i="92" s="1"/>
  <c r="N41" i="93"/>
  <c r="N4" i="16" s="1"/>
  <c r="N5" i="92" s="1"/>
  <c r="V41" i="93"/>
  <c r="V4" i="16" s="1"/>
  <c r="AD41" i="93"/>
  <c r="AD4" i="16" s="1"/>
  <c r="AD5" i="92" s="1"/>
  <c r="G41" i="93"/>
  <c r="G4" i="16" s="1"/>
  <c r="O41" i="93"/>
  <c r="O4" i="16" s="1"/>
  <c r="O5" i="92" s="1"/>
  <c r="W41" i="93"/>
  <c r="W4" i="16" s="1"/>
  <c r="W5" i="92" s="1"/>
  <c r="AE41" i="93"/>
  <c r="AE4" i="16" s="1"/>
  <c r="AE5" i="92" s="1"/>
  <c r="H41" i="93"/>
  <c r="H4" i="16" s="1"/>
  <c r="P41" i="93"/>
  <c r="P4" i="16" s="1"/>
  <c r="X41" i="93"/>
  <c r="X4" i="16" s="1"/>
  <c r="X5" i="92" s="1"/>
  <c r="AF41" i="93"/>
  <c r="AF4" i="16" s="1"/>
  <c r="C41" i="93"/>
  <c r="C4" i="16" s="1"/>
  <c r="I41" i="93"/>
  <c r="I4" i="16" s="1"/>
  <c r="Q41" i="93"/>
  <c r="Q4" i="16" s="1"/>
  <c r="Y41" i="93"/>
  <c r="Y4" i="16" s="1"/>
  <c r="J41" i="93"/>
  <c r="J4" i="16" s="1"/>
  <c r="R41" i="93"/>
  <c r="R4" i="16" s="1"/>
  <c r="Z41" i="93"/>
  <c r="Z4" i="16" s="1"/>
  <c r="B18" i="16"/>
  <c r="E55" i="93"/>
  <c r="E18" i="16" s="1"/>
  <c r="E19" i="92"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D19" i="92" s="1"/>
  <c r="L55" i="93"/>
  <c r="L18" i="16" s="1"/>
  <c r="T55" i="93"/>
  <c r="T18" i="16" s="1"/>
  <c r="AB55" i="93"/>
  <c r="AB18" i="16" s="1"/>
  <c r="Q34" i="93"/>
  <c r="N10" i="21"/>
  <c r="F19" i="20"/>
  <c r="F14" i="20"/>
  <c r="F6" i="20"/>
  <c r="G15" i="20"/>
  <c r="F2" i="20"/>
  <c r="F22" i="20"/>
  <c r="F13" i="20"/>
  <c r="F11" i="20"/>
  <c r="F16" i="20"/>
  <c r="F7" i="20"/>
  <c r="F21" i="20"/>
  <c r="F18" i="20"/>
  <c r="F23" i="20"/>
  <c r="F26" i="20"/>
  <c r="F5" i="20"/>
  <c r="F17" i="20"/>
  <c r="F9" i="20"/>
  <c r="F12" i="20"/>
  <c r="F8" i="20"/>
  <c r="F20" i="20"/>
  <c r="P11" i="92" l="1"/>
  <c r="H11" i="92"/>
  <c r="L11" i="92"/>
  <c r="O11" i="92"/>
  <c r="J11" i="92"/>
  <c r="J67" i="92" s="1"/>
  <c r="R11" i="92"/>
  <c r="F6" i="92"/>
  <c r="F62" i="92" s="1"/>
  <c r="F24" i="92"/>
  <c r="G14" i="92"/>
  <c r="G10" i="92"/>
  <c r="F22" i="92"/>
  <c r="G19" i="92"/>
  <c r="F19" i="92"/>
  <c r="F75" i="92" s="1"/>
  <c r="G17" i="92"/>
  <c r="G12" i="92"/>
  <c r="F12" i="92"/>
  <c r="F68" i="92" s="1"/>
  <c r="AF5" i="92"/>
  <c r="L5" i="92"/>
  <c r="L61" i="92" s="1"/>
  <c r="F7" i="92"/>
  <c r="F63" i="92" s="1"/>
  <c r="F18" i="92"/>
  <c r="F74" i="92" s="1"/>
  <c r="D12" i="92"/>
  <c r="D68" i="92" s="1"/>
  <c r="E14" i="92"/>
  <c r="E70" i="92" s="1"/>
  <c r="E20" i="92"/>
  <c r="E76" i="92" s="1"/>
  <c r="G4" i="92"/>
  <c r="G60" i="92" s="1"/>
  <c r="F3" i="92"/>
  <c r="F59" i="92" s="1"/>
  <c r="F9" i="92"/>
  <c r="F65" i="92" s="1"/>
  <c r="G11" i="92"/>
  <c r="AD11" i="92"/>
  <c r="G5" i="92"/>
  <c r="V11" i="92"/>
  <c r="D7" i="92"/>
  <c r="D63" i="92" s="1"/>
  <c r="F14" i="92"/>
  <c r="F70" i="92" s="1"/>
  <c r="F11" i="92"/>
  <c r="F67" i="92" s="1"/>
  <c r="D24" i="92"/>
  <c r="E22" i="92"/>
  <c r="E78" i="92" s="1"/>
  <c r="D11" i="92"/>
  <c r="D67" i="92" s="1"/>
  <c r="S11" i="92"/>
  <c r="K11" i="92"/>
  <c r="K67" i="92" s="1"/>
  <c r="D16" i="92"/>
  <c r="D72" i="92" s="1"/>
  <c r="V5" i="92"/>
  <c r="Z11" i="92"/>
  <c r="AC11" i="92"/>
  <c r="D23" i="92"/>
  <c r="D79" i="92" s="1"/>
  <c r="P5" i="92"/>
  <c r="AA5" i="92"/>
  <c r="D13" i="92"/>
  <c r="D69" i="92" s="1"/>
  <c r="AB11" i="92"/>
  <c r="AE11" i="92"/>
  <c r="E9" i="92"/>
  <c r="E65" i="92" s="1"/>
  <c r="H5" i="92"/>
  <c r="H61" i="92" s="1"/>
  <c r="S5" i="92"/>
  <c r="E21" i="92"/>
  <c r="E77" i="92" s="1"/>
  <c r="T11" i="92"/>
  <c r="W11" i="92"/>
  <c r="F15" i="92"/>
  <c r="F71" i="92" s="1"/>
  <c r="E16" i="92"/>
  <c r="E72" i="92" s="1"/>
  <c r="D8" i="92"/>
  <c r="D64" i="92" s="1"/>
  <c r="G23" i="92"/>
  <c r="U11" i="92"/>
  <c r="D15" i="92"/>
  <c r="D71" i="92" s="1"/>
  <c r="R5" i="92"/>
  <c r="Y11" i="92"/>
  <c r="L4" i="92"/>
  <c r="E3" i="92"/>
  <c r="E59" i="92" s="1"/>
  <c r="J5" i="92"/>
  <c r="J61" i="92" s="1"/>
  <c r="U5" i="92"/>
  <c r="E11" i="92"/>
  <c r="E67" i="92" s="1"/>
  <c r="D4" i="92"/>
  <c r="D60" i="92" s="1"/>
  <c r="E27" i="92"/>
  <c r="E83" i="92" s="1"/>
  <c r="Y5" i="92"/>
  <c r="M5" i="92"/>
  <c r="G7" i="92"/>
  <c r="G18" i="92"/>
  <c r="F20" i="92"/>
  <c r="F76" i="92" s="1"/>
  <c r="I11" i="92"/>
  <c r="I67" i="92" s="1"/>
  <c r="D3" i="92"/>
  <c r="D59" i="92" s="1"/>
  <c r="AC5" i="92"/>
  <c r="F13" i="92"/>
  <c r="F69" i="92" s="1"/>
  <c r="F8" i="92"/>
  <c r="E12" i="92"/>
  <c r="Q11" i="92"/>
  <c r="G16" i="92"/>
  <c r="G72" i="92" s="1"/>
  <c r="Q5" i="92"/>
  <c r="E5" i="92"/>
  <c r="D6" i="92"/>
  <c r="D62" i="92" s="1"/>
  <c r="G24" i="92"/>
  <c r="F17" i="92"/>
  <c r="F73" i="92" s="1"/>
  <c r="D22" i="92"/>
  <c r="D78" i="92" s="1"/>
  <c r="D10" i="92"/>
  <c r="D66" i="92" s="1"/>
  <c r="F10" i="92"/>
  <c r="F66" i="92" s="1"/>
  <c r="F23" i="92"/>
  <c r="F79" i="92" s="1"/>
  <c r="D9" i="92"/>
  <c r="D65" i="92" s="1"/>
  <c r="Z5" i="92"/>
  <c r="M11" i="92"/>
  <c r="M67" i="92" s="1"/>
  <c r="I5" i="92"/>
  <c r="I61" i="92" s="1"/>
  <c r="AB5" i="92"/>
  <c r="E13" i="92"/>
  <c r="AF11" i="92"/>
  <c r="K4" i="92"/>
  <c r="K60" i="92" s="1"/>
  <c r="E8" i="92"/>
  <c r="E64" i="92" s="1"/>
  <c r="E23" i="92"/>
  <c r="E79" i="92" s="1"/>
  <c r="C24" i="92"/>
  <c r="C80" i="92" s="1"/>
  <c r="V48" i="91"/>
  <c r="R25" i="95"/>
  <c r="K61" i="92"/>
  <c r="B24" i="92"/>
  <c r="B80" i="92" s="1"/>
  <c r="C19" i="92"/>
  <c r="C75" i="92" s="1"/>
  <c r="C20" i="92"/>
  <c r="C76" i="92" s="1"/>
  <c r="D80" i="92"/>
  <c r="E80" i="92"/>
  <c r="G61" i="92"/>
  <c r="C4" i="92"/>
  <c r="C60" i="92" s="1"/>
  <c r="B14" i="92"/>
  <c r="B70" i="92" s="1"/>
  <c r="B5" i="92"/>
  <c r="B61" i="92" s="1"/>
  <c r="B19" i="92"/>
  <c r="B75" i="92" s="1"/>
  <c r="C27" i="92"/>
  <c r="C83" i="92" s="1"/>
  <c r="F61" i="92"/>
  <c r="B27" i="92"/>
  <c r="B83" i="92" s="1"/>
  <c r="D70" i="92"/>
  <c r="C5" i="92"/>
  <c r="C61" i="92" s="1"/>
  <c r="D61" i="92"/>
  <c r="D83" i="92"/>
  <c r="C14" i="92"/>
  <c r="C70" i="92" s="1"/>
  <c r="D75" i="92"/>
  <c r="B22" i="92"/>
  <c r="B78" i="92" s="1"/>
  <c r="E69" i="92"/>
  <c r="E61" i="92"/>
  <c r="B20" i="92"/>
  <c r="B76" i="92" s="1"/>
  <c r="C13" i="92"/>
  <c r="C69" i="92" s="1"/>
  <c r="C11" i="92"/>
  <c r="C67" i="92" s="1"/>
  <c r="H60" i="92"/>
  <c r="C21" i="92"/>
  <c r="C77" i="92" s="1"/>
  <c r="B11" i="92"/>
  <c r="B67" i="92" s="1"/>
  <c r="C22" i="92"/>
  <c r="C78" i="92" s="1"/>
  <c r="C10" i="92"/>
  <c r="C66" i="92" s="1"/>
  <c r="B3" i="92"/>
  <c r="B59" i="92" s="1"/>
  <c r="B13" i="92"/>
  <c r="B69" i="92" s="1"/>
  <c r="C23" i="92"/>
  <c r="C79" i="92" s="1"/>
  <c r="L67" i="92"/>
  <c r="G67" i="92"/>
  <c r="B6" i="92"/>
  <c r="B62" i="92" s="1"/>
  <c r="E62" i="92"/>
  <c r="H67" i="92"/>
  <c r="E75" i="92"/>
  <c r="M61" i="92"/>
  <c r="C6" i="92"/>
  <c r="C62" i="92" s="1"/>
  <c r="B18" i="92"/>
  <c r="B74" i="92" s="1"/>
  <c r="B10" i="92"/>
  <c r="B66" i="92" s="1"/>
  <c r="B12" i="92"/>
  <c r="B68" i="92" s="1"/>
  <c r="E66" i="92"/>
  <c r="E68" i="92"/>
  <c r="E60" i="92"/>
  <c r="D76" i="92"/>
  <c r="E73" i="92"/>
  <c r="C12" i="92"/>
  <c r="C68" i="92" s="1"/>
  <c r="C59" i="92"/>
  <c r="D77" i="92"/>
  <c r="B9" i="92"/>
  <c r="B65" i="92" s="1"/>
  <c r="B21" i="92"/>
  <c r="B77" i="92" s="1"/>
  <c r="E74" i="92"/>
  <c r="E71" i="92"/>
  <c r="C18" i="92"/>
  <c r="C74" i="92" s="1"/>
  <c r="F72" i="92"/>
  <c r="B23" i="92"/>
  <c r="B79" i="92" s="1"/>
  <c r="I60" i="92"/>
  <c r="B15" i="92"/>
  <c r="B71" i="92" s="1"/>
  <c r="D74" i="92"/>
  <c r="B4" i="92"/>
  <c r="B60" i="92" s="1"/>
  <c r="C16" i="92"/>
  <c r="C72" i="92" s="1"/>
  <c r="B17" i="92"/>
  <c r="B73" i="92" s="1"/>
  <c r="C17" i="92"/>
  <c r="C73" i="92" s="1"/>
  <c r="C8" i="92"/>
  <c r="C64" i="92" s="1"/>
  <c r="J60" i="92"/>
  <c r="D73" i="92"/>
  <c r="B8" i="92"/>
  <c r="B64" i="92" s="1"/>
  <c r="C9" i="92"/>
  <c r="C65" i="92" s="1"/>
  <c r="F60" i="92"/>
  <c r="B16" i="92"/>
  <c r="B72" i="92" s="1"/>
  <c r="B7" i="92"/>
  <c r="B63" i="92" s="1"/>
  <c r="E63" i="92"/>
  <c r="C7" i="92"/>
  <c r="C63" i="92" s="1"/>
  <c r="C15" i="92"/>
  <c r="C71" i="92" s="1"/>
  <c r="Q90" i="93"/>
  <c r="Q25" i="19" s="1"/>
  <c r="Q118" i="93"/>
  <c r="Q146" i="93"/>
  <c r="Q25" i="18" s="1"/>
  <c r="R34" i="93"/>
  <c r="Q62" i="93"/>
  <c r="Q25" i="16" s="1"/>
  <c r="M3" i="19"/>
  <c r="M4" i="92" s="1"/>
  <c r="L60" i="92"/>
  <c r="O10" i="21"/>
  <c r="N67" i="92"/>
  <c r="G9" i="20"/>
  <c r="G23" i="20"/>
  <c r="F80" i="92"/>
  <c r="G16" i="20"/>
  <c r="G2" i="20"/>
  <c r="G3" i="92" s="1"/>
  <c r="G19" i="20"/>
  <c r="G20" i="92" s="1"/>
  <c r="G20" i="20"/>
  <c r="G21" i="92" s="1"/>
  <c r="F77" i="92"/>
  <c r="G17" i="20"/>
  <c r="G18" i="20"/>
  <c r="G11" i="20"/>
  <c r="H15" i="20"/>
  <c r="H16" i="92" s="1"/>
  <c r="G21" i="20"/>
  <c r="G22" i="92" s="1"/>
  <c r="F78" i="92"/>
  <c r="G6" i="20"/>
  <c r="G8" i="20"/>
  <c r="G9" i="92" s="1"/>
  <c r="G5" i="20"/>
  <c r="G6" i="92" s="1"/>
  <c r="G13" i="20"/>
  <c r="G12" i="20"/>
  <c r="G13" i="92" s="1"/>
  <c r="G26" i="20"/>
  <c r="G27" i="92" s="1"/>
  <c r="F83" i="92"/>
  <c r="G7" i="20"/>
  <c r="G8" i="92" s="1"/>
  <c r="F64" i="92"/>
  <c r="G22" i="20"/>
  <c r="G14" i="20"/>
  <c r="G15" i="92" s="1"/>
  <c r="N61" i="92"/>
  <c r="M60" i="92" l="1"/>
  <c r="W48" i="91"/>
  <c r="S25" i="95"/>
  <c r="R90" i="93"/>
  <c r="R25" i="19" s="1"/>
  <c r="R118" i="93"/>
  <c r="R146" i="93"/>
  <c r="R25" i="18" s="1"/>
  <c r="R62" i="93"/>
  <c r="R25" i="16" s="1"/>
  <c r="S34" i="93"/>
  <c r="N3" i="19"/>
  <c r="P10" i="21"/>
  <c r="O67" i="92"/>
  <c r="H26" i="20"/>
  <c r="H27" i="92" s="1"/>
  <c r="G83" i="92"/>
  <c r="H8" i="20"/>
  <c r="H9" i="92" s="1"/>
  <c r="G65" i="92"/>
  <c r="H11" i="20"/>
  <c r="H12" i="92" s="1"/>
  <c r="G68" i="92"/>
  <c r="H19" i="20"/>
  <c r="H20" i="92" s="1"/>
  <c r="G76" i="92"/>
  <c r="H9" i="20"/>
  <c r="H10" i="92" s="1"/>
  <c r="G66" i="92"/>
  <c r="H14" i="20"/>
  <c r="H15" i="92" s="1"/>
  <c r="G71" i="92"/>
  <c r="H12" i="20"/>
  <c r="H13" i="92" s="1"/>
  <c r="G69" i="92"/>
  <c r="H6" i="20"/>
  <c r="H7" i="92" s="1"/>
  <c r="G63" i="92"/>
  <c r="H18" i="20"/>
  <c r="H19" i="92" s="1"/>
  <c r="G75" i="92"/>
  <c r="H2" i="20"/>
  <c r="H3" i="92" s="1"/>
  <c r="G59" i="92"/>
  <c r="H22" i="20"/>
  <c r="H23" i="92" s="1"/>
  <c r="G79" i="92"/>
  <c r="H17" i="20"/>
  <c r="H18" i="92" s="1"/>
  <c r="G74" i="92"/>
  <c r="H13" i="20"/>
  <c r="H14" i="92" s="1"/>
  <c r="G70" i="92"/>
  <c r="H21" i="20"/>
  <c r="H22" i="92" s="1"/>
  <c r="G78" i="92"/>
  <c r="H16" i="20"/>
  <c r="H17" i="92" s="1"/>
  <c r="G73" i="92"/>
  <c r="H7" i="20"/>
  <c r="H8" i="92" s="1"/>
  <c r="G64" i="92"/>
  <c r="H5" i="20"/>
  <c r="H6" i="92" s="1"/>
  <c r="G62" i="92"/>
  <c r="I15" i="20"/>
  <c r="I16" i="92" s="1"/>
  <c r="H72" i="92"/>
  <c r="H20" i="20"/>
  <c r="H21" i="92" s="1"/>
  <c r="G77" i="92"/>
  <c r="H23" i="20"/>
  <c r="H24" i="92" s="1"/>
  <c r="G80" i="92"/>
  <c r="O61" i="92"/>
  <c r="N4" i="92" l="1"/>
  <c r="N60" i="92" s="1"/>
  <c r="X48" i="91"/>
  <c r="T25" i="95"/>
  <c r="S118" i="93"/>
  <c r="S146" i="93"/>
  <c r="S25" i="18" s="1"/>
  <c r="S90" i="93"/>
  <c r="S25" i="19" s="1"/>
  <c r="S62" i="93"/>
  <c r="S25" i="16" s="1"/>
  <c r="T34" i="93"/>
  <c r="O3" i="19"/>
  <c r="Q10" i="21"/>
  <c r="P67" i="92"/>
  <c r="I23" i="20"/>
  <c r="I24" i="92" s="1"/>
  <c r="H80" i="92"/>
  <c r="I7" i="20"/>
  <c r="I8" i="92" s="1"/>
  <c r="H64" i="92"/>
  <c r="I17" i="20"/>
  <c r="I18" i="92" s="1"/>
  <c r="H74" i="92"/>
  <c r="I6" i="20"/>
  <c r="I7" i="92" s="1"/>
  <c r="H63" i="92"/>
  <c r="I19" i="20"/>
  <c r="I20" i="92" s="1"/>
  <c r="H76" i="92"/>
  <c r="I20" i="20"/>
  <c r="I21" i="92" s="1"/>
  <c r="H77" i="92"/>
  <c r="I16" i="20"/>
  <c r="I17" i="92" s="1"/>
  <c r="H73" i="92"/>
  <c r="I22" i="20"/>
  <c r="I23" i="92" s="1"/>
  <c r="H79" i="92"/>
  <c r="I12" i="20"/>
  <c r="I13" i="92" s="1"/>
  <c r="H69" i="92"/>
  <c r="I11" i="20"/>
  <c r="I12" i="92" s="1"/>
  <c r="H68" i="92"/>
  <c r="J15" i="20"/>
  <c r="J16" i="92" s="1"/>
  <c r="I72" i="92"/>
  <c r="I21" i="20"/>
  <c r="I22" i="92" s="1"/>
  <c r="H78" i="92"/>
  <c r="I2" i="20"/>
  <c r="I3" i="92" s="1"/>
  <c r="H59" i="92"/>
  <c r="I14" i="20"/>
  <c r="I15" i="92" s="1"/>
  <c r="H71" i="92"/>
  <c r="I8" i="20"/>
  <c r="I9" i="92" s="1"/>
  <c r="H65" i="92"/>
  <c r="I5" i="20"/>
  <c r="I6" i="92" s="1"/>
  <c r="H62" i="92"/>
  <c r="I13" i="20"/>
  <c r="I14" i="92" s="1"/>
  <c r="H70" i="92"/>
  <c r="I18" i="20"/>
  <c r="I19" i="92" s="1"/>
  <c r="H75" i="92"/>
  <c r="I9" i="20"/>
  <c r="I10" i="92" s="1"/>
  <c r="H66" i="92"/>
  <c r="I26" i="20"/>
  <c r="I27" i="92" s="1"/>
  <c r="H83" i="92"/>
  <c r="P61" i="92"/>
  <c r="O4" i="92" l="1"/>
  <c r="O60" i="92" s="1"/>
  <c r="Y48" i="91"/>
  <c r="U25" i="95"/>
  <c r="T90" i="93"/>
  <c r="T25" i="19" s="1"/>
  <c r="T146" i="93"/>
  <c r="T25" i="18" s="1"/>
  <c r="T118" i="93"/>
  <c r="T62" i="93"/>
  <c r="T25" i="16" s="1"/>
  <c r="U34" i="93"/>
  <c r="P3" i="19"/>
  <c r="R10" i="21"/>
  <c r="Q67" i="92"/>
  <c r="J21" i="20"/>
  <c r="J22" i="92" s="1"/>
  <c r="I78" i="92"/>
  <c r="J9" i="20"/>
  <c r="J10" i="92" s="1"/>
  <c r="I66" i="92"/>
  <c r="J8" i="20"/>
  <c r="J9" i="92" s="1"/>
  <c r="I65" i="92"/>
  <c r="K15" i="20"/>
  <c r="K16" i="92" s="1"/>
  <c r="J72" i="92"/>
  <c r="J16" i="20"/>
  <c r="J17" i="92" s="1"/>
  <c r="I73" i="92"/>
  <c r="J17" i="20"/>
  <c r="J18" i="92" s="1"/>
  <c r="I74" i="92"/>
  <c r="J26" i="20"/>
  <c r="J27" i="92" s="1"/>
  <c r="I83" i="92"/>
  <c r="J6" i="20"/>
  <c r="J7" i="92" s="1"/>
  <c r="I63" i="92"/>
  <c r="J18" i="20"/>
  <c r="J19" i="92" s="1"/>
  <c r="I75" i="92"/>
  <c r="J14" i="20"/>
  <c r="J15" i="92" s="1"/>
  <c r="I71" i="92"/>
  <c r="J11" i="20"/>
  <c r="J12" i="92" s="1"/>
  <c r="I68" i="92"/>
  <c r="J20" i="20"/>
  <c r="J21" i="92" s="1"/>
  <c r="I77" i="92"/>
  <c r="J7" i="20"/>
  <c r="J8" i="92" s="1"/>
  <c r="I64" i="92"/>
  <c r="J22" i="20"/>
  <c r="J23" i="92" s="1"/>
  <c r="I79" i="92"/>
  <c r="J5" i="20"/>
  <c r="J6" i="92" s="1"/>
  <c r="I62" i="92"/>
  <c r="J13" i="20"/>
  <c r="J14" i="92" s="1"/>
  <c r="I70" i="92"/>
  <c r="J2" i="20"/>
  <c r="J3" i="92" s="1"/>
  <c r="I59" i="92"/>
  <c r="J12" i="20"/>
  <c r="J13" i="92" s="1"/>
  <c r="I69" i="92"/>
  <c r="J19" i="20"/>
  <c r="J20" i="92" s="1"/>
  <c r="I76" i="92"/>
  <c r="J23" i="20"/>
  <c r="J24" i="92" s="1"/>
  <c r="I80" i="92"/>
  <c r="Q61" i="92"/>
  <c r="P4" i="92" l="1"/>
  <c r="P60" i="92" s="1"/>
  <c r="Z48" i="91"/>
  <c r="V25" i="95"/>
  <c r="U118" i="93"/>
  <c r="U146" i="93"/>
  <c r="U25" i="18" s="1"/>
  <c r="U90" i="93"/>
  <c r="U25" i="19" s="1"/>
  <c r="U62" i="93"/>
  <c r="U25" i="16" s="1"/>
  <c r="V34" i="93"/>
  <c r="Q3" i="19"/>
  <c r="S10" i="21"/>
  <c r="R67" i="92"/>
  <c r="K23" i="20"/>
  <c r="K24" i="92" s="1"/>
  <c r="J80" i="92"/>
  <c r="K13" i="20"/>
  <c r="K14" i="92" s="1"/>
  <c r="J70" i="92"/>
  <c r="K20" i="20"/>
  <c r="K21" i="92" s="1"/>
  <c r="J77" i="92"/>
  <c r="K6" i="20"/>
  <c r="K7" i="92" s="1"/>
  <c r="J63" i="92"/>
  <c r="L15" i="20"/>
  <c r="L16" i="92" s="1"/>
  <c r="K72" i="92"/>
  <c r="K19" i="20"/>
  <c r="K20" i="92" s="1"/>
  <c r="J76" i="92"/>
  <c r="K5" i="20"/>
  <c r="K6" i="92" s="1"/>
  <c r="J62" i="92"/>
  <c r="K11" i="20"/>
  <c r="K12" i="92" s="1"/>
  <c r="J68" i="92"/>
  <c r="K26" i="20"/>
  <c r="K27" i="92" s="1"/>
  <c r="J83" i="92"/>
  <c r="K8" i="20"/>
  <c r="K9" i="92" s="1"/>
  <c r="J65" i="92"/>
  <c r="K12" i="20"/>
  <c r="K13" i="92" s="1"/>
  <c r="J69" i="92"/>
  <c r="K22" i="20"/>
  <c r="K23" i="92" s="1"/>
  <c r="J79" i="92"/>
  <c r="K14" i="20"/>
  <c r="K15" i="92" s="1"/>
  <c r="J71" i="92"/>
  <c r="K17" i="20"/>
  <c r="K18" i="92" s="1"/>
  <c r="J74" i="92"/>
  <c r="K9" i="20"/>
  <c r="K10" i="92" s="1"/>
  <c r="J66" i="92"/>
  <c r="K2" i="20"/>
  <c r="K3" i="92" s="1"/>
  <c r="J59" i="92"/>
  <c r="K7" i="20"/>
  <c r="K8" i="92" s="1"/>
  <c r="J64" i="92"/>
  <c r="K18" i="20"/>
  <c r="K19" i="92" s="1"/>
  <c r="J75" i="92"/>
  <c r="K16" i="20"/>
  <c r="K17" i="92" s="1"/>
  <c r="J73" i="92"/>
  <c r="K21" i="20"/>
  <c r="K22" i="92" s="1"/>
  <c r="J78" i="92"/>
  <c r="R61" i="92"/>
  <c r="Q4" i="92" l="1"/>
  <c r="Q60" i="92" s="1"/>
  <c r="AA48" i="91"/>
  <c r="W25" i="95"/>
  <c r="R3" i="19"/>
  <c r="V146" i="93"/>
  <c r="V25" i="18" s="1"/>
  <c r="V90" i="93"/>
  <c r="V25" i="19" s="1"/>
  <c r="V118" i="93"/>
  <c r="V62" i="93"/>
  <c r="V25" i="16" s="1"/>
  <c r="W34" i="93"/>
  <c r="T10" i="21"/>
  <c r="S67" i="92"/>
  <c r="L11" i="20"/>
  <c r="L12" i="92" s="1"/>
  <c r="K68" i="92"/>
  <c r="L22" i="20"/>
  <c r="L23" i="92" s="1"/>
  <c r="K79" i="92"/>
  <c r="L16" i="20"/>
  <c r="L17" i="92" s="1"/>
  <c r="K73" i="92"/>
  <c r="L9" i="20"/>
  <c r="L10" i="92" s="1"/>
  <c r="K66" i="92"/>
  <c r="L12" i="20"/>
  <c r="L13" i="92" s="1"/>
  <c r="K69" i="92"/>
  <c r="L5" i="20"/>
  <c r="L6" i="92" s="1"/>
  <c r="K62" i="92"/>
  <c r="L20" i="20"/>
  <c r="L21" i="92" s="1"/>
  <c r="K77" i="92"/>
  <c r="L2" i="20"/>
  <c r="L3" i="92" s="1"/>
  <c r="K59" i="92"/>
  <c r="L21" i="20"/>
  <c r="L22" i="92" s="1"/>
  <c r="K78" i="92"/>
  <c r="L18" i="20"/>
  <c r="L19" i="92" s="1"/>
  <c r="K75" i="92"/>
  <c r="L17" i="20"/>
  <c r="L18" i="92" s="1"/>
  <c r="K74" i="92"/>
  <c r="L8" i="20"/>
  <c r="L9" i="92" s="1"/>
  <c r="K65" i="92"/>
  <c r="L19" i="20"/>
  <c r="L20" i="92" s="1"/>
  <c r="K76" i="92"/>
  <c r="L13" i="20"/>
  <c r="L14" i="92" s="1"/>
  <c r="K70" i="92"/>
  <c r="L6" i="20"/>
  <c r="L7" i="92" s="1"/>
  <c r="K63" i="92"/>
  <c r="L7" i="20"/>
  <c r="L8" i="92" s="1"/>
  <c r="K64" i="92"/>
  <c r="L14" i="20"/>
  <c r="L15" i="92" s="1"/>
  <c r="K71" i="92"/>
  <c r="L26" i="20"/>
  <c r="L27" i="92" s="1"/>
  <c r="K83" i="92"/>
  <c r="M15" i="20"/>
  <c r="M16" i="92" s="1"/>
  <c r="L72" i="92"/>
  <c r="L23" i="20"/>
  <c r="L24" i="92" s="1"/>
  <c r="K80" i="92"/>
  <c r="S61" i="92"/>
  <c r="R4" i="92" l="1"/>
  <c r="R60" i="92" s="1"/>
  <c r="AB48" i="91"/>
  <c r="X25" i="95"/>
  <c r="W146" i="93"/>
  <c r="W25" i="18" s="1"/>
  <c r="W118" i="93"/>
  <c r="W90" i="93"/>
  <c r="W25" i="19" s="1"/>
  <c r="W62" i="93"/>
  <c r="W25" i="16" s="1"/>
  <c r="X34" i="93"/>
  <c r="S3" i="19"/>
  <c r="U10" i="21"/>
  <c r="T67" i="92"/>
  <c r="M2" i="20"/>
  <c r="M3" i="92" s="1"/>
  <c r="L59" i="92"/>
  <c r="M9" i="20"/>
  <c r="M10" i="92" s="1"/>
  <c r="L66" i="92"/>
  <c r="N15" i="20"/>
  <c r="N16" i="92" s="1"/>
  <c r="M72" i="92"/>
  <c r="M6" i="20"/>
  <c r="M7" i="92" s="1"/>
  <c r="L63" i="92"/>
  <c r="M17" i="20"/>
  <c r="M18" i="92" s="1"/>
  <c r="L74" i="92"/>
  <c r="M20" i="20"/>
  <c r="M21" i="92" s="1"/>
  <c r="L77" i="92"/>
  <c r="M16" i="20"/>
  <c r="M17" i="92" s="1"/>
  <c r="L73" i="92"/>
  <c r="M8" i="20"/>
  <c r="M9" i="92" s="1"/>
  <c r="L65" i="92"/>
  <c r="M26" i="20"/>
  <c r="M27" i="92" s="1"/>
  <c r="L83" i="92"/>
  <c r="M13" i="20"/>
  <c r="M14" i="92" s="1"/>
  <c r="L70" i="92"/>
  <c r="M18" i="20"/>
  <c r="M19" i="92" s="1"/>
  <c r="L75" i="92"/>
  <c r="M5" i="20"/>
  <c r="M6" i="92" s="1"/>
  <c r="L62" i="92"/>
  <c r="M22" i="20"/>
  <c r="M23" i="92" s="1"/>
  <c r="L79" i="92"/>
  <c r="M23" i="20"/>
  <c r="M24" i="92" s="1"/>
  <c r="L80" i="92"/>
  <c r="M7" i="20"/>
  <c r="M8" i="92" s="1"/>
  <c r="L64" i="92"/>
  <c r="M14" i="20"/>
  <c r="M15" i="92" s="1"/>
  <c r="L71" i="92"/>
  <c r="M19" i="20"/>
  <c r="M20" i="92" s="1"/>
  <c r="L76" i="92"/>
  <c r="M21" i="20"/>
  <c r="M22" i="92" s="1"/>
  <c r="L78" i="92"/>
  <c r="M12" i="20"/>
  <c r="M13" i="92" s="1"/>
  <c r="L69" i="92"/>
  <c r="M11" i="20"/>
  <c r="M12" i="92" s="1"/>
  <c r="L68" i="92"/>
  <c r="T61" i="92"/>
  <c r="S4" i="92" l="1"/>
  <c r="S60" i="92" s="1"/>
  <c r="AC48" i="91"/>
  <c r="Y25" i="95"/>
  <c r="X118" i="93"/>
  <c r="X90" i="93"/>
  <c r="X25" i="19" s="1"/>
  <c r="X146" i="93"/>
  <c r="X25" i="18" s="1"/>
  <c r="X62" i="93"/>
  <c r="X25" i="16" s="1"/>
  <c r="Y34" i="93"/>
  <c r="T3" i="19"/>
  <c r="V10" i="21"/>
  <c r="U67" i="92"/>
  <c r="N11" i="20"/>
  <c r="N12" i="92" s="1"/>
  <c r="M68" i="92"/>
  <c r="N14" i="20"/>
  <c r="N15" i="92" s="1"/>
  <c r="M71" i="92"/>
  <c r="N5" i="20"/>
  <c r="N6" i="92" s="1"/>
  <c r="M62" i="92"/>
  <c r="N8" i="20"/>
  <c r="N9" i="92" s="1"/>
  <c r="M65" i="92"/>
  <c r="N6" i="20"/>
  <c r="N7" i="92" s="1"/>
  <c r="M63" i="92"/>
  <c r="N12" i="20"/>
  <c r="N13" i="92" s="1"/>
  <c r="M69" i="92"/>
  <c r="N7" i="20"/>
  <c r="N8" i="92" s="1"/>
  <c r="M64" i="92"/>
  <c r="N18" i="20"/>
  <c r="N19" i="92" s="1"/>
  <c r="M75" i="92"/>
  <c r="N16" i="20"/>
  <c r="N17" i="92" s="1"/>
  <c r="M73" i="92"/>
  <c r="O15" i="20"/>
  <c r="O16" i="92" s="1"/>
  <c r="N72" i="92"/>
  <c r="N21" i="20"/>
  <c r="N22" i="92" s="1"/>
  <c r="M78" i="92"/>
  <c r="N23" i="20"/>
  <c r="N24" i="92" s="1"/>
  <c r="M80" i="92"/>
  <c r="N13" i="20"/>
  <c r="N14" i="92" s="1"/>
  <c r="M70" i="92"/>
  <c r="N20" i="20"/>
  <c r="N21" i="92" s="1"/>
  <c r="M77" i="92"/>
  <c r="N9" i="20"/>
  <c r="N10" i="92" s="1"/>
  <c r="M66" i="92"/>
  <c r="N19" i="20"/>
  <c r="N20" i="92" s="1"/>
  <c r="M76" i="92"/>
  <c r="N22" i="20"/>
  <c r="N23" i="92" s="1"/>
  <c r="M79" i="92"/>
  <c r="N26" i="20"/>
  <c r="N27" i="92" s="1"/>
  <c r="M83" i="92"/>
  <c r="N17" i="20"/>
  <c r="N18" i="92" s="1"/>
  <c r="M74" i="92"/>
  <c r="N2" i="20"/>
  <c r="N3" i="92" s="1"/>
  <c r="M59" i="92"/>
  <c r="U61" i="92"/>
  <c r="T4" i="92" l="1"/>
  <c r="T60" i="92" s="1"/>
  <c r="AD48" i="91"/>
  <c r="Z25" i="95"/>
  <c r="Y90" i="93"/>
  <c r="Y25" i="19" s="1"/>
  <c r="Y146" i="93"/>
  <c r="Y25" i="18" s="1"/>
  <c r="Y118" i="93"/>
  <c r="Y62" i="93"/>
  <c r="Y25" i="16" s="1"/>
  <c r="Z34" i="93"/>
  <c r="U3" i="19"/>
  <c r="W10" i="21"/>
  <c r="V67" i="92"/>
  <c r="O23" i="20"/>
  <c r="O24" i="92" s="1"/>
  <c r="N80" i="92"/>
  <c r="O17" i="20"/>
  <c r="O18" i="92" s="1"/>
  <c r="N74" i="92"/>
  <c r="O9" i="20"/>
  <c r="O10" i="92" s="1"/>
  <c r="N66" i="92"/>
  <c r="O21" i="20"/>
  <c r="O22" i="92" s="1"/>
  <c r="N78" i="92"/>
  <c r="O7" i="20"/>
  <c r="O8" i="92" s="1"/>
  <c r="N64" i="92"/>
  <c r="O5" i="20"/>
  <c r="O6" i="92" s="1"/>
  <c r="N62" i="92"/>
  <c r="O19" i="20"/>
  <c r="O20" i="92" s="1"/>
  <c r="N76" i="92"/>
  <c r="O8" i="20"/>
  <c r="O9" i="92" s="1"/>
  <c r="N65" i="92"/>
  <c r="O26" i="20"/>
  <c r="O27" i="92" s="1"/>
  <c r="N83" i="92"/>
  <c r="O20" i="20"/>
  <c r="O21" i="92" s="1"/>
  <c r="N77" i="92"/>
  <c r="P15" i="20"/>
  <c r="P16" i="92" s="1"/>
  <c r="O72" i="92"/>
  <c r="O12" i="20"/>
  <c r="O13" i="92" s="1"/>
  <c r="N69" i="92"/>
  <c r="O14" i="20"/>
  <c r="O15" i="92" s="1"/>
  <c r="N71" i="92"/>
  <c r="O18" i="20"/>
  <c r="O19" i="92" s="1"/>
  <c r="N75" i="92"/>
  <c r="O2" i="20"/>
  <c r="O3" i="92" s="1"/>
  <c r="N59" i="92"/>
  <c r="O22" i="20"/>
  <c r="O23" i="92" s="1"/>
  <c r="N79" i="92"/>
  <c r="O13" i="20"/>
  <c r="O14" i="92" s="1"/>
  <c r="N70" i="92"/>
  <c r="O16" i="20"/>
  <c r="O17" i="92" s="1"/>
  <c r="N73" i="92"/>
  <c r="O6" i="20"/>
  <c r="O7" i="92" s="1"/>
  <c r="N63" i="92"/>
  <c r="O11" i="20"/>
  <c r="O12" i="92" s="1"/>
  <c r="N68" i="92"/>
  <c r="V61" i="92"/>
  <c r="U4" i="92" l="1"/>
  <c r="U60" i="92" s="1"/>
  <c r="AE48" i="91"/>
  <c r="AA25" i="95"/>
  <c r="Z90" i="93"/>
  <c r="Z25" i="19" s="1"/>
  <c r="Z146" i="93"/>
  <c r="Z25" i="18" s="1"/>
  <c r="Z118" i="93"/>
  <c r="Z62" i="93"/>
  <c r="Z25" i="16" s="1"/>
  <c r="AA34" i="93"/>
  <c r="V3" i="19"/>
  <c r="X10" i="21"/>
  <c r="W67" i="92"/>
  <c r="P11" i="20"/>
  <c r="P12" i="92" s="1"/>
  <c r="O68" i="92"/>
  <c r="P22" i="20"/>
  <c r="P23" i="92" s="1"/>
  <c r="O79" i="92"/>
  <c r="P8" i="20"/>
  <c r="P9" i="92" s="1"/>
  <c r="O65" i="92"/>
  <c r="P6" i="20"/>
  <c r="P7" i="92" s="1"/>
  <c r="O63" i="92"/>
  <c r="P2" i="20"/>
  <c r="P3" i="92" s="1"/>
  <c r="O59" i="92"/>
  <c r="Q15" i="20"/>
  <c r="Q16" i="92" s="1"/>
  <c r="P72" i="92"/>
  <c r="P19" i="20"/>
  <c r="P20" i="92" s="1"/>
  <c r="O76" i="92"/>
  <c r="P9" i="20"/>
  <c r="P10" i="92" s="1"/>
  <c r="O66" i="92"/>
  <c r="P21" i="20"/>
  <c r="P22" i="92" s="1"/>
  <c r="O78" i="92"/>
  <c r="P16" i="20"/>
  <c r="P17" i="92" s="1"/>
  <c r="O73" i="92"/>
  <c r="P18" i="20"/>
  <c r="P19" i="92" s="1"/>
  <c r="O75" i="92"/>
  <c r="P20" i="20"/>
  <c r="P21" i="92" s="1"/>
  <c r="O77" i="92"/>
  <c r="P5" i="20"/>
  <c r="P6" i="92" s="1"/>
  <c r="O62" i="92"/>
  <c r="P17" i="20"/>
  <c r="P18" i="92" s="1"/>
  <c r="O74" i="92"/>
  <c r="P12" i="20"/>
  <c r="P13" i="92" s="1"/>
  <c r="O69" i="92"/>
  <c r="P13" i="20"/>
  <c r="P14" i="92" s="1"/>
  <c r="O70" i="92"/>
  <c r="P14" i="20"/>
  <c r="P15" i="92" s="1"/>
  <c r="O71" i="92"/>
  <c r="P26" i="20"/>
  <c r="P27" i="92" s="1"/>
  <c r="O83" i="92"/>
  <c r="P7" i="20"/>
  <c r="P8" i="92" s="1"/>
  <c r="O64" i="92"/>
  <c r="P23" i="20"/>
  <c r="P24" i="92" s="1"/>
  <c r="O80" i="92"/>
  <c r="W61" i="92"/>
  <c r="V4" i="92" l="1"/>
  <c r="V60" i="92" s="1"/>
  <c r="AF48" i="91"/>
  <c r="AB25" i="95"/>
  <c r="AA118" i="93"/>
  <c r="AA90" i="93"/>
  <c r="AA25" i="19" s="1"/>
  <c r="AA146" i="93"/>
  <c r="AA25" i="18" s="1"/>
  <c r="AA62" i="93"/>
  <c r="AA25" i="16" s="1"/>
  <c r="AB34" i="93"/>
  <c r="W3" i="19"/>
  <c r="X67" i="92"/>
  <c r="Y10" i="21"/>
  <c r="Q23" i="20"/>
  <c r="Q24" i="92" s="1"/>
  <c r="P80" i="92"/>
  <c r="Q13" i="20"/>
  <c r="Q14" i="92" s="1"/>
  <c r="P70" i="92"/>
  <c r="Q20" i="20"/>
  <c r="Q21" i="92" s="1"/>
  <c r="P77" i="92"/>
  <c r="Q9" i="20"/>
  <c r="Q10" i="92" s="1"/>
  <c r="P66" i="92"/>
  <c r="Q6" i="20"/>
  <c r="Q7" i="92" s="1"/>
  <c r="P63" i="92"/>
  <c r="Q7" i="20"/>
  <c r="Q8" i="92" s="1"/>
  <c r="P64" i="92"/>
  <c r="Q12" i="20"/>
  <c r="Q13" i="92" s="1"/>
  <c r="P69" i="92"/>
  <c r="Q18" i="20"/>
  <c r="Q19" i="92" s="1"/>
  <c r="P75" i="92"/>
  <c r="Q19" i="20"/>
  <c r="Q20" i="92" s="1"/>
  <c r="P76" i="92"/>
  <c r="Q8" i="20"/>
  <c r="Q9" i="92" s="1"/>
  <c r="P65" i="92"/>
  <c r="Q26" i="20"/>
  <c r="Q27" i="92" s="1"/>
  <c r="P83" i="92"/>
  <c r="Q17" i="20"/>
  <c r="Q18" i="92" s="1"/>
  <c r="P74" i="92"/>
  <c r="Q16" i="20"/>
  <c r="Q17" i="92" s="1"/>
  <c r="P73" i="92"/>
  <c r="R15" i="20"/>
  <c r="R16" i="92" s="1"/>
  <c r="Q72" i="92"/>
  <c r="Q22" i="20"/>
  <c r="Q23" i="92" s="1"/>
  <c r="P79" i="92"/>
  <c r="Q14" i="20"/>
  <c r="Q15" i="92" s="1"/>
  <c r="P71" i="92"/>
  <c r="Q5" i="20"/>
  <c r="Q6" i="92" s="1"/>
  <c r="P62" i="92"/>
  <c r="Q21" i="20"/>
  <c r="Q22" i="92" s="1"/>
  <c r="P78" i="92"/>
  <c r="Q2" i="20"/>
  <c r="Q3" i="92" s="1"/>
  <c r="P59" i="92"/>
  <c r="Q11" i="20"/>
  <c r="Q12" i="92" s="1"/>
  <c r="P68" i="92"/>
  <c r="X61" i="92"/>
  <c r="W4" i="92" l="1"/>
  <c r="W60" i="92" s="1"/>
  <c r="AG48" i="91"/>
  <c r="AC25" i="95"/>
  <c r="X3" i="19"/>
  <c r="AB90" i="93"/>
  <c r="AB25" i="19" s="1"/>
  <c r="AB146" i="93"/>
  <c r="AB25" i="18" s="1"/>
  <c r="AB118" i="93"/>
  <c r="AB62" i="93"/>
  <c r="AB25" i="16" s="1"/>
  <c r="AC34" i="93"/>
  <c r="Z10" i="21"/>
  <c r="Y67" i="92"/>
  <c r="R11" i="20"/>
  <c r="R12" i="92" s="1"/>
  <c r="Q68" i="92"/>
  <c r="R14" i="20"/>
  <c r="R15" i="92" s="1"/>
  <c r="Q71" i="92"/>
  <c r="R17" i="20"/>
  <c r="R18" i="92" s="1"/>
  <c r="Q74" i="92"/>
  <c r="R18" i="20"/>
  <c r="R19" i="92" s="1"/>
  <c r="Q75" i="92"/>
  <c r="R9" i="20"/>
  <c r="R10" i="92" s="1"/>
  <c r="Q66" i="92"/>
  <c r="R2" i="20"/>
  <c r="R3" i="92" s="1"/>
  <c r="Q59" i="92"/>
  <c r="R22" i="20"/>
  <c r="R23" i="92" s="1"/>
  <c r="Q79" i="92"/>
  <c r="R26" i="20"/>
  <c r="R27" i="92" s="1"/>
  <c r="Q83" i="92"/>
  <c r="R12" i="20"/>
  <c r="R13" i="92" s="1"/>
  <c r="Q69" i="92"/>
  <c r="R20" i="20"/>
  <c r="R21" i="92" s="1"/>
  <c r="Q77" i="92"/>
  <c r="R21" i="20"/>
  <c r="R22" i="92" s="1"/>
  <c r="Q78" i="92"/>
  <c r="S15" i="20"/>
  <c r="S16" i="92" s="1"/>
  <c r="R72" i="92"/>
  <c r="R8" i="20"/>
  <c r="R9" i="92" s="1"/>
  <c r="Q65" i="92"/>
  <c r="R7" i="20"/>
  <c r="R8" i="92" s="1"/>
  <c r="Q64" i="92"/>
  <c r="R13" i="20"/>
  <c r="R14" i="92" s="1"/>
  <c r="Q70" i="92"/>
  <c r="R5" i="20"/>
  <c r="R6" i="92" s="1"/>
  <c r="Q62" i="92"/>
  <c r="R16" i="20"/>
  <c r="R17" i="92" s="1"/>
  <c r="Q73" i="92"/>
  <c r="R19" i="20"/>
  <c r="R20" i="92" s="1"/>
  <c r="Q76" i="92"/>
  <c r="R6" i="20"/>
  <c r="R7" i="92" s="1"/>
  <c r="Q63" i="92"/>
  <c r="R23" i="20"/>
  <c r="R24" i="92" s="1"/>
  <c r="Q80" i="92"/>
  <c r="Y61" i="92"/>
  <c r="X4" i="92" l="1"/>
  <c r="X60" i="92" s="1"/>
  <c r="AH48" i="91"/>
  <c r="AD25" i="95"/>
  <c r="AC90" i="93"/>
  <c r="AC25" i="19" s="1"/>
  <c r="AC118" i="93"/>
  <c r="AC146" i="93"/>
  <c r="AC25" i="18" s="1"/>
  <c r="AC62" i="93"/>
  <c r="AC25" i="16" s="1"/>
  <c r="AD34" i="93"/>
  <c r="Y3" i="19"/>
  <c r="AA10" i="21"/>
  <c r="Z67" i="92"/>
  <c r="S23" i="20"/>
  <c r="S24" i="92" s="1"/>
  <c r="R80" i="92"/>
  <c r="S5" i="20"/>
  <c r="S6" i="92" s="1"/>
  <c r="R62" i="92"/>
  <c r="T15" i="20"/>
  <c r="T16" i="92" s="1"/>
  <c r="S72" i="92"/>
  <c r="S26" i="20"/>
  <c r="S27" i="92" s="1"/>
  <c r="R83" i="92"/>
  <c r="S18" i="20"/>
  <c r="S19" i="92" s="1"/>
  <c r="R75" i="92"/>
  <c r="S6" i="20"/>
  <c r="S7" i="92" s="1"/>
  <c r="R63" i="92"/>
  <c r="S13" i="20"/>
  <c r="S14" i="92" s="1"/>
  <c r="R70" i="92"/>
  <c r="S21" i="20"/>
  <c r="S22" i="92" s="1"/>
  <c r="R78" i="92"/>
  <c r="S22" i="20"/>
  <c r="S23" i="92" s="1"/>
  <c r="R79" i="92"/>
  <c r="S17" i="20"/>
  <c r="S18" i="92" s="1"/>
  <c r="R74" i="92"/>
  <c r="S19" i="20"/>
  <c r="S20" i="92" s="1"/>
  <c r="R76" i="92"/>
  <c r="S7" i="20"/>
  <c r="S8" i="92" s="1"/>
  <c r="R64" i="92"/>
  <c r="S20" i="20"/>
  <c r="S21" i="92" s="1"/>
  <c r="R77" i="92"/>
  <c r="S2" i="20"/>
  <c r="S3" i="92" s="1"/>
  <c r="R59" i="92"/>
  <c r="S14" i="20"/>
  <c r="S15" i="92" s="1"/>
  <c r="R71" i="92"/>
  <c r="S16" i="20"/>
  <c r="S17" i="92" s="1"/>
  <c r="R73" i="92"/>
  <c r="S8" i="20"/>
  <c r="S9" i="92" s="1"/>
  <c r="R65" i="92"/>
  <c r="S12" i="20"/>
  <c r="S13" i="92" s="1"/>
  <c r="R69" i="92"/>
  <c r="S9" i="20"/>
  <c r="S10" i="92" s="1"/>
  <c r="R66" i="92"/>
  <c r="S11" i="20"/>
  <c r="S12" i="92" s="1"/>
  <c r="R68" i="92"/>
  <c r="Z61" i="92"/>
  <c r="Y4" i="92" l="1"/>
  <c r="Y60" i="92" s="1"/>
  <c r="AI48" i="91"/>
  <c r="AF25" i="95" s="1"/>
  <c r="AE25" i="95"/>
  <c r="AD146" i="93"/>
  <c r="AD25" i="18" s="1"/>
  <c r="AD90" i="93"/>
  <c r="AD25" i="19" s="1"/>
  <c r="AD118" i="93"/>
  <c r="AD62" i="93"/>
  <c r="AD25" i="16" s="1"/>
  <c r="AF34" i="93"/>
  <c r="AE34" i="93"/>
  <c r="Z3" i="19"/>
  <c r="AB10" i="21"/>
  <c r="AA67" i="92"/>
  <c r="T21" i="20"/>
  <c r="T22" i="92" s="1"/>
  <c r="S78" i="92"/>
  <c r="T9" i="20"/>
  <c r="T10" i="92" s="1"/>
  <c r="S66" i="92"/>
  <c r="T14" i="20"/>
  <c r="T15" i="92" s="1"/>
  <c r="S71" i="92"/>
  <c r="T19" i="20"/>
  <c r="T20" i="92" s="1"/>
  <c r="S76" i="92"/>
  <c r="T13" i="20"/>
  <c r="T14" i="92" s="1"/>
  <c r="S70" i="92"/>
  <c r="U15" i="20"/>
  <c r="U16" i="92" s="1"/>
  <c r="T72" i="92"/>
  <c r="T26" i="20"/>
  <c r="T27" i="92" s="1"/>
  <c r="S83" i="92"/>
  <c r="T11" i="20"/>
  <c r="T12" i="92" s="1"/>
  <c r="S68" i="92"/>
  <c r="T12" i="20"/>
  <c r="T13" i="92" s="1"/>
  <c r="S69" i="92"/>
  <c r="T2" i="20"/>
  <c r="T3" i="92" s="1"/>
  <c r="S59" i="92"/>
  <c r="T17" i="20"/>
  <c r="T18" i="92" s="1"/>
  <c r="S74" i="92"/>
  <c r="T6" i="20"/>
  <c r="T7" i="92" s="1"/>
  <c r="S63" i="92"/>
  <c r="T5" i="20"/>
  <c r="T6" i="92" s="1"/>
  <c r="S62" i="92"/>
  <c r="T16" i="20"/>
  <c r="T17" i="92" s="1"/>
  <c r="S73" i="92"/>
  <c r="T7" i="20"/>
  <c r="T8" i="92" s="1"/>
  <c r="S64" i="92"/>
  <c r="T8" i="20"/>
  <c r="T9" i="92" s="1"/>
  <c r="S65" i="92"/>
  <c r="T20" i="20"/>
  <c r="T21" i="92" s="1"/>
  <c r="S77" i="92"/>
  <c r="T22" i="20"/>
  <c r="T23" i="92" s="1"/>
  <c r="S79" i="92"/>
  <c r="T18" i="20"/>
  <c r="T19" i="92" s="1"/>
  <c r="S75" i="92"/>
  <c r="T23" i="20"/>
  <c r="T24" i="92" s="1"/>
  <c r="S80" i="92"/>
  <c r="AA61" i="92"/>
  <c r="Z4" i="92" l="1"/>
  <c r="Z60" i="92" s="1"/>
  <c r="AE90" i="93"/>
  <c r="AE25" i="19" s="1"/>
  <c r="AE118" i="93"/>
  <c r="AE146" i="93"/>
  <c r="AE25" i="18" s="1"/>
  <c r="AE62" i="93"/>
  <c r="AE25" i="16" s="1"/>
  <c r="AF118" i="93"/>
  <c r="AF146" i="93"/>
  <c r="AF25" i="18" s="1"/>
  <c r="AF90" i="93"/>
  <c r="AF25" i="19" s="1"/>
  <c r="AF62" i="93"/>
  <c r="AF25" i="16" s="1"/>
  <c r="AA3" i="19"/>
  <c r="AC10" i="21"/>
  <c r="AB67" i="92"/>
  <c r="U23" i="20"/>
  <c r="U24" i="92" s="1"/>
  <c r="T80" i="92"/>
  <c r="U8" i="20"/>
  <c r="U9" i="92" s="1"/>
  <c r="T65" i="92"/>
  <c r="U6" i="20"/>
  <c r="U7" i="92" s="1"/>
  <c r="T63" i="92"/>
  <c r="U11" i="20"/>
  <c r="U12" i="92" s="1"/>
  <c r="T68" i="92"/>
  <c r="U19" i="20"/>
  <c r="U20" i="92" s="1"/>
  <c r="T76" i="92"/>
  <c r="U18" i="20"/>
  <c r="U19" i="92" s="1"/>
  <c r="T75" i="92"/>
  <c r="U7" i="20"/>
  <c r="U8" i="92" s="1"/>
  <c r="T64" i="92"/>
  <c r="U17" i="20"/>
  <c r="U18" i="92" s="1"/>
  <c r="T74" i="92"/>
  <c r="U26" i="20"/>
  <c r="U27" i="92" s="1"/>
  <c r="T83" i="92"/>
  <c r="U14" i="20"/>
  <c r="U15" i="92" s="1"/>
  <c r="T71" i="92"/>
  <c r="U22" i="20"/>
  <c r="U23" i="92" s="1"/>
  <c r="T79" i="92"/>
  <c r="U16" i="20"/>
  <c r="U17" i="92" s="1"/>
  <c r="T73" i="92"/>
  <c r="U2" i="20"/>
  <c r="U3" i="92" s="1"/>
  <c r="T59" i="92"/>
  <c r="V15" i="20"/>
  <c r="V16" i="92" s="1"/>
  <c r="U72" i="92"/>
  <c r="U9" i="20"/>
  <c r="U10" i="92" s="1"/>
  <c r="T66" i="92"/>
  <c r="U20" i="20"/>
  <c r="U21" i="92" s="1"/>
  <c r="T77" i="92"/>
  <c r="U5" i="20"/>
  <c r="U6" i="92" s="1"/>
  <c r="T62" i="92"/>
  <c r="U12" i="20"/>
  <c r="U13" i="92" s="1"/>
  <c r="T69" i="92"/>
  <c r="U13" i="20"/>
  <c r="U14" i="92" s="1"/>
  <c r="T70" i="92"/>
  <c r="U21" i="20"/>
  <c r="U22" i="92" s="1"/>
  <c r="T78" i="92"/>
  <c r="AB61" i="92"/>
  <c r="AA4" i="92" l="1"/>
  <c r="AA60" i="92" s="1"/>
  <c r="AB3" i="19"/>
  <c r="AD10" i="21"/>
  <c r="AC67" i="92"/>
  <c r="V21" i="20"/>
  <c r="V22" i="92" s="1"/>
  <c r="U78" i="92"/>
  <c r="V20" i="20"/>
  <c r="V21" i="92" s="1"/>
  <c r="U77" i="92"/>
  <c r="V16" i="20"/>
  <c r="V17" i="92" s="1"/>
  <c r="U73" i="92"/>
  <c r="V17" i="20"/>
  <c r="V18" i="92" s="1"/>
  <c r="U74" i="92"/>
  <c r="V11" i="20"/>
  <c r="V12" i="92" s="1"/>
  <c r="U68" i="92"/>
  <c r="V13" i="20"/>
  <c r="V14" i="92" s="1"/>
  <c r="U70" i="92"/>
  <c r="V9" i="20"/>
  <c r="V10" i="92" s="1"/>
  <c r="U66" i="92"/>
  <c r="V22" i="20"/>
  <c r="V23" i="92" s="1"/>
  <c r="U79" i="92"/>
  <c r="V7" i="20"/>
  <c r="V8" i="92" s="1"/>
  <c r="U64" i="92"/>
  <c r="V6" i="20"/>
  <c r="V7" i="92" s="1"/>
  <c r="U63" i="92"/>
  <c r="V12" i="20"/>
  <c r="V13" i="92" s="1"/>
  <c r="U69" i="92"/>
  <c r="W15" i="20"/>
  <c r="W16" i="92" s="1"/>
  <c r="V72" i="92"/>
  <c r="V14" i="20"/>
  <c r="V15" i="92" s="1"/>
  <c r="U71" i="92"/>
  <c r="V18" i="20"/>
  <c r="V19" i="92" s="1"/>
  <c r="U75" i="92"/>
  <c r="V8" i="20"/>
  <c r="V9" i="92" s="1"/>
  <c r="U65" i="92"/>
  <c r="V5" i="20"/>
  <c r="V6" i="92" s="1"/>
  <c r="U62" i="92"/>
  <c r="V2" i="20"/>
  <c r="V3" i="92" s="1"/>
  <c r="U59" i="92"/>
  <c r="V26" i="20"/>
  <c r="V27" i="92" s="1"/>
  <c r="U83" i="92"/>
  <c r="V19" i="20"/>
  <c r="V20" i="92" s="1"/>
  <c r="U76" i="92"/>
  <c r="V23" i="20"/>
  <c r="V24" i="92" s="1"/>
  <c r="U80" i="92"/>
  <c r="AC61" i="92"/>
  <c r="AB4" i="92" l="1"/>
  <c r="AB60" i="92" s="1"/>
  <c r="AC3" i="19"/>
  <c r="AE10" i="21"/>
  <c r="AD67" i="92"/>
  <c r="W23" i="20"/>
  <c r="W24" i="92" s="1"/>
  <c r="V80" i="92"/>
  <c r="W5" i="20"/>
  <c r="W6" i="92" s="1"/>
  <c r="V62" i="92"/>
  <c r="X15" i="20"/>
  <c r="X16" i="92" s="1"/>
  <c r="W72" i="92"/>
  <c r="W22" i="20"/>
  <c r="W23" i="92" s="1"/>
  <c r="V79" i="92"/>
  <c r="W17" i="20"/>
  <c r="W18" i="92" s="1"/>
  <c r="V74" i="92"/>
  <c r="W19" i="20"/>
  <c r="W20" i="92" s="1"/>
  <c r="V76" i="92"/>
  <c r="W8" i="20"/>
  <c r="W9" i="92" s="1"/>
  <c r="V65" i="92"/>
  <c r="W12" i="20"/>
  <c r="W13" i="92" s="1"/>
  <c r="V69" i="92"/>
  <c r="W9" i="20"/>
  <c r="W10" i="92" s="1"/>
  <c r="V66" i="92"/>
  <c r="W16" i="20"/>
  <c r="W17" i="92" s="1"/>
  <c r="V73" i="92"/>
  <c r="W26" i="20"/>
  <c r="W27" i="92" s="1"/>
  <c r="V83" i="92"/>
  <c r="W18" i="20"/>
  <c r="W19" i="92" s="1"/>
  <c r="V75" i="92"/>
  <c r="W6" i="20"/>
  <c r="W7" i="92" s="1"/>
  <c r="V63" i="92"/>
  <c r="W13" i="20"/>
  <c r="W14" i="92" s="1"/>
  <c r="V70" i="92"/>
  <c r="W20" i="20"/>
  <c r="W21" i="92" s="1"/>
  <c r="V77" i="92"/>
  <c r="W2" i="20"/>
  <c r="W3" i="92" s="1"/>
  <c r="V59" i="92"/>
  <c r="W14" i="20"/>
  <c r="W15" i="92" s="1"/>
  <c r="V71" i="92"/>
  <c r="W7" i="20"/>
  <c r="W8" i="92" s="1"/>
  <c r="V64" i="92"/>
  <c r="W11" i="20"/>
  <c r="W12" i="92" s="1"/>
  <c r="V68" i="92"/>
  <c r="W21" i="20"/>
  <c r="W22" i="92" s="1"/>
  <c r="V78" i="92"/>
  <c r="AD61" i="92"/>
  <c r="AC4" i="92" l="1"/>
  <c r="AC60" i="92" s="1"/>
  <c r="AD3" i="19"/>
  <c r="AF10" i="21"/>
  <c r="AF67" i="92" s="1"/>
  <c r="AE67" i="92"/>
  <c r="X21" i="20"/>
  <c r="X22" i="92" s="1"/>
  <c r="W78" i="92"/>
  <c r="X2" i="20"/>
  <c r="X3" i="92" s="1"/>
  <c r="W59" i="92"/>
  <c r="X18" i="20"/>
  <c r="X19" i="92" s="1"/>
  <c r="W75" i="92"/>
  <c r="X12" i="20"/>
  <c r="X13" i="92" s="1"/>
  <c r="W69" i="92"/>
  <c r="X22" i="20"/>
  <c r="X23" i="92" s="1"/>
  <c r="W79" i="92"/>
  <c r="X11" i="20"/>
  <c r="X12" i="92" s="1"/>
  <c r="W68" i="92"/>
  <c r="X20" i="20"/>
  <c r="X21" i="92" s="1"/>
  <c r="W77" i="92"/>
  <c r="X26" i="20"/>
  <c r="X27" i="92" s="1"/>
  <c r="W83" i="92"/>
  <c r="X8" i="20"/>
  <c r="X9" i="92" s="1"/>
  <c r="W65" i="92"/>
  <c r="Y15" i="20"/>
  <c r="Y16" i="92" s="1"/>
  <c r="X72" i="92"/>
  <c r="X7" i="20"/>
  <c r="X8" i="92" s="1"/>
  <c r="W64" i="92"/>
  <c r="X13" i="20"/>
  <c r="X14" i="92" s="1"/>
  <c r="W70" i="92"/>
  <c r="X16" i="20"/>
  <c r="X17" i="92" s="1"/>
  <c r="W73" i="92"/>
  <c r="X19" i="20"/>
  <c r="X20" i="92" s="1"/>
  <c r="W76" i="92"/>
  <c r="X5" i="20"/>
  <c r="X6" i="92" s="1"/>
  <c r="W62" i="92"/>
  <c r="X14" i="20"/>
  <c r="X15" i="92" s="1"/>
  <c r="W71" i="92"/>
  <c r="X6" i="20"/>
  <c r="X7" i="92" s="1"/>
  <c r="W63" i="92"/>
  <c r="X9" i="20"/>
  <c r="X10" i="92" s="1"/>
  <c r="W66" i="92"/>
  <c r="X17" i="20"/>
  <c r="X18" i="92" s="1"/>
  <c r="W74" i="92"/>
  <c r="X23" i="20"/>
  <c r="X24" i="92" s="1"/>
  <c r="W80" i="92"/>
  <c r="AF61" i="92"/>
  <c r="AE61" i="92"/>
  <c r="AD4" i="92" l="1"/>
  <c r="AD60" i="92" s="1"/>
  <c r="AF3" i="19"/>
  <c r="AE3" i="19"/>
  <c r="Y23" i="20"/>
  <c r="Y24" i="92" s="1"/>
  <c r="X80" i="92"/>
  <c r="Y14" i="20"/>
  <c r="Y15" i="92" s="1"/>
  <c r="X71" i="92"/>
  <c r="Y13" i="20"/>
  <c r="Y14" i="92" s="1"/>
  <c r="X70" i="92"/>
  <c r="Y26" i="20"/>
  <c r="Y27" i="92" s="1"/>
  <c r="X83" i="92"/>
  <c r="Y12" i="20"/>
  <c r="Y13" i="92" s="1"/>
  <c r="X69" i="92"/>
  <c r="Y17" i="20"/>
  <c r="Y18" i="92" s="1"/>
  <c r="X74" i="92"/>
  <c r="Y5" i="20"/>
  <c r="Y6" i="92" s="1"/>
  <c r="X62" i="92"/>
  <c r="Y7" i="20"/>
  <c r="Y8" i="92" s="1"/>
  <c r="X64" i="92"/>
  <c r="Y20" i="20"/>
  <c r="Y21" i="92" s="1"/>
  <c r="X77" i="92"/>
  <c r="Y18" i="20"/>
  <c r="Y19" i="92" s="1"/>
  <c r="X75" i="92"/>
  <c r="Y9" i="20"/>
  <c r="Y10" i="92" s="1"/>
  <c r="X66" i="92"/>
  <c r="Y19" i="20"/>
  <c r="Y20" i="92" s="1"/>
  <c r="X76" i="92"/>
  <c r="Z15" i="20"/>
  <c r="Z16" i="92" s="1"/>
  <c r="Y72" i="92"/>
  <c r="Y11" i="20"/>
  <c r="Y12" i="92" s="1"/>
  <c r="X68" i="92"/>
  <c r="Y2" i="20"/>
  <c r="Y3" i="92" s="1"/>
  <c r="X59" i="92"/>
  <c r="Y6" i="20"/>
  <c r="Y7" i="92" s="1"/>
  <c r="X63" i="92"/>
  <c r="Y16" i="20"/>
  <c r="Y17" i="92" s="1"/>
  <c r="X73" i="92"/>
  <c r="Y8" i="20"/>
  <c r="Y9" i="92" s="1"/>
  <c r="X65" i="92"/>
  <c r="Y22" i="20"/>
  <c r="Y23" i="92" s="1"/>
  <c r="X79" i="92"/>
  <c r="Y21" i="20"/>
  <c r="Y22" i="92" s="1"/>
  <c r="X78" i="92"/>
  <c r="AE4" i="92" l="1"/>
  <c r="AE60" i="92" s="1"/>
  <c r="AF4" i="92"/>
  <c r="AF60" i="92" s="1"/>
  <c r="Z21" i="20"/>
  <c r="Z22" i="92" s="1"/>
  <c r="Y78" i="92"/>
  <c r="Z6" i="20"/>
  <c r="Z7" i="92" s="1"/>
  <c r="Y63" i="92"/>
  <c r="Z19" i="20"/>
  <c r="Z20" i="92" s="1"/>
  <c r="Y76" i="92"/>
  <c r="Z7" i="20"/>
  <c r="Z8" i="92" s="1"/>
  <c r="Y64" i="92"/>
  <c r="Z26" i="20"/>
  <c r="Z27" i="92" s="1"/>
  <c r="Y83" i="92"/>
  <c r="Z22" i="20"/>
  <c r="Z23" i="92" s="1"/>
  <c r="Y79" i="92"/>
  <c r="Z2" i="20"/>
  <c r="Z3" i="92" s="1"/>
  <c r="Y59" i="92"/>
  <c r="Z9" i="20"/>
  <c r="Z10" i="92" s="1"/>
  <c r="Y66" i="92"/>
  <c r="Z5" i="20"/>
  <c r="Z6" i="92" s="1"/>
  <c r="Y62" i="92"/>
  <c r="Z13" i="20"/>
  <c r="Z14" i="92" s="1"/>
  <c r="Y70" i="92"/>
  <c r="Z8" i="20"/>
  <c r="Z9" i="92" s="1"/>
  <c r="Y65" i="92"/>
  <c r="Z11" i="20"/>
  <c r="Z12" i="92" s="1"/>
  <c r="Y68" i="92"/>
  <c r="Z18" i="20"/>
  <c r="Z19" i="92" s="1"/>
  <c r="Y75" i="92"/>
  <c r="Z17" i="20"/>
  <c r="Z18" i="92" s="1"/>
  <c r="Y74" i="92"/>
  <c r="Z14" i="20"/>
  <c r="Z15" i="92" s="1"/>
  <c r="Y71" i="92"/>
  <c r="Z16" i="20"/>
  <c r="Z17" i="92" s="1"/>
  <c r="Y73" i="92"/>
  <c r="AA15" i="20"/>
  <c r="AA16" i="92" s="1"/>
  <c r="Z72" i="92"/>
  <c r="Z20" i="20"/>
  <c r="Z21" i="92" s="1"/>
  <c r="Y77" i="92"/>
  <c r="Z12" i="20"/>
  <c r="Z13" i="92" s="1"/>
  <c r="Y69" i="92"/>
  <c r="Z23" i="20"/>
  <c r="Z24" i="92" s="1"/>
  <c r="Y80" i="92"/>
  <c r="AA23" i="20" l="1"/>
  <c r="AA24" i="92" s="1"/>
  <c r="Z80" i="92"/>
  <c r="AA16" i="20"/>
  <c r="AA17" i="92" s="1"/>
  <c r="Z73" i="92"/>
  <c r="AA11" i="20"/>
  <c r="AA12" i="92" s="1"/>
  <c r="Z68" i="92"/>
  <c r="AA9" i="20"/>
  <c r="AA10" i="92" s="1"/>
  <c r="Z66" i="92"/>
  <c r="AA7" i="20"/>
  <c r="AA8" i="92" s="1"/>
  <c r="Z64" i="92"/>
  <c r="AA12" i="20"/>
  <c r="AA13" i="92" s="1"/>
  <c r="Z69" i="92"/>
  <c r="AA14" i="20"/>
  <c r="AA15" i="92" s="1"/>
  <c r="Z71" i="92"/>
  <c r="AA8" i="20"/>
  <c r="AA9" i="92" s="1"/>
  <c r="Z65" i="92"/>
  <c r="AA2" i="20"/>
  <c r="AA3" i="92" s="1"/>
  <c r="Z59" i="92"/>
  <c r="AA19" i="20"/>
  <c r="AA20" i="92" s="1"/>
  <c r="Z76" i="92"/>
  <c r="AA20" i="20"/>
  <c r="AA21" i="92" s="1"/>
  <c r="Z77" i="92"/>
  <c r="AA17" i="20"/>
  <c r="AA18" i="92" s="1"/>
  <c r="Z74" i="92"/>
  <c r="AA13" i="20"/>
  <c r="AA14" i="92" s="1"/>
  <c r="Z70" i="92"/>
  <c r="AA22" i="20"/>
  <c r="AA23" i="92" s="1"/>
  <c r="Z79" i="92"/>
  <c r="AA6" i="20"/>
  <c r="AA7" i="92" s="1"/>
  <c r="Z63" i="92"/>
  <c r="AB15" i="20"/>
  <c r="AB16" i="92" s="1"/>
  <c r="AA72" i="92"/>
  <c r="AA18" i="20"/>
  <c r="AA19" i="92" s="1"/>
  <c r="Z75" i="92"/>
  <c r="AA5" i="20"/>
  <c r="AA6" i="92" s="1"/>
  <c r="Z62" i="92"/>
  <c r="AA26" i="20"/>
  <c r="AA27" i="92" s="1"/>
  <c r="Z83" i="92"/>
  <c r="AA21" i="20"/>
  <c r="AA22" i="92" s="1"/>
  <c r="Z78" i="92"/>
  <c r="AB21" i="20" l="1"/>
  <c r="AB22" i="92" s="1"/>
  <c r="AA78" i="92"/>
  <c r="AC15" i="20"/>
  <c r="AC16" i="92" s="1"/>
  <c r="AB72" i="92"/>
  <c r="AB17" i="20"/>
  <c r="AB18" i="92" s="1"/>
  <c r="AA74" i="92"/>
  <c r="AB8" i="20"/>
  <c r="AB9" i="92" s="1"/>
  <c r="AA65" i="92"/>
  <c r="AB9" i="20"/>
  <c r="AB10" i="92" s="1"/>
  <c r="AA66" i="92"/>
  <c r="AB26" i="20"/>
  <c r="AB27" i="92" s="1"/>
  <c r="AA83" i="92"/>
  <c r="AB6" i="20"/>
  <c r="AB7" i="92" s="1"/>
  <c r="AA63" i="92"/>
  <c r="AB20" i="20"/>
  <c r="AB21" i="92" s="1"/>
  <c r="AA77" i="92"/>
  <c r="AB14" i="20"/>
  <c r="AB15" i="92" s="1"/>
  <c r="AA71" i="92"/>
  <c r="AB11" i="20"/>
  <c r="AB12" i="92" s="1"/>
  <c r="AA68" i="92"/>
  <c r="AB5" i="20"/>
  <c r="AB6" i="92" s="1"/>
  <c r="AA62" i="92"/>
  <c r="AB22" i="20"/>
  <c r="AB23" i="92" s="1"/>
  <c r="AA79" i="92"/>
  <c r="AB19" i="20"/>
  <c r="AB20" i="92" s="1"/>
  <c r="AA76" i="92"/>
  <c r="AB12" i="20"/>
  <c r="AB13" i="92" s="1"/>
  <c r="AA69" i="92"/>
  <c r="AB16" i="20"/>
  <c r="AB17" i="92" s="1"/>
  <c r="AA73" i="92"/>
  <c r="AB18" i="20"/>
  <c r="AB19" i="92" s="1"/>
  <c r="AA75" i="92"/>
  <c r="AB13" i="20"/>
  <c r="AB14" i="92" s="1"/>
  <c r="AA70" i="92"/>
  <c r="AB2" i="20"/>
  <c r="AB3" i="92" s="1"/>
  <c r="AA59" i="92"/>
  <c r="AB7" i="20"/>
  <c r="AB8" i="92" s="1"/>
  <c r="AA64" i="92"/>
  <c r="AB23" i="20"/>
  <c r="AB24" i="92" s="1"/>
  <c r="AA80" i="92"/>
  <c r="AC23" i="20" l="1"/>
  <c r="AC24" i="92" s="1"/>
  <c r="AB80" i="92"/>
  <c r="AC18" i="20"/>
  <c r="AC19" i="92" s="1"/>
  <c r="AB75" i="92"/>
  <c r="AC22" i="20"/>
  <c r="AC23" i="92" s="1"/>
  <c r="AB79" i="92"/>
  <c r="AC20" i="20"/>
  <c r="AC21" i="92" s="1"/>
  <c r="AB77" i="92"/>
  <c r="AC8" i="20"/>
  <c r="AC9" i="92" s="1"/>
  <c r="AB65" i="92"/>
  <c r="AC7" i="20"/>
  <c r="AC8" i="92" s="1"/>
  <c r="AB64" i="92"/>
  <c r="AC16" i="20"/>
  <c r="AC17" i="92" s="1"/>
  <c r="AB73" i="92"/>
  <c r="AC5" i="20"/>
  <c r="AC6" i="92" s="1"/>
  <c r="AB62" i="92"/>
  <c r="AC6" i="20"/>
  <c r="AC7" i="92" s="1"/>
  <c r="AB63" i="92"/>
  <c r="AC17" i="20"/>
  <c r="AC18" i="92" s="1"/>
  <c r="AB74" i="92"/>
  <c r="AC2" i="20"/>
  <c r="AC3" i="92" s="1"/>
  <c r="AB59" i="92"/>
  <c r="AC12" i="20"/>
  <c r="AC13" i="92" s="1"/>
  <c r="AB69" i="92"/>
  <c r="AC11" i="20"/>
  <c r="AC12" i="92" s="1"/>
  <c r="AB68" i="92"/>
  <c r="AC26" i="20"/>
  <c r="AC27" i="92" s="1"/>
  <c r="AB83" i="92"/>
  <c r="AD15" i="20"/>
  <c r="AD16" i="92" s="1"/>
  <c r="AC72" i="92"/>
  <c r="AC13" i="20"/>
  <c r="AC14" i="92" s="1"/>
  <c r="AB70" i="92"/>
  <c r="AC19" i="20"/>
  <c r="AC20" i="92" s="1"/>
  <c r="AB76" i="92"/>
  <c r="AC14" i="20"/>
  <c r="AC15" i="92" s="1"/>
  <c r="AB71" i="92"/>
  <c r="AC9" i="20"/>
  <c r="AC10" i="92" s="1"/>
  <c r="AB66" i="92"/>
  <c r="AC21" i="20"/>
  <c r="AC22" i="92" s="1"/>
  <c r="AB78" i="92"/>
  <c r="AD21" i="20" l="1"/>
  <c r="AD22" i="92" s="1"/>
  <c r="AC78" i="92"/>
  <c r="AD13" i="20"/>
  <c r="AD14" i="92" s="1"/>
  <c r="AC70" i="92"/>
  <c r="AD12" i="20"/>
  <c r="AD13" i="92" s="1"/>
  <c r="AC69" i="92"/>
  <c r="AD5" i="20"/>
  <c r="AD6" i="92" s="1"/>
  <c r="AC62" i="92"/>
  <c r="AD20" i="20"/>
  <c r="AD21" i="92" s="1"/>
  <c r="AC77" i="92"/>
  <c r="AD9" i="20"/>
  <c r="AD10" i="92" s="1"/>
  <c r="AC66" i="92"/>
  <c r="AE15" i="20"/>
  <c r="AE16" i="92" s="1"/>
  <c r="AD72" i="92"/>
  <c r="AD2" i="20"/>
  <c r="AD3" i="92" s="1"/>
  <c r="AC59" i="92"/>
  <c r="AD16" i="20"/>
  <c r="AD17" i="92" s="1"/>
  <c r="AC73" i="92"/>
  <c r="AD22" i="20"/>
  <c r="AD23" i="92" s="1"/>
  <c r="AC79" i="92"/>
  <c r="AD14" i="20"/>
  <c r="AD15" i="92" s="1"/>
  <c r="AC71" i="92"/>
  <c r="AD26" i="20"/>
  <c r="AD27" i="92" s="1"/>
  <c r="AC83" i="92"/>
  <c r="AD17" i="20"/>
  <c r="AD18" i="92" s="1"/>
  <c r="AC74" i="92"/>
  <c r="AD7" i="20"/>
  <c r="AD8" i="92" s="1"/>
  <c r="AC64" i="92"/>
  <c r="AD18" i="20"/>
  <c r="AD19" i="92" s="1"/>
  <c r="AC75" i="92"/>
  <c r="AD19" i="20"/>
  <c r="AD20" i="92" s="1"/>
  <c r="AC76" i="92"/>
  <c r="AD11" i="20"/>
  <c r="AD12" i="92" s="1"/>
  <c r="AC68" i="92"/>
  <c r="AD6" i="20"/>
  <c r="AD7" i="92" s="1"/>
  <c r="AC63" i="92"/>
  <c r="AD8" i="20"/>
  <c r="AD9" i="92" s="1"/>
  <c r="AC65" i="92"/>
  <c r="AD23" i="20"/>
  <c r="AD24" i="92" s="1"/>
  <c r="AC80" i="92"/>
  <c r="AE23" i="20" l="1"/>
  <c r="AE24" i="92" s="1"/>
  <c r="AD80" i="92"/>
  <c r="AE19" i="20"/>
  <c r="AE20" i="92" s="1"/>
  <c r="AD76" i="92"/>
  <c r="AE26" i="20"/>
  <c r="AE27" i="92" s="1"/>
  <c r="AD83" i="92"/>
  <c r="AE2" i="20"/>
  <c r="AE3" i="92" s="1"/>
  <c r="AD59" i="92"/>
  <c r="AE5" i="20"/>
  <c r="AE6" i="92" s="1"/>
  <c r="AD62" i="92"/>
  <c r="AE8" i="20"/>
  <c r="AE9" i="92" s="1"/>
  <c r="AD65" i="92"/>
  <c r="AE18" i="20"/>
  <c r="AE19" i="92" s="1"/>
  <c r="AD75" i="92"/>
  <c r="AE14" i="20"/>
  <c r="AE15" i="92" s="1"/>
  <c r="AD71" i="92"/>
  <c r="AF15" i="20"/>
  <c r="AE72" i="92"/>
  <c r="AE12" i="20"/>
  <c r="AE13" i="92" s="1"/>
  <c r="AD69" i="92"/>
  <c r="AE6" i="20"/>
  <c r="AE7" i="92" s="1"/>
  <c r="AD63" i="92"/>
  <c r="AE7" i="20"/>
  <c r="AE8" i="92" s="1"/>
  <c r="AD64" i="92"/>
  <c r="AE22" i="20"/>
  <c r="AE23" i="92" s="1"/>
  <c r="AD79" i="92"/>
  <c r="AE9" i="20"/>
  <c r="AE10" i="92" s="1"/>
  <c r="AD66" i="92"/>
  <c r="AE13" i="20"/>
  <c r="AE14" i="92" s="1"/>
  <c r="AD70" i="92"/>
  <c r="AE11" i="20"/>
  <c r="AE12" i="92" s="1"/>
  <c r="AD68" i="92"/>
  <c r="AE17" i="20"/>
  <c r="AE18" i="92" s="1"/>
  <c r="AD74" i="92"/>
  <c r="AE16" i="20"/>
  <c r="AE17" i="92" s="1"/>
  <c r="AD73" i="92"/>
  <c r="AE20" i="20"/>
  <c r="AE21" i="92" s="1"/>
  <c r="AD77" i="92"/>
  <c r="AE21" i="20"/>
  <c r="AE22" i="92" s="1"/>
  <c r="AD78" i="92"/>
  <c r="AF16" i="92" l="1"/>
  <c r="AF72" i="92" s="1"/>
  <c r="AF21" i="20"/>
  <c r="AE78" i="92"/>
  <c r="AF11" i="20"/>
  <c r="AE68" i="92"/>
  <c r="AF7" i="20"/>
  <c r="AE64" i="92"/>
  <c r="AF14" i="20"/>
  <c r="AE71" i="92"/>
  <c r="AF2" i="20"/>
  <c r="AE59" i="92"/>
  <c r="AF20" i="20"/>
  <c r="AE77" i="92"/>
  <c r="AF13" i="20"/>
  <c r="AE70" i="92"/>
  <c r="AF6" i="20"/>
  <c r="AE63" i="92"/>
  <c r="AF18" i="20"/>
  <c r="AE75" i="92"/>
  <c r="AF26" i="20"/>
  <c r="AE83" i="92"/>
  <c r="AF16" i="20"/>
  <c r="AE73" i="92"/>
  <c r="AF9" i="20"/>
  <c r="AE66" i="92"/>
  <c r="AF12" i="20"/>
  <c r="AE69" i="92"/>
  <c r="AF8" i="20"/>
  <c r="AE65" i="92"/>
  <c r="AF19" i="20"/>
  <c r="AE76" i="92"/>
  <c r="AF17" i="20"/>
  <c r="AE74" i="92"/>
  <c r="AF22" i="20"/>
  <c r="AE79" i="92"/>
  <c r="AF5" i="20"/>
  <c r="AE62" i="92"/>
  <c r="AF23" i="20"/>
  <c r="AE80" i="92"/>
  <c r="AF6" i="92" l="1"/>
  <c r="AF62" i="92" s="1"/>
  <c r="AF15" i="92"/>
  <c r="AF71" i="92" s="1"/>
  <c r="AF9" i="92"/>
  <c r="AF65" i="92" s="1"/>
  <c r="AF7" i="92"/>
  <c r="AF63" i="92" s="1"/>
  <c r="AF24" i="92"/>
  <c r="AF80" i="92" s="1"/>
  <c r="AF14" i="92"/>
  <c r="AF70" i="92" s="1"/>
  <c r="AF3" i="92"/>
  <c r="AF59" i="92" s="1"/>
  <c r="AF10" i="92"/>
  <c r="AF66" i="92" s="1"/>
  <c r="AF8" i="92"/>
  <c r="AF64" i="92" s="1"/>
  <c r="AF27" i="92"/>
  <c r="AF83" i="92" s="1"/>
  <c r="AF21" i="92"/>
  <c r="AF77" i="92" s="1"/>
  <c r="AF19" i="92"/>
  <c r="AF75" i="92" s="1"/>
  <c r="AF23" i="92"/>
  <c r="AF79" i="92" s="1"/>
  <c r="AF22" i="92"/>
  <c r="AF78" i="92" s="1"/>
  <c r="AF20" i="92"/>
  <c r="AF76" i="92" s="1"/>
  <c r="AF18" i="92"/>
  <c r="AF74" i="92" s="1"/>
  <c r="AF17" i="92"/>
  <c r="AF73" i="92" s="1"/>
  <c r="AF13" i="92"/>
  <c r="AF69" i="92" s="1"/>
  <c r="AF12" i="92"/>
  <c r="AF68" i="92" s="1"/>
  <c r="B24" i="17"/>
  <c r="B25" i="92" s="1"/>
  <c r="B81" i="92" s="1"/>
  <c r="C24" i="17"/>
  <c r="C25" i="92" s="1"/>
  <c r="C81" i="92" s="1"/>
  <c r="D24" i="17"/>
  <c r="E24" i="17"/>
  <c r="F24" i="17"/>
  <c r="G24" i="95"/>
  <c r="H24" i="95" s="1"/>
  <c r="E25" i="92" l="1"/>
  <c r="E81" i="92" s="1"/>
  <c r="F25" i="92"/>
  <c r="F81" i="92" s="1"/>
  <c r="D25" i="92"/>
  <c r="D81" i="92" s="1"/>
  <c r="G24" i="17"/>
  <c r="H24" i="17"/>
  <c r="I24" i="95"/>
  <c r="H25" i="92" l="1"/>
  <c r="H81" i="92" s="1"/>
  <c r="G25" i="92"/>
  <c r="G81" i="92" s="1"/>
  <c r="J24" i="95"/>
  <c r="I24" i="17"/>
  <c r="I25" i="92" l="1"/>
  <c r="I81" i="92" s="1"/>
  <c r="J24" i="17"/>
  <c r="K24" i="95"/>
  <c r="J25" i="92" l="1"/>
  <c r="J81" i="92" s="1"/>
  <c r="L24" i="95"/>
  <c r="K24" i="17"/>
  <c r="K25" i="92" l="1"/>
  <c r="K81" i="92" s="1"/>
  <c r="L24" i="17"/>
  <c r="M24" i="95"/>
  <c r="L25" i="92" l="1"/>
  <c r="L81" i="92" s="1"/>
  <c r="N24" i="95"/>
  <c r="M24" i="17"/>
  <c r="M25" i="92" l="1"/>
  <c r="M81" i="92" s="1"/>
  <c r="O24" i="95"/>
  <c r="N24" i="17"/>
  <c r="N25" i="92" l="1"/>
  <c r="N81" i="92" s="1"/>
  <c r="O24" i="17"/>
  <c r="P24" i="95"/>
  <c r="O25" i="92" l="1"/>
  <c r="O81" i="92" s="1"/>
  <c r="P24" i="17"/>
  <c r="Q24" i="95"/>
  <c r="P25" i="92" l="1"/>
  <c r="P81" i="92" s="1"/>
  <c r="R24" i="95"/>
  <c r="Q24" i="17"/>
  <c r="Q25" i="92" l="1"/>
  <c r="Q81" i="92" s="1"/>
  <c r="S24" i="95"/>
  <c r="R24" i="17"/>
  <c r="R25" i="92" l="1"/>
  <c r="R81" i="92" s="1"/>
  <c r="T24" i="95"/>
  <c r="S24" i="17"/>
  <c r="S25" i="92" l="1"/>
  <c r="S81" i="92" s="1"/>
  <c r="U24" i="95"/>
  <c r="T24" i="17"/>
  <c r="T25" i="92" l="1"/>
  <c r="T81" i="92" s="1"/>
  <c r="U24" i="17"/>
  <c r="V24" i="95"/>
  <c r="U25" i="92" l="1"/>
  <c r="U81" i="92" s="1"/>
  <c r="V24" i="17"/>
  <c r="W24" i="95"/>
  <c r="V25" i="92" l="1"/>
  <c r="V81" i="92" s="1"/>
  <c r="X24" i="95"/>
  <c r="W24" i="17"/>
  <c r="W25" i="92" l="1"/>
  <c r="W81" i="92" s="1"/>
  <c r="Y24" i="95"/>
  <c r="X24" i="17"/>
  <c r="X25" i="92" l="1"/>
  <c r="X81" i="92" s="1"/>
  <c r="Z24" i="95"/>
  <c r="Y24" i="17"/>
  <c r="Y25" i="92" l="1"/>
  <c r="Y81" i="92" s="1"/>
  <c r="Z24" i="17"/>
  <c r="AA24" i="95"/>
  <c r="Z25" i="92" l="1"/>
  <c r="Z81" i="92" s="1"/>
  <c r="AA24" i="17"/>
  <c r="AB24" i="95"/>
  <c r="AA25" i="92" l="1"/>
  <c r="AA81" i="92" s="1"/>
  <c r="AB24" i="17"/>
  <c r="AC24" i="95"/>
  <c r="AB25" i="92" l="1"/>
  <c r="AB81" i="92" s="1"/>
  <c r="AD24" i="95"/>
  <c r="AC24" i="17"/>
  <c r="AC25" i="92" l="1"/>
  <c r="AC81" i="92" s="1"/>
  <c r="AD24" i="17"/>
  <c r="AE24" i="95"/>
  <c r="AD25" i="92" l="1"/>
  <c r="AD81" i="92" s="1"/>
  <c r="AF24" i="95"/>
  <c r="AF24" i="17" s="1"/>
  <c r="AE24" i="17"/>
  <c r="B25" i="17"/>
  <c r="B26" i="92" s="1"/>
  <c r="B82" i="92" s="1"/>
  <c r="C25" i="17"/>
  <c r="C26" i="92" s="1"/>
  <c r="C82" i="92" s="1"/>
  <c r="E25" i="17"/>
  <c r="D25" i="17"/>
  <c r="H25" i="17"/>
  <c r="G25" i="17"/>
  <c r="F25" i="17"/>
  <c r="H26" i="92" l="1"/>
  <c r="H82" i="92" s="1"/>
  <c r="E26" i="92"/>
  <c r="E82" i="92" s="1"/>
  <c r="AF25" i="92"/>
  <c r="AF81" i="92" s="1"/>
  <c r="F26" i="92"/>
  <c r="F82" i="92" s="1"/>
  <c r="G26" i="92"/>
  <c r="G82" i="92" s="1"/>
  <c r="D26" i="92"/>
  <c r="D82" i="92" s="1"/>
  <c r="AE25" i="92"/>
  <c r="AE81" i="92" s="1"/>
  <c r="I25" i="17"/>
  <c r="I26" i="92" l="1"/>
  <c r="I82" i="92" s="1"/>
  <c r="J25" i="17"/>
  <c r="J26" i="92" l="1"/>
  <c r="J82" i="92" s="1"/>
  <c r="K25" i="17"/>
  <c r="K26" i="92" l="1"/>
  <c r="K82" i="92" s="1"/>
  <c r="L25" i="17"/>
  <c r="L26" i="92" l="1"/>
  <c r="L82" i="92" s="1"/>
  <c r="M25" i="17"/>
  <c r="M26" i="92" l="1"/>
  <c r="M82" i="92" s="1"/>
  <c r="N25" i="17"/>
  <c r="N26" i="92" l="1"/>
  <c r="N82" i="92" s="1"/>
  <c r="O25" i="17"/>
  <c r="O26" i="92" l="1"/>
  <c r="O82" i="92" s="1"/>
  <c r="P25" i="17"/>
  <c r="P26" i="92" l="1"/>
  <c r="P82" i="92" s="1"/>
  <c r="Q25" i="17"/>
  <c r="Q26" i="92" l="1"/>
  <c r="Q82" i="92" s="1"/>
  <c r="R25" i="17"/>
  <c r="R26" i="92" l="1"/>
  <c r="R82" i="92" s="1"/>
  <c r="S25" i="17"/>
  <c r="S26" i="92" l="1"/>
  <c r="S82" i="92" s="1"/>
  <c r="T25" i="17"/>
  <c r="T26" i="92" l="1"/>
  <c r="T82" i="92" s="1"/>
  <c r="U25" i="17"/>
  <c r="U26" i="92" l="1"/>
  <c r="U82" i="92" s="1"/>
  <c r="V25" i="17"/>
  <c r="V26" i="92" l="1"/>
  <c r="V82" i="92" s="1"/>
  <c r="W25" i="17"/>
  <c r="W26" i="92" l="1"/>
  <c r="W82" i="92" s="1"/>
  <c r="X25" i="17"/>
  <c r="X26" i="92" l="1"/>
  <c r="X82" i="92" s="1"/>
  <c r="Y25" i="17"/>
  <c r="Y26" i="92" l="1"/>
  <c r="Y82" i="92" s="1"/>
  <c r="Z25" i="17"/>
  <c r="Z26" i="92" l="1"/>
  <c r="Z82" i="92" s="1"/>
  <c r="AA25" i="17"/>
  <c r="AA26" i="92" l="1"/>
  <c r="AA82" i="92" s="1"/>
  <c r="AB25" i="17"/>
  <c r="AB26" i="92" l="1"/>
  <c r="AB82" i="92" s="1"/>
  <c r="AC25" i="17"/>
  <c r="AC26" i="92" l="1"/>
  <c r="AC82" i="92" s="1"/>
  <c r="AD25" i="17"/>
  <c r="AD26" i="92" l="1"/>
  <c r="AD82" i="92" s="1"/>
  <c r="AF25" i="17"/>
  <c r="AE25" i="17"/>
  <c r="AE26" i="92" l="1"/>
  <c r="AE82" i="92" s="1"/>
  <c r="AF26" i="92"/>
  <c r="AF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[스레드 댓글]
사용 중인 버전의 Excel에서 이 스레드 댓글을 읽을 수 있지만 파일을 이후 버전의 Excel에서 열면 편집 내용이 모두 제거됩니다. 자세한 정보: https://go.microsoft.com/fwlink/?linkid=870924.
댓글:
    CHP가 더해져있어서 수정함</t>
      </text>
    </comment>
    <comment ref="B3" authorId="1" shapeId="0" xr:uid="{6CAEEA34-187B-47F2-BCD7-15DBA93CABAB}">
      <text>
        <t>[스레드 댓글]
사용 중인 버전의 Excel에서 이 스레드 댓글을 읽을 수 있지만 파일을 이후 버전의 Excel에서 열면 편집 내용이 모두 제거됩니다. 자세한 정보: https://go.microsoft.com/fwlink/?linkid=870924.
댓글:
    엉뚱한 값이 들어가 있음</t>
      </text>
    </comment>
    <comment ref="A15" authorId="2" shapeId="0" xr:uid="{549DADD6-9904-4CF3-AFD8-2AB06BA57D7A}">
      <text>
        <t>[스레드 댓글]
사용 중인 버전의 Excel에서 이 스레드 댓글을 읽을 수 있지만 파일을 이후 버전의 Excel에서 열면 편집 내용이 모두 제거됩니다. 자세한 정보: https://go.microsoft.com/fwlink/?linkid=870924.
댓글: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<sst xmlns="http://schemas.openxmlformats.org/spreadsheetml/2006/main" count="3025" uniqueCount="1206">
  <si>
    <t>BIFUbC BAU Industrial Fuel Use before CCS</t>
  </si>
  <si>
    <t>Sources:</t>
  </si>
  <si>
    <t>BAU Industrial Fuel Use</t>
    <phoneticPr fontId="35" type="noConversion"/>
  </si>
  <si>
    <t>Korea Energy Statistics Information System</t>
    <phoneticPr fontId="35" type="noConversion"/>
  </si>
  <si>
    <t>KEEI Long-tern energy forecast</t>
    <phoneticPr fontId="35" type="noConversion"/>
  </si>
  <si>
    <t>2019 Industrial Fuel Use</t>
    <phoneticPr fontId="35" type="noConversion"/>
  </si>
  <si>
    <t>Extended energy balance</t>
    <phoneticPr fontId="35" type="noConversion"/>
  </si>
  <si>
    <t>http://www.kesis.net/FileDownloadAction.do?file=/admin/admin_RegList.jsp/20210706/976071625505008233_01.xlsx&amp;oldFile=BAL_EXTEND_(1990~2019).xlsx</t>
    <phoneticPr fontId="35" type="noConversion"/>
  </si>
  <si>
    <t>https://www.kesis.net/FileDownloadAction.do?file=/admin/admin_RegList.jsp/20241231/290581735604309791_01.xlsx&amp;oldFile=BAL_EXTEND_(1990-2022).xlsx</t>
    <phoneticPr fontId="35" type="noConversion"/>
  </si>
  <si>
    <t>KOSIS</t>
    <phoneticPr fontId="35" type="noConversion"/>
  </si>
  <si>
    <t>KEA Energy consumption and greenhouse-gas emission inventories</t>
    <phoneticPr fontId="35" type="noConversion"/>
  </si>
  <si>
    <t>https://kosis.kr/statHtml/statHtml.do?orgId=337&amp;tblId=DT_337_2019_H1017&amp;vw_cd=MT_ZTITLE&amp;list_id=337_33703_002&amp;seqNo=&amp;lang_mode=ko&amp;language=kor&amp;obj_var_id=&amp;itm_id=&amp;conn_path=MT_ZTITLE</t>
    <phoneticPr fontId="35" type="noConversion"/>
  </si>
  <si>
    <t>Final energy consumption by industry</t>
    <phoneticPr fontId="35" type="noConversion"/>
  </si>
  <si>
    <t>https://kosis.kr/statHtml/statHtml.do?orgId=339&amp;tblId=DT_F_M180&amp;vw_cd=MT_ZTITLE&amp;list_id=339_33901_03&amp;seqNo=&amp;lang_mode=ko&amp;language=kor&amp;obj_var_id=&amp;itm_id=&amp;conn_path=MT_ZTITLE</t>
    <phoneticPr fontId="35"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</si>
  <si>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</si>
  <si>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</si>
  <si>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</si>
  <si>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</si>
  <si>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5" type="noConversion"/>
  </si>
  <si>
    <t>Industry Category Mapping (in English)</t>
    <phoneticPr fontId="35" type="noConversion"/>
  </si>
  <si>
    <t>EPS Industry Category</t>
  </si>
  <si>
    <t>Sub category</t>
    <phoneticPr fontId="35" type="noConversion"/>
  </si>
  <si>
    <t>KESIS Energy Balance (for historical values)</t>
    <phoneticPr fontId="35" type="noConversion"/>
  </si>
  <si>
    <t>KEA Energy Use Survey (for historical values)</t>
    <phoneticPr fontId="35" type="noConversion"/>
  </si>
  <si>
    <t>For further splits</t>
    <phoneticPr fontId="35" type="noConversion"/>
  </si>
  <si>
    <t>agriculture and forestry 01T03</t>
  </si>
  <si>
    <t xml:space="preserve">Industry&gt;other </t>
  </si>
  <si>
    <t>EndUse&gt;Industry&gt;agriculture and fishery</t>
    <phoneticPr fontId="35" type="noConversion"/>
  </si>
  <si>
    <t>coal mining 05</t>
  </si>
  <si>
    <t>Not included</t>
  </si>
  <si>
    <t>Energy Industry internal consumption&gt;coal mining</t>
    <phoneticPr fontId="35" type="noConversion"/>
  </si>
  <si>
    <t>due to the lack of forecast, we applied the KEEI's BAU coal supply growth rate to the demand in 2019</t>
    <phoneticPr fontId="35" type="noConversion"/>
  </si>
  <si>
    <t>oil and gas extraction 06</t>
  </si>
  <si>
    <t>Energy Industry internal consumption&gt;crude petroleum and natural gas production</t>
    <phoneticPr fontId="35" type="noConversion"/>
  </si>
  <si>
    <t>other mining and quarrying 07T08</t>
  </si>
  <si>
    <t>EndUse&gt;Industry&gt;mining(exc. Coal mining)</t>
    <phoneticPr fontId="35" type="noConversion"/>
  </si>
  <si>
    <t>food beverage and tobacco 10T12</t>
  </si>
  <si>
    <t>EndUse&gt;Industry&gt;food and tobacco</t>
    <phoneticPr fontId="35" type="noConversion"/>
  </si>
  <si>
    <t>textiles apparel and leather 13T15</t>
  </si>
  <si>
    <t>EndUse&gt;Industry&gt;fiber and leather</t>
  </si>
  <si>
    <t>wood products 16</t>
  </si>
  <si>
    <t>EndUse&gt;Industry&gt;wood and wood products</t>
    <phoneticPr fontId="35" type="noConversion"/>
  </si>
  <si>
    <t>pulp paper and printing 17T18</t>
  </si>
  <si>
    <t>EndUse&gt;Industry&gt;paper and printing</t>
    <phoneticPr fontId="35"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</si>
  <si>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</si>
  <si>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</si>
  <si>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5"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</si>
  <si>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</si>
  <si>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</si>
  <si>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</si>
  <si>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5" type="noConversion"/>
  </si>
  <si>
    <t>rubber and plastic products 22</t>
  </si>
  <si>
    <t>Synthetic rubber and plastic material manufacturing, rubber product manufacturing, plastic product manufacturing</t>
    <phoneticPr fontId="35" type="noConversion"/>
  </si>
  <si>
    <t>glass and glass products 231</t>
  </si>
  <si>
    <t>EndUse&gt;Industry&gt;non-metallic minerals</t>
  </si>
  <si>
    <t>Glass and glassware manufacturing</t>
    <phoneticPr fontId="35"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</si>
  <si>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</si>
  <si>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5" type="noConversion"/>
  </si>
  <si>
    <t>iron and steel 241</t>
  </si>
  <si>
    <t>Industry&gt;Steel</t>
  </si>
  <si>
    <t>EndUse&gt;Industry&gt;Steel</t>
  </si>
  <si>
    <t>other metals 242</t>
  </si>
  <si>
    <t>Industry&gt;non-ferrous metals</t>
  </si>
  <si>
    <t>EndUse&gt;Industry&gt;non-ferrous metals</t>
  </si>
  <si>
    <t>Primary non-ferrous metals manufacturing</t>
    <phoneticPr fontId="35" type="noConversion"/>
  </si>
  <si>
    <t>metal products except machinery and vehicles 25</t>
  </si>
  <si>
    <t>Metal Foundry, Structural Metal Products, Tank and Steam Generator Manufacturing, Weapons and Gun Ammunition Manufacturing, other Metalworking Products Manufacturing</t>
    <phoneticPr fontId="35" type="noConversion"/>
  </si>
  <si>
    <t>computers and electronics 26</t>
  </si>
  <si>
    <t>Industry&gt;fabricated metals</t>
  </si>
  <si>
    <t>EndUse&gt;Industry&gt;machinery</t>
    <phoneticPr fontId="35"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</si>
  <si>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5"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</si>
  <si>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</si>
  <si>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5"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</si>
  <si>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</si>
  <si>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5"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</si>
  <si>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</si>
  <si>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</si>
  <si>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5" type="noConversion"/>
  </si>
  <si>
    <t>nonroad vehicles 30</t>
  </si>
  <si>
    <t>Ship and boat construction business, railway equipment manufacturing business, aircraft, spaceship and parts manufacturing business, and other transportation equipment manufacturing business</t>
    <phoneticPr fontId="35" type="noConversion"/>
  </si>
  <si>
    <t>other manufacturing 31T33</t>
  </si>
  <si>
    <t>EndUse&gt;Industry&gt;other manufacturing</t>
    <phoneticPr fontId="35" type="noConversion"/>
  </si>
  <si>
    <t>energy pipelines and gas processing 352T353</t>
  </si>
  <si>
    <t>conversion process&gt;gas process
Energy Industry internal consumption&gt;gas process</t>
    <phoneticPr fontId="35" type="noConversion"/>
  </si>
  <si>
    <t>due to the lack of forecast, we applied the KEEI's BAU gas supply growth rate to the demand in 2019</t>
    <phoneticPr fontId="35" type="noConversion"/>
  </si>
  <si>
    <t>water and waste 36T39</t>
  </si>
  <si>
    <t>Service&gt;Public</t>
  </si>
  <si>
    <t>EndUse&gt;Public</t>
  </si>
  <si>
    <t>due to the lack of forecast, we applied the population growth rate to the demand in 2018</t>
    <phoneticPr fontId="35" type="noConversion"/>
  </si>
  <si>
    <t>construction 41T43</t>
  </si>
  <si>
    <t>EndUse&gt;Industry&gt;construction</t>
    <phoneticPr fontId="35" type="noConversion"/>
  </si>
  <si>
    <t>Fuel Mapping</t>
    <phoneticPr fontId="35" type="noConversion"/>
  </si>
  <si>
    <t>EPS fuel category</t>
    <phoneticPr fontId="35" type="noConversion"/>
  </si>
  <si>
    <t>KEEI Long-term Energy Outlook (for BAU)</t>
    <phoneticPr fontId="35" type="noConversion"/>
  </si>
  <si>
    <t>Note</t>
    <phoneticPr fontId="35" type="noConversion"/>
  </si>
  <si>
    <t>electricity</t>
    <phoneticPr fontId="35" type="noConversion"/>
  </si>
  <si>
    <t>coal</t>
    <phoneticPr fontId="35" type="noConversion"/>
  </si>
  <si>
    <t>natural gas</t>
    <phoneticPr fontId="35" type="noConversion"/>
  </si>
  <si>
    <t>biomass</t>
    <phoneticPr fontId="35" type="noConversion"/>
  </si>
  <si>
    <t>renewables</t>
    <phoneticPr fontId="35" type="noConversion"/>
  </si>
  <si>
    <t>include waste</t>
    <phoneticPr fontId="35" type="noConversion"/>
  </si>
  <si>
    <t>heat</t>
    <phoneticPr fontId="35" type="noConversion"/>
  </si>
  <si>
    <t>due to the lack of forecast, we applied the energy demand growth rate between 2020 and 2050 to the demand in 2019</t>
    <phoneticPr fontId="35" type="noConversion"/>
  </si>
  <si>
    <t>crude oil</t>
    <phoneticPr fontId="35" type="noConversion"/>
  </si>
  <si>
    <t>oil</t>
    <phoneticPr fontId="35" type="noConversion"/>
  </si>
  <si>
    <t>petroleum refining only</t>
    <phoneticPr fontId="35" type="noConversion"/>
  </si>
  <si>
    <t>petroleum-diesel</t>
    <phoneticPr fontId="35" type="noConversion"/>
  </si>
  <si>
    <t>We estimated using the energy consumption share by industry based on 2019 KESIS Energy Balance</t>
    <phoneticPr fontId="35" type="noConversion"/>
  </si>
  <si>
    <t>heavy-or-residual oil</t>
    <phoneticPr fontId="35" type="noConversion"/>
  </si>
  <si>
    <t>LPG-propane-butane</t>
    <phoneticPr fontId="35" type="noConversion"/>
  </si>
  <si>
    <t>hydrogen</t>
    <phoneticPr fontId="35" type="noConversion"/>
  </si>
  <si>
    <t xml:space="preserve">Conversion rate (1 MTOE =): </t>
    <phoneticPr fontId="35" type="noConversion"/>
  </si>
  <si>
    <t>BTU</t>
    <phoneticPr fontId="35" type="noConversion"/>
  </si>
  <si>
    <t>Industry Category Mapping (in Korean)</t>
    <phoneticPr fontId="35" type="noConversion"/>
  </si>
  <si>
    <t>산업&gt;기타</t>
    <phoneticPr fontId="35" type="noConversion"/>
  </si>
  <si>
    <t>최종소비&gt;산업&gt;농림업, 어업</t>
    <phoneticPr fontId="35" type="noConversion"/>
  </si>
  <si>
    <t>포함안됨</t>
    <phoneticPr fontId="35" type="noConversion"/>
  </si>
  <si>
    <t>에너지산업 자체소비&gt;석탄광업</t>
    <phoneticPr fontId="35" type="noConversion"/>
  </si>
  <si>
    <t>전망치 부재로 2019년 소비량에 KEEI 석탄 공급 BAU 성장률만큼 적용</t>
    <phoneticPr fontId="35" type="noConversion"/>
  </si>
  <si>
    <t>에너지산업 자체소비&gt;원유및천연가스채굴</t>
    <phoneticPr fontId="35" type="noConversion"/>
  </si>
  <si>
    <t>최종소비&gt;산업&gt;광업(석탄광업제외)</t>
    <phoneticPr fontId="35" type="noConversion"/>
  </si>
  <si>
    <t>최종소비&gt;산업&gt;식품및담배</t>
    <phoneticPr fontId="35" type="noConversion"/>
  </si>
  <si>
    <t>최종소비&gt;산업&gt;섬유및가죽</t>
    <phoneticPr fontId="35" type="noConversion"/>
  </si>
  <si>
    <t>최종소비&gt;산업&gt;목재및나무제품</t>
    <phoneticPr fontId="35" type="noConversion"/>
  </si>
  <si>
    <t>최종소비&gt;산업&gt;제지및인쇄</t>
    <phoneticPr fontId="35" type="noConversion"/>
  </si>
  <si>
    <t>전환공정&gt;석유정제
에너지산업 자체소비&gt;석유정제</t>
    <phoneticPr fontId="35" type="noConversion"/>
  </si>
  <si>
    <t>전망치 부재로 2019년 소비량에 KEEI 석유 공급 BAU 성장률만큼 적용</t>
    <phoneticPr fontId="35" type="noConversion"/>
  </si>
  <si>
    <t>산업&gt;석유화학</t>
    <phoneticPr fontId="35" type="noConversion"/>
  </si>
  <si>
    <t>최종소비&gt;산업&gt;화학및석유화학</t>
    <phoneticPr fontId="35" type="noConversion"/>
  </si>
  <si>
    <t>기초화학물질제조업, 비료,농약및살균,살충제제조업, 기타화학제품제조업,화학섬유제조업,기초의약물질및생물학적제제제조업,의약품제조업,의료용품및기타의약관련제품제조업</t>
    <phoneticPr fontId="35" type="noConversion"/>
  </si>
  <si>
    <t>합성고무및플라스틱물질제조업,고무제품제조업,플라스틱제품제조업</t>
    <phoneticPr fontId="35" type="noConversion"/>
  </si>
  <si>
    <t>최종소비&gt;산업&gt;비금속광물</t>
    <phoneticPr fontId="35" type="noConversion"/>
  </si>
  <si>
    <t>유리및유리제품제조업</t>
    <phoneticPr fontId="35" type="noConversion"/>
  </si>
  <si>
    <t>내화,비내화요업제품제조업,시멘트,석회,플라스터및그제품제조업,시멘트제조업,기타비금속광물제품제조업</t>
    <phoneticPr fontId="35" type="noConversion"/>
  </si>
  <si>
    <t>산업&gt;철강</t>
    <phoneticPr fontId="35" type="noConversion"/>
  </si>
  <si>
    <t>최종소비&gt;산업&gt;철강</t>
    <phoneticPr fontId="35" type="noConversion"/>
  </si>
  <si>
    <t>산업&gt;비철금속</t>
    <phoneticPr fontId="35" type="noConversion"/>
  </si>
  <si>
    <t>최종소비&gt;산업&gt;비철금속</t>
    <phoneticPr fontId="35" type="noConversion"/>
  </si>
  <si>
    <t>1차비철금속제조업</t>
    <phoneticPr fontId="35" type="noConversion"/>
  </si>
  <si>
    <t>금속주조업,구조용금속제품,탱크및증기발생기제조업,무기및총포탄제조업,기타금속가공제품제조업</t>
    <phoneticPr fontId="35" type="noConversion"/>
  </si>
  <si>
    <t>산업&gt;조립금속</t>
    <phoneticPr fontId="35" type="noConversion"/>
  </si>
  <si>
    <t>최종소비&gt;산업&gt;기계류</t>
    <phoneticPr fontId="35" type="noConversion"/>
  </si>
  <si>
    <t>반도체제조업,전자부품제조업,컴퓨터및주변장치제조업,통신및방송장비제조업,영상및음향기기제조업</t>
    <phoneticPr fontId="35" type="noConversion"/>
  </si>
  <si>
    <t>전동기,발전기및전기변환공급제어장치제조업,일차전지및축전지제조업,절연선및케이블제조업,전구및조명장치제조업,가정용기기제조업,기타전기장비제조업</t>
    <phoneticPr fontId="35"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</si>
  <si>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5" type="noConversion"/>
  </si>
  <si>
    <t>최종소비&gt;산업&gt;수송장비</t>
    <phoneticPr fontId="35" type="noConversion"/>
  </si>
  <si>
    <t>자동차용엔진및자동차제조업,자동차차체및트레일러제조업,자동차신품부품제조업,자동차재제조부품제조업</t>
    <phoneticPr fontId="35" type="noConversion"/>
  </si>
  <si>
    <t>선박및보트건조업,철도장비제조업,항공기,우주선및부품제조업,그외기타운송장비제조업</t>
    <phoneticPr fontId="35" type="noConversion"/>
  </si>
  <si>
    <t>최종소비&gt;산업&gt;기타제조</t>
    <phoneticPr fontId="35" type="noConversion"/>
  </si>
  <si>
    <t>전환공정&gt;가스제조
에너지산업 자체소비&gt;가스제조</t>
    <phoneticPr fontId="35" type="noConversion"/>
  </si>
  <si>
    <t>전망치 부재로 2019년 소비량에 KEEI 가스 공급 BAU 성장률만큼 적용</t>
    <phoneticPr fontId="35" type="noConversion"/>
  </si>
  <si>
    <t>서비스&gt;공공</t>
    <phoneticPr fontId="35" type="noConversion"/>
  </si>
  <si>
    <t>최종소비&gt;공공</t>
    <phoneticPr fontId="35" type="noConversion"/>
  </si>
  <si>
    <t>전망치 부재로 2018년 소비량에 인구성장률만큼 적용</t>
    <phoneticPr fontId="35" type="noConversion"/>
  </si>
  <si>
    <t>최종소비&gt;산업&gt;건설업</t>
    <phoneticPr fontId="35"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</si>
  <si>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</si>
  <si>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</si>
  <si>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</si>
  <si>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</si>
  <si>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</si>
  <si>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</si>
  <si>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</si>
  <si>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</si>
  <si>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</si>
  <si>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</si>
  <si>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</si>
  <si>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</si>
  <si>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</si>
  <si>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</si>
  <si>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</si>
  <si>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</si>
  <si>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</si>
  <si>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</si>
  <si>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</si>
  <si>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</si>
  <si>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</si>
  <si>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</si>
  <si>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</si>
  <si>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산업 부문 주요 지표 및 에너지 수요 (2) - 기준 시나리오(REF)</t>
    <phoneticPr fontId="35" type="noConversion"/>
  </si>
  <si>
    <t>값복사되어 지수표시를 숫자표시로 변환 불가.</t>
    <phoneticPr fontId="35" type="noConversion"/>
  </si>
  <si>
    <t>unit: M TOE</t>
    <phoneticPr fontId="35" type="noConversion"/>
  </si>
  <si>
    <t>unit: BTU</t>
    <phoneticPr fontId="35" type="noConversion"/>
  </si>
  <si>
    <t>CAGR(2020-2050)</t>
    <phoneticPr fontId="35" type="noConversion"/>
  </si>
  <si>
    <t>Coal</t>
    <phoneticPr fontId="35" type="noConversion"/>
  </si>
  <si>
    <t>Petroleum</t>
    <phoneticPr fontId="35" type="noConversion"/>
  </si>
  <si>
    <t>Gas</t>
    <phoneticPr fontId="35" type="noConversion"/>
  </si>
  <si>
    <t>Electricity</t>
    <phoneticPr fontId="35" type="noConversion"/>
  </si>
  <si>
    <t>Renewables</t>
    <phoneticPr fontId="35" type="noConversion"/>
  </si>
  <si>
    <t>Non-ferrous Metals</t>
    <phoneticPr fontId="35" type="noConversion"/>
  </si>
  <si>
    <t>Steel</t>
    <phoneticPr fontId="35" type="noConversion"/>
  </si>
  <si>
    <t>기계류</t>
  </si>
  <si>
    <t>수송장비</t>
  </si>
  <si>
    <t>기타</t>
    <phoneticPr fontId="35" type="noConversion"/>
  </si>
  <si>
    <t>석유화학</t>
  </si>
  <si>
    <t>철강</t>
  </si>
  <si>
    <t>old</t>
    <phoneticPr fontId="35" type="noConversion"/>
  </si>
  <si>
    <t>합계</t>
  </si>
  <si>
    <t>천연가스</t>
  </si>
  <si>
    <t>전력</t>
  </si>
  <si>
    <t>MTOE</t>
    <phoneticPr fontId="35" type="noConversion"/>
  </si>
  <si>
    <t>=</t>
    <phoneticPr fontId="35" type="noConversion"/>
  </si>
  <si>
    <t>총공급</t>
  </si>
  <si>
    <t>전환 부문*</t>
  </si>
  <si>
    <t>최종소비 부문</t>
  </si>
  <si>
    <t>제품별 소비</t>
  </si>
  <si>
    <t>YoY Growth Rate(%)</t>
    <phoneticPr fontId="35"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</si>
  <si>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</si>
  <si>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</si>
  <si>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</si>
  <si>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</si>
  <si>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</si>
  <si>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</si>
  <si>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5" type="noConversion"/>
  </si>
  <si>
    <t>추정값 구하기 위한 참고셀(new)</t>
    <phoneticPr fontId="35" type="noConversion"/>
  </si>
  <si>
    <t>수소제조</t>
  </si>
  <si>
    <t>에너지산업</t>
  </si>
  <si>
    <t>* 자가소비 및 손실 포함
주) 천연가스 손실과 도시가스 손실 차로 인해 합계가 불일치할 수 있음</t>
  </si>
  <si>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</si>
  <si>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</si>
  <si>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</si>
  <si>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</si>
  <si>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</si>
  <si>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</si>
  <si>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</si>
  <si>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</si>
  <si>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</si>
  <si>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</si>
  <si>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</si>
  <si>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</si>
  <si>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</si>
  <si>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5" type="noConversion"/>
  </si>
  <si>
    <t>new</t>
    <phoneticPr fontId="35" type="noConversion"/>
  </si>
  <si>
    <t>발전/열생산용</t>
  </si>
  <si>
    <t>COAL</t>
    <phoneticPr fontId="35" type="noConversion"/>
  </si>
  <si>
    <t>NATURAL GAS</t>
    <phoneticPr fontId="35" type="noConversion"/>
  </si>
  <si>
    <t>Crude Oil</t>
    <phoneticPr fontId="35" type="noConversion"/>
  </si>
  <si>
    <t>N/A</t>
    <phoneticPr fontId="35" type="noConversion"/>
  </si>
  <si>
    <t>LPG Propane or butane</t>
    <phoneticPr fontId="35" type="noConversion"/>
  </si>
  <si>
    <t>Petroleum-diesel</t>
    <phoneticPr fontId="35" type="noConversion"/>
  </si>
  <si>
    <t>Heavy or Residual Oil</t>
    <phoneticPr fontId="35" type="noConversion"/>
  </si>
  <si>
    <t>Feedstock</t>
    <phoneticPr fontId="35" type="noConversion"/>
  </si>
  <si>
    <t>BIOMASS</t>
    <phoneticPr fontId="35" type="noConversion"/>
  </si>
  <si>
    <t>Renewables - on-site generation</t>
    <phoneticPr fontId="35" type="noConversion"/>
  </si>
  <si>
    <t>Heat</t>
    <phoneticPr fontId="35"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</si>
  <si>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</si>
  <si>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</si>
  <si>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</si>
  <si>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</si>
  <si>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</si>
  <si>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</si>
  <si>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</si>
  <si>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</si>
  <si>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</si>
  <si>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</si>
  <si>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</si>
  <si>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</si>
  <si>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</si>
  <si>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</si>
  <si>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</si>
  <si>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</si>
  <si>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</si>
  <si>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</si>
  <si>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</si>
  <si>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</si>
  <si>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</si>
  <si>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</si>
  <si>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</si>
  <si>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</si>
  <si>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</si>
  <si>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</si>
  <si>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</si>
  <si>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</si>
  <si>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</si>
  <si>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</si>
  <si>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</si>
  <si>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</si>
  <si>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</si>
  <si>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</si>
  <si>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</si>
  <si>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</si>
  <si>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</si>
  <si>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</si>
  <si>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</si>
  <si>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</si>
  <si>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</si>
  <si>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</si>
  <si>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</si>
  <si>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</si>
  <si>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</si>
  <si>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</si>
  <si>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</si>
  <si>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</si>
  <si>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</si>
  <si>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</si>
  <si>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</si>
  <si>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</si>
  <si>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</si>
  <si>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</si>
  <si>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</si>
  <si>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</si>
  <si>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</si>
  <si>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</si>
  <si>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</si>
  <si>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</si>
  <si>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</si>
  <si>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</si>
  <si>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</si>
  <si>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</si>
  <si>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</si>
  <si>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</si>
  <si>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</si>
  <si>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</si>
  <si>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</si>
  <si>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</si>
  <si>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</si>
  <si>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</si>
  <si>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</si>
  <si>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</si>
  <si>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</si>
  <si>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</si>
  <si>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</si>
  <si>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</si>
  <si>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</si>
  <si>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</si>
  <si>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</si>
  <si>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</si>
  <si>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</si>
  <si>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</si>
  <si>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</si>
  <si>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</si>
  <si>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</si>
  <si>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</si>
  <si>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</si>
  <si>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</si>
  <si>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</si>
  <si>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</si>
  <si>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</si>
  <si>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</si>
  <si>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</si>
  <si>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</si>
  <si>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</si>
  <si>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</si>
  <si>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</si>
  <si>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</si>
  <si>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</si>
  <si>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</si>
  <si>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</si>
  <si>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</si>
  <si>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</si>
  <si>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</si>
  <si>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</si>
  <si>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</si>
  <si>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</si>
  <si>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</si>
  <si>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</si>
  <si>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</si>
  <si>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</si>
  <si>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</si>
  <si>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</si>
  <si>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</si>
  <si>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</si>
  <si>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</si>
  <si>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</si>
  <si>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</si>
  <si>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</si>
  <si>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</si>
  <si>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</si>
  <si>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</si>
  <si>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</si>
  <si>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</si>
  <si>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</si>
  <si>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</si>
  <si>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</si>
  <si>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</si>
  <si>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</si>
  <si>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</si>
  <si>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</si>
  <si>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</si>
  <si>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</si>
  <si>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</si>
  <si>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</si>
  <si>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</si>
  <si>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</si>
  <si>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</si>
  <si>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</si>
  <si>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</si>
  <si>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</si>
  <si>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</si>
  <si>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</si>
  <si>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</si>
  <si>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</si>
  <si>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</si>
  <si>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</si>
  <si>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</si>
  <si>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</si>
  <si>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</si>
  <si>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</si>
  <si>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</si>
  <si>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</si>
  <si>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</si>
  <si>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</si>
  <si>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</si>
  <si>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</si>
  <si>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</si>
  <si>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</si>
  <si>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</si>
  <si>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</si>
  <si>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</si>
  <si>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</si>
  <si>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</si>
  <si>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</si>
  <si>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</si>
  <si>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</si>
  <si>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</si>
  <si>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</si>
  <si>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</si>
  <si>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</si>
  <si>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</si>
  <si>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</si>
  <si>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</si>
  <si>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</si>
  <si>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5"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</si>
  <si>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</si>
  <si>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</si>
  <si>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</si>
  <si>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</si>
  <si>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</si>
  <si>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</si>
  <si>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</si>
  <si>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</si>
  <si>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</si>
  <si>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</si>
  <si>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</si>
  <si>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</si>
  <si>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</si>
  <si>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</si>
  <si>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</si>
  <si>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</si>
  <si>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</si>
  <si>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</si>
  <si>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</si>
  <si>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</si>
  <si>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</si>
  <si>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</si>
  <si>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</si>
  <si>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</si>
  <si>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</si>
  <si>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</si>
  <si>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</si>
  <si>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</si>
  <si>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</si>
  <si>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</si>
  <si>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</si>
  <si>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</si>
  <si>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</si>
  <si>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</si>
  <si>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</si>
  <si>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</si>
  <si>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</si>
  <si>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</si>
  <si>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</si>
  <si>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</si>
  <si>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</si>
  <si>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</si>
  <si>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</si>
  <si>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</si>
  <si>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</si>
  <si>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</si>
  <si>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</si>
  <si>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</si>
  <si>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</si>
  <si>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</si>
  <si>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</si>
  <si>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</si>
  <si>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</si>
  <si>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</si>
  <si>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</si>
  <si>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</si>
  <si>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</si>
  <si>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</si>
  <si>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</si>
  <si>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</si>
  <si>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</si>
  <si>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</si>
  <si>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</si>
  <si>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</si>
  <si>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</si>
  <si>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</si>
  <si>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</si>
  <si>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</si>
  <si>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</si>
  <si>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</si>
  <si>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</si>
  <si>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</si>
  <si>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</si>
  <si>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</si>
  <si>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</si>
  <si>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</si>
  <si>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</si>
  <si>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</si>
  <si>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</si>
  <si>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</si>
  <si>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</si>
  <si>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</si>
  <si>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</si>
  <si>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</si>
  <si>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</si>
  <si>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</si>
  <si>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</si>
  <si>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</si>
  <si>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</si>
  <si>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</si>
  <si>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</si>
  <si>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</si>
  <si>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</si>
  <si>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</si>
  <si>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</si>
  <si>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</si>
  <si>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</si>
  <si>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</si>
  <si>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</si>
  <si>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</si>
  <si>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</si>
  <si>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</si>
  <si>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</si>
  <si>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</si>
  <si>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</si>
  <si>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</si>
  <si>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</si>
  <si>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</si>
  <si>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</si>
  <si>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</si>
  <si>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</si>
  <si>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</si>
  <si>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</si>
  <si>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</si>
  <si>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</si>
  <si>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</si>
  <si>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</si>
  <si>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</si>
  <si>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</si>
  <si>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</si>
  <si>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</si>
  <si>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</si>
  <si>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</si>
  <si>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</si>
  <si>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</si>
  <si>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</si>
  <si>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</si>
  <si>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</si>
  <si>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</si>
  <si>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</si>
  <si>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</si>
  <si>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</si>
  <si>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</si>
  <si>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</si>
  <si>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</si>
  <si>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</si>
  <si>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</si>
  <si>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</si>
  <si>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</si>
  <si>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</si>
  <si>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</si>
  <si>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</si>
  <si>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</si>
  <si>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</si>
  <si>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</si>
  <si>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</si>
  <si>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</si>
  <si>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</si>
  <si>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</si>
  <si>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</si>
  <si>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</si>
  <si>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</si>
  <si>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</si>
  <si>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</si>
  <si>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</si>
  <si>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</si>
  <si>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</si>
  <si>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</si>
  <si>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</si>
  <si>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</si>
  <si>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</si>
  <si>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</si>
  <si>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</si>
  <si>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</si>
  <si>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</si>
  <si>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</si>
  <si>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</si>
  <si>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</si>
  <si>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</si>
  <si>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</si>
  <si>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</si>
  <si>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</si>
  <si>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</si>
  <si>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</si>
  <si>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</si>
  <si>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</si>
  <si>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</si>
  <si>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</si>
  <si>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</si>
  <si>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</si>
  <si>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</si>
  <si>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</si>
  <si>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</si>
  <si>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</si>
  <si>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</si>
  <si>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</si>
  <si>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</si>
  <si>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</si>
  <si>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</si>
  <si>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</si>
  <si>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</si>
  <si>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</si>
  <si>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</si>
  <si>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</si>
  <si>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</si>
  <si>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</si>
  <si>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</si>
  <si>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</si>
  <si>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</si>
  <si>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</si>
  <si>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</si>
  <si>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</si>
  <si>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</si>
  <si>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</si>
  <si>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</si>
  <si>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</si>
  <si>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</si>
  <si>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</si>
  <si>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</si>
  <si>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</si>
  <si>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</si>
  <si>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</si>
  <si>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</si>
  <si>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</si>
  <si>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</si>
  <si>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</si>
  <si>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</si>
  <si>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</si>
  <si>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</si>
  <si>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</si>
  <si>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</si>
  <si>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</si>
  <si>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</si>
  <si>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</si>
  <si>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</si>
  <si>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</si>
  <si>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</si>
  <si>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</si>
  <si>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</si>
  <si>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</si>
  <si>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</si>
  <si>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</si>
  <si>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</si>
  <si>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</si>
  <si>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</si>
  <si>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</si>
  <si>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</si>
  <si>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</si>
  <si>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</si>
  <si>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</si>
  <si>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</si>
  <si>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</si>
  <si>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</si>
  <si>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</si>
  <si>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</si>
  <si>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</si>
  <si>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</si>
  <si>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</si>
  <si>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</si>
  <si>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</si>
  <si>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</si>
  <si>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</si>
  <si>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</si>
  <si>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</si>
  <si>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</si>
  <si>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</si>
  <si>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</si>
  <si>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</si>
  <si>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</si>
  <si>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</si>
  <si>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</si>
  <si>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</si>
  <si>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</si>
  <si>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</si>
  <si>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</si>
  <si>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</si>
  <si>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</si>
  <si>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</si>
  <si>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</si>
  <si>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</si>
  <si>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</si>
  <si>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</si>
  <si>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</si>
  <si>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</si>
  <si>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</si>
  <si>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</si>
  <si>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</si>
  <si>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</si>
  <si>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</si>
  <si>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</si>
  <si>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</si>
  <si>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</si>
  <si>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</si>
  <si>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</si>
  <si>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</si>
  <si>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</si>
  <si>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</si>
  <si>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</si>
  <si>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</si>
  <si>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</si>
  <si>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</si>
  <si>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</si>
  <si>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</si>
  <si>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</si>
  <si>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</si>
  <si>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</si>
  <si>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</si>
  <si>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</si>
  <si>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</si>
  <si>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</si>
  <si>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</si>
  <si>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</si>
  <si>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</si>
  <si>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</si>
  <si>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</si>
  <si>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</si>
  <si>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</si>
  <si>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</si>
  <si>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</si>
  <si>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</si>
  <si>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</si>
  <si>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</si>
  <si>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</si>
  <si>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</si>
  <si>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</si>
  <si>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</si>
  <si>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</si>
  <si>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</si>
  <si>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</si>
  <si>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</si>
  <si>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</si>
  <si>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</si>
  <si>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</si>
  <si>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</si>
  <si>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</si>
  <si>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</si>
  <si>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</si>
  <si>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</si>
  <si>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</si>
  <si>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</si>
  <si>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</si>
  <si>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</si>
  <si>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</si>
  <si>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</si>
  <si>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</si>
  <si>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</si>
  <si>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</si>
  <si>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</si>
  <si>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</si>
  <si>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</si>
  <si>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</si>
  <si>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</si>
  <si>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</si>
  <si>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</si>
  <si>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</si>
  <si>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</si>
  <si>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</si>
  <si>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</si>
  <si>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</si>
  <si>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</si>
  <si>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</si>
  <si>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</si>
  <si>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</si>
  <si>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</si>
  <si>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</si>
  <si>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</si>
  <si>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</si>
  <si>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</si>
  <si>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</si>
  <si>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</si>
  <si>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</si>
  <si>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</si>
  <si>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</si>
  <si>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</si>
  <si>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</si>
  <si>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</si>
  <si>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</si>
  <si>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</si>
  <si>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</si>
  <si>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</si>
  <si>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</si>
  <si>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</si>
  <si>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</si>
  <si>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</si>
  <si>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</si>
  <si>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</si>
  <si>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</si>
  <si>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</si>
  <si>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</si>
  <si>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</si>
  <si>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</si>
  <si>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</si>
  <si>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</si>
  <si>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</si>
  <si>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</si>
  <si>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</si>
  <si>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</si>
  <si>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</si>
  <si>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</si>
  <si>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</si>
  <si>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</si>
  <si>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</si>
  <si>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</si>
  <si>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</si>
  <si>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</si>
  <si>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</si>
  <si>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</si>
  <si>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</si>
  <si>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</si>
  <si>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</si>
  <si>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</si>
  <si>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</si>
  <si>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</si>
  <si>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</si>
  <si>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</si>
  <si>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</si>
  <si>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</si>
  <si>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</si>
  <si>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</si>
  <si>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</si>
  <si>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</si>
  <si>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</si>
  <si>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5"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</si>
  <si>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</si>
  <si>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</si>
  <si>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</si>
  <si>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</si>
  <si>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</si>
  <si>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</si>
  <si>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</si>
  <si>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</si>
  <si>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</si>
  <si>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</si>
  <si>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</si>
  <si>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</si>
  <si>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</si>
  <si>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</si>
  <si>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</si>
  <si>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</si>
  <si>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</si>
  <si>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</si>
  <si>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</si>
  <si>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</si>
  <si>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</si>
  <si>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</si>
  <si>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</si>
  <si>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</si>
  <si>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</si>
  <si>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</si>
  <si>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</si>
  <si>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</si>
  <si>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</si>
  <si>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</si>
  <si>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</si>
  <si>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</si>
  <si>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</si>
  <si>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</si>
  <si>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</si>
  <si>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</si>
  <si>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</si>
  <si>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</si>
  <si>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</si>
  <si>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5" type="noConversion"/>
  </si>
  <si>
    <t>Petroleum split (based on 2019 Energy Balance)</t>
    <phoneticPr fontId="35" type="noConversion"/>
  </si>
  <si>
    <t>unit: 1,000 TOE</t>
    <phoneticPr fontId="35" type="noConversion"/>
  </si>
  <si>
    <t>unit: %</t>
    <phoneticPr fontId="35" type="noConversion"/>
  </si>
  <si>
    <t>heavy or residual oil</t>
  </si>
  <si>
    <t>LPG propane or butane</t>
  </si>
  <si>
    <t>Petroleum split (based on 2022 Energy Balance)</t>
    <phoneticPr fontId="35" type="noConversion"/>
  </si>
  <si>
    <t>철강 외에는 에너지밸런스 기준 split을 수식에 사용x</t>
    <phoneticPr fontId="35" type="noConversion"/>
  </si>
  <si>
    <r>
      <t>2019</t>
    </r>
    <r>
      <rPr>
        <sz val="11"/>
        <color theme="1"/>
        <rFont val="맑은 고딕"/>
        <family val="2"/>
        <charset val="129"/>
      </rPr>
      <t>년은 개정전 에너지밸런스, 2022년은 개정에너지밸런스로 통계 집계 방식에 일부 차이 존재</t>
    </r>
    <phoneticPr fontId="35" type="noConversion"/>
  </si>
  <si>
    <t>Petrochemicals Split</t>
    <phoneticPr fontId="35" type="noConversion"/>
  </si>
  <si>
    <t>Industry split by fuel (based on 2019 KEA Energy Use Survey)</t>
    <phoneticPr fontId="35" type="noConversion"/>
  </si>
  <si>
    <t>KESIS</t>
    <phoneticPr fontId="35" type="noConversion"/>
  </si>
  <si>
    <t>KEA</t>
    <phoneticPr fontId="35" type="noConversion"/>
  </si>
  <si>
    <t>electricity</t>
  </si>
  <si>
    <t>coal</t>
  </si>
  <si>
    <t>natural gas</t>
  </si>
  <si>
    <t>biomass</t>
  </si>
  <si>
    <t>petroleum-diesel</t>
  </si>
  <si>
    <t>heat</t>
  </si>
  <si>
    <t>crude oil</t>
  </si>
  <si>
    <t>hydrogen</t>
  </si>
  <si>
    <t>N/A</t>
  </si>
  <si>
    <t>Petrochemicals Total</t>
    <phoneticPr fontId="35" type="noConversion"/>
  </si>
  <si>
    <t>2019 KEA Energy Use Survey</t>
    <phoneticPr fontId="35"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</si>
  <si>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</si>
  <si>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</si>
  <si>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</si>
  <si>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</si>
  <si>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</si>
  <si>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</si>
  <si>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</si>
  <si>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</si>
  <si>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</si>
  <si>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</si>
  <si>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</si>
  <si>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</si>
  <si>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</si>
  <si>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</si>
  <si>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</si>
  <si>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</si>
  <si>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</si>
  <si>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</si>
  <si>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</si>
  <si>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</si>
  <si>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</si>
  <si>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</si>
  <si>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</si>
  <si>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</si>
  <si>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</si>
  <si>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</si>
  <si>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</si>
  <si>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</si>
  <si>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</si>
  <si>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</si>
  <si>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</si>
  <si>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5" type="noConversion"/>
  </si>
  <si>
    <t>Non-ferrous Metals Total</t>
    <phoneticPr fontId="35"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</si>
  <si>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</si>
  <si>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</si>
  <si>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</si>
  <si>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</si>
  <si>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</si>
  <si>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</si>
  <si>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</si>
  <si>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</si>
  <si>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</si>
  <si>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</si>
  <si>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</si>
  <si>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5" type="noConversion"/>
  </si>
  <si>
    <t>Industry Others Total</t>
    <phoneticPr fontId="35"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</si>
  <si>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</si>
  <si>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</si>
  <si>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5" type="noConversion"/>
  </si>
  <si>
    <t>Machinery Split</t>
    <phoneticPr fontId="35" type="noConversion"/>
  </si>
  <si>
    <t>Machinery Total</t>
    <phoneticPr fontId="35"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</si>
  <si>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</si>
  <si>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</si>
  <si>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</si>
  <si>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</si>
  <si>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</si>
  <si>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</si>
  <si>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</si>
  <si>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</si>
  <si>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</si>
  <si>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</si>
  <si>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</si>
  <si>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</si>
  <si>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</si>
  <si>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</si>
  <si>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</si>
  <si>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</si>
  <si>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</si>
  <si>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</si>
  <si>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</si>
  <si>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</si>
  <si>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</si>
  <si>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</si>
  <si>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</si>
  <si>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</si>
  <si>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</si>
  <si>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</si>
  <si>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</si>
  <si>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5" type="noConversion"/>
  </si>
  <si>
    <t>처리량(천톤)</t>
    <phoneticPr fontId="35" type="noConversion"/>
  </si>
  <si>
    <t>처리량(%)</t>
    <phoneticPr fontId="35" type="noConversion"/>
  </si>
  <si>
    <t>에너지사용량(TOE)</t>
    <phoneticPr fontId="35" type="noConversion"/>
  </si>
  <si>
    <t>전력</t>
    <phoneticPr fontId="35" type="noConversion"/>
  </si>
  <si>
    <t>경유</t>
    <phoneticPr fontId="35" type="noConversion"/>
  </si>
  <si>
    <t>LNG</t>
    <phoneticPr fontId="35" type="noConversion"/>
  </si>
  <si>
    <t>소각시설</t>
    <phoneticPr fontId="35" type="noConversion"/>
  </si>
  <si>
    <t>추정</t>
    <phoneticPr fontId="35" type="noConversion"/>
  </si>
  <si>
    <t xml:space="preserve"> 48톤/일 이상</t>
    <phoneticPr fontId="35" type="noConversion"/>
  </si>
  <si>
    <t xml:space="preserve"> 48톤/일 미만</t>
    <phoneticPr fontId="35" type="noConversion"/>
  </si>
  <si>
    <t xml:space="preserve"> 회분식</t>
    <phoneticPr fontId="35" type="noConversion"/>
  </si>
  <si>
    <t>매립시설</t>
    <phoneticPr fontId="35" type="noConversion"/>
  </si>
  <si>
    <t xml:space="preserve"> 20만m2 이상</t>
    <phoneticPr fontId="35" type="noConversion"/>
  </si>
  <si>
    <t xml:space="preserve"> 20만m2 미만</t>
    <phoneticPr fontId="35" type="noConversion"/>
  </si>
  <si>
    <t>생활자원회수센터</t>
    <phoneticPr fontId="35" type="noConversion"/>
  </si>
  <si>
    <t xml:space="preserve"> 20톤/일 이상</t>
    <phoneticPr fontId="35" type="noConversion"/>
  </si>
  <si>
    <t xml:space="preserve"> 20톤/일 미만</t>
    <phoneticPr fontId="35" type="noConversion"/>
  </si>
  <si>
    <t>음식물폐기물</t>
    <phoneticPr fontId="35" type="noConversion"/>
  </si>
  <si>
    <t xml:space="preserve"> 30톤/일 이상</t>
    <phoneticPr fontId="35" type="noConversion"/>
  </si>
  <si>
    <t xml:space="preserve"> 30톤/일 미만</t>
    <phoneticPr fontId="35" type="noConversion"/>
  </si>
  <si>
    <t>가연성폐기물 연료화</t>
    <phoneticPr fontId="35" type="noConversion"/>
  </si>
  <si>
    <t>생활자원회수센터와 같은 것으로 가정</t>
    <phoneticPr fontId="35" type="noConversion"/>
  </si>
  <si>
    <t xml:space="preserve"> 100톤/일 이상</t>
    <phoneticPr fontId="35" type="noConversion"/>
  </si>
  <si>
    <t xml:space="preserve"> 100톤/일 미만</t>
    <phoneticPr fontId="35" type="noConversion"/>
  </si>
  <si>
    <t>유기성폐기물 바이오가스화</t>
    <phoneticPr fontId="35" type="noConversion"/>
  </si>
  <si>
    <t>음식물폐기물처리와 같은 것으로 가정</t>
    <phoneticPr fontId="35" type="noConversion"/>
  </si>
  <si>
    <t>Total</t>
    <phoneticPr fontId="35" type="noConversion"/>
  </si>
  <si>
    <t>2018 폐기물/하수처리업 에너지총사용량 (출처: 에너지공단, 2019)</t>
    <phoneticPr fontId="35" type="noConversion"/>
  </si>
  <si>
    <t>천TOE</t>
    <phoneticPr fontId="35"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</si>
  <si>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5"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</si>
  <si>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5" type="noConversion"/>
  </si>
  <si>
    <t>(천명)</t>
    <phoneticPr fontId="54" type="noConversion"/>
  </si>
  <si>
    <t>%YoY</t>
    <phoneticPr fontId="35"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</si>
  <si>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</si>
  <si>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</si>
  <si>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</si>
  <si>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</si>
  <si>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</si>
  <si>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</si>
  <si>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</si>
  <si>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</si>
  <si>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</si>
  <si>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</si>
  <si>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</si>
  <si>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</si>
  <si>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5" type="noConversion"/>
  </si>
  <si>
    <t>chemicals 20</t>
    <phoneticPr fontId="35"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</si>
  <si>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</si>
  <si>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</si>
  <si>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</si>
  <si>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</si>
  <si>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</si>
  <si>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</si>
  <si>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</si>
  <si>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</si>
  <si>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</si>
  <si>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</si>
  <si>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</si>
  <si>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</si>
  <si>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</si>
  <si>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5"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</si>
  <si>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</si>
  <si>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</si>
  <si>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</si>
  <si>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</si>
  <si>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</si>
  <si>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</si>
  <si>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</si>
  <si>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</si>
  <si>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</si>
  <si>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</si>
  <si>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</si>
  <si>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</si>
  <si>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5" type="noConversion"/>
  </si>
  <si>
    <t xml:space="preserve">1ton </t>
    <phoneticPr fontId="35" type="noConversion"/>
  </si>
  <si>
    <t>btu/ton</t>
    <phoneticPr fontId="35"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</si>
  <si>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</si>
  <si>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</si>
  <si>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</si>
  <si>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</si>
  <si>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</si>
  <si>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</si>
  <si>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</si>
  <si>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</si>
  <si>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</si>
  <si>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</si>
  <si>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</si>
  <si>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</si>
  <si>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</si>
  <si>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</si>
  <si>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</si>
  <si>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</si>
  <si>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</si>
  <si>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</si>
  <si>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</si>
  <si>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</si>
  <si>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</si>
  <si>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</si>
  <si>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</si>
  <si>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</si>
  <si>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</si>
  <si>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</si>
  <si>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</si>
  <si>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</si>
  <si>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</si>
  <si>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</si>
  <si>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</si>
  <si>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</si>
  <si>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</si>
  <si>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</si>
  <si>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</si>
  <si>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</si>
  <si>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</si>
  <si>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</si>
  <si>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</si>
  <si>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</si>
  <si>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</si>
  <si>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</si>
  <si>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</si>
  <si>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</si>
  <si>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</si>
  <si>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</si>
  <si>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</si>
  <si>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</si>
  <si>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</si>
  <si>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</si>
  <si>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</si>
  <si>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</si>
  <si>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</si>
  <si>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</si>
  <si>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</si>
  <si>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</si>
  <si>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</si>
  <si>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</si>
  <si>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</si>
  <si>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</si>
  <si>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</si>
  <si>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</si>
  <si>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</si>
  <si>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</si>
  <si>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</si>
  <si>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</si>
  <si>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</si>
  <si>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</si>
  <si>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</si>
  <si>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</si>
  <si>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</si>
  <si>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</si>
  <si>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</si>
  <si>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</si>
  <si>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</si>
  <si>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</si>
  <si>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</si>
  <si>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</si>
  <si>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</si>
  <si>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</si>
  <si>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</si>
  <si>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</si>
  <si>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</si>
  <si>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</si>
  <si>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</si>
  <si>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</si>
  <si>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</si>
  <si>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</si>
  <si>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</si>
  <si>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</si>
  <si>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</si>
  <si>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</si>
  <si>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</si>
  <si>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</si>
  <si>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</si>
  <si>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</si>
  <si>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</si>
  <si>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</si>
  <si>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</si>
  <si>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</si>
  <si>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</si>
  <si>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</si>
  <si>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</si>
  <si>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</si>
  <si>
    <t>By Energy Source (2)</t>
  </si>
  <si>
    <t>Diesel</t>
  </si>
  <si>
    <t>Light Fuel Oil</t>
  </si>
  <si>
    <t>Heavy Oil</t>
  </si>
  <si>
    <t>Heavy Fuel Oil</t>
  </si>
  <si>
    <t>Other Petroleum</t>
  </si>
  <si>
    <t xml:space="preserve">Semiconductor manufacturing, </t>
  </si>
  <si>
    <t xml:space="preserve">electronic components manufacturing, </t>
  </si>
  <si>
    <t xml:space="preserve">computer and peripheral device manufacturing, </t>
  </si>
  <si>
    <t xml:space="preserve">communications and broadcasting equipment manufacturing, </t>
  </si>
  <si>
    <t>video and audio equipment manufacturing.</t>
  </si>
  <si>
    <t>Manufacturing of magnetic and optical media;</t>
  </si>
  <si>
    <t xml:space="preserve"> Manufacturing of medical devices; </t>
  </si>
  <si>
    <t xml:space="preserve">Manufacturing of measuring, testing, navigation, control, and other precision instruments; </t>
  </si>
  <si>
    <t>Manufacturing of photographic equipment and optical devices excluding optical devices;</t>
  </si>
  <si>
    <t xml:space="preserve"> Manufacturing of watches and watch parts</t>
  </si>
  <si>
    <t xml:space="preserve">Manufacturing of electric motors, generators, and electric power conversion and control devices; </t>
  </si>
  <si>
    <t xml:space="preserve">Manufacturing of primary batteries and accumulators; </t>
  </si>
  <si>
    <t>Manufacturing of insulated wires and cables;</t>
  </si>
  <si>
    <t xml:space="preserve"> Manufacturing of light bulbs and lighting devices; </t>
  </si>
  <si>
    <t xml:space="preserve">Manufacturing of household appliances; </t>
  </si>
  <si>
    <t>Manufacturing of other electrical equipment.</t>
  </si>
  <si>
    <t xml:space="preserve">General-purpose machinery manufacturing industry </t>
  </si>
  <si>
    <t>Special-purpose machinery manufacturing industry</t>
  </si>
  <si>
    <t xml:space="preserve">Automotive engine and automobile manufacturing, </t>
  </si>
  <si>
    <t xml:space="preserve">automobile body and trailer manufacturing, </t>
  </si>
  <si>
    <t xml:space="preserve">automobile new parts manufacturing, </t>
  </si>
  <si>
    <t>automobile remanufactured parts manufacturing</t>
  </si>
  <si>
    <t xml:space="preserve">Ship and boat building, </t>
  </si>
  <si>
    <t xml:space="preserve">railway equipment manufacturing, </t>
  </si>
  <si>
    <t xml:space="preserve">aircraft, spacecraft and parts manufacturing, </t>
  </si>
  <si>
    <t>and other transportation equipment manufacturing</t>
  </si>
  <si>
    <t>Korea Energy Agency, "Survey on Energy Use and Greenhouse Gas Emissions"</t>
  </si>
  <si>
    <t>○ Source</t>
  </si>
  <si>
    <t>○ Data Download Date</t>
  </si>
  <si>
    <t>○ Statistical Table URL</t>
  </si>
  <si>
    <t>Energy demand by major industry</t>
  </si>
  <si>
    <t>petrochemical</t>
  </si>
  <si>
    <t>The source of the copied data is unknown. Unlike other tabs, it does not use the trend function (the values are different). While it would seem appropriate to use the trend function, consistent with other tabs (Gas, Oil, Coal), it is unclear how consistency with other tabs (Gas, Oil, Coal) was previously considered.</t>
  </si>
  <si>
    <t>Key Industrial Sector Indicators and Energy Demand (2) - Reference Scenario (REF)</t>
  </si>
  <si>
    <t>Oil</t>
  </si>
  <si>
    <t>Gas</t>
  </si>
  <si>
    <t>Renewable Energy</t>
  </si>
  <si>
    <t>Transportation Equipment</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</si>
  <si>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</si>
  <si>
    <t>00-23</t>
  </si>
  <si>
    <t>23-50</t>
  </si>
  <si>
    <t>https://kesis.keei.re.kr/board.es?mid=a10302050000&amp;bid=0022</t>
  </si>
  <si>
    <t>CAGR(2023-2050)</t>
    <phoneticPr fontId="3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</si>
</sst>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1" formatCode="_-* #,##0_-;\-* #,##0_-;_-* &quot;-&quot;_-;_-@_-"/>
    <numFmt numFmtId="176" formatCode="_(* #,##0.00_);_(* \(#,##0.00\);_(* &quot;-&quot;??_);_(@_)"/>
    <numFmt numFmtId="177" formatCode="#,##0.0"/>
    <numFmt numFmtId="178" formatCode="0.000E+00"/>
    <numFmt numFmtId="179" formatCode="#,##0.00000"/>
    <numFmt numFmtId="180" formatCode="#\ ##0"/>
    <numFmt numFmtId="181" formatCode="#\ ##0.00"/>
    <numFmt numFmtId="182" formatCode="#\ ##0;\-#\ ##0;\-"/>
    <numFmt numFmtId="183" formatCode="#\ ##0.0"/>
    <numFmt numFmtId="184" formatCode="#\ ##0.0;\-#\ ##0.0;\-"/>
    <numFmt numFmtId="185" formatCode="_ * #,##0.0_ ;_ * \-#,##0.0_ ;_ * &quot;-&quot;_ ;_ @_ "/>
    <numFmt numFmtId="186" formatCode="_ * #,##0_ ;_ * \-#,##0_ ;_ * &quot;-&quot;_ ;_ @_ "/>
    <numFmt numFmtId="187" formatCode="_-* #,##0.00_-;\-* #,##0.00_-;_-* &quot;-&quot;_-;_-@_-"/>
    <numFmt numFmtId="188" formatCode="0_);[Red]\(0\)"/>
    <numFmt numFmtId="189" formatCode="0.E+00"/>
    <numFmt numFmtId="190" formatCode="0.0%"/>
    <numFmt numFmtId="191" formatCode="_-* #,##0.00000000000_-;\-* #,##0.00000000000_-;_-* &quot;-&quot;_-;_-@_-"/>
    <numFmt numFmtId="192" formatCode="0.00.E+00"/>
    <numFmt numFmtId="193" formatCode="0.000.E+00"/>
  </numFmts>
  <fonts count="117">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b/>
      <sz val="11"/>
      <color theme="1"/>
      <name val="맑은 고딕"/>
      <family val="2"/>
      <scheme val="minor"/>
    </font>
    <font>
      <b/>
      <sz val="9"/>
      <color theme="1"/>
      <name val="맑은 고딕"/>
      <family val="2"/>
      <scheme val="minor"/>
    </font>
    <font>
      <sz val="9"/>
      <color theme="1"/>
      <name val="맑은 고딕"/>
      <family val="2"/>
      <scheme val="minor"/>
    </font>
    <font>
      <u/>
      <sz val="10"/>
      <color theme="4"/>
      <name val="맑은 고딕"/>
      <family val="2"/>
      <scheme val="minor"/>
    </font>
    <font>
      <u/>
      <sz val="11"/>
      <color theme="6"/>
      <name val="Calibri"/>
      <family val="2"/>
    </font>
    <font>
      <b/>
      <sz val="12"/>
      <color theme="4"/>
      <name val="맑은 고딕"/>
      <family val="2"/>
      <scheme val="minor"/>
    </font>
    <font>
      <sz val="9"/>
      <color rgb="FF000000"/>
      <name val="Calibri"/>
      <family val="2"/>
    </font>
    <font>
      <sz val="11"/>
      <color theme="1"/>
      <name val="맑은 고딕"/>
      <family val="2"/>
      <scheme val="minor"/>
    </font>
    <font>
      <sz val="12"/>
      <name val="Helv"/>
    </font>
    <font>
      <b/>
      <sz val="9"/>
      <color indexed="8"/>
      <name val="Calibri"/>
      <family val="2"/>
    </font>
    <font>
      <sz val="11"/>
      <color rgb="FFFF0000"/>
      <name val="맑은 고딕"/>
      <family val="2"/>
      <scheme val="minor"/>
    </font>
    <font>
      <sz val="9"/>
      <color indexed="8"/>
      <name val="Calibri"/>
      <family val="2"/>
    </font>
    <font>
      <b/>
      <sz val="12"/>
      <color indexed="30"/>
      <name val="Calibri"/>
      <family val="2"/>
    </font>
    <font>
      <sz val="18"/>
      <color theme="3"/>
      <name val="맑은 고딕"/>
      <family val="2"/>
      <scheme val="major"/>
    </font>
    <font>
      <b/>
      <sz val="15"/>
      <color theme="3"/>
      <name val="맑은 고딕"/>
      <family val="2"/>
      <scheme val="minor"/>
    </font>
    <font>
      <b/>
      <sz val="13"/>
      <color theme="3"/>
      <name val="맑은 고딕"/>
      <family val="2"/>
      <scheme val="minor"/>
    </font>
    <font>
      <b/>
      <sz val="11"/>
      <color theme="3"/>
      <name val="맑은 고딕"/>
      <family val="2"/>
      <scheme val="minor"/>
    </font>
    <font>
      <sz val="11"/>
      <color rgb="FF006100"/>
      <name val="맑은 고딕"/>
      <family val="2"/>
      <scheme val="minor"/>
    </font>
    <font>
      <sz val="11"/>
      <color rgb="FF9C0006"/>
      <name val="맑은 고딕"/>
      <family val="2"/>
      <scheme val="minor"/>
    </font>
    <font>
      <sz val="11"/>
      <color rgb="FF3F3F76"/>
      <name val="맑은 고딕"/>
      <family val="2"/>
      <scheme val="minor"/>
    </font>
    <font>
      <b/>
      <sz val="11"/>
      <color rgb="FF3F3F3F"/>
      <name val="맑은 고딕"/>
      <family val="2"/>
      <scheme val="minor"/>
    </font>
    <font>
      <b/>
      <sz val="11"/>
      <color rgb="FFFA7D00"/>
      <name val="맑은 고딕"/>
      <family val="2"/>
      <scheme val="minor"/>
    </font>
    <font>
      <sz val="11"/>
      <color rgb="FFFA7D00"/>
      <name val="맑은 고딕"/>
      <family val="2"/>
      <scheme val="minor"/>
    </font>
    <font>
      <b/>
      <sz val="11"/>
      <color theme="0"/>
      <name val="맑은 고딕"/>
      <family val="2"/>
      <scheme val="minor"/>
    </font>
    <font>
      <i/>
      <sz val="11"/>
      <color rgb="FF7F7F7F"/>
      <name val="맑은 고딕"/>
      <family val="2"/>
      <scheme val="minor"/>
    </font>
    <font>
      <sz val="11"/>
      <color theme="0"/>
      <name val="맑은 고딕"/>
      <family val="2"/>
      <scheme val="minor"/>
    </font>
    <font>
      <sz val="11"/>
      <color rgb="FF9C6500"/>
      <name val="맑은 고딕"/>
      <family val="2"/>
      <scheme val="minor"/>
    </font>
    <font>
      <i/>
      <sz val="11"/>
      <color theme="1"/>
      <name val="맑은 고딕"/>
      <family val="2"/>
      <scheme val="minor"/>
    </font>
    <font>
      <sz val="10"/>
      <color theme="1"/>
      <name val="Calibri"/>
      <family val="2"/>
    </font>
    <font>
      <sz val="8"/>
      <name val="맑은 고딕"/>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맑은 고딕"/>
      <family val="3"/>
      <charset val="129"/>
      <scheme val="minor"/>
    </font>
    <font>
      <b/>
      <sz val="7.5"/>
      <color theme="0"/>
      <name val="맑은 고딕"/>
      <family val="2"/>
      <scheme val="minor"/>
    </font>
    <font>
      <b/>
      <sz val="8"/>
      <color theme="0"/>
      <name val="맑은 고딕"/>
      <family val="3"/>
      <charset val="129"/>
    </font>
    <font>
      <b/>
      <sz val="1"/>
      <color theme="0"/>
      <name val="맑은 고딕"/>
      <family val="2"/>
      <scheme val="minor"/>
    </font>
    <font>
      <b/>
      <sz val="8"/>
      <color theme="0"/>
      <name val="맑은 고딕"/>
      <family val="2"/>
      <scheme val="minor"/>
    </font>
    <font>
      <b/>
      <sz val="7"/>
      <color theme="1"/>
      <name val="맑은 고딕"/>
      <family val="3"/>
      <charset val="129"/>
    </font>
    <font>
      <b/>
      <sz val="7.5"/>
      <color theme="1"/>
      <name val="맑은 고딕"/>
      <family val="2"/>
      <scheme val="minor"/>
    </font>
    <font>
      <sz val="8"/>
      <color theme="1"/>
      <name val="맑은 고딕"/>
      <family val="3"/>
      <charset val="129"/>
      <scheme val="minor"/>
    </font>
    <font>
      <sz val="1"/>
      <color theme="1"/>
      <name val="맑은 고딕"/>
      <family val="3"/>
      <charset val="129"/>
      <scheme val="minor"/>
    </font>
    <font>
      <sz val="7.5"/>
      <color theme="1"/>
      <name val="맑은 고딕"/>
      <family val="2"/>
      <scheme val="minor"/>
    </font>
    <font>
      <sz val="1"/>
      <color theme="1"/>
      <name val="맑은 고딕"/>
      <family val="2"/>
      <scheme val="minor"/>
    </font>
    <font>
      <sz val="1"/>
      <color theme="1"/>
      <name val="맑은 고딕"/>
      <family val="3"/>
      <charset val="129"/>
    </font>
    <font>
      <sz val="1"/>
      <color theme="1"/>
      <name val="맑은 고딕"/>
      <family val="2"/>
      <charset val="129"/>
      <scheme val="minor"/>
    </font>
    <font>
      <sz val="6"/>
      <color theme="1"/>
      <name val="KoPub돋움체 Light"/>
      <family val="1"/>
      <charset val="129"/>
    </font>
    <font>
      <sz val="7"/>
      <color theme="1"/>
      <name val="Century Gothic"/>
      <family val="2"/>
    </font>
    <font>
      <sz val="8"/>
      <name val="맑은 고딕"/>
      <family val="2"/>
      <charset val="129"/>
      <scheme val="minor"/>
    </font>
    <font>
      <b/>
      <sz val="7.5"/>
      <color indexed="8"/>
      <name val="맑은 고딕"/>
      <family val="2"/>
      <scheme val="minor"/>
    </font>
    <font>
      <b/>
      <sz val="1"/>
      <color indexed="8"/>
      <name val="맑은 고딕"/>
      <family val="2"/>
      <scheme val="minor"/>
    </font>
    <font>
      <b/>
      <sz val="1"/>
      <color theme="1"/>
      <name val="맑은 고딕"/>
      <family val="2"/>
      <scheme val="minor"/>
    </font>
    <font>
      <sz val="7"/>
      <color theme="1"/>
      <name val="HY견고딕"/>
      <family val="1"/>
      <charset val="129"/>
    </font>
    <font>
      <sz val="7.5"/>
      <color indexed="8"/>
      <name val="맑은 고딕"/>
      <family val="2"/>
      <scheme val="minor"/>
    </font>
    <font>
      <sz val="11"/>
      <color theme="1"/>
      <name val="맑은 고딕"/>
      <family val="2"/>
      <charset val="129"/>
    </font>
    <font>
      <sz val="10"/>
      <name val="맑은 고딕"/>
      <family val="2"/>
      <charset val="129"/>
      <scheme val="minor"/>
    </font>
    <font>
      <b/>
      <sz val="10"/>
      <name val="맑은 고딕"/>
      <family val="2"/>
      <scheme val="minor"/>
    </font>
    <font>
      <sz val="10"/>
      <name val="Calibri"/>
      <family val="2"/>
    </font>
    <font>
      <sz val="10"/>
      <name val="맑은 고딕"/>
      <family val="2"/>
      <scheme val="minor"/>
    </font>
    <font>
      <sz val="11"/>
      <color theme="1"/>
      <name val="Calibri"/>
      <family val="2"/>
    </font>
    <font>
      <sz val="11"/>
      <color theme="1"/>
      <name val="맑은 고딕"/>
      <family val="3"/>
      <charset val="129"/>
    </font>
    <font>
      <sz val="11"/>
      <color theme="1"/>
      <name val="Calibri"/>
      <family val="2"/>
      <charset val="129"/>
    </font>
    <font>
      <b/>
      <sz val="10"/>
      <name val="맑은 고딕"/>
      <family val="3"/>
      <charset val="129"/>
      <scheme val="minor"/>
    </font>
    <font>
      <b/>
      <sz val="11"/>
      <color theme="1"/>
      <name val="Calibri"/>
      <family val="2"/>
    </font>
    <font>
      <sz val="7"/>
      <color theme="1"/>
      <name val="맑은 고딕"/>
      <family val="2"/>
      <scheme val="minor"/>
    </font>
    <font>
      <sz val="7"/>
      <color theme="1"/>
      <name val="맑은 고딕"/>
      <family val="3"/>
      <charset val="129"/>
      <scheme val="minor"/>
    </font>
    <font>
      <sz val="7.5"/>
      <color theme="1"/>
      <name val="맑은 고딕"/>
      <family val="2"/>
      <charset val="129"/>
      <scheme val="minor"/>
    </font>
    <font>
      <sz val="7.5"/>
      <color theme="1"/>
      <name val="맑은 고딕"/>
      <family val="3"/>
      <charset val="129"/>
    </font>
    <font>
      <sz val="7.5"/>
      <color theme="1"/>
      <name val="맑은 고딕"/>
      <family val="3"/>
      <charset val="129"/>
      <scheme val="minor"/>
    </font>
    <font>
      <b/>
      <sz val="7.5"/>
      <color theme="1"/>
      <name val="맑은 고딕"/>
      <family val="3"/>
      <charset val="129"/>
    </font>
    <font>
      <b/>
      <sz val="8"/>
      <color theme="1"/>
      <name val="맑은 고딕"/>
      <family val="2"/>
      <scheme val="minor"/>
    </font>
    <font>
      <b/>
      <sz val="7.5"/>
      <color theme="1"/>
      <name val="맑은 고딕"/>
      <family val="3"/>
      <charset val="129"/>
      <scheme val="minor"/>
    </font>
    <font>
      <b/>
      <sz val="11"/>
      <color theme="1"/>
      <name val="맑은 고딕"/>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맑은 고딕"/>
      <family val="2"/>
      <charset val="129"/>
      <scheme val="minor"/>
    </font>
    <font>
      <sz val="11"/>
      <color theme="1"/>
      <name val="나눔고딕OTF"/>
      <family val="2"/>
      <charset val="129"/>
    </font>
    <font>
      <sz val="11"/>
      <color rgb="FFFF0000"/>
      <name val="맑은 고딕"/>
      <family val="3"/>
      <charset val="129"/>
      <scheme val="minor"/>
    </font>
    <font>
      <sz val="7.5"/>
      <color rgb="FFFF0000"/>
      <name val="맑은 고딕"/>
      <family val="2"/>
      <scheme val="minor"/>
    </font>
    <font>
      <sz val="17"/>
      <color rgb="FF1F1F1F"/>
      <name val="Inherit"/>
    </font>
    <font>
      <sz val="11"/>
      <color rgb="FF1F1F1F"/>
      <name val="Inherit"/>
    </font>
    <font>
      <sz val="17"/>
      <color rgb="FF1F1F1F"/>
      <name val="Arial"/>
      <family val="2"/>
    </font>
    <font>
      <sz val="11"/>
      <color rgb="FF1F1F1F"/>
      <name val="Arial"/>
      <family val="2"/>
    </font>
    <font>
      <sz val="11"/>
      <color rgb="FF1F1F1F"/>
      <name val="맑은 고딕"/>
      <family val="2"/>
      <scheme val="minor"/>
    </font>
    <font>
      <sz val="10"/>
      <color rgb="FF1F1F1F"/>
      <name val="Inherit"/>
    </font>
    <font>
      <sz val="10"/>
      <color rgb="FF1F1F1F"/>
      <name val="Arial"/>
      <family val="2"/>
    </font>
    <font>
      <sz val="7"/>
      <color rgb="FF1F1F1F"/>
      <name val="맑은 고딕"/>
      <family val="3"/>
      <charset val="129"/>
    </font>
    <font>
      <sz val="10"/>
      <name val="Arial"/>
      <family val="2"/>
    </font>
    <font>
      <sz val="10"/>
      <name val="Courier New"/>
      <family val="3"/>
    </font>
    <font>
      <b/>
      <sz val="18"/>
      <color theme="3"/>
      <name val="맑은 고딕"/>
      <family val="2"/>
      <scheme val="major"/>
    </font>
    <font>
      <sz val="11"/>
      <color indexed="9"/>
      <name val="Calibri"/>
      <family val="2"/>
    </font>
    <font>
      <sz val="11"/>
      <color indexed="20"/>
      <name val="Calibri"/>
      <family val="2"/>
    </font>
    <font>
      <b/>
      <sz val="11"/>
      <color indexed="52"/>
      <name val="Calibri"/>
      <family val="2"/>
    </font>
    <font>
      <b/>
      <sz val="11"/>
      <color indexed="9"/>
      <name val="Calibri"/>
      <family val="2"/>
    </font>
    <font>
      <i/>
      <sz val="9"/>
      <name val="FrankLinGothicCond"/>
    </font>
    <font>
      <sz val="9"/>
      <name val="FrankLinGothicCond"/>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sz val="11"/>
      <color indexed="8"/>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s>
  <fills count="81">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
      <patternFill patternType="solid">
        <fgColor theme="4" tint="0.59999389629810485"/>
        <bgColor indexed="64"/>
      </patternFill>
    </fill>
    <fill>
      <patternFill patternType="solid">
        <fgColor indexed="30"/>
      </patternFill>
    </fill>
    <fill>
      <patternFill patternType="solid">
        <fgColor indexed="29"/>
      </patternFill>
    </fill>
    <fill>
      <patternFill patternType="solid">
        <fgColor indexed="11"/>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indexed="47"/>
      </patternFill>
    </fill>
    <fill>
      <patternFill patternType="solid">
        <fgColor indexed="43"/>
      </patternFill>
    </fill>
  </fills>
  <borders count="56">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medium">
        <color indexed="64"/>
      </left>
      <right/>
      <top style="medium">
        <color indexed="64"/>
      </top>
      <bottom/>
      <diagonal/>
    </border>
  </borders>
  <cellStyleXfs count="546">
    <xf numFmtId="0" fontId="0" fillId="0" borderId="0"/>
    <xf numFmtId="0" fontId="7" fillId="0" borderId="1" applyNumberFormat="0" applyProtection="0">
      <alignment wrapText="1"/>
    </xf>
    <xf numFmtId="0" fontId="8" fillId="0" borderId="2" applyNumberFormat="0" applyFont="0" applyProtection="0">
      <alignment wrapText="1"/>
    </xf>
    <xf numFmtId="0" fontId="7" fillId="0" borderId="7" applyNumberFormat="0" applyProtection="0">
      <alignment horizontal="left" wrapText="1"/>
    </xf>
    <xf numFmtId="0" fontId="7" fillId="0" borderId="6" applyNumberFormat="0" applyFill="0" applyProtection="0">
      <alignment wrapText="1"/>
    </xf>
    <xf numFmtId="0" fontId="7" fillId="0" borderId="4" applyNumberFormat="0" applyProtection="0">
      <alignment wrapText="1"/>
    </xf>
    <xf numFmtId="0" fontId="8" fillId="0" borderId="3" applyNumberFormat="0" applyProtection="0">
      <alignment vertical="top" wrapText="1"/>
    </xf>
    <xf numFmtId="0" fontId="8" fillId="0" borderId="5" applyNumberFormat="0" applyFont="0" applyFill="0" applyProtection="0">
      <alignment wrapText="1"/>
    </xf>
    <xf numFmtId="0" fontId="8" fillId="0" borderId="0" applyNumberFormat="0" applyFill="0" applyBorder="0" applyAlignment="0" applyProtection="0"/>
    <xf numFmtId="0" fontId="9" fillId="0" borderId="0" applyNumberFormat="0" applyFill="0" applyBorder="0" applyAlignment="0" applyProtection="0">
      <alignment vertical="top"/>
      <protection locked="0"/>
    </xf>
    <xf numFmtId="0" fontId="10" fillId="0" borderId="0" applyNumberFormat="0" applyFill="0" applyBorder="0" applyAlignment="0" applyProtection="0">
      <alignment vertical="top"/>
      <protection locked="0"/>
    </xf>
    <xf numFmtId="0" fontId="8" fillId="0" borderId="0" applyNumberFormat="0" applyProtection="0">
      <alignment vertical="top" wrapText="1"/>
    </xf>
    <xf numFmtId="0" fontId="11" fillId="0" borderId="0" applyNumberFormat="0" applyProtection="0">
      <alignment horizontal="left"/>
    </xf>
    <xf numFmtId="0" fontId="14" fillId="0" borderId="0"/>
    <xf numFmtId="0" fontId="14" fillId="0" borderId="0"/>
    <xf numFmtId="0" fontId="14" fillId="0" borderId="0"/>
    <xf numFmtId="0" fontId="14" fillId="0" borderId="0"/>
    <xf numFmtId="0" fontId="13" fillId="0" borderId="0"/>
    <xf numFmtId="9" fontId="13" fillId="0" borderId="0" applyFont="0" applyFill="0" applyBorder="0" applyAlignment="0" applyProtection="0"/>
    <xf numFmtId="0" fontId="17" fillId="0" borderId="0"/>
    <xf numFmtId="0" fontId="17" fillId="0" borderId="0" applyNumberFormat="0" applyFill="0" applyBorder="0" applyAlignment="0" applyProtection="0"/>
    <xf numFmtId="0" fontId="15" fillId="0" borderId="10" applyNumberFormat="0" applyProtection="0">
      <alignment wrapText="1"/>
    </xf>
    <xf numFmtId="0" fontId="18" fillId="0" borderId="0" applyNumberFormat="0" applyProtection="0">
      <alignment horizontal="left"/>
    </xf>
    <xf numFmtId="0" fontId="15" fillId="0" borderId="9" applyNumberFormat="0" applyProtection="0">
      <alignment wrapText="1"/>
    </xf>
    <xf numFmtId="0" fontId="17" fillId="0" borderId="8" applyNumberFormat="0" applyFont="0" applyProtection="0">
      <alignment wrapText="1"/>
    </xf>
    <xf numFmtId="0" fontId="17" fillId="0" borderId="11" applyNumberFormat="0" applyProtection="0">
      <alignment wrapText="1"/>
    </xf>
    <xf numFmtId="0" fontId="19" fillId="0" borderId="0" applyNumberFormat="0" applyFill="0" applyBorder="0" applyAlignment="0" applyProtection="0"/>
    <xf numFmtId="0" fontId="20" fillId="0" borderId="1" applyNumberFormat="0" applyFill="0" applyAlignment="0" applyProtection="0"/>
    <xf numFmtId="0" fontId="21" fillId="0" borderId="12" applyNumberFormat="0" applyFill="0" applyAlignment="0" applyProtection="0"/>
    <xf numFmtId="0" fontId="22" fillId="0" borderId="13" applyNumberFormat="0" applyFill="0" applyAlignment="0" applyProtection="0"/>
    <xf numFmtId="0" fontId="22" fillId="0" borderId="0" applyNumberFormat="0" applyFill="0" applyBorder="0" applyAlignment="0" applyProtection="0"/>
    <xf numFmtId="0" fontId="23" fillId="4" borderId="0" applyNumberFormat="0" applyBorder="0" applyAlignment="0" applyProtection="0"/>
    <xf numFmtId="0" fontId="24" fillId="5" borderId="0" applyNumberFormat="0" applyBorder="0" applyAlignment="0" applyProtection="0"/>
    <xf numFmtId="0" fontId="25" fillId="7" borderId="14" applyNumberFormat="0" applyAlignment="0" applyProtection="0"/>
    <xf numFmtId="0" fontId="26" fillId="8" borderId="15" applyNumberFormat="0" applyAlignment="0" applyProtection="0"/>
    <xf numFmtId="0" fontId="27" fillId="8" borderId="14" applyNumberFormat="0" applyAlignment="0" applyProtection="0"/>
    <xf numFmtId="0" fontId="28" fillId="0" borderId="16" applyNumberFormat="0" applyFill="0" applyAlignment="0" applyProtection="0"/>
    <xf numFmtId="0" fontId="29" fillId="9" borderId="17" applyNumberFormat="0" applyAlignment="0" applyProtection="0"/>
    <xf numFmtId="0" fontId="16" fillId="0" borderId="0" applyNumberFormat="0" applyFill="0" applyBorder="0" applyAlignment="0" applyProtection="0"/>
    <xf numFmtId="0" fontId="13" fillId="10" borderId="18" applyNumberFormat="0" applyFont="0" applyAlignment="0" applyProtection="0"/>
    <xf numFmtId="0" fontId="30" fillId="0" borderId="0" applyNumberFormat="0" applyFill="0" applyBorder="0" applyAlignment="0" applyProtection="0"/>
    <xf numFmtId="0" fontId="6" fillId="0" borderId="19" applyNumberFormat="0" applyFill="0" applyAlignment="0" applyProtection="0"/>
    <xf numFmtId="0" fontId="31" fillId="11" borderId="0" applyNumberFormat="0" applyBorder="0" applyAlignment="0" applyProtection="0"/>
    <xf numFmtId="0" fontId="13" fillId="12" borderId="0" applyNumberFormat="0" applyBorder="0" applyAlignment="0" applyProtection="0"/>
    <xf numFmtId="0" fontId="13" fillId="13" borderId="0" applyNumberFormat="0" applyBorder="0" applyAlignment="0" applyProtection="0"/>
    <xf numFmtId="0" fontId="31"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31" fillId="19" borderId="0" applyNumberFormat="0" applyBorder="0" applyAlignment="0" applyProtection="0"/>
    <xf numFmtId="0" fontId="13" fillId="20" borderId="0" applyNumberFormat="0" applyBorder="0" applyAlignment="0" applyProtection="0"/>
    <xf numFmtId="0" fontId="13" fillId="21" borderId="0" applyNumberFormat="0" applyBorder="0" applyAlignment="0" applyProtection="0"/>
    <xf numFmtId="0" fontId="31" fillId="23" borderId="0" applyNumberFormat="0" applyBorder="0" applyAlignment="0" applyProtection="0"/>
    <xf numFmtId="0" fontId="13" fillId="24" borderId="0" applyNumberFormat="0" applyBorder="0" applyAlignment="0" applyProtection="0"/>
    <xf numFmtId="0" fontId="13" fillId="25" borderId="0" applyNumberFormat="0" applyBorder="0" applyAlignment="0" applyProtection="0"/>
    <xf numFmtId="0" fontId="31" fillId="27" borderId="0" applyNumberFormat="0" applyBorder="0" applyAlignment="0" applyProtection="0"/>
    <xf numFmtId="0" fontId="13" fillId="28" borderId="0" applyNumberFormat="0" applyBorder="0" applyAlignment="0" applyProtection="0"/>
    <xf numFmtId="0" fontId="13" fillId="29" borderId="0" applyNumberFormat="0" applyBorder="0" applyAlignment="0" applyProtection="0"/>
    <xf numFmtId="0" fontId="31" fillId="31" borderId="0" applyNumberFormat="0" applyBorder="0" applyAlignment="0" applyProtection="0"/>
    <xf numFmtId="0" fontId="13" fillId="32" borderId="0" applyNumberFormat="0" applyBorder="0" applyAlignment="0" applyProtection="0"/>
    <xf numFmtId="0" fontId="13" fillId="33" borderId="0" applyNumberFormat="0" applyBorder="0" applyAlignment="0" applyProtection="0"/>
    <xf numFmtId="0" fontId="32" fillId="6" borderId="0" applyNumberFormat="0" applyBorder="0" applyAlignment="0" applyProtection="0"/>
    <xf numFmtId="0" fontId="31" fillId="14" borderId="0" applyNumberFormat="0" applyBorder="0" applyAlignment="0" applyProtection="0"/>
    <xf numFmtId="0" fontId="31" fillId="18" borderId="0" applyNumberFormat="0" applyBorder="0" applyAlignment="0" applyProtection="0"/>
    <xf numFmtId="0" fontId="31" fillId="22" borderId="0" applyNumberFormat="0" applyBorder="0" applyAlignment="0" applyProtection="0"/>
    <xf numFmtId="0" fontId="31" fillId="26" borderId="0" applyNumberFormat="0" applyBorder="0" applyAlignment="0" applyProtection="0"/>
    <xf numFmtId="0" fontId="31" fillId="30" borderId="0" applyNumberFormat="0" applyBorder="0" applyAlignment="0" applyProtection="0"/>
    <xf numFmtId="0" fontId="31" fillId="34" borderId="0" applyNumberFormat="0" applyBorder="0" applyAlignment="0" applyProtection="0"/>
    <xf numFmtId="0" fontId="13" fillId="10" borderId="18" applyNumberFormat="0" applyFont="0" applyAlignment="0" applyProtection="0"/>
    <xf numFmtId="0" fontId="13" fillId="12" borderId="0" applyNumberFormat="0" applyBorder="0" applyAlignment="0" applyProtection="0"/>
    <xf numFmtId="0" fontId="13" fillId="13"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20" borderId="0" applyNumberFormat="0" applyBorder="0" applyAlignment="0" applyProtection="0"/>
    <xf numFmtId="0" fontId="13" fillId="21" borderId="0" applyNumberFormat="0" applyBorder="0" applyAlignment="0" applyProtection="0"/>
    <xf numFmtId="0" fontId="13" fillId="24" borderId="0" applyNumberFormat="0" applyBorder="0" applyAlignment="0" applyProtection="0"/>
    <xf numFmtId="0" fontId="13" fillId="25" borderId="0" applyNumberFormat="0" applyBorder="0" applyAlignment="0" applyProtection="0"/>
    <xf numFmtId="0" fontId="13" fillId="28" borderId="0" applyNumberFormat="0" applyBorder="0" applyAlignment="0" applyProtection="0"/>
    <xf numFmtId="0" fontId="13" fillId="29" borderId="0" applyNumberFormat="0" applyBorder="0" applyAlignment="0" applyProtection="0"/>
    <xf numFmtId="0" fontId="13" fillId="32" borderId="0" applyNumberFormat="0" applyBorder="0" applyAlignment="0" applyProtection="0"/>
    <xf numFmtId="0" fontId="13" fillId="33" borderId="0" applyNumberFormat="0" applyBorder="0" applyAlignment="0" applyProtection="0"/>
    <xf numFmtId="0" fontId="34" fillId="0" borderId="0"/>
    <xf numFmtId="0" fontId="13" fillId="0" borderId="0"/>
    <xf numFmtId="0" fontId="13" fillId="0" borderId="0"/>
    <xf numFmtId="176" fontId="34" fillId="0" borderId="0" applyFont="0" applyFill="0" applyBorder="0" applyAlignment="0" applyProtection="0"/>
    <xf numFmtId="41" fontId="13" fillId="0" borderId="0" applyFont="0" applyFill="0" applyBorder="0" applyAlignment="0" applyProtection="0">
      <alignment vertical="center"/>
    </xf>
    <xf numFmtId="0" fontId="5" fillId="0" borderId="0"/>
    <xf numFmtId="0" fontId="39" fillId="0" borderId="0">
      <alignment vertical="center"/>
    </xf>
    <xf numFmtId="0" fontId="4" fillId="0" borderId="0"/>
    <xf numFmtId="0" fontId="3" fillId="0" borderId="0"/>
    <xf numFmtId="0" fontId="1" fillId="0" borderId="0"/>
    <xf numFmtId="0" fontId="95" fillId="0" borderId="0"/>
    <xf numFmtId="0" fontId="96" fillId="0" borderId="0"/>
    <xf numFmtId="0" fontId="13" fillId="0" borderId="0"/>
    <xf numFmtId="0" fontId="13" fillId="0" borderId="0"/>
    <xf numFmtId="0" fontId="13" fillId="0" borderId="0"/>
    <xf numFmtId="0" fontId="95" fillId="0" borderId="0"/>
    <xf numFmtId="0" fontId="13" fillId="0" borderId="0"/>
    <xf numFmtId="0" fontId="96" fillId="0" borderId="0"/>
    <xf numFmtId="0" fontId="13" fillId="0" borderId="0"/>
    <xf numFmtId="0" fontId="13" fillId="0" borderId="0"/>
    <xf numFmtId="0" fontId="13" fillId="0" borderId="0"/>
    <xf numFmtId="0" fontId="13" fillId="0" borderId="0"/>
    <xf numFmtId="0" fontId="13" fillId="0" borderId="0"/>
    <xf numFmtId="0" fontId="96" fillId="0" borderId="0"/>
    <xf numFmtId="0" fontId="96" fillId="0" borderId="0"/>
    <xf numFmtId="0" fontId="13" fillId="10" borderId="18" applyNumberFormat="0" applyFont="0" applyAlignment="0" applyProtection="0"/>
    <xf numFmtId="0" fontId="13" fillId="10" borderId="18" applyNumberFormat="0" applyFont="0" applyAlignment="0" applyProtection="0"/>
    <xf numFmtId="0" fontId="13" fillId="10" borderId="18" applyNumberFormat="0" applyFont="0" applyAlignment="0" applyProtection="0"/>
    <xf numFmtId="0" fontId="13" fillId="0" borderId="0"/>
    <xf numFmtId="0" fontId="13" fillId="0" borderId="0"/>
    <xf numFmtId="0" fontId="13" fillId="10" borderId="18" applyNumberFormat="0" applyFont="0" applyAlignment="0" applyProtection="0"/>
    <xf numFmtId="0" fontId="13" fillId="0" borderId="0"/>
    <xf numFmtId="0" fontId="13" fillId="12" borderId="0" applyNumberFormat="0" applyBorder="0" applyAlignment="0" applyProtection="0"/>
    <xf numFmtId="0" fontId="13" fillId="16" borderId="0" applyNumberFormat="0" applyBorder="0" applyAlignment="0" applyProtection="0"/>
    <xf numFmtId="0" fontId="13" fillId="20" borderId="0" applyNumberFormat="0" applyBorder="0" applyAlignment="0" applyProtection="0"/>
    <xf numFmtId="0" fontId="13" fillId="24" borderId="0" applyNumberFormat="0" applyBorder="0" applyAlignment="0" applyProtection="0"/>
    <xf numFmtId="0" fontId="13" fillId="28" borderId="0" applyNumberFormat="0" applyBorder="0" applyAlignment="0" applyProtection="0"/>
    <xf numFmtId="0" fontId="13" fillId="32" borderId="0" applyNumberFormat="0" applyBorder="0" applyAlignment="0" applyProtection="0"/>
    <xf numFmtId="0" fontId="13" fillId="13" borderId="0" applyNumberFormat="0" applyBorder="0" applyAlignment="0" applyProtection="0"/>
    <xf numFmtId="0" fontId="13" fillId="17" borderId="0" applyNumberFormat="0" applyBorder="0" applyAlignment="0" applyProtection="0"/>
    <xf numFmtId="0" fontId="13" fillId="21" borderId="0" applyNumberFormat="0" applyBorder="0" applyAlignment="0" applyProtection="0"/>
    <xf numFmtId="0" fontId="13" fillId="25" borderId="0" applyNumberFormat="0" applyBorder="0" applyAlignment="0" applyProtection="0"/>
    <xf numFmtId="0" fontId="13" fillId="29" borderId="0" applyNumberFormat="0" applyBorder="0" applyAlignment="0" applyProtection="0"/>
    <xf numFmtId="0" fontId="13" fillId="33" borderId="0" applyNumberFormat="0" applyBorder="0" applyAlignment="0" applyProtection="0"/>
    <xf numFmtId="0" fontId="98" fillId="65" borderId="0" applyNumberFormat="0" applyBorder="0" applyAlignment="0" applyProtection="0"/>
    <xf numFmtId="0" fontId="98" fillId="66" borderId="0" applyNumberFormat="0" applyBorder="0" applyAlignment="0" applyProtection="0"/>
    <xf numFmtId="0" fontId="98" fillId="67" borderId="0" applyNumberFormat="0" applyBorder="0" applyAlignment="0" applyProtection="0"/>
    <xf numFmtId="0" fontId="98" fillId="68" borderId="0" applyNumberFormat="0" applyBorder="0" applyAlignment="0" applyProtection="0"/>
    <xf numFmtId="0" fontId="98" fillId="69" borderId="0" applyNumberFormat="0" applyBorder="0" applyAlignment="0" applyProtection="0"/>
    <xf numFmtId="0" fontId="98" fillId="70" borderId="0" applyNumberFormat="0" applyBorder="0" applyAlignment="0" applyProtection="0"/>
    <xf numFmtId="0" fontId="98" fillId="71" borderId="0" applyNumberFormat="0" applyBorder="0" applyAlignment="0" applyProtection="0"/>
    <xf numFmtId="0" fontId="98" fillId="72" borderId="0" applyNumberFormat="0" applyBorder="0" applyAlignment="0" applyProtection="0"/>
    <xf numFmtId="0" fontId="98" fillId="73" borderId="0" applyNumberFormat="0" applyBorder="0" applyAlignment="0" applyProtection="0"/>
    <xf numFmtId="0" fontId="98" fillId="68" borderId="0" applyNumberFormat="0" applyBorder="0" applyAlignment="0" applyProtection="0"/>
    <xf numFmtId="0" fontId="98" fillId="69" borderId="0" applyNumberFormat="0" applyBorder="0" applyAlignment="0" applyProtection="0"/>
    <xf numFmtId="0" fontId="98" fillId="74" borderId="0" applyNumberFormat="0" applyBorder="0" applyAlignment="0" applyProtection="0"/>
    <xf numFmtId="0" fontId="99" fillId="75" borderId="0" applyNumberFormat="0" applyBorder="0" applyAlignment="0" applyProtection="0"/>
    <xf numFmtId="0" fontId="100" fillId="76" borderId="47" applyNumberFormat="0" applyAlignment="0" applyProtection="0"/>
    <xf numFmtId="0" fontId="101" fillId="77" borderId="48" applyNumberFormat="0" applyAlignment="0" applyProtection="0"/>
    <xf numFmtId="0" fontId="102" fillId="0" borderId="27">
      <alignment horizontal="right" wrapText="1"/>
    </xf>
    <xf numFmtId="3" fontId="103" fillId="0" borderId="0">
      <alignment horizontal="right"/>
    </xf>
    <xf numFmtId="0" fontId="104" fillId="0" borderId="0" applyNumberFormat="0" applyFill="0" applyBorder="0" applyAlignment="0" applyProtection="0"/>
    <xf numFmtId="0" fontId="105" fillId="78" borderId="0" applyNumberFormat="0" applyBorder="0" applyAlignment="0" applyProtection="0"/>
    <xf numFmtId="0" fontId="106" fillId="0" borderId="49" applyNumberFormat="0" applyFill="0" applyAlignment="0" applyProtection="0"/>
    <xf numFmtId="0" fontId="107" fillId="0" borderId="50" applyNumberFormat="0" applyFill="0" applyAlignment="0" applyProtection="0"/>
    <xf numFmtId="0" fontId="108" fillId="0" borderId="51" applyNumberFormat="0" applyFill="0" applyAlignment="0" applyProtection="0"/>
    <xf numFmtId="0" fontId="108" fillId="0" borderId="0" applyNumberFormat="0" applyFill="0" applyBorder="0" applyAlignment="0" applyProtection="0"/>
    <xf numFmtId="0" fontId="109" fillId="79" borderId="47" applyNumberFormat="0" applyAlignment="0" applyProtection="0"/>
    <xf numFmtId="0" fontId="110" fillId="0" borderId="52" applyNumberFormat="0" applyFill="0" applyAlignment="0" applyProtection="0"/>
    <xf numFmtId="0" fontId="111" fillId="80" borderId="0" applyNumberFormat="0" applyBorder="0" applyAlignment="0" applyProtection="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95" fillId="0" borderId="0"/>
    <xf numFmtId="0" fontId="95" fillId="0" borderId="0"/>
    <xf numFmtId="0" fontId="96" fillId="0" borderId="0"/>
    <xf numFmtId="0" fontId="96" fillId="0" borderId="0"/>
    <xf numFmtId="0" fontId="96" fillId="0" borderId="0"/>
    <xf numFmtId="0" fontId="95" fillId="0" borderId="0"/>
    <xf numFmtId="0" fontId="96" fillId="0" borderId="0"/>
    <xf numFmtId="0" fontId="96" fillId="0" borderId="0"/>
    <xf numFmtId="0" fontId="96" fillId="0" borderId="0"/>
    <xf numFmtId="0" fontId="95" fillId="0" borderId="0"/>
    <xf numFmtId="0" fontId="96" fillId="0" borderId="0"/>
    <xf numFmtId="0" fontId="95" fillId="0" borderId="0"/>
    <xf numFmtId="0" fontId="95" fillId="0" borderId="0"/>
    <xf numFmtId="0" fontId="96" fillId="0" borderId="0"/>
    <xf numFmtId="0" fontId="95" fillId="0" borderId="0"/>
    <xf numFmtId="0" fontId="96" fillId="0" borderId="0"/>
    <xf numFmtId="0" fontId="96" fillId="0" borderId="0"/>
    <xf numFmtId="0" fontId="96" fillId="0" borderId="0"/>
    <xf numFmtId="0" fontId="95" fillId="0" borderId="0"/>
    <xf numFmtId="0" fontId="96" fillId="0" borderId="0"/>
    <xf numFmtId="0" fontId="95" fillId="0" borderId="0"/>
    <xf numFmtId="0" fontId="95" fillId="0" borderId="0"/>
    <xf numFmtId="0" fontId="96" fillId="0" borderId="0"/>
    <xf numFmtId="0" fontId="95" fillId="0" borderId="0"/>
    <xf numFmtId="0" fontId="95" fillId="0" borderId="0"/>
    <xf numFmtId="0" fontId="95" fillId="0" borderId="0"/>
    <xf numFmtId="0" fontId="96" fillId="0" borderId="0"/>
    <xf numFmtId="0" fontId="95" fillId="0" borderId="0"/>
    <xf numFmtId="0" fontId="95" fillId="0" borderId="0"/>
    <xf numFmtId="0" fontId="95" fillId="0" borderId="0"/>
    <xf numFmtId="0" fontId="95" fillId="0" borderId="0"/>
    <xf numFmtId="0" fontId="9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95" fillId="0" borderId="0"/>
    <xf numFmtId="0" fontId="95" fillId="0" borderId="0"/>
    <xf numFmtId="0" fontId="96" fillId="0" borderId="0"/>
    <xf numFmtId="0" fontId="96" fillId="0" borderId="0"/>
    <xf numFmtId="0" fontId="96" fillId="0" borderId="0"/>
    <xf numFmtId="0" fontId="95" fillId="0" borderId="0"/>
    <xf numFmtId="0" fontId="96" fillId="0" borderId="0"/>
    <xf numFmtId="0" fontId="96" fillId="0" borderId="0"/>
    <xf numFmtId="0" fontId="96" fillId="0" borderId="0"/>
    <xf numFmtId="0" fontId="95" fillId="0" borderId="0"/>
    <xf numFmtId="0" fontId="96" fillId="0" borderId="0"/>
    <xf numFmtId="0" fontId="95" fillId="0" borderId="0"/>
    <xf numFmtId="0" fontId="95" fillId="0" borderId="0"/>
    <xf numFmtId="0" fontId="96" fillId="0" borderId="0"/>
    <xf numFmtId="0" fontId="95" fillId="0" borderId="0"/>
    <xf numFmtId="0" fontId="96" fillId="0" borderId="0"/>
    <xf numFmtId="0" fontId="96" fillId="0" borderId="0"/>
    <xf numFmtId="0" fontId="96" fillId="0" borderId="0"/>
    <xf numFmtId="0" fontId="95" fillId="0" borderId="0"/>
    <xf numFmtId="0" fontId="96" fillId="0" borderId="0"/>
    <xf numFmtId="0" fontId="95" fillId="0" borderId="0"/>
    <xf numFmtId="0" fontId="95" fillId="0" borderId="0"/>
    <xf numFmtId="0" fontId="96" fillId="0" borderId="0"/>
    <xf numFmtId="0" fontId="95" fillId="0" borderId="0"/>
    <xf numFmtId="0" fontId="95" fillId="0" borderId="0"/>
    <xf numFmtId="0" fontId="95" fillId="0" borderId="0"/>
    <xf numFmtId="0" fontId="96" fillId="0" borderId="0"/>
    <xf numFmtId="0" fontId="95" fillId="0" borderId="0"/>
    <xf numFmtId="0" fontId="95" fillId="0" borderId="0"/>
    <xf numFmtId="0" fontId="95" fillId="0" borderId="0"/>
    <xf numFmtId="0" fontId="95" fillId="0" borderId="0"/>
    <xf numFmtId="0" fontId="9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9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96"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96"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65" fillId="0" borderId="0"/>
    <xf numFmtId="0" fontId="95" fillId="0" borderId="0"/>
    <xf numFmtId="0" fontId="95" fillId="0" borderId="0"/>
    <xf numFmtId="0" fontId="96" fillId="0" borderId="0"/>
    <xf numFmtId="0" fontId="96" fillId="0" borderId="0"/>
    <xf numFmtId="0" fontId="96" fillId="0" borderId="0"/>
    <xf numFmtId="0" fontId="95" fillId="0" borderId="0"/>
    <xf numFmtId="0" fontId="96" fillId="0" borderId="0"/>
    <xf numFmtId="0" fontId="96" fillId="0" borderId="0"/>
    <xf numFmtId="0" fontId="96" fillId="0" borderId="0"/>
    <xf numFmtId="0" fontId="95" fillId="0" borderId="0"/>
    <xf numFmtId="0" fontId="96" fillId="0" borderId="0"/>
    <xf numFmtId="0" fontId="95" fillId="0" borderId="0"/>
    <xf numFmtId="0" fontId="95" fillId="0" borderId="0"/>
    <xf numFmtId="0" fontId="96" fillId="0" borderId="0"/>
    <xf numFmtId="0" fontId="95" fillId="0" borderId="0"/>
    <xf numFmtId="0" fontId="96" fillId="0" borderId="0"/>
    <xf numFmtId="0" fontId="96" fillId="0" borderId="0"/>
    <xf numFmtId="0" fontId="96" fillId="0" borderId="0"/>
    <xf numFmtId="0" fontId="95" fillId="0" borderId="0"/>
    <xf numFmtId="0" fontId="96" fillId="0" borderId="0"/>
    <xf numFmtId="0" fontId="95" fillId="0" borderId="0"/>
    <xf numFmtId="0" fontId="95" fillId="0" borderId="0"/>
    <xf numFmtId="0" fontId="96" fillId="0" borderId="0"/>
    <xf numFmtId="0" fontId="95" fillId="0" borderId="0"/>
    <xf numFmtId="0" fontId="95" fillId="0" borderId="0"/>
    <xf numFmtId="0" fontId="95" fillId="0" borderId="0"/>
    <xf numFmtId="0" fontId="96" fillId="0" borderId="0"/>
    <xf numFmtId="0" fontId="95" fillId="0" borderId="0"/>
    <xf numFmtId="0" fontId="95" fillId="0" borderId="0"/>
    <xf numFmtId="0" fontId="95" fillId="0" borderId="0"/>
    <xf numFmtId="0" fontId="95" fillId="0" borderId="0"/>
    <xf numFmtId="0" fontId="95" fillId="0" borderId="0"/>
    <xf numFmtId="0" fontId="63" fillId="0" borderId="0"/>
    <xf numFmtId="0" fontId="13" fillId="0" borderId="0"/>
    <xf numFmtId="0" fontId="13" fillId="0" borderId="0"/>
    <xf numFmtId="0" fontId="13" fillId="0" borderId="0"/>
    <xf numFmtId="0" fontId="63" fillId="0" borderId="0"/>
    <xf numFmtId="0" fontId="13" fillId="0" borderId="0"/>
    <xf numFmtId="0" fontId="63" fillId="0" borderId="0"/>
    <xf numFmtId="0" fontId="63" fillId="0" borderId="0"/>
    <xf numFmtId="0" fontId="13" fillId="0" borderId="0"/>
    <xf numFmtId="0" fontId="13" fillId="0" borderId="0"/>
    <xf numFmtId="0" fontId="63" fillId="0" borderId="0"/>
    <xf numFmtId="0" fontId="63" fillId="0" borderId="0"/>
    <xf numFmtId="0" fontId="63" fillId="0" borderId="0"/>
    <xf numFmtId="0" fontId="13" fillId="0" borderId="0"/>
    <xf numFmtId="0" fontId="13" fillId="0" borderId="0"/>
    <xf numFmtId="0" fontId="13"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112" fillId="0" borderId="0"/>
    <xf numFmtId="0" fontId="95" fillId="0" borderId="0"/>
    <xf numFmtId="0" fontId="112" fillId="0" borderId="0"/>
    <xf numFmtId="0" fontId="112" fillId="0" borderId="0"/>
    <xf numFmtId="0" fontId="112" fillId="0" borderId="0"/>
    <xf numFmtId="0" fontId="63" fillId="0" borderId="0"/>
    <xf numFmtId="0" fontId="63" fillId="0" borderId="0"/>
    <xf numFmtId="0" fontId="63" fillId="0" borderId="0"/>
    <xf numFmtId="0" fontId="13" fillId="0" borderId="0"/>
    <xf numFmtId="0" fontId="13" fillId="10" borderId="18" applyNumberFormat="0" applyFont="0" applyAlignment="0" applyProtection="0"/>
    <xf numFmtId="0" fontId="113" fillId="76" borderId="53" applyNumberFormat="0" applyAlignment="0" applyProtection="0"/>
    <xf numFmtId="9" fontId="95" fillId="0" borderId="0" applyFont="0" applyFill="0" applyBorder="0" applyAlignment="0" applyProtection="0"/>
    <xf numFmtId="9" fontId="95" fillId="0" borderId="0" applyFont="0" applyFill="0" applyBorder="0" applyAlignment="0" applyProtection="0"/>
    <xf numFmtId="9" fontId="95" fillId="0" borderId="0" applyFont="0" applyFill="0" applyBorder="0" applyAlignment="0" applyProtection="0"/>
    <xf numFmtId="9" fontId="95" fillId="0" borderId="0" applyFont="0" applyFill="0" applyBorder="0" applyAlignment="0" applyProtection="0"/>
    <xf numFmtId="9" fontId="95" fillId="0" borderId="0" applyFont="0" applyFill="0" applyBorder="0" applyAlignment="0" applyProtection="0"/>
    <xf numFmtId="9" fontId="95" fillId="0" borderId="0" applyFont="0" applyFill="0" applyBorder="0" applyAlignment="0" applyProtection="0"/>
    <xf numFmtId="9" fontId="96" fillId="0" borderId="0" applyFont="0" applyFill="0" applyBorder="0" applyAlignment="0" applyProtection="0"/>
    <xf numFmtId="0" fontId="114" fillId="0" borderId="0" applyNumberFormat="0" applyFill="0" applyBorder="0" applyAlignment="0" applyProtection="0"/>
    <xf numFmtId="0" fontId="115" fillId="0" borderId="54" applyNumberFormat="0" applyFill="0" applyAlignment="0" applyProtection="0"/>
    <xf numFmtId="0" fontId="116" fillId="0" borderId="0" applyNumberFormat="0" applyFill="0" applyBorder="0" applyAlignment="0" applyProtection="0"/>
    <xf numFmtId="9" fontId="96" fillId="0" borderId="0" applyFont="0" applyFill="0" applyBorder="0" applyAlignment="0" applyProtection="0"/>
    <xf numFmtId="0" fontId="97" fillId="0" borderId="0" applyNumberFormat="0" applyFill="0" applyBorder="0" applyAlignment="0" applyProtection="0"/>
    <xf numFmtId="0" fontId="20" fillId="0" borderId="1" applyNumberFormat="0" applyFill="0" applyAlignment="0" applyProtection="0"/>
    <xf numFmtId="0" fontId="21" fillId="0" borderId="12" applyNumberFormat="0" applyFill="0" applyAlignment="0" applyProtection="0"/>
    <xf numFmtId="0" fontId="22" fillId="0" borderId="13" applyNumberFormat="0" applyFill="0" applyAlignment="0" applyProtection="0"/>
    <xf numFmtId="0" fontId="22" fillId="0" borderId="0" applyNumberFormat="0" applyFill="0" applyBorder="0" applyAlignment="0" applyProtection="0"/>
    <xf numFmtId="0" fontId="23" fillId="4" borderId="0" applyNumberFormat="0" applyBorder="0" applyAlignment="0" applyProtection="0"/>
    <xf numFmtId="0" fontId="24" fillId="5" borderId="0" applyNumberFormat="0" applyBorder="0" applyAlignment="0" applyProtection="0"/>
    <xf numFmtId="0" fontId="32" fillId="6" borderId="0" applyNumberFormat="0" applyBorder="0" applyAlignment="0" applyProtection="0"/>
    <xf numFmtId="0" fontId="25" fillId="7" borderId="14" applyNumberFormat="0" applyAlignment="0" applyProtection="0"/>
    <xf numFmtId="0" fontId="26" fillId="8" borderId="15" applyNumberFormat="0" applyAlignment="0" applyProtection="0"/>
    <xf numFmtId="0" fontId="27" fillId="8" borderId="14" applyNumberFormat="0" applyAlignment="0" applyProtection="0"/>
    <xf numFmtId="0" fontId="28" fillId="0" borderId="16" applyNumberFormat="0" applyFill="0" applyAlignment="0" applyProtection="0"/>
    <xf numFmtId="0" fontId="29" fillId="9" borderId="17" applyNumberFormat="0" applyAlignment="0" applyProtection="0"/>
    <xf numFmtId="0" fontId="16" fillId="0" borderId="0" applyNumberFormat="0" applyFill="0" applyBorder="0" applyAlignment="0" applyProtection="0"/>
    <xf numFmtId="0" fontId="30" fillId="0" borderId="0" applyNumberFormat="0" applyFill="0" applyBorder="0" applyAlignment="0" applyProtection="0"/>
    <xf numFmtId="0" fontId="6" fillId="0" borderId="19" applyNumberFormat="0" applyFill="0" applyAlignment="0" applyProtection="0"/>
    <xf numFmtId="0" fontId="31" fillId="11" borderId="0" applyNumberFormat="0" applyBorder="0" applyAlignment="0" applyProtection="0"/>
    <xf numFmtId="0" fontId="13" fillId="12" borderId="0" applyNumberFormat="0" applyBorder="0" applyAlignment="0" applyProtection="0"/>
    <xf numFmtId="0" fontId="13" fillId="13" borderId="0" applyNumberFormat="0" applyBorder="0" applyAlignment="0" applyProtection="0"/>
    <xf numFmtId="0" fontId="31" fillId="14" borderId="0" applyNumberFormat="0" applyBorder="0" applyAlignment="0" applyProtection="0"/>
    <xf numFmtId="0" fontId="31"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31" fillId="18" borderId="0" applyNumberFormat="0" applyBorder="0" applyAlignment="0" applyProtection="0"/>
    <xf numFmtId="0" fontId="31" fillId="19" borderId="0" applyNumberFormat="0" applyBorder="0" applyAlignment="0" applyProtection="0"/>
    <xf numFmtId="0" fontId="13" fillId="20" borderId="0" applyNumberFormat="0" applyBorder="0" applyAlignment="0" applyProtection="0"/>
    <xf numFmtId="0" fontId="13" fillId="21" borderId="0" applyNumberFormat="0" applyBorder="0" applyAlignment="0" applyProtection="0"/>
    <xf numFmtId="0" fontId="31" fillId="22" borderId="0" applyNumberFormat="0" applyBorder="0" applyAlignment="0" applyProtection="0"/>
    <xf numFmtId="0" fontId="31" fillId="23" borderId="0" applyNumberFormat="0" applyBorder="0" applyAlignment="0" applyProtection="0"/>
    <xf numFmtId="0" fontId="13" fillId="24" borderId="0" applyNumberFormat="0" applyBorder="0" applyAlignment="0" applyProtection="0"/>
    <xf numFmtId="0" fontId="13" fillId="25" borderId="0" applyNumberFormat="0" applyBorder="0" applyAlignment="0" applyProtection="0"/>
    <xf numFmtId="0" fontId="31" fillId="26" borderId="0" applyNumberFormat="0" applyBorder="0" applyAlignment="0" applyProtection="0"/>
    <xf numFmtId="0" fontId="31" fillId="27" borderId="0" applyNumberFormat="0" applyBorder="0" applyAlignment="0" applyProtection="0"/>
    <xf numFmtId="0" fontId="13" fillId="28" borderId="0" applyNumberFormat="0" applyBorder="0" applyAlignment="0" applyProtection="0"/>
    <xf numFmtId="0" fontId="13" fillId="29" borderId="0" applyNumberFormat="0" applyBorder="0" applyAlignment="0" applyProtection="0"/>
    <xf numFmtId="0" fontId="31" fillId="30" borderId="0" applyNumberFormat="0" applyBorder="0" applyAlignment="0" applyProtection="0"/>
    <xf numFmtId="0" fontId="31" fillId="31" borderId="0" applyNumberFormat="0" applyBorder="0" applyAlignment="0" applyProtection="0"/>
    <xf numFmtId="0" fontId="13" fillId="32" borderId="0" applyNumberFormat="0" applyBorder="0" applyAlignment="0" applyProtection="0"/>
    <xf numFmtId="0" fontId="13" fillId="33" borderId="0" applyNumberFormat="0" applyBorder="0" applyAlignment="0" applyProtection="0"/>
    <xf numFmtId="0" fontId="31" fillId="34" borderId="0" applyNumberFormat="0" applyBorder="0" applyAlignment="0" applyProtection="0"/>
  </cellStyleXfs>
  <cellXfs count="557">
    <xf numFmtId="0" fontId="0" fillId="0" borderId="0" xfId="0"/>
    <xf numFmtId="0" fontId="6" fillId="0" borderId="0" xfId="0" applyFont="1"/>
    <xf numFmtId="0" fontId="0" fillId="0" borderId="0" xfId="0" applyAlignment="1">
      <alignment horizontal="left"/>
    </xf>
    <xf numFmtId="0" fontId="6" fillId="2" borderId="0" xfId="0" applyFont="1" applyFill="1"/>
    <xf numFmtId="0" fontId="12" fillId="0" borderId="0" xfId="2" applyFont="1" applyBorder="1">
      <alignment wrapText="1"/>
    </xf>
    <xf numFmtId="0" fontId="0" fillId="0" borderId="8" xfId="2" applyFont="1" applyBorder="1">
      <alignment wrapText="1"/>
    </xf>
    <xf numFmtId="177" fontId="0" fillId="0" borderId="2" xfId="2" applyNumberFormat="1" applyFont="1" applyAlignment="1">
      <alignment horizontal="right" wrapText="1"/>
    </xf>
    <xf numFmtId="0" fontId="15" fillId="0" borderId="9" xfId="5" applyFont="1" applyBorder="1">
      <alignment wrapText="1"/>
    </xf>
    <xf numFmtId="177" fontId="7" fillId="0" borderId="4" xfId="5" applyNumberFormat="1" applyAlignment="1">
      <alignment horizontal="right" wrapText="1"/>
    </xf>
    <xf numFmtId="4" fontId="0" fillId="0" borderId="2" xfId="2" applyNumberFormat="1" applyFont="1" applyAlignment="1">
      <alignment horizontal="right" wrapText="1"/>
    </xf>
    <xf numFmtId="4" fontId="7" fillId="0" borderId="4" xfId="5" applyNumberFormat="1" applyAlignment="1">
      <alignment horizontal="right" wrapText="1"/>
    </xf>
    <xf numFmtId="1" fontId="6" fillId="0" borderId="0" xfId="0" applyNumberFormat="1" applyFont="1"/>
    <xf numFmtId="0" fontId="6" fillId="0" borderId="0" xfId="8" applyFont="1" applyFill="1"/>
    <xf numFmtId="0" fontId="6" fillId="0" borderId="0" xfId="2" applyFont="1" applyBorder="1">
      <alignment wrapText="1"/>
    </xf>
    <xf numFmtId="178" fontId="0" fillId="0" borderId="0" xfId="0" applyNumberFormat="1"/>
    <xf numFmtId="0" fontId="16" fillId="0" borderId="8" xfId="2" applyFont="1" applyBorder="1">
      <alignment wrapText="1"/>
    </xf>
    <xf numFmtId="11" fontId="0" fillId="0" borderId="0" xfId="0" applyNumberFormat="1"/>
    <xf numFmtId="0" fontId="8" fillId="0" borderId="0" xfId="0" applyFont="1" applyAlignment="1" applyProtection="1">
      <alignment horizontal="right"/>
      <protection locked="0"/>
    </xf>
    <xf numFmtId="0" fontId="8" fillId="0" borderId="0" xfId="0" applyFont="1"/>
    <xf numFmtId="1" fontId="8" fillId="0" borderId="0" xfId="0" applyNumberFormat="1" applyFont="1"/>
    <xf numFmtId="179" fontId="0" fillId="0" borderId="0" xfId="0" applyNumberFormat="1"/>
    <xf numFmtId="9" fontId="0" fillId="0" borderId="0" xfId="18" applyFont="1"/>
    <xf numFmtId="0" fontId="15" fillId="0" borderId="9" xfId="23">
      <alignment wrapText="1"/>
    </xf>
    <xf numFmtId="0" fontId="0" fillId="0" borderId="8" xfId="24" applyFont="1">
      <alignment wrapText="1"/>
    </xf>
    <xf numFmtId="0" fontId="33"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7" fillId="0" borderId="4" xfId="5" applyNumberFormat="1" applyAlignment="1">
      <alignment horizontal="right" wrapText="1"/>
    </xf>
    <xf numFmtId="11" fontId="8" fillId="0" borderId="0" xfId="0" applyNumberFormat="1" applyFont="1" applyAlignment="1" applyProtection="1">
      <alignment horizontal="right"/>
      <protection locked="0"/>
    </xf>
    <xf numFmtId="11" fontId="8" fillId="0" borderId="0" xfId="0" applyNumberFormat="1" applyFont="1"/>
    <xf numFmtId="0" fontId="5" fillId="36" borderId="0" xfId="85" applyFill="1"/>
    <xf numFmtId="0" fontId="40" fillId="37" borderId="0" xfId="86" applyFont="1" applyFill="1" applyAlignment="1">
      <alignment vertical="center" wrapText="1"/>
    </xf>
    <xf numFmtId="0" fontId="41" fillId="37" borderId="0" xfId="86" applyFont="1" applyFill="1" applyAlignment="1">
      <alignment horizontal="centerContinuous" vertical="center" wrapText="1"/>
    </xf>
    <xf numFmtId="0" fontId="42" fillId="37" borderId="0" xfId="86" applyFont="1" applyFill="1" applyAlignment="1">
      <alignment vertical="center" wrapText="1"/>
    </xf>
    <xf numFmtId="0" fontId="43" fillId="37" borderId="0" xfId="86" applyFont="1" applyFill="1" applyAlignment="1">
      <alignment vertical="center" wrapText="1"/>
    </xf>
    <xf numFmtId="0" fontId="43" fillId="37" borderId="0" xfId="86" applyFont="1" applyFill="1" applyAlignment="1">
      <alignment horizontal="center" vertical="center" wrapText="1"/>
    </xf>
    <xf numFmtId="0" fontId="42" fillId="37" borderId="0" xfId="86" applyFont="1" applyFill="1" applyAlignment="1">
      <alignment horizontal="center" vertical="center" wrapText="1"/>
    </xf>
    <xf numFmtId="0" fontId="44" fillId="36" borderId="0" xfId="86" applyFont="1" applyFill="1" applyAlignment="1">
      <alignment vertical="center" wrapText="1"/>
    </xf>
    <xf numFmtId="180" fontId="45" fillId="38" borderId="0" xfId="86" applyNumberFormat="1" applyFont="1" applyFill="1" applyAlignment="1">
      <alignment horizontal="right" vertical="center" wrapText="1"/>
    </xf>
    <xf numFmtId="180" fontId="45" fillId="36" borderId="0" xfId="86" applyNumberFormat="1" applyFont="1" applyFill="1" applyAlignment="1">
      <alignment horizontal="right" vertical="center" wrapText="1"/>
    </xf>
    <xf numFmtId="181" fontId="46" fillId="36" borderId="0" xfId="86" applyNumberFormat="1" applyFont="1" applyFill="1" applyAlignment="1">
      <alignment horizontal="right" vertical="center" wrapText="1"/>
    </xf>
    <xf numFmtId="181" fontId="47" fillId="36" borderId="0" xfId="86" applyNumberFormat="1" applyFont="1" applyFill="1" applyAlignment="1">
      <alignment horizontal="right" vertical="center" wrapText="1"/>
    </xf>
    <xf numFmtId="0" fontId="38" fillId="36" borderId="0" xfId="86" applyFont="1" applyFill="1" applyAlignment="1">
      <alignment horizontal="left" vertical="center" wrapText="1" indent="1"/>
    </xf>
    <xf numFmtId="182" fontId="48" fillId="38" borderId="0" xfId="86" applyNumberFormat="1" applyFont="1" applyFill="1" applyAlignment="1">
      <alignment horizontal="right" vertical="center" wrapText="1"/>
    </xf>
    <xf numFmtId="182" fontId="48" fillId="36" borderId="0" xfId="86" applyNumberFormat="1" applyFont="1" applyFill="1" applyAlignment="1">
      <alignment horizontal="right" vertical="center" wrapText="1"/>
    </xf>
    <xf numFmtId="180" fontId="48" fillId="36" borderId="0" xfId="86" applyNumberFormat="1" applyFont="1" applyFill="1" applyAlignment="1">
      <alignment horizontal="right" vertical="center" wrapText="1"/>
    </xf>
    <xf numFmtId="181" fontId="49" fillId="36" borderId="0" xfId="86" applyNumberFormat="1" applyFont="1" applyFill="1" applyAlignment="1">
      <alignment horizontal="right" vertical="center" wrapText="1"/>
    </xf>
    <xf numFmtId="183" fontId="48" fillId="36" borderId="0" xfId="86" applyNumberFormat="1" applyFont="1" applyFill="1" applyAlignment="1">
      <alignment horizontal="right" vertical="center" wrapText="1"/>
    </xf>
    <xf numFmtId="0" fontId="38" fillId="36" borderId="0" xfId="86" applyFont="1" applyFill="1" applyAlignment="1">
      <alignment horizontal="left" vertical="center" wrapText="1" indent="2"/>
    </xf>
    <xf numFmtId="0" fontId="38" fillId="36" borderId="21" xfId="86" applyFont="1" applyFill="1" applyBorder="1" applyAlignment="1">
      <alignment horizontal="left" vertical="center" wrapText="1" indent="2"/>
    </xf>
    <xf numFmtId="0" fontId="50" fillId="36" borderId="22" xfId="86" applyFont="1" applyFill="1" applyBorder="1" applyAlignment="1">
      <alignment vertical="center" wrapText="1"/>
    </xf>
    <xf numFmtId="180" fontId="49" fillId="38" borderId="22" xfId="86" applyNumberFormat="1" applyFont="1" applyFill="1" applyBorder="1" applyAlignment="1">
      <alignment horizontal="right" vertical="center" wrapText="1"/>
    </xf>
    <xf numFmtId="180" fontId="49" fillId="36" borderId="22" xfId="86" applyNumberFormat="1" applyFont="1" applyFill="1" applyBorder="1" applyAlignment="1">
      <alignment horizontal="right" vertical="center" wrapText="1"/>
    </xf>
    <xf numFmtId="181" fontId="49" fillId="36" borderId="22" xfId="86" applyNumberFormat="1" applyFont="1" applyFill="1" applyBorder="1" applyAlignment="1">
      <alignment horizontal="right" vertical="center" wrapText="1"/>
    </xf>
    <xf numFmtId="183" fontId="49" fillId="36" borderId="22" xfId="86" applyNumberFormat="1" applyFont="1" applyFill="1" applyBorder="1" applyAlignment="1">
      <alignment horizontal="right" vertical="center" wrapText="1"/>
    </xf>
    <xf numFmtId="0" fontId="51" fillId="36" borderId="0" xfId="85" applyFont="1" applyFill="1"/>
    <xf numFmtId="0" fontId="5" fillId="36" borderId="0" xfId="85" applyFill="1" applyAlignment="1">
      <alignment horizontal="right" indent="1"/>
    </xf>
    <xf numFmtId="0" fontId="51" fillId="36" borderId="0" xfId="85" applyFont="1" applyFill="1" applyAlignment="1">
      <alignment horizontal="right" indent="1"/>
    </xf>
    <xf numFmtId="181" fontId="48" fillId="36" borderId="0" xfId="86" applyNumberFormat="1" applyFont="1" applyFill="1" applyAlignment="1">
      <alignment horizontal="right" vertical="center" wrapText="1"/>
    </xf>
    <xf numFmtId="182" fontId="55" fillId="38" borderId="0" xfId="86" applyNumberFormat="1" applyFont="1" applyFill="1" applyAlignment="1">
      <alignment horizontal="right" vertical="center" wrapText="1"/>
    </xf>
    <xf numFmtId="182" fontId="55" fillId="36" borderId="0" xfId="86" applyNumberFormat="1" applyFont="1" applyFill="1" applyAlignment="1">
      <alignment horizontal="right" vertical="center" wrapText="1"/>
    </xf>
    <xf numFmtId="180" fontId="55" fillId="36" borderId="0" xfId="86" applyNumberFormat="1" applyFont="1" applyFill="1" applyAlignment="1">
      <alignment horizontal="right" vertical="center" wrapText="1"/>
    </xf>
    <xf numFmtId="183" fontId="56" fillId="36" borderId="0" xfId="86" applyNumberFormat="1" applyFont="1" applyFill="1" applyAlignment="1">
      <alignment horizontal="right" vertical="center" wrapText="1"/>
    </xf>
    <xf numFmtId="183" fontId="55" fillId="36" borderId="0" xfId="86" applyNumberFormat="1" applyFont="1" applyFill="1" applyAlignment="1">
      <alignment horizontal="right" vertical="center" wrapText="1"/>
    </xf>
    <xf numFmtId="183" fontId="49" fillId="36" borderId="0" xfId="86" applyNumberFormat="1" applyFont="1" applyFill="1" applyAlignment="1">
      <alignment horizontal="right" vertical="center" wrapText="1"/>
    </xf>
    <xf numFmtId="182" fontId="45" fillId="38" borderId="0" xfId="86" applyNumberFormat="1" applyFont="1" applyFill="1" applyAlignment="1">
      <alignment horizontal="right" vertical="center" wrapText="1"/>
    </xf>
    <xf numFmtId="182" fontId="45" fillId="36" borderId="0" xfId="86" applyNumberFormat="1" applyFont="1" applyFill="1" applyAlignment="1">
      <alignment horizontal="right" vertical="center" wrapText="1"/>
    </xf>
    <xf numFmtId="180" fontId="48" fillId="36" borderId="0" xfId="86" applyNumberFormat="1" applyFont="1" applyFill="1" applyAlignment="1">
      <alignment horizontal="right" vertical="center" wrapText="1" indent="1"/>
    </xf>
    <xf numFmtId="183" fontId="49" fillId="36" borderId="0" xfId="86" applyNumberFormat="1" applyFont="1" applyFill="1" applyAlignment="1">
      <alignment horizontal="right" vertical="center" wrapText="1" indent="1"/>
    </xf>
    <xf numFmtId="183" fontId="48" fillId="36" borderId="0" xfId="86" applyNumberFormat="1" applyFont="1" applyFill="1" applyAlignment="1">
      <alignment horizontal="right" vertical="center" wrapText="1" indent="1"/>
    </xf>
    <xf numFmtId="184" fontId="45" fillId="38" borderId="0" xfId="86" applyNumberFormat="1" applyFont="1" applyFill="1" applyAlignment="1">
      <alignment horizontal="right" vertical="center" wrapText="1"/>
    </xf>
    <xf numFmtId="184" fontId="45" fillId="36" borderId="0" xfId="86" applyNumberFormat="1" applyFont="1" applyFill="1" applyAlignment="1">
      <alignment horizontal="right" vertical="center" wrapText="1"/>
    </xf>
    <xf numFmtId="181" fontId="57" fillId="36" borderId="0" xfId="86" applyNumberFormat="1" applyFont="1" applyFill="1" applyAlignment="1">
      <alignment horizontal="right" vertical="center" wrapText="1"/>
    </xf>
    <xf numFmtId="183" fontId="45" fillId="36" borderId="0" xfId="86" applyNumberFormat="1" applyFont="1" applyFill="1" applyAlignment="1">
      <alignment horizontal="right" vertical="center" wrapText="1"/>
    </xf>
    <xf numFmtId="184" fontId="48" fillId="38" borderId="0" xfId="86" applyNumberFormat="1" applyFont="1" applyFill="1" applyAlignment="1">
      <alignment horizontal="right" vertical="center" wrapText="1"/>
    </xf>
    <xf numFmtId="184" fontId="48" fillId="36" borderId="0" xfId="86" applyNumberFormat="1" applyFont="1" applyFill="1" applyAlignment="1">
      <alignment horizontal="right" vertical="center" wrapText="1"/>
    </xf>
    <xf numFmtId="181" fontId="48" fillId="38" borderId="0" xfId="86" applyNumberFormat="1" applyFont="1" applyFill="1" applyAlignment="1">
      <alignment horizontal="right" vertical="center" wrapText="1"/>
    </xf>
    <xf numFmtId="181" fontId="49" fillId="36" borderId="0" xfId="86" applyNumberFormat="1" applyFont="1" applyFill="1" applyAlignment="1">
      <alignment horizontal="right" vertical="center" wrapText="1" indent="1"/>
    </xf>
    <xf numFmtId="0" fontId="44" fillId="36" borderId="0" xfId="86" applyFont="1" applyFill="1" applyAlignment="1">
      <alignment horizontal="left" vertical="center" wrapText="1"/>
    </xf>
    <xf numFmtId="180" fontId="59" fillId="36" borderId="0" xfId="86" applyNumberFormat="1" applyFont="1" applyFill="1" applyAlignment="1">
      <alignment horizontal="right" vertical="center" wrapText="1"/>
    </xf>
    <xf numFmtId="181" fontId="56" fillId="36" borderId="0" xfId="86" applyNumberFormat="1" applyFont="1" applyFill="1" applyAlignment="1">
      <alignment horizontal="right" vertical="center" wrapText="1"/>
    </xf>
    <xf numFmtId="180" fontId="48" fillId="38" borderId="0" xfId="86" applyNumberFormat="1" applyFont="1" applyFill="1" applyAlignment="1">
      <alignment horizontal="right" vertical="center" wrapText="1"/>
    </xf>
    <xf numFmtId="0" fontId="50" fillId="36" borderId="24" xfId="86" applyFont="1" applyFill="1" applyBorder="1" applyAlignment="1">
      <alignment vertical="center" wrapText="1"/>
    </xf>
    <xf numFmtId="180" fontId="49" fillId="38" borderId="24" xfId="86" applyNumberFormat="1" applyFont="1" applyFill="1" applyBorder="1" applyAlignment="1">
      <alignment horizontal="right" vertical="center" wrapText="1"/>
    </xf>
    <xf numFmtId="180" fontId="49" fillId="36" borderId="24" xfId="86" applyNumberFormat="1" applyFont="1" applyFill="1" applyBorder="1" applyAlignment="1">
      <alignment horizontal="right" vertical="center" wrapText="1"/>
    </xf>
    <xf numFmtId="181" fontId="47" fillId="36" borderId="24" xfId="86" applyNumberFormat="1" applyFont="1" applyFill="1" applyBorder="1" applyAlignment="1">
      <alignment horizontal="right" vertical="center" wrapText="1"/>
    </xf>
    <xf numFmtId="0" fontId="61" fillId="35" borderId="0" xfId="86" applyFont="1" applyFill="1">
      <alignment vertical="center"/>
    </xf>
    <xf numFmtId="185" fontId="64" fillId="35" borderId="0" xfId="86" applyNumberFormat="1" applyFont="1" applyFill="1">
      <alignment vertical="center"/>
    </xf>
    <xf numFmtId="186" fontId="61" fillId="35" borderId="0" xfId="86" applyNumberFormat="1" applyFont="1" applyFill="1">
      <alignment vertical="center"/>
    </xf>
    <xf numFmtId="0" fontId="61" fillId="35" borderId="0" xfId="0" applyFont="1" applyFill="1" applyAlignment="1">
      <alignment horizontal="left" vertical="center" indent="3"/>
    </xf>
    <xf numFmtId="0" fontId="9"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85" fontId="64" fillId="0" borderId="0" xfId="86" applyNumberFormat="1" applyFont="1">
      <alignment vertical="center"/>
    </xf>
    <xf numFmtId="185" fontId="63" fillId="0" borderId="0" xfId="85" applyNumberFormat="1" applyFont="1" applyAlignment="1">
      <alignment vertical="center"/>
    </xf>
    <xf numFmtId="186"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85"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85"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85"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85"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85"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88" fontId="43" fillId="37" borderId="0" xfId="86" applyNumberFormat="1" applyFont="1" applyFill="1" applyAlignment="1">
      <alignment vertical="center" wrapText="1"/>
    </xf>
    <xf numFmtId="189" fontId="0" fillId="0" borderId="0" xfId="84" quotePrefix="1" applyNumberFormat="1" applyFont="1" applyAlignment="1"/>
    <xf numFmtId="189" fontId="41" fillId="37" borderId="0" xfId="86" applyNumberFormat="1" applyFont="1" applyFill="1" applyAlignment="1">
      <alignment horizontal="centerContinuous" vertical="center" wrapText="1"/>
    </xf>
    <xf numFmtId="189" fontId="45" fillId="38" borderId="0" xfId="86" applyNumberFormat="1" applyFont="1" applyFill="1" applyAlignment="1">
      <alignment horizontal="right" vertical="center" wrapText="1"/>
    </xf>
    <xf numFmtId="189" fontId="45" fillId="36" borderId="0" xfId="86" applyNumberFormat="1" applyFont="1" applyFill="1" applyAlignment="1">
      <alignment horizontal="right" vertical="center" wrapText="1"/>
    </xf>
    <xf numFmtId="189" fontId="48" fillId="38" borderId="0" xfId="84" applyNumberFormat="1" applyFont="1" applyFill="1" applyBorder="1" applyAlignment="1">
      <alignment horizontal="right" vertical="center" wrapText="1"/>
    </xf>
    <xf numFmtId="189" fontId="5" fillId="36" borderId="0" xfId="85" applyNumberFormat="1" applyFill="1"/>
    <xf numFmtId="189" fontId="48" fillId="36" borderId="0" xfId="86" applyNumberFormat="1" applyFont="1" applyFill="1" applyAlignment="1">
      <alignment horizontal="right" vertical="center" wrapText="1"/>
    </xf>
    <xf numFmtId="189" fontId="48" fillId="38" borderId="31" xfId="84" applyNumberFormat="1" applyFont="1" applyFill="1" applyBorder="1" applyAlignment="1">
      <alignment horizontal="right" vertical="center" wrapText="1"/>
    </xf>
    <xf numFmtId="0" fontId="38" fillId="36" borderId="0" xfId="85" applyFont="1" applyFill="1" applyAlignment="1">
      <alignment wrapText="1"/>
    </xf>
    <xf numFmtId="189" fontId="0" fillId="0" borderId="0" xfId="84" applyNumberFormat="1" applyFont="1" applyAlignment="1">
      <alignment horizontal="center"/>
    </xf>
    <xf numFmtId="189" fontId="0" fillId="0" borderId="0" xfId="84" applyNumberFormat="1" applyFont="1" applyAlignment="1"/>
    <xf numFmtId="188" fontId="43" fillId="37" borderId="32" xfId="86" applyNumberFormat="1" applyFont="1" applyFill="1" applyBorder="1" applyAlignment="1">
      <alignment vertical="center" wrapText="1"/>
    </xf>
    <xf numFmtId="189" fontId="45" fillId="36" borderId="32" xfId="86" applyNumberFormat="1" applyFont="1" applyFill="1" applyBorder="1" applyAlignment="1">
      <alignment horizontal="right" vertical="center" wrapText="1"/>
    </xf>
    <xf numFmtId="189" fontId="48" fillId="36" borderId="32" xfId="86" applyNumberFormat="1" applyFont="1" applyFill="1" applyBorder="1" applyAlignment="1">
      <alignment horizontal="right" vertical="center" wrapText="1"/>
    </xf>
    <xf numFmtId="0" fontId="70" fillId="0" borderId="0" xfId="0" applyFont="1"/>
    <xf numFmtId="189" fontId="70" fillId="0" borderId="0" xfId="0" applyNumberFormat="1" applyFont="1"/>
    <xf numFmtId="189" fontId="71" fillId="0" borderId="0" xfId="84" quotePrefix="1" applyNumberFormat="1" applyFont="1" applyAlignment="1"/>
    <xf numFmtId="189" fontId="71" fillId="0" borderId="0" xfId="0" applyNumberFormat="1" applyFont="1"/>
    <xf numFmtId="189" fontId="48" fillId="36" borderId="31" xfId="86" applyNumberFormat="1" applyFont="1" applyFill="1" applyBorder="1" applyAlignment="1">
      <alignment horizontal="right" vertical="center" wrapText="1"/>
    </xf>
    <xf numFmtId="189" fontId="48" fillId="36" borderId="33" xfId="86" applyNumberFormat="1" applyFont="1" applyFill="1" applyBorder="1" applyAlignment="1">
      <alignment horizontal="right" vertical="center" wrapText="1"/>
    </xf>
    <xf numFmtId="0" fontId="65" fillId="36" borderId="34" xfId="85" applyFont="1" applyFill="1" applyBorder="1"/>
    <xf numFmtId="41" fontId="65" fillId="0" borderId="34" xfId="84" applyFont="1" applyBorder="1" applyAlignment="1"/>
    <xf numFmtId="2" fontId="65" fillId="0" borderId="34" xfId="0" applyNumberFormat="1" applyFont="1" applyBorder="1"/>
    <xf numFmtId="189" fontId="0" fillId="0" borderId="0" xfId="0" applyNumberFormat="1"/>
    <xf numFmtId="9" fontId="5" fillId="36" borderId="0" xfId="85" applyNumberFormat="1" applyFill="1"/>
    <xf numFmtId="187" fontId="48" fillId="36" borderId="0" xfId="84" applyNumberFormat="1" applyFont="1" applyFill="1" applyBorder="1" applyAlignment="1">
      <alignment horizontal="right" vertical="center" wrapText="1"/>
    </xf>
    <xf numFmtId="190" fontId="72" fillId="36" borderId="0" xfId="85" applyNumberFormat="1" applyFont="1" applyFill="1"/>
    <xf numFmtId="0" fontId="0" fillId="0" borderId="0" xfId="0" applyAlignment="1">
      <alignment vertical="center"/>
    </xf>
    <xf numFmtId="177"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85" fontId="64" fillId="41" borderId="0" xfId="86" applyNumberFormat="1" applyFont="1" applyFill="1">
      <alignment vertical="center"/>
    </xf>
    <xf numFmtId="186"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85" fontId="64" fillId="49" borderId="0" xfId="86" applyNumberFormat="1" applyFont="1" applyFill="1">
      <alignment vertical="center"/>
    </xf>
    <xf numFmtId="186"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85" fontId="64" fillId="40" borderId="0" xfId="86" applyNumberFormat="1" applyFont="1" applyFill="1">
      <alignment vertical="center"/>
    </xf>
    <xf numFmtId="186"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85" fontId="64" fillId="46" borderId="0" xfId="86" applyNumberFormat="1" applyFont="1" applyFill="1">
      <alignment vertical="center"/>
    </xf>
    <xf numFmtId="186"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85" fontId="64" fillId="54" borderId="0" xfId="86" applyNumberFormat="1" applyFont="1" applyFill="1">
      <alignment vertical="center"/>
    </xf>
    <xf numFmtId="186" fontId="61" fillId="54" borderId="0" xfId="86" applyNumberFormat="1" applyFont="1" applyFill="1">
      <alignment vertical="center"/>
    </xf>
    <xf numFmtId="0" fontId="61" fillId="54" borderId="0" xfId="86" applyFont="1" applyFill="1">
      <alignment vertical="center"/>
    </xf>
    <xf numFmtId="0" fontId="4" fillId="36" borderId="0" xfId="87" applyFill="1"/>
    <xf numFmtId="0" fontId="51" fillId="36" borderId="0" xfId="87" applyFont="1" applyFill="1"/>
    <xf numFmtId="0" fontId="4" fillId="36" borderId="0" xfId="87" applyFill="1" applyAlignment="1">
      <alignment horizontal="right"/>
    </xf>
    <xf numFmtId="0" fontId="51" fillId="36" borderId="0" xfId="87" applyFont="1" applyFill="1" applyAlignment="1">
      <alignment horizontal="right"/>
    </xf>
    <xf numFmtId="0" fontId="4" fillId="36" borderId="0" xfId="87" applyFill="1" applyAlignment="1">
      <alignment horizontal="right" indent="1"/>
    </xf>
    <xf numFmtId="0" fontId="51" fillId="36" borderId="0" xfId="87" applyFont="1" applyFill="1" applyAlignment="1">
      <alignment horizontal="right" indent="1"/>
    </xf>
    <xf numFmtId="0" fontId="68" fillId="55" borderId="28" xfId="86" applyFont="1" applyFill="1" applyBorder="1">
      <alignment vertical="center"/>
    </xf>
    <xf numFmtId="190" fontId="48" fillId="36" borderId="0" xfId="18" applyNumberFormat="1" applyFont="1" applyFill="1" applyBorder="1" applyAlignment="1">
      <alignment horizontal="right" vertical="center" wrapText="1"/>
    </xf>
    <xf numFmtId="0" fontId="50" fillId="36" borderId="0" xfId="86" applyFont="1" applyFill="1" applyAlignment="1">
      <alignment vertical="center" wrapText="1"/>
    </xf>
    <xf numFmtId="189" fontId="49" fillId="36" borderId="0" xfId="86" applyNumberFormat="1" applyFont="1" applyFill="1" applyAlignment="1">
      <alignment horizontal="right" vertical="center" wrapText="1"/>
    </xf>
    <xf numFmtId="189" fontId="48" fillId="36" borderId="0" xfId="84" applyNumberFormat="1" applyFont="1" applyFill="1" applyBorder="1" applyAlignment="1">
      <alignment horizontal="right" vertical="center" wrapText="1"/>
    </xf>
    <xf numFmtId="41"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85" fontId="64" fillId="43" borderId="0" xfId="86" applyNumberFormat="1" applyFont="1" applyFill="1">
      <alignment vertical="center"/>
    </xf>
    <xf numFmtId="186"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82" fontId="74" fillId="38" borderId="0" xfId="86" applyNumberFormat="1" applyFont="1" applyFill="1" applyAlignment="1">
      <alignment horizontal="right" vertical="center" wrapText="1"/>
    </xf>
    <xf numFmtId="182" fontId="74" fillId="36" borderId="0" xfId="86" applyNumberFormat="1" applyFont="1" applyFill="1" applyAlignment="1">
      <alignment horizontal="right" vertical="center" wrapText="1"/>
    </xf>
    <xf numFmtId="183"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82" fontId="76" fillId="38" borderId="0" xfId="86" applyNumberFormat="1" applyFont="1" applyFill="1" applyAlignment="1">
      <alignment horizontal="right" vertical="center" wrapText="1"/>
    </xf>
    <xf numFmtId="182"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85" fontId="64" fillId="47" borderId="0" xfId="86" applyNumberFormat="1" applyFont="1" applyFill="1">
      <alignment vertical="center"/>
    </xf>
    <xf numFmtId="186" fontId="61" fillId="47" borderId="0" xfId="86" applyNumberFormat="1" applyFont="1" applyFill="1">
      <alignment vertical="center"/>
    </xf>
    <xf numFmtId="0" fontId="61" fillId="47" borderId="0" xfId="86" applyFont="1" applyFill="1">
      <alignment vertical="center"/>
    </xf>
    <xf numFmtId="180" fontId="74" fillId="36" borderId="0" xfId="86" applyNumberFormat="1" applyFont="1" applyFill="1" applyAlignment="1">
      <alignment horizontal="right" vertical="center" wrapText="1"/>
    </xf>
    <xf numFmtId="182" fontId="77" fillId="38" borderId="0" xfId="86" applyNumberFormat="1" applyFont="1" applyFill="1" applyAlignment="1">
      <alignment horizontal="right" vertical="center" wrapText="1"/>
    </xf>
    <xf numFmtId="182" fontId="77" fillId="36" borderId="0" xfId="86" applyNumberFormat="1" applyFont="1" applyFill="1" applyAlignment="1">
      <alignment horizontal="right" vertical="center" wrapText="1"/>
    </xf>
    <xf numFmtId="0" fontId="38"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85" fontId="64" fillId="56" borderId="0" xfId="86" applyNumberFormat="1" applyFont="1" applyFill="1">
      <alignment vertical="center"/>
    </xf>
    <xf numFmtId="186"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6"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89" fontId="39" fillId="36" borderId="0" xfId="0" applyNumberFormat="1" applyFont="1" applyFill="1"/>
    <xf numFmtId="0" fontId="78" fillId="36" borderId="0" xfId="85" applyFont="1" applyFill="1"/>
    <xf numFmtId="189" fontId="39" fillId="36" borderId="0" xfId="84" applyNumberFormat="1" applyFont="1" applyFill="1" applyBorder="1" applyAlignment="1"/>
    <xf numFmtId="0" fontId="79" fillId="0" borderId="25" xfId="85" applyFont="1" applyBorder="1" applyAlignment="1">
      <alignment vertical="top"/>
    </xf>
    <xf numFmtId="0" fontId="3" fillId="36" borderId="0" xfId="88" applyFill="1"/>
    <xf numFmtId="0" fontId="51" fillId="36" borderId="0" xfId="88" applyFont="1" applyFill="1"/>
    <xf numFmtId="0" fontId="3" fillId="36" borderId="0" xfId="88" applyFill="1" applyAlignment="1">
      <alignment horizontal="right" indent="1"/>
    </xf>
    <xf numFmtId="0" fontId="51"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85" fontId="64" fillId="3" borderId="0" xfId="86" applyNumberFormat="1" applyFont="1" applyFill="1">
      <alignment vertical="center"/>
    </xf>
    <xf numFmtId="186"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87"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87" fontId="65" fillId="57" borderId="25" xfId="0" applyNumberFormat="1" applyFont="1" applyFill="1" applyBorder="1" applyAlignment="1">
      <alignment vertical="top"/>
    </xf>
    <xf numFmtId="187"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87"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87"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87" fontId="65" fillId="0" borderId="0" xfId="0" applyNumberFormat="1" applyFont="1" applyAlignment="1">
      <alignment wrapText="1"/>
    </xf>
    <xf numFmtId="187"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87" fontId="65" fillId="39" borderId="25" xfId="0" applyNumberFormat="1" applyFont="1" applyFill="1" applyBorder="1" applyAlignment="1">
      <alignment wrapText="1"/>
    </xf>
    <xf numFmtId="187"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87" fontId="65" fillId="41" borderId="25" xfId="0" applyNumberFormat="1" applyFont="1" applyFill="1" applyBorder="1" applyAlignment="1">
      <alignment wrapText="1"/>
    </xf>
    <xf numFmtId="187" fontId="65" fillId="41" borderId="25" xfId="84" applyNumberFormat="1" applyFont="1" applyFill="1" applyBorder="1" applyAlignment="1">
      <alignment wrapText="1"/>
    </xf>
    <xf numFmtId="191" fontId="0" fillId="0" borderId="0" xfId="84" applyNumberFormat="1" applyFont="1" applyAlignment="1"/>
    <xf numFmtId="0" fontId="39" fillId="36" borderId="0" xfId="85" applyFont="1" applyFill="1"/>
    <xf numFmtId="0" fontId="0" fillId="0" borderId="0" xfId="0" applyAlignment="1">
      <alignment vertical="top"/>
    </xf>
    <xf numFmtId="41"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9" fillId="36" borderId="0" xfId="0" applyFont="1" applyFill="1" applyAlignment="1">
      <alignment vertical="center"/>
    </xf>
    <xf numFmtId="0" fontId="39" fillId="36" borderId="43" xfId="0" applyFont="1" applyFill="1" applyBorder="1" applyAlignment="1">
      <alignment vertical="center"/>
    </xf>
    <xf numFmtId="0" fontId="39" fillId="41" borderId="43" xfId="0" applyFont="1" applyFill="1" applyBorder="1" applyAlignment="1">
      <alignment vertical="center"/>
    </xf>
    <xf numFmtId="0" fontId="78" fillId="36" borderId="43" xfId="0" applyFont="1" applyFill="1" applyBorder="1" applyAlignment="1">
      <alignment vertical="center"/>
    </xf>
    <xf numFmtId="41" fontId="39" fillId="36" borderId="43" xfId="84" applyFont="1" applyFill="1" applyBorder="1">
      <alignment vertical="center"/>
    </xf>
    <xf numFmtId="41" fontId="0" fillId="0" borderId="0" xfId="84" applyFont="1">
      <alignment vertical="center"/>
    </xf>
    <xf numFmtId="0" fontId="82" fillId="58" borderId="0" xfId="0" applyFont="1" applyFill="1"/>
    <xf numFmtId="190" fontId="0" fillId="0" borderId="0" xfId="18" applyNumberFormat="1" applyFont="1"/>
    <xf numFmtId="41" fontId="0" fillId="39" borderId="34" xfId="84" applyFont="1" applyFill="1" applyBorder="1" applyAlignment="1"/>
    <xf numFmtId="41" fontId="0" fillId="39" borderId="34" xfId="0" applyNumberFormat="1" applyFill="1" applyBorder="1"/>
    <xf numFmtId="11" fontId="0" fillId="0" borderId="34" xfId="0" applyNumberFormat="1" applyBorder="1"/>
    <xf numFmtId="41"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3" fillId="39" borderId="34" xfId="18" applyFont="1" applyFill="1" applyBorder="1"/>
    <xf numFmtId="9" fontId="39" fillId="39" borderId="34" xfId="18" applyFont="1" applyFill="1" applyBorder="1"/>
    <xf numFmtId="9" fontId="39" fillId="39" borderId="34" xfId="0" applyNumberFormat="1" applyFont="1" applyFill="1" applyBorder="1"/>
    <xf numFmtId="9" fontId="0" fillId="0" borderId="34" xfId="0" applyNumberFormat="1" applyBorder="1"/>
    <xf numFmtId="9" fontId="0" fillId="39" borderId="34" xfId="0" applyNumberFormat="1" applyFill="1" applyBorder="1"/>
    <xf numFmtId="41" fontId="39" fillId="39" borderId="34" xfId="84" applyFont="1" applyFill="1" applyBorder="1" applyAlignment="1"/>
    <xf numFmtId="0" fontId="0" fillId="36" borderId="0" xfId="0" applyFill="1"/>
    <xf numFmtId="0" fontId="65" fillId="36" borderId="0" xfId="0" applyFont="1" applyFill="1"/>
    <xf numFmtId="189" fontId="31" fillId="15" borderId="0" xfId="45" applyNumberFormat="1" applyBorder="1" applyAlignment="1"/>
    <xf numFmtId="189" fontId="31" fillId="15" borderId="0" xfId="45" applyNumberFormat="1" applyAlignment="1"/>
    <xf numFmtId="189" fontId="31" fillId="15" borderId="41" xfId="45" applyNumberFormat="1" applyBorder="1" applyAlignment="1"/>
    <xf numFmtId="11" fontId="31" fillId="15" borderId="34" xfId="45" applyNumberFormat="1" applyBorder="1"/>
    <xf numFmtId="0" fontId="6" fillId="60" borderId="0" xfId="0" applyFont="1" applyFill="1"/>
    <xf numFmtId="0" fontId="0" fillId="60" borderId="0" xfId="0" applyFill="1"/>
    <xf numFmtId="9" fontId="0" fillId="61" borderId="0" xfId="18" applyFont="1" applyFill="1"/>
    <xf numFmtId="0" fontId="6" fillId="3" borderId="0" xfId="0" applyFont="1" applyFill="1"/>
    <xf numFmtId="0" fontId="0" fillId="3" borderId="0" xfId="0" applyFill="1"/>
    <xf numFmtId="0" fontId="0" fillId="0" borderId="0" xfId="0" applyAlignment="1">
      <alignment wrapText="1"/>
    </xf>
    <xf numFmtId="0" fontId="5" fillId="38" borderId="0" xfId="85" applyFill="1"/>
    <xf numFmtId="180" fontId="49" fillId="38" borderId="0" xfId="86" applyNumberFormat="1" applyFont="1" applyFill="1" applyAlignment="1">
      <alignment horizontal="right" vertical="center" wrapText="1"/>
    </xf>
    <xf numFmtId="180" fontId="49" fillId="36" borderId="0" xfId="86" applyNumberFormat="1" applyFont="1" applyFill="1" applyAlignment="1">
      <alignment horizontal="right" vertical="center" wrapText="1"/>
    </xf>
    <xf numFmtId="189" fontId="48" fillId="38" borderId="0" xfId="86" applyNumberFormat="1" applyFont="1" applyFill="1" applyAlignment="1">
      <alignment horizontal="right" vertical="center" wrapText="1"/>
    </xf>
    <xf numFmtId="190" fontId="5" fillId="36" borderId="0" xfId="85" applyNumberFormat="1" applyFill="1"/>
    <xf numFmtId="0" fontId="38" fillId="36" borderId="0" xfId="85" applyFont="1" applyFill="1"/>
    <xf numFmtId="189" fontId="48" fillId="38" borderId="44" xfId="86" applyNumberFormat="1" applyFont="1" applyFill="1" applyBorder="1" applyAlignment="1">
      <alignment horizontal="right" vertical="center" wrapText="1"/>
    </xf>
    <xf numFmtId="190" fontId="48" fillId="38" borderId="0" xfId="18" applyNumberFormat="1" applyFont="1" applyFill="1" applyBorder="1" applyAlignment="1">
      <alignment horizontal="right" vertical="center" wrapText="1"/>
    </xf>
    <xf numFmtId="189" fontId="48" fillId="36" borderId="45" xfId="86" applyNumberFormat="1" applyFont="1" applyFill="1" applyBorder="1" applyAlignment="1">
      <alignment horizontal="right" vertical="center" wrapText="1"/>
    </xf>
    <xf numFmtId="189" fontId="48" fillId="38" borderId="31" xfId="86" applyNumberFormat="1" applyFont="1" applyFill="1" applyBorder="1" applyAlignment="1">
      <alignment horizontal="right" vertical="center" wrapText="1"/>
    </xf>
    <xf numFmtId="0" fontId="38" fillId="36" borderId="0" xfId="86" applyFont="1" applyFill="1" applyAlignment="1">
      <alignment horizontal="left" vertical="center" indent="1"/>
    </xf>
    <xf numFmtId="0" fontId="43" fillId="37" borderId="0" xfId="86" applyFont="1" applyFill="1" applyAlignment="1">
      <alignment horizontal="center" vertical="center"/>
    </xf>
    <xf numFmtId="189" fontId="48" fillId="36" borderId="46"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85" fontId="64" fillId="3" borderId="25" xfId="86" applyNumberFormat="1" applyFont="1" applyFill="1" applyBorder="1">
      <alignment vertical="center"/>
    </xf>
    <xf numFmtId="185"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85"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85"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189" fontId="48" fillId="3" borderId="0" xfId="86" applyNumberFormat="1" applyFont="1" applyFill="1" applyAlignment="1">
      <alignment horizontal="right" vertical="center" wrapText="1"/>
    </xf>
    <xf numFmtId="189" fontId="48" fillId="3" borderId="32" xfId="86" applyNumberFormat="1" applyFont="1" applyFill="1" applyBorder="1" applyAlignment="1">
      <alignment horizontal="right" vertical="center" wrapText="1"/>
    </xf>
    <xf numFmtId="0" fontId="16" fillId="3" borderId="0" xfId="0" applyFont="1" applyFill="1"/>
    <xf numFmtId="11" fontId="85" fillId="3" borderId="0" xfId="0" applyNumberFormat="1" applyFont="1" applyFill="1"/>
    <xf numFmtId="189" fontId="86" fillId="3" borderId="0" xfId="84" applyNumberFormat="1" applyFont="1" applyFill="1" applyBorder="1" applyAlignment="1">
      <alignment horizontal="right" vertical="center" wrapText="1"/>
    </xf>
    <xf numFmtId="189" fontId="86" fillId="38" borderId="0" xfId="84" applyNumberFormat="1" applyFont="1" applyFill="1" applyBorder="1" applyAlignment="1">
      <alignment horizontal="right" vertical="center" wrapText="1"/>
    </xf>
    <xf numFmtId="189" fontId="86" fillId="0" borderId="0" xfId="84" applyNumberFormat="1" applyFont="1" applyFill="1" applyBorder="1" applyAlignment="1">
      <alignment horizontal="right" vertical="center" wrapText="1"/>
    </xf>
    <xf numFmtId="190" fontId="2" fillId="36" borderId="0" xfId="85" applyNumberFormat="1" applyFont="1" applyFill="1"/>
    <xf numFmtId="0" fontId="2" fillId="36" borderId="0" xfId="85" applyFont="1" applyFill="1"/>
    <xf numFmtId="187" fontId="2" fillId="36" borderId="0" xfId="84" applyNumberFormat="1" applyFont="1" applyFill="1" applyAlignment="1"/>
    <xf numFmtId="41" fontId="2" fillId="36" borderId="0" xfId="84" applyFont="1" applyFill="1" applyAlignment="1"/>
    <xf numFmtId="0" fontId="78" fillId="3" borderId="0" xfId="0" applyFont="1" applyFill="1"/>
    <xf numFmtId="11" fontId="78" fillId="0" borderId="0" xfId="0" applyNumberFormat="1" applyFont="1"/>
    <xf numFmtId="192" fontId="48" fillId="38" borderId="0" xfId="84" applyNumberFormat="1" applyFont="1" applyFill="1" applyBorder="1" applyAlignment="1">
      <alignment horizontal="right" vertical="center" wrapText="1"/>
    </xf>
    <xf numFmtId="192" fontId="48" fillId="36" borderId="0" xfId="86" applyNumberFormat="1" applyFont="1" applyFill="1" applyAlignment="1">
      <alignment horizontal="right" vertical="center" wrapText="1"/>
    </xf>
    <xf numFmtId="193" fontId="31" fillId="15" borderId="0" xfId="45" applyNumberFormat="1" applyBorder="1" applyAlignment="1"/>
    <xf numFmtId="11" fontId="16" fillId="0" borderId="0" xfId="0" applyNumberFormat="1" applyFont="1"/>
    <xf numFmtId="0" fontId="60" fillId="62" borderId="25" xfId="85" applyFont="1" applyFill="1" applyBorder="1" applyAlignment="1">
      <alignment vertical="top"/>
    </xf>
    <xf numFmtId="41" fontId="48" fillId="36" borderId="0" xfId="84" applyFont="1" applyFill="1" applyBorder="1" applyAlignment="1">
      <alignment horizontal="right" vertical="center" wrapText="1"/>
    </xf>
    <xf numFmtId="192" fontId="0" fillId="0" borderId="0" xfId="0" applyNumberFormat="1"/>
    <xf numFmtId="0" fontId="87" fillId="0" borderId="0" xfId="0" applyFont="1" applyAlignment="1">
      <alignment horizontal="left" vertical="center"/>
    </xf>
    <xf numFmtId="0" fontId="88" fillId="0" borderId="0" xfId="0" applyFont="1" applyAlignment="1">
      <alignment horizontal="left" vertical="center"/>
    </xf>
    <xf numFmtId="0" fontId="0" fillId="0" borderId="0" xfId="0" applyAlignment="1">
      <alignment horizontal="left" vertical="center"/>
    </xf>
    <xf numFmtId="0" fontId="88" fillId="63" borderId="0" xfId="0" applyFont="1" applyFill="1" applyAlignment="1">
      <alignment horizontal="left" vertical="center"/>
    </xf>
    <xf numFmtId="0" fontId="89" fillId="0" borderId="0" xfId="0" applyFont="1"/>
    <xf numFmtId="0" fontId="90" fillId="0" borderId="0" xfId="0" applyFont="1"/>
    <xf numFmtId="0" fontId="0" fillId="63" borderId="0" xfId="0" applyFill="1" applyAlignment="1">
      <alignment horizontal="left" vertical="center"/>
    </xf>
    <xf numFmtId="11" fontId="31" fillId="15" borderId="0" xfId="45" applyNumberFormat="1" applyBorder="1"/>
    <xf numFmtId="41" fontId="13" fillId="0" borderId="0" xfId="84" applyFont="1" applyFill="1" applyBorder="1" applyAlignment="1"/>
    <xf numFmtId="9" fontId="13" fillId="0" borderId="0" xfId="18" applyFont="1" applyFill="1" applyBorder="1"/>
    <xf numFmtId="0" fontId="88" fillId="0" borderId="34" xfId="0" applyFont="1" applyBorder="1" applyAlignment="1">
      <alignment horizontal="left" vertical="center"/>
    </xf>
    <xf numFmtId="0" fontId="88" fillId="63" borderId="34" xfId="0" applyFont="1" applyFill="1" applyBorder="1" applyAlignment="1">
      <alignment horizontal="left" vertical="center"/>
    </xf>
    <xf numFmtId="0" fontId="91" fillId="41" borderId="0" xfId="0" applyFont="1" applyFill="1" applyAlignment="1">
      <alignment horizontal="left" vertical="center"/>
    </xf>
    <xf numFmtId="0" fontId="0" fillId="41" borderId="0" xfId="0" applyFill="1" applyAlignment="1">
      <alignment vertical="center"/>
    </xf>
    <xf numFmtId="11" fontId="0" fillId="3" borderId="0" xfId="0" applyNumberFormat="1" applyFill="1"/>
    <xf numFmtId="0" fontId="92" fillId="0" borderId="0" xfId="0" applyFont="1" applyAlignment="1">
      <alignment horizontal="left" vertical="center"/>
    </xf>
    <xf numFmtId="0" fontId="92" fillId="63" borderId="0" xfId="0" applyFont="1" applyFill="1" applyAlignment="1">
      <alignment horizontal="left" vertical="center"/>
    </xf>
    <xf numFmtId="0" fontId="92" fillId="51" borderId="0" xfId="0" applyFont="1" applyFill="1" applyAlignment="1">
      <alignment horizontal="left" vertical="center"/>
    </xf>
    <xf numFmtId="0" fontId="92" fillId="52" borderId="0" xfId="0" applyFont="1" applyFill="1" applyAlignment="1">
      <alignment horizontal="left" vertical="center"/>
    </xf>
    <xf numFmtId="0" fontId="92" fillId="48" borderId="0" xfId="0" applyFont="1" applyFill="1" applyAlignment="1">
      <alignment horizontal="left" vertical="center"/>
    </xf>
    <xf numFmtId="0" fontId="92" fillId="47" borderId="0" xfId="0" applyFont="1" applyFill="1" applyAlignment="1">
      <alignment horizontal="left" vertical="center"/>
    </xf>
    <xf numFmtId="0" fontId="92" fillId="50" borderId="0" xfId="0" applyFont="1" applyFill="1" applyAlignment="1">
      <alignment horizontal="left" vertical="center"/>
    </xf>
    <xf numFmtId="0" fontId="92" fillId="53" borderId="0" xfId="0" applyFont="1" applyFill="1" applyAlignment="1">
      <alignment horizontal="left" vertical="center"/>
    </xf>
    <xf numFmtId="0" fontId="92" fillId="0" borderId="34" xfId="0" applyFont="1" applyBorder="1" applyAlignment="1">
      <alignment horizontal="left" vertical="center"/>
    </xf>
    <xf numFmtId="0" fontId="92" fillId="63" borderId="34" xfId="0" applyFont="1" applyFill="1" applyBorder="1" applyAlignment="1">
      <alignment horizontal="left" vertical="center"/>
    </xf>
    <xf numFmtId="0" fontId="92" fillId="0" borderId="39" xfId="0" applyFont="1" applyBorder="1" applyAlignment="1">
      <alignment horizontal="left" vertical="center"/>
    </xf>
    <xf numFmtId="0" fontId="92" fillId="0" borderId="40" xfId="0" applyFont="1" applyBorder="1" applyAlignment="1">
      <alignment horizontal="left" vertical="center"/>
    </xf>
    <xf numFmtId="0" fontId="0" fillId="0" borderId="40" xfId="0" applyBorder="1"/>
    <xf numFmtId="0" fontId="92" fillId="0" borderId="35" xfId="0" applyFont="1" applyBorder="1" applyAlignment="1">
      <alignment horizontal="left" vertical="center"/>
    </xf>
    <xf numFmtId="0" fontId="0" fillId="0" borderId="38" xfId="0" applyBorder="1" applyAlignment="1">
      <alignment vertical="center"/>
    </xf>
    <xf numFmtId="0" fontId="0" fillId="0" borderId="38" xfId="0" applyBorder="1"/>
    <xf numFmtId="0" fontId="92" fillId="0" borderId="36" xfId="0" applyFont="1" applyBorder="1" applyAlignment="1">
      <alignment horizontal="left" vertical="center"/>
    </xf>
    <xf numFmtId="0" fontId="92" fillId="63" borderId="36" xfId="0" applyFont="1" applyFill="1" applyBorder="1" applyAlignment="1">
      <alignment horizontal="left" vertical="center"/>
    </xf>
    <xf numFmtId="0" fontId="93" fillId="0" borderId="0" xfId="0" applyFont="1"/>
    <xf numFmtId="0" fontId="94" fillId="0" borderId="0" xfId="0" applyFont="1" applyAlignment="1">
      <alignment horizontal="left" vertical="center"/>
    </xf>
    <xf numFmtId="192" fontId="48" fillId="64" borderId="0" xfId="86" applyNumberFormat="1" applyFont="1" applyFill="1" applyAlignment="1">
      <alignment horizontal="right" vertical="center" wrapText="1"/>
    </xf>
    <xf numFmtId="189" fontId="45" fillId="64" borderId="0" xfId="86" applyNumberFormat="1" applyFont="1" applyFill="1" applyAlignment="1">
      <alignment horizontal="right" vertical="center" wrapText="1"/>
    </xf>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6" fillId="36" borderId="0" xfId="0" applyFont="1" applyFill="1" applyAlignment="1">
      <alignment horizontal="center" wrapText="1"/>
    </xf>
    <xf numFmtId="0" fontId="36" fillId="36" borderId="0" xfId="0" applyFont="1" applyFill="1" applyAlignment="1">
      <alignment horizontal="center"/>
    </xf>
    <xf numFmtId="0" fontId="40" fillId="37" borderId="20" xfId="86" applyFont="1" applyFill="1" applyBorder="1" applyAlignment="1">
      <alignment horizontal="center" vertical="center" wrapText="1"/>
    </xf>
    <xf numFmtId="0" fontId="52" fillId="36" borderId="23" xfId="86" applyFont="1" applyFill="1" applyBorder="1" applyAlignment="1">
      <alignment horizontal="left" vertical="center" wrapText="1"/>
    </xf>
    <xf numFmtId="0" fontId="52" fillId="36" borderId="23" xfId="86" applyFont="1" applyFill="1" applyBorder="1" applyAlignment="1">
      <alignment horizontal="left" vertical="center"/>
    </xf>
    <xf numFmtId="0" fontId="36" fillId="36" borderId="0" xfId="88" applyFont="1" applyFill="1" applyAlignment="1">
      <alignment horizontal="center" wrapText="1"/>
    </xf>
    <xf numFmtId="0" fontId="38" fillId="36" borderId="0" xfId="88" applyFont="1" applyFill="1" applyAlignment="1">
      <alignment horizontal="right" wrapText="1"/>
    </xf>
    <xf numFmtId="0" fontId="38" fillId="36" borderId="0" xfId="0" applyFont="1" applyFill="1" applyAlignment="1">
      <alignment horizontal="right" wrapText="1"/>
    </xf>
    <xf numFmtId="0" fontId="36" fillId="36" borderId="0" xfId="85" applyFont="1" applyFill="1" applyAlignment="1">
      <alignment horizontal="center" wrapText="1"/>
    </xf>
    <xf numFmtId="0" fontId="36" fillId="36" borderId="0" xfId="85" applyFont="1" applyFill="1" applyAlignment="1">
      <alignment horizontal="center"/>
    </xf>
    <xf numFmtId="0" fontId="38" fillId="36" borderId="0" xfId="85" applyFont="1" applyFill="1" applyAlignment="1">
      <alignment horizontal="right" wrapText="1"/>
    </xf>
    <xf numFmtId="0" fontId="36" fillId="36" borderId="0" xfId="87" applyFont="1" applyFill="1" applyAlignment="1">
      <alignment horizontal="center" wrapText="1"/>
    </xf>
    <xf numFmtId="0" fontId="36" fillId="36" borderId="0" xfId="87" applyFont="1" applyFill="1" applyAlignment="1">
      <alignment horizontal="center"/>
    </xf>
    <xf numFmtId="0" fontId="38" fillId="36" borderId="0" xfId="87" applyFont="1" applyFill="1" applyAlignment="1">
      <alignment horizontal="right" wrapText="1"/>
    </xf>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0" fillId="0" borderId="39" xfId="0" applyBorder="1" applyAlignment="1">
      <alignment vertical="center"/>
    </xf>
    <xf numFmtId="0" fontId="0" fillId="0" borderId="39" xfId="0" applyBorder="1"/>
    <xf numFmtId="189" fontId="45" fillId="38" borderId="32" xfId="86" applyNumberFormat="1" applyFont="1" applyFill="1" applyBorder="1" applyAlignment="1">
      <alignment horizontal="right" vertical="center" wrapText="1"/>
    </xf>
    <xf numFmtId="192" fontId="48" fillId="38" borderId="0" xfId="86" applyNumberFormat="1" applyFont="1" applyFill="1" applyAlignment="1">
      <alignment horizontal="right" vertical="center" wrapText="1"/>
    </xf>
    <xf numFmtId="192" fontId="48" fillId="0" borderId="0" xfId="84" applyNumberFormat="1" applyFont="1" applyFill="1" applyBorder="1" applyAlignment="1">
      <alignment horizontal="right" vertical="center" wrapText="1"/>
    </xf>
    <xf numFmtId="189" fontId="45" fillId="0" borderId="0" xfId="86" applyNumberFormat="1" applyFont="1" applyFill="1" applyAlignment="1">
      <alignment horizontal="right" vertical="center" wrapText="1"/>
    </xf>
    <xf numFmtId="11" fontId="48" fillId="38" borderId="0" xfId="86" applyNumberFormat="1" applyFont="1" applyFill="1" applyAlignment="1">
      <alignment horizontal="right" vertical="center" wrapText="1"/>
    </xf>
    <xf numFmtId="11" fontId="48" fillId="0" borderId="0" xfId="86" applyNumberFormat="1" applyFont="1" applyFill="1" applyAlignment="1">
      <alignment horizontal="right" vertical="center" wrapText="1"/>
    </xf>
    <xf numFmtId="0" fontId="40" fillId="37" borderId="55" xfId="86" applyFont="1" applyFill="1" applyBorder="1" applyAlignment="1">
      <alignment vertical="center" wrapText="1"/>
    </xf>
    <xf numFmtId="0" fontId="1" fillId="36" borderId="0" xfId="85" applyFont="1" applyFill="1"/>
    <xf numFmtId="181" fontId="46" fillId="36" borderId="0" xfId="86" applyNumberFormat="1" applyFont="1" applyFill="1" applyAlignment="1">
      <alignment horizontal="right" vertical="center" wrapText="1"/>
    </xf>
    <xf numFmtId="180" fontId="45" fillId="36" borderId="0" xfId="86" applyNumberFormat="1" applyFont="1" applyFill="1" applyAlignment="1">
      <alignment horizontal="right" vertical="center" wrapText="1"/>
    </xf>
    <xf numFmtId="0" fontId="43" fillId="37" borderId="0" xfId="86" applyFont="1" applyFill="1" applyAlignment="1">
      <alignment vertical="center" wrapText="1"/>
    </xf>
    <xf numFmtId="180" fontId="45" fillId="38" borderId="0" xfId="86" applyNumberFormat="1" applyFont="1" applyFill="1" applyAlignment="1">
      <alignment horizontal="right" vertical="center" wrapText="1"/>
    </xf>
    <xf numFmtId="0" fontId="43" fillId="37" borderId="0" xfId="86" applyFont="1" applyFill="1" applyAlignment="1">
      <alignment horizontal="center" vertical="center" wrapText="1"/>
    </xf>
    <xf numFmtId="0" fontId="50" fillId="36" borderId="22" xfId="86" applyFont="1" applyFill="1" applyBorder="1" applyAlignment="1">
      <alignment vertical="center" wrapText="1"/>
    </xf>
    <xf numFmtId="0" fontId="38" fillId="36" borderId="0" xfId="86" applyFont="1" applyFill="1" applyAlignment="1">
      <alignment horizontal="left" vertical="center" wrapText="1" indent="1"/>
    </xf>
    <xf numFmtId="0" fontId="43" fillId="37" borderId="0" xfId="86" applyFont="1" applyFill="1" applyAlignment="1">
      <alignment vertical="center" wrapText="1"/>
    </xf>
    <xf numFmtId="180" fontId="45" fillId="38" borderId="0" xfId="86" applyNumberFormat="1" applyFont="1" applyFill="1" applyAlignment="1">
      <alignment horizontal="right" vertical="center" wrapText="1"/>
    </xf>
    <xf numFmtId="0" fontId="38" fillId="36" borderId="0" xfId="86" applyFont="1" applyFill="1" applyAlignment="1">
      <alignment horizontal="left" vertical="center" wrapText="1" indent="2"/>
    </xf>
    <xf numFmtId="0" fontId="38" fillId="36" borderId="21" xfId="86" applyFont="1" applyFill="1" applyBorder="1" applyAlignment="1">
      <alignment horizontal="left" vertical="center" wrapText="1" indent="2"/>
    </xf>
    <xf numFmtId="0" fontId="40" fillId="37" borderId="0" xfId="86" applyFont="1" applyFill="1" applyAlignment="1">
      <alignment vertical="center" wrapText="1"/>
    </xf>
    <xf numFmtId="0" fontId="50" fillId="36" borderId="22" xfId="86" applyFont="1" applyFill="1" applyBorder="1" applyAlignment="1">
      <alignment vertical="center" wrapText="1"/>
    </xf>
    <xf numFmtId="180" fontId="49" fillId="36" borderId="22" xfId="86" applyNumberFormat="1" applyFont="1" applyFill="1" applyBorder="1" applyAlignment="1">
      <alignment horizontal="right" vertical="center" wrapText="1"/>
    </xf>
    <xf numFmtId="180" fontId="49" fillId="38" borderId="22" xfId="86" applyNumberFormat="1" applyFont="1" applyFill="1" applyBorder="1" applyAlignment="1">
      <alignment horizontal="right" vertical="center" wrapText="1"/>
    </xf>
    <xf numFmtId="0" fontId="38" fillId="36" borderId="0" xfId="86" applyFont="1" applyFill="1" applyAlignment="1">
      <alignment horizontal="left" vertical="center" wrapText="1" indent="1"/>
    </xf>
    <xf numFmtId="180" fontId="48" fillId="36" borderId="0" xfId="86" applyNumberFormat="1" applyFont="1" applyFill="1" applyAlignment="1">
      <alignment horizontal="right" vertical="center" wrapText="1"/>
    </xf>
    <xf numFmtId="183" fontId="48" fillId="36" borderId="0" xfId="86" applyNumberFormat="1" applyFont="1" applyFill="1" applyAlignment="1">
      <alignment horizontal="right" vertical="center" wrapText="1"/>
    </xf>
    <xf numFmtId="181" fontId="49" fillId="36" borderId="22" xfId="86" applyNumberFormat="1" applyFont="1" applyFill="1" applyBorder="1" applyAlignment="1">
      <alignment horizontal="right" vertical="center" wrapText="1"/>
    </xf>
    <xf numFmtId="183" fontId="49" fillId="36" borderId="22" xfId="86" applyNumberFormat="1" applyFont="1" applyFill="1" applyBorder="1" applyAlignment="1">
      <alignment horizontal="right" vertical="center" wrapText="1"/>
    </xf>
    <xf numFmtId="180" fontId="45" fillId="36" borderId="0" xfId="86" applyNumberFormat="1" applyFont="1" applyFill="1" applyAlignment="1">
      <alignment horizontal="right" vertical="center" wrapText="1"/>
    </xf>
    <xf numFmtId="182" fontId="48" fillId="38" borderId="0" xfId="86" applyNumberFormat="1" applyFont="1" applyFill="1" applyAlignment="1">
      <alignment horizontal="right" vertical="center" wrapText="1"/>
    </xf>
    <xf numFmtId="182" fontId="48" fillId="36" borderId="0" xfId="86" applyNumberFormat="1" applyFont="1" applyFill="1" applyAlignment="1">
      <alignment horizontal="right" vertical="center" wrapText="1"/>
    </xf>
    <xf numFmtId="0" fontId="43" fillId="37" borderId="0" xfId="86" applyFont="1" applyFill="1" applyAlignment="1">
      <alignment vertical="center" wrapText="1"/>
    </xf>
    <xf numFmtId="0" fontId="41" fillId="37" borderId="0" xfId="86" applyFont="1" applyFill="1" applyAlignment="1">
      <alignment horizontal="centerContinuous" vertical="center" wrapText="1"/>
    </xf>
    <xf numFmtId="180" fontId="45" fillId="38" borderId="0" xfId="86" applyNumberFormat="1" applyFont="1" applyFill="1" applyAlignment="1">
      <alignment horizontal="right" vertical="center" wrapText="1"/>
    </xf>
    <xf numFmtId="0" fontId="38" fillId="36" borderId="0" xfId="86" applyFont="1" applyFill="1" applyAlignment="1">
      <alignment horizontal="left" vertical="center" wrapText="1" indent="2"/>
    </xf>
    <xf numFmtId="182" fontId="48" fillId="38" borderId="21" xfId="86" applyNumberFormat="1" applyFont="1" applyFill="1" applyBorder="1" applyAlignment="1">
      <alignment horizontal="right" vertical="center" wrapText="1"/>
    </xf>
    <xf numFmtId="0" fontId="38" fillId="36" borderId="21" xfId="86" applyFont="1" applyFill="1" applyBorder="1" applyAlignment="1">
      <alignment horizontal="left" vertical="center" wrapText="1" indent="2"/>
    </xf>
  </cellXfs>
  <cellStyles count="546">
    <cellStyle name="20% - Accent1 2" xfId="68" xr:uid="{00000000-0005-0000-0000-000001000000}"/>
    <cellStyle name="20% - Accent1 2 2" xfId="112" xr:uid="{43153F6E-8959-454B-B0AE-580DB3DB1C36}"/>
    <cellStyle name="20% - Accent2 2" xfId="70" xr:uid="{00000000-0005-0000-0000-000003000000}"/>
    <cellStyle name="20% - Accent2 2 2" xfId="113" xr:uid="{B064DFEB-227F-478B-96E4-1FCF2233005F}"/>
    <cellStyle name="20% - Accent3 2" xfId="72" xr:uid="{00000000-0005-0000-0000-000005000000}"/>
    <cellStyle name="20% - Accent3 2 2" xfId="114" xr:uid="{20438075-6D56-422C-91E6-FB631CE1978B}"/>
    <cellStyle name="20% - Accent4 2" xfId="74" xr:uid="{00000000-0005-0000-0000-000007000000}"/>
    <cellStyle name="20% - Accent4 2 2" xfId="115" xr:uid="{87E3B57A-05A0-4473-B67D-95603FE079CD}"/>
    <cellStyle name="20% - Accent5 2" xfId="76" xr:uid="{00000000-0005-0000-0000-000009000000}"/>
    <cellStyle name="20% - Accent5 2 2" xfId="116" xr:uid="{F1EA900D-8B2A-45B2-BD55-ED7F62FB03BD}"/>
    <cellStyle name="20% - Accent6 2" xfId="78" xr:uid="{00000000-0005-0000-0000-00000B000000}"/>
    <cellStyle name="20% - Accent6 2 2" xfId="117" xr:uid="{3D62F4FF-1581-4D14-915F-922D6D0D87A9}"/>
    <cellStyle name="20% - 강조색1" xfId="43" builtinId="30" customBuiltin="1"/>
    <cellStyle name="20% - 강조색1 2" xfId="523" xr:uid="{EC73E37F-8F95-4360-82B7-B877BB7752B1}"/>
    <cellStyle name="20% - 강조색2" xfId="46" builtinId="34" customBuiltin="1"/>
    <cellStyle name="20% - 강조색2 2" xfId="527" xr:uid="{A1B9B395-CCEB-42CF-9F5D-B7E2F30A7EF7}"/>
    <cellStyle name="20% - 강조색3" xfId="49" builtinId="38" customBuiltin="1"/>
    <cellStyle name="20% - 강조색3 2" xfId="531" xr:uid="{0090BE71-C355-43EA-AC01-2D727ED849E3}"/>
    <cellStyle name="20% - 강조색4" xfId="52" builtinId="42" customBuiltin="1"/>
    <cellStyle name="20% - 강조색4 2" xfId="535" xr:uid="{4D019007-FB2B-4902-B83C-20FB294DD7F6}"/>
    <cellStyle name="20% - 강조색5" xfId="55" builtinId="46" customBuiltin="1"/>
    <cellStyle name="20% - 강조색5 2" xfId="539" xr:uid="{FD03BE1A-DBB1-4F43-9D71-27F6D73B933B}"/>
    <cellStyle name="20% - 강조색6" xfId="58" builtinId="50" customBuiltin="1"/>
    <cellStyle name="20% - 강조색6 2" xfId="543" xr:uid="{12756FD7-AB81-40CF-BE90-DBA022A639DE}"/>
    <cellStyle name="40% - Accent1 2" xfId="69" xr:uid="{00000000-0005-0000-0000-00000D000000}"/>
    <cellStyle name="40% - Accent1 2 2" xfId="118" xr:uid="{5DC22254-43D8-4F56-8B23-36B94254FBF4}"/>
    <cellStyle name="40% - Accent2 2" xfId="71" xr:uid="{00000000-0005-0000-0000-00000F000000}"/>
    <cellStyle name="40% - Accent2 2 2" xfId="119" xr:uid="{627A6DD8-77D9-41AB-A462-FB45EF4ADED4}"/>
    <cellStyle name="40% - Accent3 2" xfId="73" xr:uid="{00000000-0005-0000-0000-000011000000}"/>
    <cellStyle name="40% - Accent3 2 2" xfId="120" xr:uid="{39942DA6-9A16-4A3A-8541-4F4201B1C4AE}"/>
    <cellStyle name="40% - Accent4 2" xfId="75" xr:uid="{00000000-0005-0000-0000-000013000000}"/>
    <cellStyle name="40% - Accent4 2 2" xfId="121" xr:uid="{2AE3041A-10DA-4025-9E24-F1ED6366DD6E}"/>
    <cellStyle name="40% - Accent5 2" xfId="77" xr:uid="{00000000-0005-0000-0000-000015000000}"/>
    <cellStyle name="40% - Accent5 2 2" xfId="122" xr:uid="{19E50A04-BA86-4F2A-B73B-9B33E5578BCA}"/>
    <cellStyle name="40% - Accent6 2" xfId="79" xr:uid="{00000000-0005-0000-0000-000017000000}"/>
    <cellStyle name="40% - Accent6 2 2" xfId="123" xr:uid="{97D5A054-230F-4830-A594-B7016E70F614}"/>
    <cellStyle name="40% - 강조색1" xfId="44" builtinId="31" customBuiltin="1"/>
    <cellStyle name="40% - 강조색1 2" xfId="524" xr:uid="{B0068263-8BF9-4EC0-805A-7B0C71EDEA29}"/>
    <cellStyle name="40% - 강조색2" xfId="47" builtinId="35" customBuiltin="1"/>
    <cellStyle name="40% - 강조색2 2" xfId="528" xr:uid="{B02FEECB-59C0-448F-AF38-357683121DF9}"/>
    <cellStyle name="40% - 강조색3" xfId="50" builtinId="39" customBuiltin="1"/>
    <cellStyle name="40% - 강조색3 2" xfId="532" xr:uid="{AA429941-697F-4034-B625-A464A2BE9037}"/>
    <cellStyle name="40% - 강조색4" xfId="53" builtinId="43" customBuiltin="1"/>
    <cellStyle name="40% - 강조색4 2" xfId="536" xr:uid="{4F506A10-D1F8-43C9-85DA-590EB08210B9}"/>
    <cellStyle name="40% - 강조색5" xfId="56" builtinId="47" customBuiltin="1"/>
    <cellStyle name="40% - 강조색5 2" xfId="540" xr:uid="{B1E21C3E-9AB7-4A62-9119-62566E517A57}"/>
    <cellStyle name="40% - 강조색6" xfId="59" builtinId="51" customBuiltin="1"/>
    <cellStyle name="40% - 강조색6 2" xfId="544" xr:uid="{AEF38E4A-6F03-4C59-BCB0-45C4791D7117}"/>
    <cellStyle name="60% - Accent1 2" xfId="61" xr:uid="{00000000-0005-0000-0000-000018000000}"/>
    <cellStyle name="60% - Accent1 2 2" xfId="124" xr:uid="{9BB1D110-6081-497E-A810-D60E270787F1}"/>
    <cellStyle name="60% - Accent2 2" xfId="62" xr:uid="{00000000-0005-0000-0000-000019000000}"/>
    <cellStyle name="60% - Accent2 2 2" xfId="125" xr:uid="{017C49C3-E046-4C9B-818D-5E90C61A8C76}"/>
    <cellStyle name="60% - Accent3 2" xfId="63" xr:uid="{00000000-0005-0000-0000-00001A000000}"/>
    <cellStyle name="60% - Accent3 2 2" xfId="126" xr:uid="{40954A2A-04DC-4C45-99BF-FDEF1A546E23}"/>
    <cellStyle name="60% - Accent4 2" xfId="64" xr:uid="{00000000-0005-0000-0000-00001B000000}"/>
    <cellStyle name="60% - Accent4 2 2" xfId="127" xr:uid="{F8E2D77B-6367-4ED7-B636-A7547D1F9809}"/>
    <cellStyle name="60% - Accent5 2" xfId="65" xr:uid="{00000000-0005-0000-0000-00001C000000}"/>
    <cellStyle name="60% - Accent5 2 2" xfId="128" xr:uid="{1FD2DC53-CB37-44A8-95FB-AE1C7181803B}"/>
    <cellStyle name="60% - Accent6 2" xfId="66" xr:uid="{00000000-0005-0000-0000-00001D000000}"/>
    <cellStyle name="60% - Accent6 2 2" xfId="129" xr:uid="{E82EA54F-7A53-4DE8-89A7-C744145704AE}"/>
    <cellStyle name="60% - 강조색1 2" xfId="525" xr:uid="{4CBBED31-26DB-443F-91F9-2A893135F455}"/>
    <cellStyle name="60% - 강조색2 2" xfId="529" xr:uid="{AA49C148-0637-426E-B991-E778010533CA}"/>
    <cellStyle name="60% - 강조색3 2" xfId="533" xr:uid="{FD383E17-FD48-4278-8D17-93983368D596}"/>
    <cellStyle name="60% - 강조색4 2" xfId="537" xr:uid="{61D55C9A-27FB-4056-BDF3-FDBE5233FA20}"/>
    <cellStyle name="60% - 강조색5 2" xfId="541" xr:uid="{B2762F85-22EE-44F3-90BF-B514012BE05E}"/>
    <cellStyle name="60% - 강조색6 2" xfId="545" xr:uid="{069D6F18-DDE8-4192-9539-30D2D130C30F}"/>
    <cellStyle name="Accent1 2" xfId="130" xr:uid="{FFECA5C7-A0BC-42D5-9E6D-4A52E7EF62C2}"/>
    <cellStyle name="Accent2 2" xfId="131" xr:uid="{01FAFEFC-131F-4410-ACEC-AB75DFF8AEE9}"/>
    <cellStyle name="Accent3 2" xfId="132" xr:uid="{01C52B6E-1030-4AF2-90E4-8FFC8ECEF53C}"/>
    <cellStyle name="Accent4 2" xfId="133" xr:uid="{52C54159-6FF9-4EC3-89CC-EB94F63E7888}"/>
    <cellStyle name="Accent5 2" xfId="134" xr:uid="{88800D12-674C-4A7E-A5FA-1A4FA673708B}"/>
    <cellStyle name="Accent6 2" xfId="135" xr:uid="{CF3B2D2B-0011-4DB6-88E0-B9BDF46AACCA}"/>
    <cellStyle name="Bad 2" xfId="136" xr:uid="{291F5EDC-36CE-4E11-ABFD-7AECC769AE90}"/>
    <cellStyle name="Body: normal cell" xfId="2" xr:uid="{00000000-0005-0000-0000-000025000000}"/>
    <cellStyle name="Body: normal cell 2" xfId="24" xr:uid="{00000000-0005-0000-0000-000026000000}"/>
    <cellStyle name="Calculation 2" xfId="137" xr:uid="{11EC43D3-819A-49E2-B190-A633EB26B2AC}"/>
    <cellStyle name="Check Cell 2" xfId="138" xr:uid="{A9D484EA-90E4-4DA4-8875-6A764BCC4649}"/>
    <cellStyle name="Column headings" xfId="139" xr:uid="{11861A69-B361-4CA0-A801-3949A96DEAEA}"/>
    <cellStyle name="Comma 2" xfId="83" xr:uid="{B0EABCB8-8FF6-4E8E-9CBF-73B9F155E41F}"/>
    <cellStyle name="Data (Number)" xfId="140" xr:uid="{DB84E1A5-15B5-4191-9049-C2445BB39A65}"/>
    <cellStyle name="Explanatory Text 2" xfId="141" xr:uid="{E9DC0A23-E873-43A4-ADAF-42C7C30D2BD2}"/>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2" xfId="142" xr:uid="{4FBAADD3-0DD9-4FFF-A849-22C767FDDB18}"/>
    <cellStyle name="Header: bottom row" xfId="1" xr:uid="{00000000-0005-0000-0000-000031000000}"/>
    <cellStyle name="Header: bottom row 2" xfId="21" xr:uid="{00000000-0005-0000-0000-000032000000}"/>
    <cellStyle name="Header: top rows" xfId="3" xr:uid="{00000000-0005-0000-0000-000033000000}"/>
    <cellStyle name="Heading 1 2" xfId="143" xr:uid="{F1E2E63D-F3AD-4423-B64B-82FDEDC6E796}"/>
    <cellStyle name="Heading 2 2" xfId="144" xr:uid="{5D78E147-94BA-4C52-AF5B-2732B8AE67C1}"/>
    <cellStyle name="Heading 3 2" xfId="145" xr:uid="{9D77C6F7-3FA7-45BE-BA3C-019E4E6CB0A3}"/>
    <cellStyle name="Heading 4 2" xfId="146" xr:uid="{D56E1CED-A12F-413D-9F7B-6268CC6CF97F}"/>
    <cellStyle name="Input 2" xfId="147" xr:uid="{28157268-A70C-40B9-9A6D-3F88B90A6395}"/>
    <cellStyle name="Linked Cell 2" xfId="148" xr:uid="{9BD00682-05B1-4C18-9236-E75443114370}"/>
    <cellStyle name="Neutral 2" xfId="60" xr:uid="{00000000-0005-0000-0000-00003B000000}"/>
    <cellStyle name="Neutral 2 2" xfId="149" xr:uid="{F94F5E85-F469-4793-A489-820A2D758F53}"/>
    <cellStyle name="Normal 10" xfId="111" xr:uid="{E2FD749C-29CB-4C7F-A875-C74414422959}"/>
    <cellStyle name="Normal 12" xfId="108" xr:uid="{E8C75E8E-89CE-4262-AF7A-B9A951D0DA2D}"/>
    <cellStyle name="Normal 2" xfId="19" xr:uid="{00000000-0005-0000-0000-00003D000000}"/>
    <cellStyle name="Normal 2 10" xfId="150" xr:uid="{26F07E3D-64A1-438C-AC37-70947EE4C5B8}"/>
    <cellStyle name="Normal 2 100" xfId="151" xr:uid="{01E05763-5F1D-43F9-850A-35372B6813E1}"/>
    <cellStyle name="Normal 2 101" xfId="152" xr:uid="{3398EB67-2F30-49ED-9E34-ED8759F3E246}"/>
    <cellStyle name="Normal 2 102" xfId="153" xr:uid="{D97EA892-707C-48C7-882F-84C2014EF36E}"/>
    <cellStyle name="Normal 2 103" xfId="154" xr:uid="{583B6F3C-2BA4-4754-9783-848B1D85FD15}"/>
    <cellStyle name="Normal 2 104" xfId="155" xr:uid="{B7ADDF55-3436-4BA4-8C9C-F6C3BD2103B2}"/>
    <cellStyle name="Normal 2 105" xfId="156" xr:uid="{13D2261D-D232-4F79-97AA-8F6D6E947793}"/>
    <cellStyle name="Normal 2 106" xfId="157" xr:uid="{2EA6A365-6252-4917-B2A0-9E1083C6E9B5}"/>
    <cellStyle name="Normal 2 107" xfId="158" xr:uid="{8C903883-560E-460D-9D4C-C4417338AA4D}"/>
    <cellStyle name="Normal 2 108" xfId="159" xr:uid="{E3764AE4-1DEA-48C2-8FB1-E2DBE215D2C7}"/>
    <cellStyle name="Normal 2 109" xfId="160" xr:uid="{5CFC875E-3C0B-4095-A929-3939CADEF40D}"/>
    <cellStyle name="Normal 2 11" xfId="161" xr:uid="{01DE4F8D-E648-47F9-8F60-99AE10752988}"/>
    <cellStyle name="Normal 2 110" xfId="162" xr:uid="{4E5727E8-BD20-4A32-BB62-A34EA61277A0}"/>
    <cellStyle name="Normal 2 111" xfId="163" xr:uid="{1B155EAF-BEA0-4842-9827-41310C9DC2CA}"/>
    <cellStyle name="Normal 2 112" xfId="164" xr:uid="{22616F57-2A98-4594-B310-8A309DAFF7E3}"/>
    <cellStyle name="Normal 2 113" xfId="165" xr:uid="{436191C4-FEED-42D0-97F3-3995075936E1}"/>
    <cellStyle name="Normal 2 114" xfId="166" xr:uid="{2A33A864-7AA6-4162-A575-F17D65C0F2DA}"/>
    <cellStyle name="Normal 2 115" xfId="167" xr:uid="{79785149-429A-4B44-8D00-61AF455BB470}"/>
    <cellStyle name="Normal 2 116" xfId="168" xr:uid="{3BAB3FF1-F251-4CC7-B0AA-2D96022A677C}"/>
    <cellStyle name="Normal 2 117" xfId="169" xr:uid="{06C2AF78-4C2B-4417-A43F-E415AA7522E8}"/>
    <cellStyle name="Normal 2 118" xfId="170" xr:uid="{30C5AA11-284E-4907-8E5D-F18E097584A3}"/>
    <cellStyle name="Normal 2 119" xfId="171" xr:uid="{2D27C2E5-A635-4995-9997-467F7F30C161}"/>
    <cellStyle name="Normal 2 12" xfId="172" xr:uid="{7EF9170F-9AB8-4416-A751-AF789BBF06DB}"/>
    <cellStyle name="Normal 2 120" xfId="173" xr:uid="{91170E97-786B-4872-BB26-C3CF80B770D0}"/>
    <cellStyle name="Normal 2 121" xfId="174" xr:uid="{B194BA6E-1684-43B1-85CC-9960E76EC888}"/>
    <cellStyle name="Normal 2 122" xfId="175" xr:uid="{FE03EA6E-E0D4-428A-B5F6-06675FE6B10A}"/>
    <cellStyle name="Normal 2 123" xfId="176" xr:uid="{26C82333-D3C7-432E-9AC1-516B95076839}"/>
    <cellStyle name="Normal 2 124" xfId="177" xr:uid="{E2ECBB5E-F781-4E05-884A-F7E2F62992CF}"/>
    <cellStyle name="Normal 2 125" xfId="178" xr:uid="{3E6FE340-F688-4F57-B6BF-ACE2B2848611}"/>
    <cellStyle name="Normal 2 126" xfId="179" xr:uid="{10555574-9B60-4AAE-840D-29955012FB6E}"/>
    <cellStyle name="Normal 2 127" xfId="180" xr:uid="{E0A08F6F-ACD9-4B4B-BA48-D0774BBD6566}"/>
    <cellStyle name="Normal 2 128" xfId="181" xr:uid="{B84ABF43-F997-4450-8EEA-5A099A30D0ED}"/>
    <cellStyle name="Normal 2 129" xfId="182" xr:uid="{E0C6B1C8-C87E-4E44-B15D-3F554E419D88}"/>
    <cellStyle name="Normal 2 13" xfId="183" xr:uid="{4CC2154D-0DD2-4F09-A31A-13BD038984B0}"/>
    <cellStyle name="Normal 2 130" xfId="184" xr:uid="{1791DE7E-7E7F-475A-A9A2-371E94FB57FD}"/>
    <cellStyle name="Normal 2 131" xfId="185" xr:uid="{AC259283-1E12-4694-8DD0-DEDEFE7A9E41}"/>
    <cellStyle name="Normal 2 132" xfId="186" xr:uid="{21725765-1605-479C-8D9B-ADA7571577F9}"/>
    <cellStyle name="Normal 2 133" xfId="187" xr:uid="{BA09B994-35D7-4334-94B2-7F836326D376}"/>
    <cellStyle name="Normal 2 134" xfId="188" xr:uid="{80FE860F-4D3C-464F-A93D-9F6A497C2D3F}"/>
    <cellStyle name="Normal 2 135" xfId="189" xr:uid="{7EAF163D-A235-4424-B531-ACECD609E6D9}"/>
    <cellStyle name="Normal 2 136" xfId="190" xr:uid="{F716701E-2454-450D-9D7D-C2FB206CD475}"/>
    <cellStyle name="Normal 2 137" xfId="191" xr:uid="{BEEC7C4B-4B0C-40F4-99FA-C0EC146786AB}"/>
    <cellStyle name="Normal 2 138" xfId="192" xr:uid="{DAA1BF7F-910F-4498-8775-D265EF7948C0}"/>
    <cellStyle name="Normal 2 139" xfId="90" xr:uid="{88A7900B-3D46-48BB-A648-8F0A077BA55F}"/>
    <cellStyle name="Normal 2 14" xfId="193" xr:uid="{02BAF708-F537-4EBB-A349-EAF0B1DF17D2}"/>
    <cellStyle name="Normal 2 15" xfId="194" xr:uid="{A5AAE5DC-E3A8-43C9-906A-B34BDAF37E4C}"/>
    <cellStyle name="Normal 2 16" xfId="195" xr:uid="{2FD9E813-83BE-4D53-AD2D-8C9DAC4CE515}"/>
    <cellStyle name="Normal 2 17" xfId="196" xr:uid="{E5979BB8-7E61-4913-A275-F07D6AA7F8D1}"/>
    <cellStyle name="Normal 2 18" xfId="197" xr:uid="{CDEF1DA6-FAEA-493F-AE84-B70627F2115B}"/>
    <cellStyle name="Normal 2 19" xfId="198" xr:uid="{479B3B8E-0BE3-4454-8063-FB9FD50882FF}"/>
    <cellStyle name="Normal 2 2" xfId="81" xr:uid="{82E402D6-1DF0-4E6A-9068-58786E0D42A2}"/>
    <cellStyle name="Normal 2 2 10" xfId="199" xr:uid="{A70712BB-B7A9-4373-B868-4730DF76C887}"/>
    <cellStyle name="Normal 2 2 11" xfId="200" xr:uid="{2AE964CD-70A8-4755-B2B3-324C4A15B25D}"/>
    <cellStyle name="Normal 2 2 12" xfId="201" xr:uid="{3626EB58-1E9E-4B0B-BF84-873303E627DE}"/>
    <cellStyle name="Normal 2 2 13" xfId="202" xr:uid="{4E6A5620-D04A-4FF4-A44B-3FF33EE65AFE}"/>
    <cellStyle name="Normal 2 2 14" xfId="97" xr:uid="{B0A25F32-267D-4F47-9308-014C63A3A2E6}"/>
    <cellStyle name="Normal 2 2 2" xfId="203" xr:uid="{D0FD36A8-2B05-4A30-9EF6-DB45494AEE8E}"/>
    <cellStyle name="Normal 2 2 2 2" xfId="204" xr:uid="{DCA7784D-0E86-4CC6-B03B-D644401CA6A2}"/>
    <cellStyle name="Normal 2 2 2 2 2" xfId="205" xr:uid="{61A5E04C-8964-435C-A3C6-B7F4347413A4}"/>
    <cellStyle name="Normal 2 2 2 2 3" xfId="206" xr:uid="{14DFE58E-51F6-4811-887C-061669400CE9}"/>
    <cellStyle name="Normal 2 2 2 2 4" xfId="207" xr:uid="{8BE693CE-1D84-4FC8-8476-D0609C6AAD8C}"/>
    <cellStyle name="Normal 2 2 2 2 5" xfId="208" xr:uid="{F9B5F37E-6C9D-409C-A22C-CCF8846DDF24}"/>
    <cellStyle name="Normal 2 2 2 3" xfId="209" xr:uid="{DA65B52F-FBC8-4477-ABC6-0206391DFC47}"/>
    <cellStyle name="Normal 2 2 2 4" xfId="210" xr:uid="{36064320-3E54-4996-8FFC-3447EA80EDF0}"/>
    <cellStyle name="Normal 2 2 2 5" xfId="211" xr:uid="{B6F43CE0-F726-4131-A91E-949D59BF3C70}"/>
    <cellStyle name="Normal 2 2 3" xfId="212" xr:uid="{7CF9C5DD-29B9-4A56-9FD8-8EC43DCF44CC}"/>
    <cellStyle name="Normal 2 2 3 2" xfId="213" xr:uid="{E729F908-268F-45C2-BF65-98313669B612}"/>
    <cellStyle name="Normal 2 2 3 2 2" xfId="214" xr:uid="{2C1EE587-AFBD-454A-9A4C-E6B8ADF3CB3D}"/>
    <cellStyle name="Normal 2 2 3 2 3" xfId="215" xr:uid="{F6011246-3918-41AF-8AD3-BBF27E709E74}"/>
    <cellStyle name="Normal 2 2 3 2 4" xfId="216" xr:uid="{2164C197-CE4C-4EB2-91E4-928213CED410}"/>
    <cellStyle name="Normal 2 2 3 2 5" xfId="217" xr:uid="{111457F1-6BC3-49B5-82D6-051E83C1C3D4}"/>
    <cellStyle name="Normal 2 2 3 3" xfId="218" xr:uid="{86C89155-9638-4505-9599-1F7953F5F3BD}"/>
    <cellStyle name="Normal 2 2 3 4" xfId="219" xr:uid="{1D06FA85-B553-4E77-AECC-62D2DA9B5BB4}"/>
    <cellStyle name="Normal 2 2 3 5" xfId="220" xr:uid="{872F318B-A7AE-4007-9A8B-4F6D334B171C}"/>
    <cellStyle name="Normal 2 2 4" xfId="221" xr:uid="{6E4ED97E-C135-4139-985B-B51C2E7E8C44}"/>
    <cellStyle name="Normal 2 2 4 2" xfId="222" xr:uid="{D282C6B6-1511-499B-8F44-5BF92165B5B2}"/>
    <cellStyle name="Normal 2 2 4 3" xfId="223" xr:uid="{8348F8B3-9E51-4781-9125-37BB15F51623}"/>
    <cellStyle name="Normal 2 2 4 4" xfId="224" xr:uid="{A76B837B-8062-488B-94A5-92DA23524473}"/>
    <cellStyle name="Normal 2 2 4 5" xfId="225" xr:uid="{925E38BC-50A4-4EA4-A0B7-2C2F87BD7E77}"/>
    <cellStyle name="Normal 2 2 5" xfId="226" xr:uid="{3DF8DB97-0BBF-42C0-8C8E-CAD01C2BF3A7}"/>
    <cellStyle name="Normal 2 2 6" xfId="227" xr:uid="{EAD18149-744E-4493-8748-8041F8957DBB}"/>
    <cellStyle name="Normal 2 2 7" xfId="228" xr:uid="{00A87DCA-B1C2-41D2-BB4C-31684E8929AE}"/>
    <cellStyle name="Normal 2 2 8" xfId="229" xr:uid="{1466B220-DBD0-45BD-8E9A-B3A7BCD1534D}"/>
    <cellStyle name="Normal 2 2 9" xfId="230" xr:uid="{43ECEC7C-A191-4CD3-8248-D44A731E7966}"/>
    <cellStyle name="Normal 2 20" xfId="231" xr:uid="{15C25EEF-65EB-4A67-A5DF-0BC39417EB20}"/>
    <cellStyle name="Normal 2 21" xfId="232" xr:uid="{0F9070D4-DD9C-4FF7-8C54-6D819F71704C}"/>
    <cellStyle name="Normal 2 22" xfId="233" xr:uid="{EFF24473-311C-4B10-939C-FDCAD42D8D2A}"/>
    <cellStyle name="Normal 2 23" xfId="234" xr:uid="{D5C637A7-C6DA-4E4C-9FDB-2E5D93DBB9E0}"/>
    <cellStyle name="Normal 2 24" xfId="235" xr:uid="{351A2EDC-F338-4D0E-B87D-1D4BBEE3FA5F}"/>
    <cellStyle name="Normal 2 25" xfId="236" xr:uid="{C156087D-B528-445C-8582-F555FCCE1F76}"/>
    <cellStyle name="Normal 2 26" xfId="237" xr:uid="{5C8F4CF9-5D30-4DD5-8ADE-E704238650F5}"/>
    <cellStyle name="Normal 2 27" xfId="238" xr:uid="{CDE5ED68-7D5B-47BF-8ADC-97E309922558}"/>
    <cellStyle name="Normal 2 28" xfId="239" xr:uid="{5EAE9001-0388-4DD3-8347-65E137BEC639}"/>
    <cellStyle name="Normal 2 29" xfId="240" xr:uid="{62390C0A-8611-41F3-8225-59CDAC52AF00}"/>
    <cellStyle name="Normal 2 3" xfId="103" xr:uid="{8EE4AE93-6592-4997-B8B8-F0A83850926D}"/>
    <cellStyle name="Normal 2 3 10" xfId="241" xr:uid="{6CAF7F54-90B7-419F-B170-CBF6C64DF43F}"/>
    <cellStyle name="Normal 2 3 11" xfId="242" xr:uid="{2F8E2D31-4494-4BAB-83FD-1A1131184653}"/>
    <cellStyle name="Normal 2 3 12" xfId="243" xr:uid="{14A8C85E-6973-4B66-B273-B0C00DBFED2F}"/>
    <cellStyle name="Normal 2 3 13" xfId="244" xr:uid="{2AC52410-53C9-41B7-B154-0417F468F668}"/>
    <cellStyle name="Normal 2 3 2" xfId="245" xr:uid="{7E2B6FCA-97DB-4181-9D3B-739967C7E81B}"/>
    <cellStyle name="Normal 2 3 2 2" xfId="246" xr:uid="{5E410BC3-60F7-4BAC-9997-D78C8DB2012E}"/>
    <cellStyle name="Normal 2 3 2 2 2" xfId="247" xr:uid="{5A776DBE-81F7-4A67-8E09-51A359CD69D9}"/>
    <cellStyle name="Normal 2 3 2 2 3" xfId="248" xr:uid="{FD27AD0A-B672-4987-AAC0-20531F5B257D}"/>
    <cellStyle name="Normal 2 3 2 2 4" xfId="249" xr:uid="{AD365196-F568-406B-B3CC-FD0B14853F59}"/>
    <cellStyle name="Normal 2 3 2 2 5" xfId="250" xr:uid="{814A1434-9BF1-41BA-8773-9B6067BFAE23}"/>
    <cellStyle name="Normal 2 3 2 3" xfId="251" xr:uid="{5F1EF9C6-4F1D-48F9-908D-99332F4596D0}"/>
    <cellStyle name="Normal 2 3 2 4" xfId="252" xr:uid="{D7AC0527-204C-485E-A12F-CD036623BF20}"/>
    <cellStyle name="Normal 2 3 2 5" xfId="253" xr:uid="{87C65004-31D8-4AAE-81E9-2A55421A7F81}"/>
    <cellStyle name="Normal 2 3 3" xfId="254" xr:uid="{C914D0CA-E232-4979-9125-925AF2AFFF95}"/>
    <cellStyle name="Normal 2 3 3 2" xfId="255" xr:uid="{B175A4C4-C9FE-4BB5-B3B6-9B32B7131D5B}"/>
    <cellStyle name="Normal 2 3 3 2 2" xfId="256" xr:uid="{D3494E6D-69F8-4FD7-90EA-4601D928DA3E}"/>
    <cellStyle name="Normal 2 3 3 2 3" xfId="257" xr:uid="{646C9228-1346-4073-AAAA-FDAABE042E3F}"/>
    <cellStyle name="Normal 2 3 3 2 4" xfId="258" xr:uid="{9762D02C-5ECE-446B-B52B-F3F9B041027B}"/>
    <cellStyle name="Normal 2 3 3 2 5" xfId="259" xr:uid="{612EC090-9A2D-4613-B889-55B73589BB35}"/>
    <cellStyle name="Normal 2 3 3 3" xfId="260" xr:uid="{9035F35A-471F-44D9-943A-08AC4344F065}"/>
    <cellStyle name="Normal 2 3 3 4" xfId="261" xr:uid="{7CC02263-1DF5-425C-B6B0-EB3AE11A82AF}"/>
    <cellStyle name="Normal 2 3 3 5" xfId="262" xr:uid="{3CFA19BC-2BEA-45C8-A44F-E51C7422424F}"/>
    <cellStyle name="Normal 2 3 4" xfId="263" xr:uid="{EBA717F8-44E6-4761-91E5-858B5DF213EC}"/>
    <cellStyle name="Normal 2 3 4 2" xfId="264" xr:uid="{C0CC1858-6315-48D0-AB22-71B45C77937C}"/>
    <cellStyle name="Normal 2 3 4 3" xfId="265" xr:uid="{D3BECA54-E3B2-4C1B-8D49-44D9B19265DF}"/>
    <cellStyle name="Normal 2 3 4 4" xfId="266" xr:uid="{A9566F62-8DF7-48EB-AC47-CF7F9E7FDE3F}"/>
    <cellStyle name="Normal 2 3 4 5" xfId="267" xr:uid="{89E61348-645A-4AD1-B690-ED8A88985D84}"/>
    <cellStyle name="Normal 2 3 5" xfId="268" xr:uid="{04AAFB16-E2F6-4E4B-B3F6-B60CCAA0876A}"/>
    <cellStyle name="Normal 2 3 6" xfId="269" xr:uid="{F7B5AA93-67C1-4518-A973-B8B9E19DF444}"/>
    <cellStyle name="Normal 2 3 7" xfId="270" xr:uid="{5D3E0428-E195-4709-98D2-84022604C60A}"/>
    <cellStyle name="Normal 2 3 8" xfId="271" xr:uid="{A8F05B36-351A-4A7E-A4B6-42E50C624B56}"/>
    <cellStyle name="Normal 2 3 9" xfId="272" xr:uid="{B5890546-13F1-4F4D-B85B-918057F9FF70}"/>
    <cellStyle name="Normal 2 30" xfId="273" xr:uid="{22628DDB-533E-4375-8498-CC09EE2EBAF2}"/>
    <cellStyle name="Normal 2 31" xfId="274" xr:uid="{AD8EE896-6849-4F04-8D47-2A24DA41E88E}"/>
    <cellStyle name="Normal 2 32" xfId="275" xr:uid="{179A414E-E762-40DC-B6EF-1B91AA5C531A}"/>
    <cellStyle name="Normal 2 33" xfId="276" xr:uid="{EB9AB597-1093-41A0-8047-BA7AF84776D0}"/>
    <cellStyle name="Normal 2 34" xfId="277" xr:uid="{771701EA-63AB-479F-A533-E7E74D295B50}"/>
    <cellStyle name="Normal 2 35" xfId="278" xr:uid="{3B79E533-5F9C-46DC-A7FF-D69EB8926A74}"/>
    <cellStyle name="Normal 2 36" xfId="279" xr:uid="{0C9D7D4A-C3C2-4374-8284-597A8FAEB2CC}"/>
    <cellStyle name="Normal 2 37" xfId="280" xr:uid="{B8E36B26-E679-43B2-BFDE-3DF309716C65}"/>
    <cellStyle name="Normal 2 38" xfId="281" xr:uid="{F7A305D6-3EB6-4E41-B89A-4E4107E7AFA1}"/>
    <cellStyle name="Normal 2 39" xfId="282" xr:uid="{605E3E47-4747-40AA-9636-D7CCF6FB3E21}"/>
    <cellStyle name="Normal 2 4" xfId="104" xr:uid="{53C79EF6-008C-47E1-8F5A-99229A669F08}"/>
    <cellStyle name="Normal 2 4 2" xfId="283" xr:uid="{52DA69E2-6671-4078-87E9-AABC59D4C8E2}"/>
    <cellStyle name="Normal 2 40" xfId="284" xr:uid="{81218015-FED9-4FDA-8D9B-1F7A28237720}"/>
    <cellStyle name="Normal 2 41" xfId="285" xr:uid="{631AFD87-A144-4649-9004-402299C8F32F}"/>
    <cellStyle name="Normal 2 42" xfId="286" xr:uid="{293F4099-5E1D-43FA-8FCC-75E09767FD07}"/>
    <cellStyle name="Normal 2 43" xfId="287" xr:uid="{9E84158F-D681-4300-9C7C-B9E5D4A6E689}"/>
    <cellStyle name="Normal 2 44" xfId="288" xr:uid="{7B670E24-54A3-41D8-BB55-58833044E48C}"/>
    <cellStyle name="Normal 2 45" xfId="289" xr:uid="{C805F54B-DB96-449D-8198-93477BB6D6BA}"/>
    <cellStyle name="Normal 2 46" xfId="290" xr:uid="{10608B2E-A8AB-4FB5-8DFA-175A36BC88F4}"/>
    <cellStyle name="Normal 2 47" xfId="291" xr:uid="{75037B9E-D7F3-4333-A070-CB6EB412A121}"/>
    <cellStyle name="Normal 2 48" xfId="292" xr:uid="{AAEEA1CC-5CB0-4141-9EC1-1CAC66B2BB0A}"/>
    <cellStyle name="Normal 2 49" xfId="293" xr:uid="{03A53033-D442-43F9-A45F-2BA20CA7642A}"/>
    <cellStyle name="Normal 2 5" xfId="294" xr:uid="{EC12C4A9-7EB3-4155-8A42-F4A1F1657313}"/>
    <cellStyle name="Normal 2 50" xfId="295" xr:uid="{2D1633F9-97B6-4A44-9A62-46FD1738D85F}"/>
    <cellStyle name="Normal 2 51" xfId="296" xr:uid="{9B6E8D94-F3C9-46F1-9898-B55E1F62E77D}"/>
    <cellStyle name="Normal 2 52" xfId="297" xr:uid="{A6644E99-C1F5-48F8-8E6D-7E0623BCE9E7}"/>
    <cellStyle name="Normal 2 53" xfId="298" xr:uid="{4982C028-054E-4F4D-99C1-25571B048107}"/>
    <cellStyle name="Normal 2 54" xfId="299" xr:uid="{3E0F18A8-1883-42B5-AA4E-BF99CEF866C2}"/>
    <cellStyle name="Normal 2 55" xfId="300" xr:uid="{0D9008A2-F245-496A-B5CC-CFF4BFA2C8D0}"/>
    <cellStyle name="Normal 2 56" xfId="301" xr:uid="{32F720C1-8A0B-4B62-A106-AA9C87AB5458}"/>
    <cellStyle name="Normal 2 57" xfId="302" xr:uid="{F1ED87ED-99E9-441F-AD6C-7A6B3E02C483}"/>
    <cellStyle name="Normal 2 58" xfId="303" xr:uid="{CA374974-C17A-41B1-9859-03A27116F673}"/>
    <cellStyle name="Normal 2 59" xfId="304" xr:uid="{7F161E5D-DD68-4403-B2F6-DE8EB122F533}"/>
    <cellStyle name="Normal 2 6" xfId="305" xr:uid="{0B5A8299-0FC8-4EB4-8E22-F24B3165AEDD}"/>
    <cellStyle name="Normal 2 6 10" xfId="306" xr:uid="{92D853BE-57EA-4D8F-8A62-AF86D2DADE6E}"/>
    <cellStyle name="Normal 2 6 11" xfId="307" xr:uid="{3B42CE8D-1609-4399-B436-4F35599A3064}"/>
    <cellStyle name="Normal 2 6 12" xfId="308" xr:uid="{4C6197A4-50AC-41D9-AA81-F632C116DDF3}"/>
    <cellStyle name="Normal 2 6 13" xfId="309" xr:uid="{CCA89B27-7AF8-403D-8235-DF9803E0FB6A}"/>
    <cellStyle name="Normal 2 6 14" xfId="310" xr:uid="{02F1C138-6A39-42F1-9F12-0849C9489669}"/>
    <cellStyle name="Normal 2 6 15" xfId="311" xr:uid="{2E4C3777-0B6E-42A5-8171-72C55E3BDEC3}"/>
    <cellStyle name="Normal 2 6 16" xfId="312" xr:uid="{E7C87636-0AB0-4909-A177-2EA2850D277E}"/>
    <cellStyle name="Normal 2 6 17" xfId="313" xr:uid="{26C25174-5D2E-42AD-BD03-BC8AB21F9535}"/>
    <cellStyle name="Normal 2 6 18" xfId="314" xr:uid="{F6031C6D-185C-4042-8130-61FEE03F0863}"/>
    <cellStyle name="Normal 2 6 19" xfId="315" xr:uid="{C17BE9F2-05A4-40D1-8D00-21EB73E9A4AF}"/>
    <cellStyle name="Normal 2 6 2" xfId="316" xr:uid="{E9668082-A5B4-4AB3-BFB0-5756014AF5BF}"/>
    <cellStyle name="Normal 2 6 20" xfId="317" xr:uid="{5528281A-740A-451F-9F1B-E569823F36F8}"/>
    <cellStyle name="Normal 2 6 21" xfId="318" xr:uid="{4C241D93-FFB6-491C-B965-49A0CB15E9E1}"/>
    <cellStyle name="Normal 2 6 22" xfId="319" xr:uid="{82CE520D-6B89-40C4-A2EB-F18D07E0E9E6}"/>
    <cellStyle name="Normal 2 6 23" xfId="320" xr:uid="{16E0AE49-7032-4339-8925-B5C6E0087375}"/>
    <cellStyle name="Normal 2 6 24" xfId="321" xr:uid="{2C09F0B1-4C73-4EB5-81AD-A871295EA4F0}"/>
    <cellStyle name="Normal 2 6 25" xfId="322" xr:uid="{138C19A2-E13B-4AD4-8399-689EA489E73E}"/>
    <cellStyle name="Normal 2 6 26" xfId="323" xr:uid="{4A73FA28-12DB-4D88-B5A1-D0D3AD0DDE25}"/>
    <cellStyle name="Normal 2 6 27" xfId="324" xr:uid="{4FFEF181-2CFF-4FF1-A050-4FE2357C0E28}"/>
    <cellStyle name="Normal 2 6 28" xfId="325" xr:uid="{0E199E4C-1C90-48A1-ACB7-ECCF88D7D022}"/>
    <cellStyle name="Normal 2 6 29" xfId="326" xr:uid="{D8B8F1FE-09A0-4331-8330-FF0AB009318B}"/>
    <cellStyle name="Normal 2 6 3" xfId="327" xr:uid="{A21F9DDC-DD31-4298-B471-32D4E7A50453}"/>
    <cellStyle name="Normal 2 6 30" xfId="328" xr:uid="{0E3E076C-221B-48C3-83E5-8AA46FA94D8F}"/>
    <cellStyle name="Normal 2 6 31" xfId="329" xr:uid="{ED395124-EEE2-432B-8AB6-F241606832E9}"/>
    <cellStyle name="Normal 2 6 32" xfId="330" xr:uid="{52B6058E-A639-4D49-9D6D-FA33E27193A8}"/>
    <cellStyle name="Normal 2 6 33" xfId="331" xr:uid="{DD78717D-3FFF-40E2-AA18-BA15FDA9A54E}"/>
    <cellStyle name="Normal 2 6 34" xfId="332" xr:uid="{815DDA69-10E5-4D38-8C95-F901D94A529A}"/>
    <cellStyle name="Normal 2 6 35" xfId="333" xr:uid="{939C09CD-46E8-493D-B5B8-4D4D77AA232E}"/>
    <cellStyle name="Normal 2 6 36" xfId="334" xr:uid="{5874BAA6-563E-4636-945B-EAA4DFD51AE6}"/>
    <cellStyle name="Normal 2 6 37" xfId="335" xr:uid="{C191A85C-F3D8-4B64-B37C-3DB029B67071}"/>
    <cellStyle name="Normal 2 6 38" xfId="336" xr:uid="{080FBED0-BD67-4A68-AFCD-5BF1C51077D9}"/>
    <cellStyle name="Normal 2 6 39" xfId="337" xr:uid="{C3FE2F70-1DDF-40A0-A93D-82DD4A7505AC}"/>
    <cellStyle name="Normal 2 6 4" xfId="338" xr:uid="{BDF55C8B-4ADD-4B44-90C5-923B66CEE0D0}"/>
    <cellStyle name="Normal 2 6 40" xfId="339" xr:uid="{1B125365-86D4-4BAC-8581-EB8A4F6843A2}"/>
    <cellStyle name="Normal 2 6 41" xfId="340" xr:uid="{66B856C5-BBE5-4619-B1D3-CAD422B0463C}"/>
    <cellStyle name="Normal 2 6 42" xfId="341" xr:uid="{864121B7-DF73-493A-AC76-A11D0987E052}"/>
    <cellStyle name="Normal 2 6 43" xfId="342" xr:uid="{2A8C26F2-2EFA-453F-9592-AE227797F393}"/>
    <cellStyle name="Normal 2 6 44" xfId="343" xr:uid="{6D220814-041C-4B79-BC66-B6E10B09D34D}"/>
    <cellStyle name="Normal 2 6 45" xfId="344" xr:uid="{3F173409-BC12-453B-AE7E-4E6D5F5EC9A6}"/>
    <cellStyle name="Normal 2 6 5" xfId="345" xr:uid="{B1BB24EB-4B08-44C6-8099-42282E64A477}"/>
    <cellStyle name="Normal 2 6 6" xfId="346" xr:uid="{C3065314-5E64-474F-9BC6-74472B7BE6AD}"/>
    <cellStyle name="Normal 2 6 7" xfId="347" xr:uid="{23129FF8-8839-4713-A176-8BBC411A94F0}"/>
    <cellStyle name="Normal 2 6 8" xfId="348" xr:uid="{E66AEE81-1B9A-46C3-8335-B78EC3F2D319}"/>
    <cellStyle name="Normal 2 6 9" xfId="349" xr:uid="{80A78870-D844-439B-B722-96AB85F3AD90}"/>
    <cellStyle name="Normal 2 60" xfId="350" xr:uid="{587D3AAE-52BF-4244-BD53-90839EC8B291}"/>
    <cellStyle name="Normal 2 61" xfId="351" xr:uid="{8C4A310E-7F50-430A-8B69-8F9F079888CA}"/>
    <cellStyle name="Normal 2 62" xfId="352" xr:uid="{BD46D711-21D6-4282-A3C0-45593F36A12C}"/>
    <cellStyle name="Normal 2 63" xfId="353" xr:uid="{941F6E5A-4126-40AC-A667-B08C22557509}"/>
    <cellStyle name="Normal 2 64" xfId="354" xr:uid="{A1E3E05D-18AD-4720-B991-0C6D8F58EFA4}"/>
    <cellStyle name="Normal 2 65" xfId="355" xr:uid="{AA3514AF-9A8C-4126-B1ED-BF75DE907F5C}"/>
    <cellStyle name="Normal 2 66" xfId="356" xr:uid="{B2D738AE-5F28-452F-9800-0944A7653321}"/>
    <cellStyle name="Normal 2 67" xfId="357" xr:uid="{C8759BF2-3509-452C-A877-AD49B85BCA8F}"/>
    <cellStyle name="Normal 2 68" xfId="358" xr:uid="{F600019F-6198-44F1-A468-B582531B65DA}"/>
    <cellStyle name="Normal 2 69" xfId="359" xr:uid="{B8E1C5BC-A9C0-4C53-8146-58688DF06A92}"/>
    <cellStyle name="Normal 2 7" xfId="360" xr:uid="{AAE6A067-BAA9-4A5D-B705-B0CEF2D98679}"/>
    <cellStyle name="Normal 2 70" xfId="361" xr:uid="{5BE2F346-95FA-4085-921E-E8D76706D6DD}"/>
    <cellStyle name="Normal 2 71" xfId="362" xr:uid="{0A64F662-D5C4-49D6-A058-9F8846E890B9}"/>
    <cellStyle name="Normal 2 72" xfId="363" xr:uid="{2ED5516A-9440-4FAF-8999-528D2911C405}"/>
    <cellStyle name="Normal 2 73" xfId="364" xr:uid="{7F6B82FF-96C0-462D-9215-99D4871F4B3C}"/>
    <cellStyle name="Normal 2 74" xfId="365" xr:uid="{FA61E197-CC22-4952-9EAA-7B1DCACF3CA5}"/>
    <cellStyle name="Normal 2 75" xfId="366" xr:uid="{BB323C97-1299-4AFB-9CCE-C4948BC5CCF4}"/>
    <cellStyle name="Normal 2 76" xfId="367" xr:uid="{6AB9008A-7F64-4D6E-B15D-D7B2AD9F5633}"/>
    <cellStyle name="Normal 2 77" xfId="368" xr:uid="{9E13381A-6187-445F-BE2E-C404294DC894}"/>
    <cellStyle name="Normal 2 78" xfId="369" xr:uid="{618365BF-93A7-4E35-BB4D-932EF51A90E7}"/>
    <cellStyle name="Normal 2 79" xfId="370" xr:uid="{0618AE8C-FCBF-413B-9523-A19532880849}"/>
    <cellStyle name="Normal 2 8" xfId="371" xr:uid="{3919A2DF-DEEA-47DA-AD6F-BA31088122C4}"/>
    <cellStyle name="Normal 2 80" xfId="372" xr:uid="{93800DF6-5DB8-470F-9DE6-0068BC9944D5}"/>
    <cellStyle name="Normal 2 81" xfId="373" xr:uid="{CFF50271-76DE-46DA-ABFA-14B3DF6688BA}"/>
    <cellStyle name="Normal 2 82" xfId="374" xr:uid="{E594CBC6-F89D-4430-9B2D-24E8B37019B3}"/>
    <cellStyle name="Normal 2 83" xfId="375" xr:uid="{4CA5001E-4145-4636-9565-5979238796D7}"/>
    <cellStyle name="Normal 2 84" xfId="376" xr:uid="{AE10B7C9-B68C-4019-AA5E-507838A44B05}"/>
    <cellStyle name="Normal 2 85" xfId="377" xr:uid="{0A7BE7DC-4325-4D91-810C-11AA7236461C}"/>
    <cellStyle name="Normal 2 86" xfId="378" xr:uid="{B59C0DF7-415A-4214-B1AF-1C867C96B306}"/>
    <cellStyle name="Normal 2 87" xfId="379" xr:uid="{5348B41B-4181-4FCB-9C93-4FEB9484065E}"/>
    <cellStyle name="Normal 2 88" xfId="380" xr:uid="{8E57C8D7-04B9-4E57-BC20-C8051E38BE05}"/>
    <cellStyle name="Normal 2 89" xfId="381" xr:uid="{95D7968A-94AF-435A-BDAB-B23778CE9AA3}"/>
    <cellStyle name="Normal 2 9" xfId="382" xr:uid="{106FD82D-AC67-40C1-9317-BFA9398C653F}"/>
    <cellStyle name="Normal 2 90" xfId="383" xr:uid="{DF0C56E9-0C77-4F97-B3E8-605818138F68}"/>
    <cellStyle name="Normal 2 91" xfId="384" xr:uid="{415720BB-79DC-41BE-88F8-B2C9F6165671}"/>
    <cellStyle name="Normal 2 92" xfId="385" xr:uid="{45252433-C18B-43D5-A1DC-6BAFE0DA5879}"/>
    <cellStyle name="Normal 2 93" xfId="386" xr:uid="{5D33736E-B8D2-4298-967E-084F06EF311C}"/>
    <cellStyle name="Normal 2 94" xfId="387" xr:uid="{5729857E-5C8D-4F3E-A9A1-AC137D9B65D2}"/>
    <cellStyle name="Normal 2 95" xfId="388" xr:uid="{B500622A-CADF-475F-8B3B-F1B542AF6903}"/>
    <cellStyle name="Normal 2 96" xfId="389" xr:uid="{3F673F84-570D-418F-9EA7-B323B440C7D0}"/>
    <cellStyle name="Normal 2 97" xfId="390" xr:uid="{F0525309-7EE6-4608-BF79-9447B9A9C38E}"/>
    <cellStyle name="Normal 2 98" xfId="391" xr:uid="{991A342E-9D9E-46D0-A7A1-8B2A26146F44}"/>
    <cellStyle name="Normal 2 99" xfId="392" xr:uid="{E20D00C6-3DCC-4592-A121-51352924AA47}"/>
    <cellStyle name="Normal 3" xfId="13" xr:uid="{00000000-0005-0000-0000-00003E000000}"/>
    <cellStyle name="Normal 3 10" xfId="393" xr:uid="{82958026-0B35-48B0-BB87-36573738AD85}"/>
    <cellStyle name="Normal 3 11" xfId="394" xr:uid="{32D0B0CE-41E4-4387-9D3C-2CE85E7BF23D}"/>
    <cellStyle name="Normal 3 12" xfId="395" xr:uid="{69C84C68-51CA-47F5-87EB-54352D705821}"/>
    <cellStyle name="Normal 3 13" xfId="396" xr:uid="{C9B5153B-EA96-471D-9C5D-3C5078B2BC98}"/>
    <cellStyle name="Normal 3 14" xfId="91" xr:uid="{0F3427A2-C9B1-47E8-B142-7ED2308A1AFE}"/>
    <cellStyle name="Normal 3 2" xfId="80" xr:uid="{B36BF01F-9627-47E6-A0B3-E5842EE99611}"/>
    <cellStyle name="Normal 3 2 2" xfId="398" xr:uid="{7C7461C1-6389-4FEC-B5F7-2E5EAE84201C}"/>
    <cellStyle name="Normal 3 2 2 2" xfId="399" xr:uid="{B45A023F-701B-4B2C-9662-BAEB840E0738}"/>
    <cellStyle name="Normal 3 2 2 3" xfId="400" xr:uid="{2BE41639-FE5C-472A-8662-D1B4E0FFCA22}"/>
    <cellStyle name="Normal 3 2 2 4" xfId="401" xr:uid="{B9E8F767-571E-43BB-A6BE-83C2D5E09C72}"/>
    <cellStyle name="Normal 3 2 2 5" xfId="402" xr:uid="{20845A77-3F6F-4436-88A8-99BF17BF917C}"/>
    <cellStyle name="Normal 3 2 3" xfId="403" xr:uid="{8B0828D0-EE9E-4E86-9865-A338ADFA2BE7}"/>
    <cellStyle name="Normal 3 2 4" xfId="404" xr:uid="{ECE7B0B5-4234-4B8C-9141-D088D2A65BF8}"/>
    <cellStyle name="Normal 3 2 5" xfId="405" xr:uid="{A1B89895-330C-4C17-B7CF-7E3679543E8E}"/>
    <cellStyle name="Normal 3 2 6" xfId="397" xr:uid="{C4F9045D-D73A-4563-905D-2529CA961E8E}"/>
    <cellStyle name="Normal 3 3" xfId="406" xr:uid="{19E20BC2-8969-48C9-BBA0-CC581F2BE9A3}"/>
    <cellStyle name="Normal 3 3 2" xfId="407" xr:uid="{D5658DD9-EF29-4B63-A3D5-03C1CB884691}"/>
    <cellStyle name="Normal 3 3 2 2" xfId="408" xr:uid="{0B0A8D0F-2943-4534-AB18-7E2293968638}"/>
    <cellStyle name="Normal 3 3 2 3" xfId="409" xr:uid="{B4F072E9-CF3D-40A6-A2DC-54C029740E64}"/>
    <cellStyle name="Normal 3 3 2 4" xfId="410" xr:uid="{4895ACD6-59D0-451A-87B6-1994DAFCBC2A}"/>
    <cellStyle name="Normal 3 3 2 5" xfId="411" xr:uid="{29B852D4-DB87-4026-BCFA-25D25AFC415E}"/>
    <cellStyle name="Normal 3 3 3" xfId="412" xr:uid="{6504B10F-3C7E-47F9-BFA3-B282860234E2}"/>
    <cellStyle name="Normal 3 3 4" xfId="413" xr:uid="{278995BB-E1AF-46DB-8F90-B21A0AF22127}"/>
    <cellStyle name="Normal 3 3 5" xfId="414" xr:uid="{B84F680B-C66C-4CBB-B273-B6A3E34DE960}"/>
    <cellStyle name="Normal 3 4" xfId="415" xr:uid="{A1B6391C-87CF-410F-89B5-DDE7E16D01A3}"/>
    <cellStyle name="Normal 3 4 2" xfId="416" xr:uid="{B12187D6-6B3D-429D-AEA2-09F4F97422E4}"/>
    <cellStyle name="Normal 3 4 3" xfId="417" xr:uid="{08F90A5F-E29F-4C89-8B69-03B00A990DA9}"/>
    <cellStyle name="Normal 3 4 4" xfId="418" xr:uid="{54E75E76-095C-4A0B-BC45-2B2617BCC4A4}"/>
    <cellStyle name="Normal 3 4 5" xfId="419" xr:uid="{49D4952B-1181-4CEF-A818-1ACFF4D91FC7}"/>
    <cellStyle name="Normal 3 5" xfId="420" xr:uid="{0270027A-FD93-406A-B498-C542732106A7}"/>
    <cellStyle name="Normal 3 6" xfId="421" xr:uid="{A2D22D4D-B2FD-4FB7-A212-B84E1F892263}"/>
    <cellStyle name="Normal 3 7" xfId="422" xr:uid="{F48FA5AF-F10E-4D17-B650-6B8AE1FB94D4}"/>
    <cellStyle name="Normal 3 8" xfId="423" xr:uid="{2861E343-94B0-4C45-A5B6-9100F9FF182F}"/>
    <cellStyle name="Normal 3 9" xfId="424" xr:uid="{CD56D8BD-24D4-4469-8292-E07B7E7DDAA3}"/>
    <cellStyle name="Normal 4" xfId="14" xr:uid="{00000000-0005-0000-0000-00003F000000}"/>
    <cellStyle name="Normal 4 2" xfId="98" xr:uid="{4E2205F6-6940-4563-B086-C70314003006}"/>
    <cellStyle name="Normal 4 2 2" xfId="82" xr:uid="{EA7BF279-956F-47C2-9A73-0954A56A37C4}"/>
    <cellStyle name="Normal 4 2 2 2" xfId="426" xr:uid="{23CA3A5D-B14B-4000-8E76-EC3EFACEEF0F}"/>
    <cellStyle name="Normal 4 2 2 3" xfId="427" xr:uid="{DF176C95-12FA-4A5E-8C9C-35C291F7497C}"/>
    <cellStyle name="Normal 4 2 2 4" xfId="428" xr:uid="{E7563AF1-0711-4906-9D56-433357281070}"/>
    <cellStyle name="Normal 4 2 2 5" xfId="429" xr:uid="{C256980D-AC26-458B-8690-FCBA2A113BFE}"/>
    <cellStyle name="Normal 4 2 2 6" xfId="425" xr:uid="{34870BBE-642F-4565-AB67-9359FE5BCE43}"/>
    <cellStyle name="Normal 4 2 3" xfId="430" xr:uid="{985894A2-3865-4617-9D27-B3A20E3B2E71}"/>
    <cellStyle name="Normal 4 2 4" xfId="431" xr:uid="{D0ED11F3-6989-4CEE-BE12-60C20C4FAF4D}"/>
    <cellStyle name="Normal 4 2 5" xfId="432" xr:uid="{31B59DAD-09E2-4FBA-8FCE-724B269C96F9}"/>
    <cellStyle name="Normal 4 3" xfId="433" xr:uid="{0832AB67-25C4-4389-A37E-5FF4737EC98A}"/>
    <cellStyle name="Normal 4 4" xfId="434" xr:uid="{0259BC03-1827-47D9-A1EA-266408B34AFD}"/>
    <cellStyle name="Normal 4 4 2" xfId="435" xr:uid="{9E0AB073-03FF-41BD-B53B-D810F2961D47}"/>
    <cellStyle name="Normal 4 4 3" xfId="436" xr:uid="{E7CE4570-F5E5-40C8-ADB7-23AB8CEA34AD}"/>
    <cellStyle name="Normal 4 4 4" xfId="437" xr:uid="{FFDA4345-E90F-424E-BAD1-2514832FD33B}"/>
    <cellStyle name="Normal 4 4 5" xfId="438" xr:uid="{C5E44FA8-764B-43F4-AA95-5F6EA19CF88A}"/>
    <cellStyle name="Normal 4 5" xfId="439" xr:uid="{546C7EA6-5431-4DAF-BCBE-CBC2ADC4A55E}"/>
    <cellStyle name="Normal 4 6" xfId="440" xr:uid="{AAECFD73-27DC-4DD0-8EBB-ACBDE89F0DEC}"/>
    <cellStyle name="Normal 4 6 10" xfId="441" xr:uid="{5712F1B8-841B-4F91-8A10-272D16698555}"/>
    <cellStyle name="Normal 4 6 11" xfId="442" xr:uid="{F1F28991-6E3A-484D-B444-2120391AC225}"/>
    <cellStyle name="Normal 4 6 12" xfId="443" xr:uid="{DB28507C-A5FC-49F4-98F1-44CC472E4D49}"/>
    <cellStyle name="Normal 4 6 13" xfId="444" xr:uid="{8AE290C7-503B-4985-AC07-BBB910E3836E}"/>
    <cellStyle name="Normal 4 6 14" xfId="445" xr:uid="{A4D42C8C-CFD5-49C1-B560-82ECA3D4B954}"/>
    <cellStyle name="Normal 4 6 15" xfId="446" xr:uid="{2B1B9645-A383-436D-B391-42C07CB73EF6}"/>
    <cellStyle name="Normal 4 6 16" xfId="447" xr:uid="{273203B4-F11E-4995-8AEC-42B3D0B186A8}"/>
    <cellStyle name="Normal 4 6 17" xfId="448" xr:uid="{CE74763B-7207-458F-BE3D-476DE74D6F48}"/>
    <cellStyle name="Normal 4 6 18" xfId="449" xr:uid="{3984F363-5A84-4961-AD39-B4D34F3B5F4F}"/>
    <cellStyle name="Normal 4 6 19" xfId="450" xr:uid="{A06FFF32-AFE8-4591-96F3-1D5CF661E624}"/>
    <cellStyle name="Normal 4 6 2" xfId="451" xr:uid="{909EC5AC-74F1-495A-9852-ECD8FA0B6953}"/>
    <cellStyle name="Normal 4 6 20" xfId="452" xr:uid="{3AB1C821-C93F-416A-B5FC-23F549C690FE}"/>
    <cellStyle name="Normal 4 6 21" xfId="453" xr:uid="{85F1B60C-BA5C-4B80-A6F9-99D1369942AA}"/>
    <cellStyle name="Normal 4 6 22" xfId="454" xr:uid="{0E18BAAB-0D32-405A-816A-B89F85F67D99}"/>
    <cellStyle name="Normal 4 6 23" xfId="455" xr:uid="{4A9F6A3A-8A14-41E6-8808-A49873330C6B}"/>
    <cellStyle name="Normal 4 6 24" xfId="456" xr:uid="{969E986C-F7C5-45F7-A021-DAF5BE04521C}"/>
    <cellStyle name="Normal 4 6 25" xfId="457" xr:uid="{07A36BA1-1435-411D-AA27-4E313509ACB5}"/>
    <cellStyle name="Normal 4 6 26" xfId="458" xr:uid="{A122309A-73C1-4394-A131-30CDFA7E8747}"/>
    <cellStyle name="Normal 4 6 27" xfId="459" xr:uid="{9EBAA9D6-8FD4-4754-81F2-5CA43F97D62F}"/>
    <cellStyle name="Normal 4 6 28" xfId="460" xr:uid="{221295C0-5C30-4A9B-B3F9-C2F78FCA26DA}"/>
    <cellStyle name="Normal 4 6 29" xfId="461" xr:uid="{039F14FE-9B01-45B1-8790-EFE450A90C27}"/>
    <cellStyle name="Normal 4 6 3" xfId="462" xr:uid="{1DB4F789-301F-463E-9F59-E5EF480A400D}"/>
    <cellStyle name="Normal 4 6 30" xfId="463" xr:uid="{F8502E3A-4A2B-4C15-B7F1-C3E43D6FDB08}"/>
    <cellStyle name="Normal 4 6 31" xfId="464" xr:uid="{9567D395-C211-4981-85A0-475F0C4FD0B3}"/>
    <cellStyle name="Normal 4 6 32" xfId="465" xr:uid="{E3C2AED5-E8F1-4EEA-8CD8-6C3E793E6865}"/>
    <cellStyle name="Normal 4 6 33" xfId="466" xr:uid="{3F1C946A-A803-4EC6-BA9A-4B340DBF9899}"/>
    <cellStyle name="Normal 4 6 34" xfId="467" xr:uid="{D5A5E7D5-94BA-45D7-8BC7-FB93F7DE080D}"/>
    <cellStyle name="Normal 4 6 35" xfId="468" xr:uid="{E5B97BEF-D3E8-40F6-82D0-1C122FAAFF0B}"/>
    <cellStyle name="Normal 4 6 36" xfId="469" xr:uid="{4894A3E7-E63D-4F16-913A-482089764CF4}"/>
    <cellStyle name="Normal 4 6 37" xfId="470" xr:uid="{FC7ABB95-1AB4-40E6-829F-B55545CCB752}"/>
    <cellStyle name="Normal 4 6 38" xfId="471" xr:uid="{B70C3CF2-2877-4B14-BA34-68F66A242C5F}"/>
    <cellStyle name="Normal 4 6 39" xfId="472" xr:uid="{F958FB3F-667F-4AD6-84C1-E92AAEF0B758}"/>
    <cellStyle name="Normal 4 6 4" xfId="473" xr:uid="{CF6FD73D-24DD-49ED-974D-56E61D95CE0A}"/>
    <cellStyle name="Normal 4 6 40" xfId="474" xr:uid="{17E8FA45-6FC8-4C4C-968B-B8C7A9E73F36}"/>
    <cellStyle name="Normal 4 6 41" xfId="475" xr:uid="{D2E398C2-4926-46C7-9D93-66CBB70148D3}"/>
    <cellStyle name="Normal 4 6 42" xfId="476" xr:uid="{451F544A-D1C8-43E3-BB11-D829EAB61E6D}"/>
    <cellStyle name="Normal 4 6 43" xfId="477" xr:uid="{CD22FED5-E959-4299-8940-EA7305B21DEA}"/>
    <cellStyle name="Normal 4 6 44" xfId="478" xr:uid="{CF4A07C1-92C4-4660-9F0E-6C690270DD8E}"/>
    <cellStyle name="Normal 4 6 45" xfId="479" xr:uid="{A896883A-D54E-4321-A330-AC536A778ACC}"/>
    <cellStyle name="Normal 4 6 5" xfId="480" xr:uid="{E346E2DC-800D-441E-9AC7-58AF43B44C58}"/>
    <cellStyle name="Normal 4 6 6" xfId="481" xr:uid="{2012F23B-6C48-4065-A204-DB10C868C229}"/>
    <cellStyle name="Normal 4 6 7" xfId="482" xr:uid="{F7519726-4468-495E-842C-84DD452BD2E0}"/>
    <cellStyle name="Normal 4 6 8" xfId="483" xr:uid="{50E5D56F-6E6D-4CE5-BBA0-CE93EE929652}"/>
    <cellStyle name="Normal 4 6 9" xfId="484" xr:uid="{88FDA2AF-E479-4CB1-9342-B2F5CE206DBF}"/>
    <cellStyle name="Normal 4 7" xfId="485" xr:uid="{65682E5B-F8D6-4715-914E-C5881C56E578}"/>
    <cellStyle name="Normal 5" xfId="15" xr:uid="{00000000-0005-0000-0000-000040000000}"/>
    <cellStyle name="Normal 5 2" xfId="99" xr:uid="{A8EC296E-8F33-49F7-967A-3BA59C70DC63}"/>
    <cellStyle name="Normal 5 3" xfId="486" xr:uid="{ADF2DE38-D07B-44FF-A04A-BE6545273BC9}"/>
    <cellStyle name="Normal 5 4" xfId="92" xr:uid="{D75F76A0-D7A3-4FBC-9225-D99BDAAEC0D1}"/>
    <cellStyle name="Normal 58" xfId="17" xr:uid="{00000000-0005-0000-0000-000041000000}"/>
    <cellStyle name="Normal 6" xfId="16" xr:uid="{00000000-0005-0000-0000-000042000000}"/>
    <cellStyle name="Normal 6 2" xfId="100" xr:uid="{6F24E0C2-2247-4421-AFD0-431A916CE2BA}"/>
    <cellStyle name="Normal 6 3" xfId="487" xr:uid="{5580CB8E-76F2-4564-85C4-B34133A9D69D}"/>
    <cellStyle name="Normal 6 4" xfId="93" xr:uid="{50726456-9B78-4219-9EE0-1A1552BDBE7F}"/>
    <cellStyle name="Normal 7" xfId="94" xr:uid="{3DB12F18-8121-4C4B-8089-AA89667238EE}"/>
    <cellStyle name="Normal 7 2" xfId="101" xr:uid="{6EA2DA7F-C441-4D3E-9922-46BD49666EF5}"/>
    <cellStyle name="Normal 7 3" xfId="488" xr:uid="{C7052E61-E46C-4BD5-A096-71B7308EF2CB}"/>
    <cellStyle name="Normal 8" xfId="96" xr:uid="{27FEC004-C986-47F5-A214-3DEC25E955A2}"/>
    <cellStyle name="Normal 8 2" xfId="102" xr:uid="{514BD377-7CB0-43EF-8652-7106138D62FB}"/>
    <cellStyle name="Normal 8 3" xfId="489" xr:uid="{E881D67F-07B1-4894-8898-5185DC32A274}"/>
    <cellStyle name="Normal 9" xfId="109" xr:uid="{E10A38EB-6603-4BA5-AA16-D466580643B7}"/>
    <cellStyle name="Normal 9 2" xfId="490" xr:uid="{D8E93AEF-DFBA-4382-8D2F-FFA73D7C8FFE}"/>
    <cellStyle name="Normal 9 3" xfId="491" xr:uid="{5936FD19-120E-4D28-B6B2-149617782885}"/>
    <cellStyle name="Normal 9 4" xfId="492" xr:uid="{ECACB38E-DB89-403E-AA23-9AE4A3C76592}"/>
    <cellStyle name="Normal_NAMR3_86" xfId="95" xr:uid="{172287E9-E6A2-48DB-AF19-84C087522792}"/>
    <cellStyle name="Note 2" xfId="67" xr:uid="{00000000-0005-0000-0000-000044000000}"/>
    <cellStyle name="Note 2 2" xfId="493" xr:uid="{2FB4537B-D13A-44F0-A5E6-90F822830121}"/>
    <cellStyle name="Note 3" xfId="106" xr:uid="{81678B62-A360-42CB-A182-36427634A77E}"/>
    <cellStyle name="Note 4" xfId="105" xr:uid="{F7905360-767D-47D4-B523-93359060D0A8}"/>
    <cellStyle name="Note 5" xfId="107" xr:uid="{B7C5A81D-FB3A-408A-9533-5F3191254827}"/>
    <cellStyle name="Note 6" xfId="110" xr:uid="{33E01752-04A3-4811-A5C1-91EC4EED8935}"/>
    <cellStyle name="Output 2" xfId="494" xr:uid="{C1DE99B9-8B4C-47FB-B075-307CED59AAEA}"/>
    <cellStyle name="Parent row" xfId="5" xr:uid="{00000000-0005-0000-0000-000046000000}"/>
    <cellStyle name="Parent row 2" xfId="23" xr:uid="{00000000-0005-0000-0000-000047000000}"/>
    <cellStyle name="Percent 2" xfId="495" xr:uid="{CC883159-4F37-49C3-83A9-A89B1F62A104}"/>
    <cellStyle name="Percent 2 2" xfId="496" xr:uid="{8F904EAD-7B3C-459D-A8BA-231D81F6D8D2}"/>
    <cellStyle name="Percent 2 3" xfId="497" xr:uid="{DC546964-B503-4FB2-ACDD-A83284D3031C}"/>
    <cellStyle name="Percent 3" xfId="498" xr:uid="{D428B703-7A2D-478B-AAA5-B9E1864FE010}"/>
    <cellStyle name="Percent 4" xfId="499" xr:uid="{00075B11-4E6F-45AE-B5D2-6D20A9FC8E26}"/>
    <cellStyle name="Percent 5" xfId="500" xr:uid="{15877CED-C987-470D-A0E0-F57D3F9CB4FA}"/>
    <cellStyle name="Percent 6" xfId="501" xr:uid="{2CD4DFCE-9853-4E67-9623-8CF1ED074528}"/>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2" xfId="502" xr:uid="{ECBC81A9-1D86-44FB-8538-A6E45A8D40AF}"/>
    <cellStyle name="Total 2" xfId="503" xr:uid="{16BE0C02-C0E5-4322-BBF4-D218789EA319}"/>
    <cellStyle name="Warning Text 2" xfId="504" xr:uid="{9E29B798-36AB-4FB0-8E0E-EDF9CE22EE00}"/>
    <cellStyle name="강조색1" xfId="42" builtinId="29" customBuiltin="1"/>
    <cellStyle name="강조색1 2" xfId="522" xr:uid="{59425BB8-D2B8-4D50-9C63-F2D3D4C1C0B0}"/>
    <cellStyle name="강조색2" xfId="45" builtinId="33" customBuiltin="1"/>
    <cellStyle name="강조색2 2" xfId="526" xr:uid="{6B893356-51D7-4248-9C1E-D834A29580CC}"/>
    <cellStyle name="강조색3" xfId="48" builtinId="37" customBuiltin="1"/>
    <cellStyle name="강조색3 2" xfId="530" xr:uid="{A40784D9-9038-45BD-AE4E-37166BB5C6FE}"/>
    <cellStyle name="강조색4" xfId="51" builtinId="41" customBuiltin="1"/>
    <cellStyle name="강조색4 2" xfId="534" xr:uid="{B996B578-A893-46CE-BD7E-AFA18515E61B}"/>
    <cellStyle name="강조색5" xfId="54" builtinId="45" customBuiltin="1"/>
    <cellStyle name="강조색5 2" xfId="538" xr:uid="{5C337B93-C24E-4A38-B829-24F14798BED9}"/>
    <cellStyle name="강조색6" xfId="57" builtinId="49" customBuiltin="1"/>
    <cellStyle name="강조색6 2" xfId="542" xr:uid="{ECC7CA3C-7419-42A6-823F-DAC40FE5F586}"/>
    <cellStyle name="경고문" xfId="38" builtinId="11" customBuiltin="1"/>
    <cellStyle name="경고문 2" xfId="519" xr:uid="{3032CB27-FBD3-4F64-A4F1-4DF32F7FAB65}"/>
    <cellStyle name="계산" xfId="35" builtinId="22" customBuiltin="1"/>
    <cellStyle name="계산 2" xfId="516" xr:uid="{1A119330-85F9-4BFC-B765-3A471118FA0F}"/>
    <cellStyle name="나쁨" xfId="32" builtinId="27" customBuiltin="1"/>
    <cellStyle name="나쁨 2" xfId="512" xr:uid="{5FF28AD7-4F94-4071-80EC-B2CB1839033C}"/>
    <cellStyle name="메모" xfId="39" builtinId="10" customBuiltin="1"/>
    <cellStyle name="백분율" xfId="18" builtinId="5"/>
    <cellStyle name="백분율 2" xfId="505" xr:uid="{A97C8ECA-D61E-4A26-AA36-8956BFFED6F7}"/>
    <cellStyle name="보통 2" xfId="513" xr:uid="{E91FE14D-C004-464B-8C82-5742DFE456E1}"/>
    <cellStyle name="설명 텍스트" xfId="40" builtinId="53" customBuiltin="1"/>
    <cellStyle name="설명 텍스트 2" xfId="520" xr:uid="{9D415D6A-5052-4ED7-A673-0171911939E2}"/>
    <cellStyle name="셀 확인" xfId="37" builtinId="23" customBuiltin="1"/>
    <cellStyle name="셀 확인 2" xfId="518" xr:uid="{BB66DCA5-834E-42D5-B48B-A5B5EBAC7E10}"/>
    <cellStyle name="쉼표 [0]" xfId="84" builtinId="6"/>
    <cellStyle name="연결된 셀" xfId="36" builtinId="24" customBuiltin="1"/>
    <cellStyle name="연결된 셀 2" xfId="517" xr:uid="{3DC7F925-8050-4DC2-80D2-87F2F6EFB187}"/>
    <cellStyle name="열어 본 하이퍼링크" xfId="10" builtinId="9" customBuiltin="1"/>
    <cellStyle name="요약" xfId="41" builtinId="25" customBuiltin="1"/>
    <cellStyle name="요약 2" xfId="521" xr:uid="{E477744F-D3E8-42BC-AE16-6C55BB8BBB38}"/>
    <cellStyle name="입력" xfId="33" builtinId="20" customBuiltin="1"/>
    <cellStyle name="입력 2" xfId="514" xr:uid="{6454DDC8-EB7F-49F4-A04C-A5370CA8BF51}"/>
    <cellStyle name="제목" xfId="26" builtinId="15" customBuiltin="1"/>
    <cellStyle name="제목 1" xfId="27" builtinId="16" customBuiltin="1"/>
    <cellStyle name="제목 1 2" xfId="507" xr:uid="{9933EB67-BCD8-4038-8B83-45A005B23EA9}"/>
    <cellStyle name="제목 2" xfId="28" builtinId="17" customBuiltin="1"/>
    <cellStyle name="제목 2 2" xfId="508" xr:uid="{1C879933-EAD5-4F90-BF54-83004CFEC66C}"/>
    <cellStyle name="제목 3" xfId="29" builtinId="18" customBuiltin="1"/>
    <cellStyle name="제목 3 2" xfId="509" xr:uid="{A942B77F-6D8C-41FB-B2ED-B46B0FCE6C16}"/>
    <cellStyle name="제목 4" xfId="30" builtinId="19" customBuiltin="1"/>
    <cellStyle name="제목 4 2" xfId="510" xr:uid="{452D2926-667A-4CA2-8340-E0D013E7E859}"/>
    <cellStyle name="제목 5" xfId="506" xr:uid="{66CE0D27-7C07-48A2-97E4-7CF0D9A8D30D}"/>
    <cellStyle name="좋음" xfId="31" builtinId="26" customBuiltin="1"/>
    <cellStyle name="좋음 2" xfId="511" xr:uid="{93A6246C-2B4F-4BB9-A66F-C69A43DFC6EF}"/>
    <cellStyle name="출력" xfId="34" builtinId="21" customBuiltin="1"/>
    <cellStyle name="출력 2" xfId="515" xr:uid="{DD557878-9502-4066-8C72-89300947A733}"/>
    <cellStyle name="표준" xfId="0" builtinId="0"/>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 name="표준 5" xfId="89" xr:uid="{E9B3E3DF-85B8-47EB-A894-A29E2CA42100}"/>
    <cellStyle name="하이퍼링크" xfId="9" builtinId="8" customBuiltin="1"/>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52004600661378.563</c:v>
                </c:pt>
                <c:pt idx="1">
                  <c:v>53339427300621.234</c:v>
                </c:pt>
                <c:pt idx="2">
                  <c:v>54674253939863.898</c:v>
                </c:pt>
                <c:pt idx="3">
                  <c:v>56009080579106.57</c:v>
                </c:pt>
                <c:pt idx="4">
                  <c:v>59093281051524.328</c:v>
                </c:pt>
                <c:pt idx="5">
                  <c:v>62177481523942.094</c:v>
                </c:pt>
                <c:pt idx="6">
                  <c:v>65261681996359.859</c:v>
                </c:pt>
                <c:pt idx="7">
                  <c:v>68345882468777.617</c:v>
                </c:pt>
                <c:pt idx="8">
                  <c:v>71430082941195.375</c:v>
                </c:pt>
                <c:pt idx="9">
                  <c:v>74514283413613.141</c:v>
                </c:pt>
                <c:pt idx="10">
                  <c:v>77598483886030.891</c:v>
                </c:pt>
                <c:pt idx="11">
                  <c:v>78546655231265.625</c:v>
                </c:pt>
                <c:pt idx="12">
                  <c:v>79494826576500.344</c:v>
                </c:pt>
                <c:pt idx="13">
                  <c:v>80442997921735.063</c:v>
                </c:pt>
                <c:pt idx="14">
                  <c:v>81391169266969.781</c:v>
                </c:pt>
                <c:pt idx="15">
                  <c:v>82339340612204.5</c:v>
                </c:pt>
                <c:pt idx="16">
                  <c:v>83287511957439.219</c:v>
                </c:pt>
                <c:pt idx="17">
                  <c:v>84235683302673.938</c:v>
                </c:pt>
                <c:pt idx="18">
                  <c:v>85183854647908.656</c:v>
                </c:pt>
                <c:pt idx="19">
                  <c:v>86132025993143.375</c:v>
                </c:pt>
                <c:pt idx="20">
                  <c:v>87080197338378.078</c:v>
                </c:pt>
                <c:pt idx="21">
                  <c:v>87483787000197.328</c:v>
                </c:pt>
                <c:pt idx="22">
                  <c:v>87887376662016.563</c:v>
                </c:pt>
                <c:pt idx="23">
                  <c:v>88290966323835.797</c:v>
                </c:pt>
                <c:pt idx="24">
                  <c:v>88694555985655.047</c:v>
                </c:pt>
                <c:pt idx="25">
                  <c:v>89098145647474.281</c:v>
                </c:pt>
                <c:pt idx="26">
                  <c:v>89501735309293.516</c:v>
                </c:pt>
                <c:pt idx="27">
                  <c:v>89905324971112.75</c:v>
                </c:pt>
                <c:pt idx="28">
                  <c:v>90308914632932</c:v>
                </c:pt>
                <c:pt idx="29">
                  <c:v>90712504294751.234</c:v>
                </c:pt>
                <c:pt idx="30">
                  <c:v>91116093956570.469</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65013606506581.438</c:v>
                </c:pt>
                <c:pt idx="1">
                  <c:v>66682341441078.766</c:v>
                </c:pt>
                <c:pt idx="2">
                  <c:v>68351076375576.102</c:v>
                </c:pt>
                <c:pt idx="3">
                  <c:v>70019811310073.43</c:v>
                </c:pt>
                <c:pt idx="4">
                  <c:v>73875527791905.672</c:v>
                </c:pt>
                <c:pt idx="5">
                  <c:v>77731244273737.906</c:v>
                </c:pt>
                <c:pt idx="6">
                  <c:v>81586960755570.141</c:v>
                </c:pt>
                <c:pt idx="7">
                  <c:v>85442677237402.375</c:v>
                </c:pt>
                <c:pt idx="8">
                  <c:v>89298393719234.625</c:v>
                </c:pt>
                <c:pt idx="9">
                  <c:v>93154110201066.859</c:v>
                </c:pt>
                <c:pt idx="10">
                  <c:v>97009826682899.078</c:v>
                </c:pt>
                <c:pt idx="11">
                  <c:v>98195184092742.375</c:v>
                </c:pt>
                <c:pt idx="12">
                  <c:v>99380541502585.656</c:v>
                </c:pt>
                <c:pt idx="13">
                  <c:v>100565898912428.94</c:v>
                </c:pt>
                <c:pt idx="14">
                  <c:v>101751256322272.22</c:v>
                </c:pt>
                <c:pt idx="15">
                  <c:v>102936613732115.5</c:v>
                </c:pt>
                <c:pt idx="16">
                  <c:v>104121971141958.78</c:v>
                </c:pt>
                <c:pt idx="17">
                  <c:v>105307328551802.06</c:v>
                </c:pt>
                <c:pt idx="18">
                  <c:v>106492685961645.34</c:v>
                </c:pt>
                <c:pt idx="19">
                  <c:v>107678043371488.63</c:v>
                </c:pt>
                <c:pt idx="20">
                  <c:v>108863400781331.92</c:v>
                </c:pt>
                <c:pt idx="21">
                  <c:v>109367948823811.67</c:v>
                </c:pt>
                <c:pt idx="22">
                  <c:v>109872496866291.44</c:v>
                </c:pt>
                <c:pt idx="23">
                  <c:v>110377044908771.2</c:v>
                </c:pt>
                <c:pt idx="24">
                  <c:v>110881592951250.95</c:v>
                </c:pt>
                <c:pt idx="25">
                  <c:v>111386140993730.72</c:v>
                </c:pt>
                <c:pt idx="26">
                  <c:v>111890689036210.48</c:v>
                </c:pt>
                <c:pt idx="27">
                  <c:v>112395237078690.25</c:v>
                </c:pt>
                <c:pt idx="28">
                  <c:v>112899785121170</c:v>
                </c:pt>
                <c:pt idx="29">
                  <c:v>113404333163649.77</c:v>
                </c:pt>
                <c:pt idx="30">
                  <c:v>113908881206129.53</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843050766384472</c:v>
                </c:pt>
                <c:pt idx="1">
                  <c:v>858242718753144</c:v>
                </c:pt>
                <c:pt idx="2">
                  <c:v>873434671121812</c:v>
                </c:pt>
                <c:pt idx="3">
                  <c:v>888626623490480</c:v>
                </c:pt>
                <c:pt idx="4">
                  <c:v>902325169772424</c:v>
                </c:pt>
                <c:pt idx="5">
                  <c:v>916023716054364</c:v>
                </c:pt>
                <c:pt idx="6">
                  <c:v>929722262336304</c:v>
                </c:pt>
                <c:pt idx="7">
                  <c:v>943420808618244</c:v>
                </c:pt>
                <c:pt idx="8">
                  <c:v>957119354900184</c:v>
                </c:pt>
                <c:pt idx="9">
                  <c:v>970817901182124</c:v>
                </c:pt>
                <c:pt idx="10">
                  <c:v>984516447464060</c:v>
                </c:pt>
                <c:pt idx="11">
                  <c:v>978567947217560</c:v>
                </c:pt>
                <c:pt idx="12">
                  <c:v>972619446971060</c:v>
                </c:pt>
                <c:pt idx="13">
                  <c:v>966670946724560</c:v>
                </c:pt>
                <c:pt idx="14">
                  <c:v>960722446478060</c:v>
                </c:pt>
                <c:pt idx="15">
                  <c:v>954773946231560</c:v>
                </c:pt>
                <c:pt idx="16">
                  <c:v>948825445985060</c:v>
                </c:pt>
                <c:pt idx="17">
                  <c:v>942876945738560</c:v>
                </c:pt>
                <c:pt idx="18">
                  <c:v>936928445492060</c:v>
                </c:pt>
                <c:pt idx="19">
                  <c:v>930979945245560</c:v>
                </c:pt>
                <c:pt idx="20">
                  <c:v>925031444999060</c:v>
                </c:pt>
                <c:pt idx="21">
                  <c:v>914018788209372</c:v>
                </c:pt>
                <c:pt idx="22">
                  <c:v>903006131419684</c:v>
                </c:pt>
                <c:pt idx="23">
                  <c:v>891993474630000</c:v>
                </c:pt>
                <c:pt idx="24">
                  <c:v>880980817840312</c:v>
                </c:pt>
                <c:pt idx="25">
                  <c:v>869968161050624</c:v>
                </c:pt>
                <c:pt idx="26">
                  <c:v>858955504260940</c:v>
                </c:pt>
                <c:pt idx="27">
                  <c:v>847942847471252</c:v>
                </c:pt>
                <c:pt idx="28">
                  <c:v>836930190681564</c:v>
                </c:pt>
                <c:pt idx="29">
                  <c:v>825917533891876</c:v>
                </c:pt>
                <c:pt idx="30">
                  <c:v>814904877102190</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85805933867092.469</c:v>
                </c:pt>
                <c:pt idx="1">
                  <c:v>83356677941232.656</c:v>
                </c:pt>
                <c:pt idx="2">
                  <c:v>80907422015372.859</c:v>
                </c:pt>
                <c:pt idx="3">
                  <c:v>78458166089513.063</c:v>
                </c:pt>
                <c:pt idx="4">
                  <c:v>77875487913552.266</c:v>
                </c:pt>
                <c:pt idx="5">
                  <c:v>77292809737591.469</c:v>
                </c:pt>
                <c:pt idx="6">
                  <c:v>76710131561630.688</c:v>
                </c:pt>
                <c:pt idx="7">
                  <c:v>76127453385669.891</c:v>
                </c:pt>
                <c:pt idx="8">
                  <c:v>75544775209709.094</c:v>
                </c:pt>
                <c:pt idx="9">
                  <c:v>74962097033748.313</c:v>
                </c:pt>
                <c:pt idx="10">
                  <c:v>74379418857787.516</c:v>
                </c:pt>
                <c:pt idx="11">
                  <c:v>73782998272016.328</c:v>
                </c:pt>
                <c:pt idx="12">
                  <c:v>73186577686245.141</c:v>
                </c:pt>
                <c:pt idx="13">
                  <c:v>72590157100473.953</c:v>
                </c:pt>
                <c:pt idx="14">
                  <c:v>71993736514702.766</c:v>
                </c:pt>
                <c:pt idx="15">
                  <c:v>71397315928931.578</c:v>
                </c:pt>
                <c:pt idx="16">
                  <c:v>70800895343160.391</c:v>
                </c:pt>
                <c:pt idx="17">
                  <c:v>70204474757389.195</c:v>
                </c:pt>
                <c:pt idx="18">
                  <c:v>69608054171618.008</c:v>
                </c:pt>
                <c:pt idx="19">
                  <c:v>69011633585846.82</c:v>
                </c:pt>
                <c:pt idx="20">
                  <c:v>68415213000075.633</c:v>
                </c:pt>
                <c:pt idx="21">
                  <c:v>67337808070940.586</c:v>
                </c:pt>
                <c:pt idx="22">
                  <c:v>66260403141805.539</c:v>
                </c:pt>
                <c:pt idx="23">
                  <c:v>65182998212670.484</c:v>
                </c:pt>
                <c:pt idx="24">
                  <c:v>64105593283535.438</c:v>
                </c:pt>
                <c:pt idx="25">
                  <c:v>63028188354400.391</c:v>
                </c:pt>
                <c:pt idx="26">
                  <c:v>61950783425265.336</c:v>
                </c:pt>
                <c:pt idx="27">
                  <c:v>60873378496130.289</c:v>
                </c:pt>
                <c:pt idx="28">
                  <c:v>59795973566995.242</c:v>
                </c:pt>
                <c:pt idx="29">
                  <c:v>58718568637860.188</c:v>
                </c:pt>
                <c:pt idx="30">
                  <c:v>57641163708725.141</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2626712261237.5371</c:v>
                </c:pt>
                <c:pt idx="1">
                  <c:v>2551735039017.3384</c:v>
                </c:pt>
                <c:pt idx="2">
                  <c:v>2476757816797.1401</c:v>
                </c:pt>
                <c:pt idx="3">
                  <c:v>2401780594576.9419</c:v>
                </c:pt>
                <c:pt idx="4">
                  <c:v>2383943507557.7339</c:v>
                </c:pt>
                <c:pt idx="5">
                  <c:v>2366106420538.5259</c:v>
                </c:pt>
                <c:pt idx="6">
                  <c:v>2348269333519.3179</c:v>
                </c:pt>
                <c:pt idx="7">
                  <c:v>2330432246500.1099</c:v>
                </c:pt>
                <c:pt idx="8">
                  <c:v>2312595159480.9019</c:v>
                </c:pt>
                <c:pt idx="9">
                  <c:v>2294758072461.6938</c:v>
                </c:pt>
                <c:pt idx="10">
                  <c:v>2276920985442.4858</c:v>
                </c:pt>
                <c:pt idx="11">
                  <c:v>2258663212408.6738</c:v>
                </c:pt>
                <c:pt idx="12">
                  <c:v>2240405439374.8618</c:v>
                </c:pt>
                <c:pt idx="13">
                  <c:v>2222147666341.0498</c:v>
                </c:pt>
                <c:pt idx="14">
                  <c:v>2203889893307.2378</c:v>
                </c:pt>
                <c:pt idx="15">
                  <c:v>2185632120273.426</c:v>
                </c:pt>
                <c:pt idx="16">
                  <c:v>2167374347239.614</c:v>
                </c:pt>
                <c:pt idx="17">
                  <c:v>2149116574205.802</c:v>
                </c:pt>
                <c:pt idx="18">
                  <c:v>2130858801171.99</c:v>
                </c:pt>
                <c:pt idx="19">
                  <c:v>2112601028138.178</c:v>
                </c:pt>
                <c:pt idx="20">
                  <c:v>2094343255104.3662</c:v>
                </c:pt>
                <c:pt idx="21">
                  <c:v>2061361471559.4155</c:v>
                </c:pt>
                <c:pt idx="22">
                  <c:v>2028379688014.4648</c:v>
                </c:pt>
                <c:pt idx="23">
                  <c:v>1995397904469.5142</c:v>
                </c:pt>
                <c:pt idx="24">
                  <c:v>1962416120924.5635</c:v>
                </c:pt>
                <c:pt idx="25">
                  <c:v>1929434337379.6128</c:v>
                </c:pt>
                <c:pt idx="26">
                  <c:v>1896452553834.6624</c:v>
                </c:pt>
                <c:pt idx="27">
                  <c:v>1863470770289.7117</c:v>
                </c:pt>
                <c:pt idx="28">
                  <c:v>1830488986744.761</c:v>
                </c:pt>
                <c:pt idx="29">
                  <c:v>1797507203199.8103</c:v>
                </c:pt>
                <c:pt idx="30">
                  <c:v>1764525419654.8596</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3328804777880.999</c:v>
                </c:pt>
                <c:pt idx="1">
                  <c:v>3495245016775.0488</c:v>
                </c:pt>
                <c:pt idx="2">
                  <c:v>3661685255669.0986</c:v>
                </c:pt>
                <c:pt idx="3">
                  <c:v>3828125494563.1484</c:v>
                </c:pt>
                <c:pt idx="4">
                  <c:v>3853269175972.4302</c:v>
                </c:pt>
                <c:pt idx="5">
                  <c:v>3878412857381.7119</c:v>
                </c:pt>
                <c:pt idx="6">
                  <c:v>3903556538790.9941</c:v>
                </c:pt>
                <c:pt idx="7">
                  <c:v>3928700220200.2759</c:v>
                </c:pt>
                <c:pt idx="8">
                  <c:v>3953843901609.5576</c:v>
                </c:pt>
                <c:pt idx="9">
                  <c:v>3978987583018.8394</c:v>
                </c:pt>
                <c:pt idx="10">
                  <c:v>4004131264428.1211</c:v>
                </c:pt>
                <c:pt idx="11">
                  <c:v>4010731480798.0576</c:v>
                </c:pt>
                <c:pt idx="12">
                  <c:v>4017331697167.9937</c:v>
                </c:pt>
                <c:pt idx="13">
                  <c:v>4023931913537.9302</c:v>
                </c:pt>
                <c:pt idx="14">
                  <c:v>4030532129907.8667</c:v>
                </c:pt>
                <c:pt idx="15">
                  <c:v>4037132346277.8032</c:v>
                </c:pt>
                <c:pt idx="16">
                  <c:v>4043732562647.7397</c:v>
                </c:pt>
                <c:pt idx="17">
                  <c:v>4050332779017.6763</c:v>
                </c:pt>
                <c:pt idx="18">
                  <c:v>4056932995387.6128</c:v>
                </c:pt>
                <c:pt idx="19">
                  <c:v>4063533211757.5493</c:v>
                </c:pt>
                <c:pt idx="20">
                  <c:v>4070133428127.4854</c:v>
                </c:pt>
                <c:pt idx="21">
                  <c:v>4048132706894.3643</c:v>
                </c:pt>
                <c:pt idx="22">
                  <c:v>4026131985661.2427</c:v>
                </c:pt>
                <c:pt idx="23">
                  <c:v>4004131264428.1211</c:v>
                </c:pt>
                <c:pt idx="24">
                  <c:v>3982130543194.9995</c:v>
                </c:pt>
                <c:pt idx="25">
                  <c:v>3960129821961.8779</c:v>
                </c:pt>
                <c:pt idx="26">
                  <c:v>3938129100728.7563</c:v>
                </c:pt>
                <c:pt idx="27">
                  <c:v>3916128379495.6348</c:v>
                </c:pt>
                <c:pt idx="28">
                  <c:v>3894127658262.5132</c:v>
                </c:pt>
                <c:pt idx="29">
                  <c:v>3872126937029.3916</c:v>
                </c:pt>
                <c:pt idx="30">
                  <c:v>3850126215796.27</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579677802696.34021</c:v>
                </c:pt>
                <c:pt idx="1">
                  <c:v>608661692831.15723</c:v>
                </c:pt>
                <c:pt idx="2">
                  <c:v>637645582965.97424</c:v>
                </c:pt>
                <c:pt idx="3">
                  <c:v>666629473100.79126</c:v>
                </c:pt>
                <c:pt idx="4">
                  <c:v>671007991807.52881</c:v>
                </c:pt>
                <c:pt idx="5">
                  <c:v>675386510514.26636</c:v>
                </c:pt>
                <c:pt idx="6">
                  <c:v>679765029221.00391</c:v>
                </c:pt>
                <c:pt idx="7">
                  <c:v>684143547927.74146</c:v>
                </c:pt>
                <c:pt idx="8">
                  <c:v>688522066634.479</c:v>
                </c:pt>
                <c:pt idx="9">
                  <c:v>692900585341.21655</c:v>
                </c:pt>
                <c:pt idx="10">
                  <c:v>697279104047.9541</c:v>
                </c:pt>
                <c:pt idx="11">
                  <c:v>698428465208.47278</c:v>
                </c:pt>
                <c:pt idx="12">
                  <c:v>699577826368.99133</c:v>
                </c:pt>
                <c:pt idx="13">
                  <c:v>700727187529.50989</c:v>
                </c:pt>
                <c:pt idx="14">
                  <c:v>701876548690.02856</c:v>
                </c:pt>
                <c:pt idx="15">
                  <c:v>703025909850.54712</c:v>
                </c:pt>
                <c:pt idx="16">
                  <c:v>704175271011.0658</c:v>
                </c:pt>
                <c:pt idx="17">
                  <c:v>705324632171.58435</c:v>
                </c:pt>
                <c:pt idx="18">
                  <c:v>706473993332.10303</c:v>
                </c:pt>
                <c:pt idx="19">
                  <c:v>707623354492.62158</c:v>
                </c:pt>
                <c:pt idx="20">
                  <c:v>708772715653.14014</c:v>
                </c:pt>
                <c:pt idx="21">
                  <c:v>704941511784.74487</c:v>
                </c:pt>
                <c:pt idx="22">
                  <c:v>701110307916.34949</c:v>
                </c:pt>
                <c:pt idx="23">
                  <c:v>697279104047.9541</c:v>
                </c:pt>
                <c:pt idx="24">
                  <c:v>693447900179.55884</c:v>
                </c:pt>
                <c:pt idx="25">
                  <c:v>689616696311.16345</c:v>
                </c:pt>
                <c:pt idx="26">
                  <c:v>685785492442.76807</c:v>
                </c:pt>
                <c:pt idx="27">
                  <c:v>681954288574.37268</c:v>
                </c:pt>
                <c:pt idx="28">
                  <c:v>678123084705.97742</c:v>
                </c:pt>
                <c:pt idx="29">
                  <c:v>674291880837.58203</c:v>
                </c:pt>
                <c:pt idx="30">
                  <c:v>670460676969.18665</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904949144649.52417</c:v>
                </c:pt>
                <c:pt idx="1">
                  <c:v>950196601882.00037</c:v>
                </c:pt>
                <c:pt idx="2">
                  <c:v>995444059114.47656</c:v>
                </c:pt>
                <c:pt idx="3">
                  <c:v>1040691516346.9528</c:v>
                </c:pt>
                <c:pt idx="4">
                  <c:v>1047526928605.3893</c:v>
                </c:pt>
                <c:pt idx="5">
                  <c:v>1054362340863.8257</c:v>
                </c:pt>
                <c:pt idx="6">
                  <c:v>1061197753122.2622</c:v>
                </c:pt>
                <c:pt idx="7">
                  <c:v>1068033165380.6987</c:v>
                </c:pt>
                <c:pt idx="8">
                  <c:v>1074868577639.1351</c:v>
                </c:pt>
                <c:pt idx="9">
                  <c:v>1081703989897.5717</c:v>
                </c:pt>
                <c:pt idx="10">
                  <c:v>1088539402156.0081</c:v>
                </c:pt>
                <c:pt idx="11">
                  <c:v>1090333697873.8477</c:v>
                </c:pt>
                <c:pt idx="12">
                  <c:v>1092127993591.6873</c:v>
                </c:pt>
                <c:pt idx="13">
                  <c:v>1093922289309.5269</c:v>
                </c:pt>
                <c:pt idx="14">
                  <c:v>1095716585027.3663</c:v>
                </c:pt>
                <c:pt idx="15">
                  <c:v>1097510880745.2059</c:v>
                </c:pt>
                <c:pt idx="16">
                  <c:v>1099305176463.0455</c:v>
                </c:pt>
                <c:pt idx="17">
                  <c:v>1101099472180.885</c:v>
                </c:pt>
                <c:pt idx="18">
                  <c:v>1102893767898.7246</c:v>
                </c:pt>
                <c:pt idx="19">
                  <c:v>1104688063616.5642</c:v>
                </c:pt>
                <c:pt idx="20">
                  <c:v>1106482359334.4038</c:v>
                </c:pt>
                <c:pt idx="21">
                  <c:v>1100501373608.272</c:v>
                </c:pt>
                <c:pt idx="22">
                  <c:v>1094520387882.14</c:v>
                </c:pt>
                <c:pt idx="23">
                  <c:v>1088539402156.0081</c:v>
                </c:pt>
                <c:pt idx="24">
                  <c:v>1082558416429.8762</c:v>
                </c:pt>
                <c:pt idx="25">
                  <c:v>1076577430703.7443</c:v>
                </c:pt>
                <c:pt idx="26">
                  <c:v>1070596444977.6123</c:v>
                </c:pt>
                <c:pt idx="27">
                  <c:v>1064615459251.4805</c:v>
                </c:pt>
                <c:pt idx="28">
                  <c:v>1058634473525.3485</c:v>
                </c:pt>
                <c:pt idx="29">
                  <c:v>1052653487799.2167</c:v>
                </c:pt>
                <c:pt idx="30">
                  <c:v>1046672502073.0847</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944839462814.38745</c:v>
                </c:pt>
                <c:pt idx="1">
                  <c:v>992081435955.10681</c:v>
                </c:pt>
                <c:pt idx="2">
                  <c:v>1039323409095.8262</c:v>
                </c:pt>
                <c:pt idx="3">
                  <c:v>1086565382236.5457</c:v>
                </c:pt>
                <c:pt idx="4">
                  <c:v>1093702100674.8809</c:v>
                </c:pt>
                <c:pt idx="5">
                  <c:v>1100838819113.2161</c:v>
                </c:pt>
                <c:pt idx="6">
                  <c:v>1107975537551.5515</c:v>
                </c:pt>
                <c:pt idx="7">
                  <c:v>1115112255989.8867</c:v>
                </c:pt>
                <c:pt idx="8">
                  <c:v>1122248974428.2219</c:v>
                </c:pt>
                <c:pt idx="9">
                  <c:v>1129385692866.5571</c:v>
                </c:pt>
                <c:pt idx="10">
                  <c:v>1136522411304.8926</c:v>
                </c:pt>
                <c:pt idx="11">
                  <c:v>1138395799894.9556</c:v>
                </c:pt>
                <c:pt idx="12">
                  <c:v>1140269188485.0186</c:v>
                </c:pt>
                <c:pt idx="13">
                  <c:v>1142142577075.0815</c:v>
                </c:pt>
                <c:pt idx="14">
                  <c:v>1144015965665.1445</c:v>
                </c:pt>
                <c:pt idx="15">
                  <c:v>1145889354255.2075</c:v>
                </c:pt>
                <c:pt idx="16">
                  <c:v>1147762742845.2705</c:v>
                </c:pt>
                <c:pt idx="17">
                  <c:v>1149636131435.3335</c:v>
                </c:pt>
                <c:pt idx="18">
                  <c:v>1151509520025.3965</c:v>
                </c:pt>
                <c:pt idx="19">
                  <c:v>1153382908615.4597</c:v>
                </c:pt>
                <c:pt idx="20">
                  <c:v>1155256297205.5227</c:v>
                </c:pt>
                <c:pt idx="21">
                  <c:v>1149011668571.9792</c:v>
                </c:pt>
                <c:pt idx="22">
                  <c:v>1142767039938.4358</c:v>
                </c:pt>
                <c:pt idx="23">
                  <c:v>1136522411304.8926</c:v>
                </c:pt>
                <c:pt idx="24">
                  <c:v>1130277782671.3491</c:v>
                </c:pt>
                <c:pt idx="25">
                  <c:v>1124033154037.8059</c:v>
                </c:pt>
                <c:pt idx="26">
                  <c:v>1117788525404.2625</c:v>
                </c:pt>
                <c:pt idx="27">
                  <c:v>1111543896770.719</c:v>
                </c:pt>
                <c:pt idx="28">
                  <c:v>1105299268137.1758</c:v>
                </c:pt>
                <c:pt idx="29">
                  <c:v>1099054639503.6323</c:v>
                </c:pt>
                <c:pt idx="30">
                  <c:v>1092810010870.089</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241955147558.74826</c:v>
                </c:pt>
                <c:pt idx="1">
                  <c:v>254052904936.68567</c:v>
                </c:pt>
                <c:pt idx="2">
                  <c:v>266150662314.62308</c:v>
                </c:pt>
                <c:pt idx="3">
                  <c:v>278248419692.56049</c:v>
                </c:pt>
                <c:pt idx="4">
                  <c:v>280075995519.76941</c:v>
                </c:pt>
                <c:pt idx="5">
                  <c:v>281903571346.97833</c:v>
                </c:pt>
                <c:pt idx="6">
                  <c:v>283731147174.18732</c:v>
                </c:pt>
                <c:pt idx="7">
                  <c:v>285558723001.39624</c:v>
                </c:pt>
                <c:pt idx="8">
                  <c:v>287386298828.60516</c:v>
                </c:pt>
                <c:pt idx="9">
                  <c:v>289213874655.81409</c:v>
                </c:pt>
                <c:pt idx="10">
                  <c:v>291041450483.02301</c:v>
                </c:pt>
                <c:pt idx="11">
                  <c:v>291521189137.66541</c:v>
                </c:pt>
                <c:pt idx="12">
                  <c:v>292000927792.30774</c:v>
                </c:pt>
                <c:pt idx="13">
                  <c:v>292480666446.95007</c:v>
                </c:pt>
                <c:pt idx="14">
                  <c:v>292960405101.59241</c:v>
                </c:pt>
                <c:pt idx="15">
                  <c:v>293440143756.23474</c:v>
                </c:pt>
                <c:pt idx="16">
                  <c:v>293919882410.87714</c:v>
                </c:pt>
                <c:pt idx="17">
                  <c:v>294399621065.51947</c:v>
                </c:pt>
                <c:pt idx="18">
                  <c:v>294879359720.1618</c:v>
                </c:pt>
                <c:pt idx="19">
                  <c:v>295359098374.80414</c:v>
                </c:pt>
                <c:pt idx="20">
                  <c:v>295838837029.44647</c:v>
                </c:pt>
                <c:pt idx="21">
                  <c:v>294239708180.63867</c:v>
                </c:pt>
                <c:pt idx="22">
                  <c:v>292640579331.83087</c:v>
                </c:pt>
                <c:pt idx="23">
                  <c:v>291041450483.02301</c:v>
                </c:pt>
                <c:pt idx="24">
                  <c:v>289442321634.21521</c:v>
                </c:pt>
                <c:pt idx="25">
                  <c:v>287843192785.40741</c:v>
                </c:pt>
                <c:pt idx="26">
                  <c:v>286244063936.59961</c:v>
                </c:pt>
                <c:pt idx="27">
                  <c:v>284644935087.79175</c:v>
                </c:pt>
                <c:pt idx="28">
                  <c:v>283045806238.98395</c:v>
                </c:pt>
                <c:pt idx="29">
                  <c:v>281446677390.17615</c:v>
                </c:pt>
                <c:pt idx="30">
                  <c:v>279847548541.36829</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232702470131.25436</c:v>
                </c:pt>
                <c:pt idx="1">
                  <c:v>244337593637.81708</c:v>
                </c:pt>
                <c:pt idx="2">
                  <c:v>255972717144.37979</c:v>
                </c:pt>
                <c:pt idx="3">
                  <c:v>267607840650.9425</c:v>
                </c:pt>
                <c:pt idx="4">
                  <c:v>270548586152.60123</c:v>
                </c:pt>
                <c:pt idx="5">
                  <c:v>273489331654.25995</c:v>
                </c:pt>
                <c:pt idx="6">
                  <c:v>276430077155.91864</c:v>
                </c:pt>
                <c:pt idx="7">
                  <c:v>279370822657.57733</c:v>
                </c:pt>
                <c:pt idx="8">
                  <c:v>282311568159.23608</c:v>
                </c:pt>
                <c:pt idx="9">
                  <c:v>285252313660.89478</c:v>
                </c:pt>
                <c:pt idx="10">
                  <c:v>288193059162.55347</c:v>
                </c:pt>
                <c:pt idx="11">
                  <c:v>289994265782.31946</c:v>
                </c:pt>
                <c:pt idx="12">
                  <c:v>291795472402.08539</c:v>
                </c:pt>
                <c:pt idx="13">
                  <c:v>293596679021.85138</c:v>
                </c:pt>
                <c:pt idx="14">
                  <c:v>295397885641.61731</c:v>
                </c:pt>
                <c:pt idx="15">
                  <c:v>297199092261.3833</c:v>
                </c:pt>
                <c:pt idx="16">
                  <c:v>299000298881.14923</c:v>
                </c:pt>
                <c:pt idx="17">
                  <c:v>300801505500.91522</c:v>
                </c:pt>
                <c:pt idx="18">
                  <c:v>302602712120.68115</c:v>
                </c:pt>
                <c:pt idx="19">
                  <c:v>304403918740.44708</c:v>
                </c:pt>
                <c:pt idx="20">
                  <c:v>306205125360.21307</c:v>
                </c:pt>
                <c:pt idx="21">
                  <c:v>306719755823.00336</c:v>
                </c:pt>
                <c:pt idx="22">
                  <c:v>307234386285.79364</c:v>
                </c:pt>
                <c:pt idx="23">
                  <c:v>307749016748.58392</c:v>
                </c:pt>
                <c:pt idx="24">
                  <c:v>308263647211.37415</c:v>
                </c:pt>
                <c:pt idx="25">
                  <c:v>308778277674.16443</c:v>
                </c:pt>
                <c:pt idx="26">
                  <c:v>309292908136.95471</c:v>
                </c:pt>
                <c:pt idx="27">
                  <c:v>309807538599.745</c:v>
                </c:pt>
                <c:pt idx="28">
                  <c:v>310322169062.53528</c:v>
                </c:pt>
                <c:pt idx="29">
                  <c:v>310836799525.32556</c:v>
                </c:pt>
                <c:pt idx="30">
                  <c:v>311351429988.11578</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103829408.41123253</c:v>
                </c:pt>
                <c:pt idx="1">
                  <c:v>109020878.83179416</c:v>
                </c:pt>
                <c:pt idx="2">
                  <c:v>114212349.25235578</c:v>
                </c:pt>
                <c:pt idx="3">
                  <c:v>119403819.67291741</c:v>
                </c:pt>
                <c:pt idx="4">
                  <c:v>120715949.55943298</c:v>
                </c:pt>
                <c:pt idx="5">
                  <c:v>122028079.44594856</c:v>
                </c:pt>
                <c:pt idx="6">
                  <c:v>123340209.33246413</c:v>
                </c:pt>
                <c:pt idx="7">
                  <c:v>124652339.2189797</c:v>
                </c:pt>
                <c:pt idx="8">
                  <c:v>125964469.10549529</c:v>
                </c:pt>
                <c:pt idx="9">
                  <c:v>127276598.99201086</c:v>
                </c:pt>
                <c:pt idx="10">
                  <c:v>128588728.87852643</c:v>
                </c:pt>
                <c:pt idx="11">
                  <c:v>129392408.43401723</c:v>
                </c:pt>
                <c:pt idx="12">
                  <c:v>130196087.98950802</c:v>
                </c:pt>
                <c:pt idx="13">
                  <c:v>130999767.54499881</c:v>
                </c:pt>
                <c:pt idx="14">
                  <c:v>131803447.1004896</c:v>
                </c:pt>
                <c:pt idx="15">
                  <c:v>132607126.65598039</c:v>
                </c:pt>
                <c:pt idx="16">
                  <c:v>133410806.21147119</c:v>
                </c:pt>
                <c:pt idx="17">
                  <c:v>134214485.76696196</c:v>
                </c:pt>
                <c:pt idx="18">
                  <c:v>135018165.32245275</c:v>
                </c:pt>
                <c:pt idx="19">
                  <c:v>135821844.87794355</c:v>
                </c:pt>
                <c:pt idx="20">
                  <c:v>136625524.43343434</c:v>
                </c:pt>
                <c:pt idx="21">
                  <c:v>136855147.16357458</c:v>
                </c:pt>
                <c:pt idx="22">
                  <c:v>137084769.89371479</c:v>
                </c:pt>
                <c:pt idx="23">
                  <c:v>137314392.62385502</c:v>
                </c:pt>
                <c:pt idx="24">
                  <c:v>137544015.35399523</c:v>
                </c:pt>
                <c:pt idx="25">
                  <c:v>137773638.08413547</c:v>
                </c:pt>
                <c:pt idx="26">
                  <c:v>138003260.81427568</c:v>
                </c:pt>
                <c:pt idx="27">
                  <c:v>138232883.54441592</c:v>
                </c:pt>
                <c:pt idx="28">
                  <c:v>138462506.27455613</c:v>
                </c:pt>
                <c:pt idx="29">
                  <c:v>138692129.00469637</c:v>
                </c:pt>
                <c:pt idx="30">
                  <c:v>138921751.73483661</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87924473532.771896</c:v>
                </c:pt>
                <c:pt idx="1">
                  <c:v>92320697209.410492</c:v>
                </c:pt>
                <c:pt idx="2">
                  <c:v>96716920886.049088</c:v>
                </c:pt>
                <c:pt idx="3">
                  <c:v>101113144562.68767</c:v>
                </c:pt>
                <c:pt idx="4">
                  <c:v>102224278019.4205</c:v>
                </c:pt>
                <c:pt idx="5">
                  <c:v>103335411476.15334</c:v>
                </c:pt>
                <c:pt idx="6">
                  <c:v>104446544932.88617</c:v>
                </c:pt>
                <c:pt idx="7">
                  <c:v>105557678389.619</c:v>
                </c:pt>
                <c:pt idx="8">
                  <c:v>106668811846.35184</c:v>
                </c:pt>
                <c:pt idx="9">
                  <c:v>107779945303.08467</c:v>
                </c:pt>
                <c:pt idx="10">
                  <c:v>108891078759.81749</c:v>
                </c:pt>
                <c:pt idx="11">
                  <c:v>109571648002.06636</c:v>
                </c:pt>
                <c:pt idx="12">
                  <c:v>110252217244.31522</c:v>
                </c:pt>
                <c:pt idx="13">
                  <c:v>110932786486.56407</c:v>
                </c:pt>
                <c:pt idx="14">
                  <c:v>111613355728.81293</c:v>
                </c:pt>
                <c:pt idx="15">
                  <c:v>112293924971.0618</c:v>
                </c:pt>
                <c:pt idx="16">
                  <c:v>112974494213.31065</c:v>
                </c:pt>
                <c:pt idx="17">
                  <c:v>113655063455.55951</c:v>
                </c:pt>
                <c:pt idx="18">
                  <c:v>114335632697.80836</c:v>
                </c:pt>
                <c:pt idx="19">
                  <c:v>115016201940.05724</c:v>
                </c:pt>
                <c:pt idx="20">
                  <c:v>115696771182.30609</c:v>
                </c:pt>
                <c:pt idx="21">
                  <c:v>115891219537.23433</c:v>
                </c:pt>
                <c:pt idx="22">
                  <c:v>116085667892.16258</c:v>
                </c:pt>
                <c:pt idx="23">
                  <c:v>116280116247.09082</c:v>
                </c:pt>
                <c:pt idx="24">
                  <c:v>116474564602.01907</c:v>
                </c:pt>
                <c:pt idx="25">
                  <c:v>116669012956.94731</c:v>
                </c:pt>
                <c:pt idx="26">
                  <c:v>116863461311.87556</c:v>
                </c:pt>
                <c:pt idx="27">
                  <c:v>117057909666.8038</c:v>
                </c:pt>
                <c:pt idx="28">
                  <c:v>117252358021.73206</c:v>
                </c:pt>
                <c:pt idx="29">
                  <c:v>117446806376.66029</c:v>
                </c:pt>
                <c:pt idx="30">
                  <c:v>117641254731.58855</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189729208479.98541</c:v>
                </c:pt>
                <c:pt idx="1">
                  <c:v>199215668903.98468</c:v>
                </c:pt>
                <c:pt idx="2">
                  <c:v>208702129327.98395</c:v>
                </c:pt>
                <c:pt idx="3">
                  <c:v>218188589751.98322</c:v>
                </c:pt>
                <c:pt idx="4">
                  <c:v>220586266562.44458</c:v>
                </c:pt>
                <c:pt idx="5">
                  <c:v>222983943372.90591</c:v>
                </c:pt>
                <c:pt idx="6">
                  <c:v>225381620183.36728</c:v>
                </c:pt>
                <c:pt idx="7">
                  <c:v>227779296993.82861</c:v>
                </c:pt>
                <c:pt idx="8">
                  <c:v>230176973804.28998</c:v>
                </c:pt>
                <c:pt idx="9">
                  <c:v>232574650614.75134</c:v>
                </c:pt>
                <c:pt idx="10">
                  <c:v>234972327425.21268</c:v>
                </c:pt>
                <c:pt idx="11">
                  <c:v>236440904471.62027</c:v>
                </c:pt>
                <c:pt idx="12">
                  <c:v>237909481518.02786</c:v>
                </c:pt>
                <c:pt idx="13">
                  <c:v>239378058564.43542</c:v>
                </c:pt>
                <c:pt idx="14">
                  <c:v>240846635610.84302</c:v>
                </c:pt>
                <c:pt idx="15">
                  <c:v>242315212657.25058</c:v>
                </c:pt>
                <c:pt idx="16">
                  <c:v>243783789703.65817</c:v>
                </c:pt>
                <c:pt idx="17">
                  <c:v>245252366750.06573</c:v>
                </c:pt>
                <c:pt idx="18">
                  <c:v>246720943796.47333</c:v>
                </c:pt>
                <c:pt idx="19">
                  <c:v>248189520842.88089</c:v>
                </c:pt>
                <c:pt idx="20">
                  <c:v>249658097889.28848</c:v>
                </c:pt>
                <c:pt idx="21">
                  <c:v>250077691331.11923</c:v>
                </c:pt>
                <c:pt idx="22">
                  <c:v>250497284772.94995</c:v>
                </c:pt>
                <c:pt idx="23">
                  <c:v>250916878214.7807</c:v>
                </c:pt>
                <c:pt idx="24">
                  <c:v>251336471656.61142</c:v>
                </c:pt>
                <c:pt idx="25">
                  <c:v>251756065098.44217</c:v>
                </c:pt>
                <c:pt idx="26">
                  <c:v>252175658540.27292</c:v>
                </c:pt>
                <c:pt idx="27">
                  <c:v>252595251982.10364</c:v>
                </c:pt>
                <c:pt idx="28">
                  <c:v>253014845423.93439</c:v>
                </c:pt>
                <c:pt idx="29">
                  <c:v>253434438865.76511</c:v>
                </c:pt>
                <c:pt idx="30">
                  <c:v>253854032307.59586</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117010551809.03851</c:v>
                </c:pt>
                <c:pt idx="1">
                  <c:v>122861079399.49045</c:v>
                </c:pt>
                <c:pt idx="2">
                  <c:v>128711606989.94237</c:v>
                </c:pt>
                <c:pt idx="3">
                  <c:v>134562134580.39429</c:v>
                </c:pt>
                <c:pt idx="4">
                  <c:v>136040839356.00302</c:v>
                </c:pt>
                <c:pt idx="5">
                  <c:v>137519544131.61176</c:v>
                </c:pt>
                <c:pt idx="6">
                  <c:v>138998248907.22049</c:v>
                </c:pt>
                <c:pt idx="7">
                  <c:v>140476953682.82919</c:v>
                </c:pt>
                <c:pt idx="8">
                  <c:v>141955658458.43793</c:v>
                </c:pt>
                <c:pt idx="9">
                  <c:v>143434363234.04666</c:v>
                </c:pt>
                <c:pt idx="10">
                  <c:v>144913068009.6554</c:v>
                </c:pt>
                <c:pt idx="11">
                  <c:v>145818774684.71573</c:v>
                </c:pt>
                <c:pt idx="12">
                  <c:v>146724481359.77609</c:v>
                </c:pt>
                <c:pt idx="13">
                  <c:v>147630188034.83643</c:v>
                </c:pt>
                <c:pt idx="14">
                  <c:v>148535894709.89679</c:v>
                </c:pt>
                <c:pt idx="15">
                  <c:v>149441601384.95712</c:v>
                </c:pt>
                <c:pt idx="16">
                  <c:v>150347308060.01746</c:v>
                </c:pt>
                <c:pt idx="17">
                  <c:v>151253014735.07782</c:v>
                </c:pt>
                <c:pt idx="18">
                  <c:v>152158721410.13815</c:v>
                </c:pt>
                <c:pt idx="19">
                  <c:v>153064428085.19852</c:v>
                </c:pt>
                <c:pt idx="20">
                  <c:v>153970134760.25885</c:v>
                </c:pt>
                <c:pt idx="21">
                  <c:v>154228908095.99039</c:v>
                </c:pt>
                <c:pt idx="22">
                  <c:v>154487681431.72192</c:v>
                </c:pt>
                <c:pt idx="23">
                  <c:v>154746454767.45343</c:v>
                </c:pt>
                <c:pt idx="24">
                  <c:v>155005228103.18497</c:v>
                </c:pt>
                <c:pt idx="25">
                  <c:v>155264001438.9165</c:v>
                </c:pt>
                <c:pt idx="26">
                  <c:v>155522774774.64801</c:v>
                </c:pt>
                <c:pt idx="27">
                  <c:v>155781548110.37955</c:v>
                </c:pt>
                <c:pt idx="28">
                  <c:v>156040321446.11108</c:v>
                </c:pt>
                <c:pt idx="29">
                  <c:v>156299094781.84259</c:v>
                </c:pt>
                <c:pt idx="30">
                  <c:v>156557868117.57413</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1038591728416.4374</c:v>
                </c:pt>
                <c:pt idx="1">
                  <c:v>1090521314837.2593</c:v>
                </c:pt>
                <c:pt idx="2">
                  <c:v>1142450901258.0813</c:v>
                </c:pt>
                <c:pt idx="3">
                  <c:v>1194380487678.9031</c:v>
                </c:pt>
                <c:pt idx="4">
                  <c:v>1207505547983.0669</c:v>
                </c:pt>
                <c:pt idx="5">
                  <c:v>1220630608287.2305</c:v>
                </c:pt>
                <c:pt idx="6">
                  <c:v>1233755668591.3943</c:v>
                </c:pt>
                <c:pt idx="7">
                  <c:v>1246880728895.5581</c:v>
                </c:pt>
                <c:pt idx="8">
                  <c:v>1260005789199.7219</c:v>
                </c:pt>
                <c:pt idx="9">
                  <c:v>1273130849503.8857</c:v>
                </c:pt>
                <c:pt idx="10">
                  <c:v>1286255909808.0496</c:v>
                </c:pt>
                <c:pt idx="11">
                  <c:v>1294295009244.3499</c:v>
                </c:pt>
                <c:pt idx="12">
                  <c:v>1302334108680.6501</c:v>
                </c:pt>
                <c:pt idx="13">
                  <c:v>1310373208116.9504</c:v>
                </c:pt>
                <c:pt idx="14">
                  <c:v>1318412307553.2507</c:v>
                </c:pt>
                <c:pt idx="15">
                  <c:v>1326451406989.551</c:v>
                </c:pt>
                <c:pt idx="16">
                  <c:v>1334490506425.8513</c:v>
                </c:pt>
                <c:pt idx="17">
                  <c:v>1342529605862.1516</c:v>
                </c:pt>
                <c:pt idx="18">
                  <c:v>1350568705298.4519</c:v>
                </c:pt>
                <c:pt idx="19">
                  <c:v>1358607804734.7522</c:v>
                </c:pt>
                <c:pt idx="20">
                  <c:v>1366646904171.0525</c:v>
                </c:pt>
                <c:pt idx="21">
                  <c:v>1368943789724.2813</c:v>
                </c:pt>
                <c:pt idx="22">
                  <c:v>1371240675277.5098</c:v>
                </c:pt>
                <c:pt idx="23">
                  <c:v>1373537560830.7385</c:v>
                </c:pt>
                <c:pt idx="24">
                  <c:v>1375834446383.9673</c:v>
                </c:pt>
                <c:pt idx="25">
                  <c:v>1378131331937.1958</c:v>
                </c:pt>
                <c:pt idx="26">
                  <c:v>1380428217490.4246</c:v>
                </c:pt>
                <c:pt idx="27">
                  <c:v>1382725103043.6531</c:v>
                </c:pt>
                <c:pt idx="28">
                  <c:v>1385021988596.8818</c:v>
                </c:pt>
                <c:pt idx="29">
                  <c:v>1387318874150.1104</c:v>
                </c:pt>
                <c:pt idx="30">
                  <c:v>1389615759703.3391</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50289138547292.078</c:v>
                </c:pt>
                <c:pt idx="1">
                  <c:v>52803595474656.68</c:v>
                </c:pt>
                <c:pt idx="2">
                  <c:v>55318052402021.281</c:v>
                </c:pt>
                <c:pt idx="3">
                  <c:v>57832509329385.875</c:v>
                </c:pt>
                <c:pt idx="4">
                  <c:v>61242483810652.172</c:v>
                </c:pt>
                <c:pt idx="5">
                  <c:v>64652458291918.453</c:v>
                </c:pt>
                <c:pt idx="6">
                  <c:v>68062432773184.734</c:v>
                </c:pt>
                <c:pt idx="7">
                  <c:v>71472407254451.016</c:v>
                </c:pt>
                <c:pt idx="8">
                  <c:v>74882381735717.297</c:v>
                </c:pt>
                <c:pt idx="9">
                  <c:v>78292356216983.578</c:v>
                </c:pt>
                <c:pt idx="10">
                  <c:v>81702330698249.875</c:v>
                </c:pt>
                <c:pt idx="11">
                  <c:v>83471460545684.969</c:v>
                </c:pt>
                <c:pt idx="12">
                  <c:v>85240590393120.063</c:v>
                </c:pt>
                <c:pt idx="13">
                  <c:v>87009720240555.156</c:v>
                </c:pt>
                <c:pt idx="14">
                  <c:v>88778850087990.25</c:v>
                </c:pt>
                <c:pt idx="15">
                  <c:v>90547979935425.344</c:v>
                </c:pt>
                <c:pt idx="16">
                  <c:v>92317109782860.438</c:v>
                </c:pt>
                <c:pt idx="17">
                  <c:v>94086239630295.531</c:v>
                </c:pt>
                <c:pt idx="18">
                  <c:v>95855369477730.641</c:v>
                </c:pt>
                <c:pt idx="19">
                  <c:v>97624499325165.734</c:v>
                </c:pt>
                <c:pt idx="20">
                  <c:v>99393629172600.828</c:v>
                </c:pt>
                <c:pt idx="21">
                  <c:v>100825050936360.67</c:v>
                </c:pt>
                <c:pt idx="22">
                  <c:v>102256472700120.53</c:v>
                </c:pt>
                <c:pt idx="23">
                  <c:v>103687894463880.38</c:v>
                </c:pt>
                <c:pt idx="24">
                  <c:v>105119316227640.22</c:v>
                </c:pt>
                <c:pt idx="25">
                  <c:v>106550737991400.08</c:v>
                </c:pt>
                <c:pt idx="26">
                  <c:v>107982159755159.92</c:v>
                </c:pt>
                <c:pt idx="27">
                  <c:v>109413581518919.78</c:v>
                </c:pt>
                <c:pt idx="28">
                  <c:v>110845003282679.63</c:v>
                </c:pt>
                <c:pt idx="29">
                  <c:v>112276425046439.47</c:v>
                </c:pt>
                <c:pt idx="30">
                  <c:v>113707846810199.33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1678338968507.9272</c:v>
                </c:pt>
                <c:pt idx="1">
                  <c:v>1762255916933.3237</c:v>
                </c:pt>
                <c:pt idx="2">
                  <c:v>1846172865358.72</c:v>
                </c:pt>
                <c:pt idx="3">
                  <c:v>1930089813784.1162</c:v>
                </c:pt>
                <c:pt idx="4">
                  <c:v>2043893573777.8333</c:v>
                </c:pt>
                <c:pt idx="5">
                  <c:v>2157697333771.5503</c:v>
                </c:pt>
                <c:pt idx="6">
                  <c:v>2271501093765.2671</c:v>
                </c:pt>
                <c:pt idx="7">
                  <c:v>2385304853758.9844</c:v>
                </c:pt>
                <c:pt idx="8">
                  <c:v>2499108613752.7012</c:v>
                </c:pt>
                <c:pt idx="9">
                  <c:v>2612912373746.418</c:v>
                </c:pt>
                <c:pt idx="10">
                  <c:v>2726716133740.1353</c:v>
                </c:pt>
                <c:pt idx="11">
                  <c:v>2785758695396.0396</c:v>
                </c:pt>
                <c:pt idx="12">
                  <c:v>2844801257051.9438</c:v>
                </c:pt>
                <c:pt idx="13">
                  <c:v>2903843818707.8481</c:v>
                </c:pt>
                <c:pt idx="14">
                  <c:v>2962886380363.7524</c:v>
                </c:pt>
                <c:pt idx="15">
                  <c:v>3021928942019.6567</c:v>
                </c:pt>
                <c:pt idx="16">
                  <c:v>3080971503675.561</c:v>
                </c:pt>
                <c:pt idx="17">
                  <c:v>3140014065331.4653</c:v>
                </c:pt>
                <c:pt idx="18">
                  <c:v>3199056626987.3696</c:v>
                </c:pt>
                <c:pt idx="19">
                  <c:v>3258099188643.2739</c:v>
                </c:pt>
                <c:pt idx="20">
                  <c:v>3317141750299.1782</c:v>
                </c:pt>
                <c:pt idx="21">
                  <c:v>3364913714502.3286</c:v>
                </c:pt>
                <c:pt idx="22">
                  <c:v>3412685678705.4785</c:v>
                </c:pt>
                <c:pt idx="23">
                  <c:v>3460457642908.6289</c:v>
                </c:pt>
                <c:pt idx="24">
                  <c:v>3508229607111.7793</c:v>
                </c:pt>
                <c:pt idx="25">
                  <c:v>3556001571314.9297</c:v>
                </c:pt>
                <c:pt idx="26">
                  <c:v>3603773535518.0801</c:v>
                </c:pt>
                <c:pt idx="27">
                  <c:v>3651545499721.2305</c:v>
                </c:pt>
                <c:pt idx="28">
                  <c:v>3699317463924.3809</c:v>
                </c:pt>
                <c:pt idx="29">
                  <c:v>3747089428127.5308</c:v>
                </c:pt>
                <c:pt idx="30">
                  <c:v>3794861392330.6812</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1210477853060.9526</c:v>
                </c:pt>
                <c:pt idx="1">
                  <c:v>1271001745714.0002</c:v>
                </c:pt>
                <c:pt idx="2">
                  <c:v>1331525638367.0479</c:v>
                </c:pt>
                <c:pt idx="3">
                  <c:v>1392049531020.0955</c:v>
                </c:pt>
                <c:pt idx="4">
                  <c:v>1407346778613.7229</c:v>
                </c:pt>
                <c:pt idx="5">
                  <c:v>1422644026207.3503</c:v>
                </c:pt>
                <c:pt idx="6">
                  <c:v>1437941273800.9778</c:v>
                </c:pt>
                <c:pt idx="7">
                  <c:v>1453238521394.6052</c:v>
                </c:pt>
                <c:pt idx="8">
                  <c:v>1468535768988.2327</c:v>
                </c:pt>
                <c:pt idx="9">
                  <c:v>1483833016581.8601</c:v>
                </c:pt>
                <c:pt idx="10">
                  <c:v>1499130264175.4875</c:v>
                </c:pt>
                <c:pt idx="11">
                  <c:v>1508499828326.5842</c:v>
                </c:pt>
                <c:pt idx="12">
                  <c:v>1517869392477.6812</c:v>
                </c:pt>
                <c:pt idx="13">
                  <c:v>1527238956628.7778</c:v>
                </c:pt>
                <c:pt idx="14">
                  <c:v>1536608520779.8748</c:v>
                </c:pt>
                <c:pt idx="15">
                  <c:v>1545978084930.9714</c:v>
                </c:pt>
                <c:pt idx="16">
                  <c:v>1555347649082.0681</c:v>
                </c:pt>
                <c:pt idx="17">
                  <c:v>1564717213233.165</c:v>
                </c:pt>
                <c:pt idx="18">
                  <c:v>1574086777384.2617</c:v>
                </c:pt>
                <c:pt idx="19">
                  <c:v>1583456341535.3586</c:v>
                </c:pt>
                <c:pt idx="20">
                  <c:v>1592825905686.4553</c:v>
                </c:pt>
                <c:pt idx="21">
                  <c:v>1595502924015.3403</c:v>
                </c:pt>
                <c:pt idx="22">
                  <c:v>1598179942344.2251</c:v>
                </c:pt>
                <c:pt idx="23">
                  <c:v>1600856960673.1099</c:v>
                </c:pt>
                <c:pt idx="24">
                  <c:v>1603533979001.9946</c:v>
                </c:pt>
                <c:pt idx="25">
                  <c:v>1606210997330.8794</c:v>
                </c:pt>
                <c:pt idx="26">
                  <c:v>1608888015659.7642</c:v>
                </c:pt>
                <c:pt idx="27">
                  <c:v>1611565033988.6489</c:v>
                </c:pt>
                <c:pt idx="28">
                  <c:v>1614242052317.5337</c:v>
                </c:pt>
                <c:pt idx="29">
                  <c:v>1616919070646.4187</c:v>
                </c:pt>
                <c:pt idx="30">
                  <c:v>1619596088975.3035</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413808712800</c:v>
                </c:pt>
                <c:pt idx="1">
                  <c:v>434499148440</c:v>
                </c:pt>
                <c:pt idx="2">
                  <c:v>455189584080</c:v>
                </c:pt>
                <c:pt idx="3">
                  <c:v>475880019720</c:v>
                </c:pt>
                <c:pt idx="4">
                  <c:v>481545258050</c:v>
                </c:pt>
                <c:pt idx="5">
                  <c:v>487210496380</c:v>
                </c:pt>
                <c:pt idx="6">
                  <c:v>492875734710</c:v>
                </c:pt>
                <c:pt idx="7">
                  <c:v>498540973040</c:v>
                </c:pt>
                <c:pt idx="8">
                  <c:v>504206211370</c:v>
                </c:pt>
                <c:pt idx="9">
                  <c:v>509871449700</c:v>
                </c:pt>
                <c:pt idx="10">
                  <c:v>515536688030</c:v>
                </c:pt>
                <c:pt idx="11">
                  <c:v>515536688030</c:v>
                </c:pt>
                <c:pt idx="12">
                  <c:v>515536688030</c:v>
                </c:pt>
                <c:pt idx="13">
                  <c:v>515536688030</c:v>
                </c:pt>
                <c:pt idx="14">
                  <c:v>515536688030</c:v>
                </c:pt>
                <c:pt idx="15">
                  <c:v>515536688030</c:v>
                </c:pt>
                <c:pt idx="16">
                  <c:v>515536688030</c:v>
                </c:pt>
                <c:pt idx="17">
                  <c:v>515536688030</c:v>
                </c:pt>
                <c:pt idx="18">
                  <c:v>515536688030</c:v>
                </c:pt>
                <c:pt idx="19">
                  <c:v>515536688030</c:v>
                </c:pt>
                <c:pt idx="20">
                  <c:v>515536688030</c:v>
                </c:pt>
                <c:pt idx="21">
                  <c:v>515536688030</c:v>
                </c:pt>
                <c:pt idx="22">
                  <c:v>515536688030</c:v>
                </c:pt>
                <c:pt idx="23">
                  <c:v>515536688030</c:v>
                </c:pt>
                <c:pt idx="24">
                  <c:v>515536688030</c:v>
                </c:pt>
                <c:pt idx="25">
                  <c:v>515536688030</c:v>
                </c:pt>
                <c:pt idx="26">
                  <c:v>515536688030</c:v>
                </c:pt>
                <c:pt idx="27">
                  <c:v>515536688030</c:v>
                </c:pt>
                <c:pt idx="28">
                  <c:v>515536688030</c:v>
                </c:pt>
                <c:pt idx="29">
                  <c:v>515536688030</c:v>
                </c:pt>
                <c:pt idx="30">
                  <c:v>515536688030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20572360474586.078</c:v>
                </c:pt>
                <c:pt idx="1">
                  <c:v>21600978498315.383</c:v>
                </c:pt>
                <c:pt idx="2">
                  <c:v>22629596522044.688</c:v>
                </c:pt>
                <c:pt idx="3">
                  <c:v>23658214545773.988</c:v>
                </c:pt>
                <c:pt idx="4">
                  <c:v>23901174387065.637</c:v>
                </c:pt>
                <c:pt idx="5">
                  <c:v>24144134228357.281</c:v>
                </c:pt>
                <c:pt idx="6">
                  <c:v>24387094069648.926</c:v>
                </c:pt>
                <c:pt idx="7">
                  <c:v>24630053910940.574</c:v>
                </c:pt>
                <c:pt idx="8">
                  <c:v>24873013752232.219</c:v>
                </c:pt>
                <c:pt idx="9">
                  <c:v>25115973593523.863</c:v>
                </c:pt>
                <c:pt idx="10">
                  <c:v>25358933434815.508</c:v>
                </c:pt>
                <c:pt idx="11">
                  <c:v>25380192420928.527</c:v>
                </c:pt>
                <c:pt idx="12">
                  <c:v>25401451407041.547</c:v>
                </c:pt>
                <c:pt idx="13">
                  <c:v>25422710393154.566</c:v>
                </c:pt>
                <c:pt idx="14">
                  <c:v>25443969379267.586</c:v>
                </c:pt>
                <c:pt idx="15">
                  <c:v>25465228365380.605</c:v>
                </c:pt>
                <c:pt idx="16">
                  <c:v>25486487351493.625</c:v>
                </c:pt>
                <c:pt idx="17">
                  <c:v>25507746337606.641</c:v>
                </c:pt>
                <c:pt idx="18">
                  <c:v>25529005323719.66</c:v>
                </c:pt>
                <c:pt idx="19">
                  <c:v>25550264309832.68</c:v>
                </c:pt>
                <c:pt idx="20">
                  <c:v>25571523295945.699</c:v>
                </c:pt>
                <c:pt idx="21">
                  <c:v>25516857331655.078</c:v>
                </c:pt>
                <c:pt idx="22">
                  <c:v>25462191367364.457</c:v>
                </c:pt>
                <c:pt idx="23">
                  <c:v>25407525403073.84</c:v>
                </c:pt>
                <c:pt idx="24">
                  <c:v>25352859438783.219</c:v>
                </c:pt>
                <c:pt idx="25">
                  <c:v>25298193474492.598</c:v>
                </c:pt>
                <c:pt idx="26">
                  <c:v>25243527510201.977</c:v>
                </c:pt>
                <c:pt idx="27">
                  <c:v>25188861545911.355</c:v>
                </c:pt>
                <c:pt idx="28">
                  <c:v>25134195581620.738</c:v>
                </c:pt>
                <c:pt idx="29">
                  <c:v>25079529617330.117</c:v>
                </c:pt>
                <c:pt idx="30">
                  <c:v>25024863653039.496</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6290721798013.9219</c:v>
                </c:pt>
                <c:pt idx="1">
                  <c:v>6605257887914.6182</c:v>
                </c:pt>
                <c:pt idx="2">
                  <c:v>6919793977815.3135</c:v>
                </c:pt>
                <c:pt idx="3">
                  <c:v>7234330067716.0098</c:v>
                </c:pt>
                <c:pt idx="4">
                  <c:v>7308623572904.3643</c:v>
                </c:pt>
                <c:pt idx="5">
                  <c:v>7382917078092.7188</c:v>
                </c:pt>
                <c:pt idx="6">
                  <c:v>7457210583281.0732</c:v>
                </c:pt>
                <c:pt idx="7">
                  <c:v>7531504088469.4277</c:v>
                </c:pt>
                <c:pt idx="8">
                  <c:v>7605797593657.7822</c:v>
                </c:pt>
                <c:pt idx="9">
                  <c:v>7680091098846.1367</c:v>
                </c:pt>
                <c:pt idx="10">
                  <c:v>7754384604034.4912</c:v>
                </c:pt>
                <c:pt idx="11">
                  <c:v>7760885285738.4717</c:v>
                </c:pt>
                <c:pt idx="12">
                  <c:v>7767385967442.4531</c:v>
                </c:pt>
                <c:pt idx="13">
                  <c:v>7773886649146.4336</c:v>
                </c:pt>
                <c:pt idx="14">
                  <c:v>7780387330850.415</c:v>
                </c:pt>
                <c:pt idx="15">
                  <c:v>7786888012554.3955</c:v>
                </c:pt>
                <c:pt idx="16">
                  <c:v>7793388694258.377</c:v>
                </c:pt>
                <c:pt idx="17">
                  <c:v>7799889375962.3584</c:v>
                </c:pt>
                <c:pt idx="18">
                  <c:v>7806390057666.3389</c:v>
                </c:pt>
                <c:pt idx="19">
                  <c:v>7812890739370.3203</c:v>
                </c:pt>
                <c:pt idx="20">
                  <c:v>7819391421074.3008</c:v>
                </c:pt>
                <c:pt idx="21">
                  <c:v>7802675382406.9209</c:v>
                </c:pt>
                <c:pt idx="22">
                  <c:v>7785959343739.541</c:v>
                </c:pt>
                <c:pt idx="23">
                  <c:v>7769243305072.1621</c:v>
                </c:pt>
                <c:pt idx="24">
                  <c:v>7752527266404.7822</c:v>
                </c:pt>
                <c:pt idx="25">
                  <c:v>7735811227737.4023</c:v>
                </c:pt>
                <c:pt idx="26">
                  <c:v>7719095189070.0225</c:v>
                </c:pt>
                <c:pt idx="27">
                  <c:v>7702379150402.6426</c:v>
                </c:pt>
                <c:pt idx="28">
                  <c:v>7685663111735.2627</c:v>
                </c:pt>
                <c:pt idx="29">
                  <c:v>7668947073067.8838</c:v>
                </c:pt>
                <c:pt idx="30">
                  <c:v>7652231034400.5039</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10571519459812.5</c:v>
                </c:pt>
                <c:pt idx="1">
                  <c:v>11100095432803.125</c:v>
                </c:pt>
                <c:pt idx="2">
                  <c:v>11628671405793.75</c:v>
                </c:pt>
                <c:pt idx="3">
                  <c:v>12157247378784.375</c:v>
                </c:pt>
                <c:pt idx="4">
                  <c:v>12698985794090.625</c:v>
                </c:pt>
                <c:pt idx="5">
                  <c:v>13240724209396.875</c:v>
                </c:pt>
                <c:pt idx="6">
                  <c:v>13782462624703.125</c:v>
                </c:pt>
                <c:pt idx="7">
                  <c:v>14324201040009.375</c:v>
                </c:pt>
                <c:pt idx="8">
                  <c:v>14865939455315.625</c:v>
                </c:pt>
                <c:pt idx="9">
                  <c:v>15407677870621.875</c:v>
                </c:pt>
                <c:pt idx="10">
                  <c:v>15949416285928.125</c:v>
                </c:pt>
                <c:pt idx="11">
                  <c:v>16116717855360.938</c:v>
                </c:pt>
                <c:pt idx="12">
                  <c:v>16284019424793.75</c:v>
                </c:pt>
                <c:pt idx="13">
                  <c:v>16451320994226.563</c:v>
                </c:pt>
                <c:pt idx="14">
                  <c:v>16618622563659.375</c:v>
                </c:pt>
                <c:pt idx="15">
                  <c:v>16785924133092.188</c:v>
                </c:pt>
                <c:pt idx="16">
                  <c:v>16953225702525</c:v>
                </c:pt>
                <c:pt idx="17">
                  <c:v>17120527271957.813</c:v>
                </c:pt>
                <c:pt idx="18">
                  <c:v>17287828841390.625</c:v>
                </c:pt>
                <c:pt idx="19">
                  <c:v>17455130410823.438</c:v>
                </c:pt>
                <c:pt idx="20">
                  <c:v>17622431980256.25</c:v>
                </c:pt>
                <c:pt idx="21">
                  <c:v>17670763544759.063</c:v>
                </c:pt>
                <c:pt idx="22">
                  <c:v>17719095109261.875</c:v>
                </c:pt>
                <c:pt idx="23">
                  <c:v>17767426673764.688</c:v>
                </c:pt>
                <c:pt idx="24">
                  <c:v>17815758238267.5</c:v>
                </c:pt>
                <c:pt idx="25">
                  <c:v>17864089802770.313</c:v>
                </c:pt>
                <c:pt idx="26">
                  <c:v>17912421367273.125</c:v>
                </c:pt>
                <c:pt idx="27">
                  <c:v>17960752931775.938</c:v>
                </c:pt>
                <c:pt idx="28">
                  <c:v>18009084496278.75</c:v>
                </c:pt>
                <c:pt idx="29">
                  <c:v>18057416060781.563</c:v>
                </c:pt>
                <c:pt idx="30">
                  <c:v>18105747625284.375</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704767963987.5</c:v>
                </c:pt>
                <c:pt idx="1">
                  <c:v>740006362186.875</c:v>
                </c:pt>
                <c:pt idx="2">
                  <c:v>775244760386.25</c:v>
                </c:pt>
                <c:pt idx="3">
                  <c:v>810483158585.625</c:v>
                </c:pt>
                <c:pt idx="4">
                  <c:v>846599052939.375</c:v>
                </c:pt>
                <c:pt idx="5">
                  <c:v>882714947293.125</c:v>
                </c:pt>
                <c:pt idx="6">
                  <c:v>918830841646.875</c:v>
                </c:pt>
                <c:pt idx="7">
                  <c:v>954946736000.625</c:v>
                </c:pt>
                <c:pt idx="8">
                  <c:v>991062630354.375</c:v>
                </c:pt>
                <c:pt idx="9">
                  <c:v>1027178524708.125</c:v>
                </c:pt>
                <c:pt idx="10">
                  <c:v>1063294419061.875</c:v>
                </c:pt>
                <c:pt idx="11">
                  <c:v>1074447857024.0625</c:v>
                </c:pt>
                <c:pt idx="12">
                  <c:v>1085601294986.25</c:v>
                </c:pt>
                <c:pt idx="13">
                  <c:v>1096754732948.4375</c:v>
                </c:pt>
                <c:pt idx="14">
                  <c:v>1107908170910.625</c:v>
                </c:pt>
                <c:pt idx="15">
                  <c:v>1119061608872.8125</c:v>
                </c:pt>
                <c:pt idx="16">
                  <c:v>1130215046835</c:v>
                </c:pt>
                <c:pt idx="17">
                  <c:v>1141368484797.1875</c:v>
                </c:pt>
                <c:pt idx="18">
                  <c:v>1152521922759.375</c:v>
                </c:pt>
                <c:pt idx="19">
                  <c:v>1163675360721.5625</c:v>
                </c:pt>
                <c:pt idx="20">
                  <c:v>1174828798683.75</c:v>
                </c:pt>
                <c:pt idx="21">
                  <c:v>1178050902983.9375</c:v>
                </c:pt>
                <c:pt idx="22">
                  <c:v>1181273007284.125</c:v>
                </c:pt>
                <c:pt idx="23">
                  <c:v>1184495111584.3125</c:v>
                </c:pt>
                <c:pt idx="24">
                  <c:v>1187717215884.5</c:v>
                </c:pt>
                <c:pt idx="25">
                  <c:v>1190939320184.6875</c:v>
                </c:pt>
                <c:pt idx="26">
                  <c:v>1194161424484.875</c:v>
                </c:pt>
                <c:pt idx="27">
                  <c:v>1197383528785.0625</c:v>
                </c:pt>
                <c:pt idx="28">
                  <c:v>1200605633085.25</c:v>
                </c:pt>
                <c:pt idx="29">
                  <c:v>1203827737385.4375</c:v>
                </c:pt>
                <c:pt idx="30">
                  <c:v>1207049841685.625</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651882557769.0824</c:v>
                </c:pt>
                <c:pt idx="1">
                  <c:v>684476685657.5365</c:v>
                </c:pt>
                <c:pt idx="2">
                  <c:v>717070813545.9906</c:v>
                </c:pt>
                <c:pt idx="3">
                  <c:v>749664941434.4447</c:v>
                </c:pt>
                <c:pt idx="4">
                  <c:v>757903017713.94409</c:v>
                </c:pt>
                <c:pt idx="5">
                  <c:v>766141093993.44348</c:v>
                </c:pt>
                <c:pt idx="6">
                  <c:v>774379170272.94287</c:v>
                </c:pt>
                <c:pt idx="7">
                  <c:v>782617246552.44226</c:v>
                </c:pt>
                <c:pt idx="8">
                  <c:v>790855322831.94165</c:v>
                </c:pt>
                <c:pt idx="9">
                  <c:v>799093399111.44104</c:v>
                </c:pt>
                <c:pt idx="10">
                  <c:v>807331475390.94043</c:v>
                </c:pt>
                <c:pt idx="11">
                  <c:v>812377297112.13379</c:v>
                </c:pt>
                <c:pt idx="12">
                  <c:v>817423118833.32727</c:v>
                </c:pt>
                <c:pt idx="13">
                  <c:v>822468940554.52063</c:v>
                </c:pt>
                <c:pt idx="14">
                  <c:v>827514762275.71399</c:v>
                </c:pt>
                <c:pt idx="15">
                  <c:v>832560583996.90735</c:v>
                </c:pt>
                <c:pt idx="16">
                  <c:v>837606405718.10071</c:v>
                </c:pt>
                <c:pt idx="17">
                  <c:v>842652227439.29407</c:v>
                </c:pt>
                <c:pt idx="18">
                  <c:v>847698049160.48743</c:v>
                </c:pt>
                <c:pt idx="19">
                  <c:v>852743870881.68091</c:v>
                </c:pt>
                <c:pt idx="20">
                  <c:v>857789692602.87427</c:v>
                </c:pt>
                <c:pt idx="21">
                  <c:v>859231355951.78662</c:v>
                </c:pt>
                <c:pt idx="22">
                  <c:v>860673019300.69897</c:v>
                </c:pt>
                <c:pt idx="23">
                  <c:v>862114682649.61145</c:v>
                </c:pt>
                <c:pt idx="24">
                  <c:v>863556345998.5238</c:v>
                </c:pt>
                <c:pt idx="25">
                  <c:v>864998009347.43616</c:v>
                </c:pt>
                <c:pt idx="26">
                  <c:v>866439672696.34863</c:v>
                </c:pt>
                <c:pt idx="27">
                  <c:v>867881336045.26099</c:v>
                </c:pt>
                <c:pt idx="28">
                  <c:v>869322999394.17334</c:v>
                </c:pt>
                <c:pt idx="29">
                  <c:v>870764662743.08582</c:v>
                </c:pt>
                <c:pt idx="30">
                  <c:v>872206326091.99817</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57919504992.065872</c:v>
                </c:pt>
                <c:pt idx="1">
                  <c:v>60815480241.669167</c:v>
                </c:pt>
                <c:pt idx="2">
                  <c:v>63711455491.272461</c:v>
                </c:pt>
                <c:pt idx="3">
                  <c:v>66607430740.875755</c:v>
                </c:pt>
                <c:pt idx="4">
                  <c:v>67339380529.23703</c:v>
                </c:pt>
                <c:pt idx="5">
                  <c:v>68071330317.598305</c:v>
                </c:pt>
                <c:pt idx="6">
                  <c:v>68803280105.959579</c:v>
                </c:pt>
                <c:pt idx="7">
                  <c:v>69535229894.320847</c:v>
                </c:pt>
                <c:pt idx="8">
                  <c:v>70267179682.682114</c:v>
                </c:pt>
                <c:pt idx="9">
                  <c:v>70999129471.043396</c:v>
                </c:pt>
                <c:pt idx="10">
                  <c:v>71731079259.404663</c:v>
                </c:pt>
                <c:pt idx="11">
                  <c:v>72179398504.77594</c:v>
                </c:pt>
                <c:pt idx="12">
                  <c:v>72627717750.147217</c:v>
                </c:pt>
                <c:pt idx="13">
                  <c:v>73076036995.518494</c:v>
                </c:pt>
                <c:pt idx="14">
                  <c:v>73524356240.889771</c:v>
                </c:pt>
                <c:pt idx="15">
                  <c:v>73972675486.261063</c:v>
                </c:pt>
                <c:pt idx="16">
                  <c:v>74420994731.632339</c:v>
                </c:pt>
                <c:pt idx="17">
                  <c:v>74869313977.003616</c:v>
                </c:pt>
                <c:pt idx="18">
                  <c:v>75317633222.374893</c:v>
                </c:pt>
                <c:pt idx="19">
                  <c:v>75765952467.74617</c:v>
                </c:pt>
                <c:pt idx="20">
                  <c:v>76214271713.117447</c:v>
                </c:pt>
                <c:pt idx="21">
                  <c:v>76342362926.080673</c:v>
                </c:pt>
                <c:pt idx="22">
                  <c:v>76470454139.0439</c:v>
                </c:pt>
                <c:pt idx="23">
                  <c:v>76598545352.007126</c:v>
                </c:pt>
                <c:pt idx="24">
                  <c:v>76726636564.970337</c:v>
                </c:pt>
                <c:pt idx="25">
                  <c:v>76854727777.933563</c:v>
                </c:pt>
                <c:pt idx="26">
                  <c:v>76982818990.89679</c:v>
                </c:pt>
                <c:pt idx="27">
                  <c:v>77110910203.860016</c:v>
                </c:pt>
                <c:pt idx="28">
                  <c:v>77239001416.823227</c:v>
                </c:pt>
                <c:pt idx="29">
                  <c:v>77367092629.786453</c:v>
                </c:pt>
                <c:pt idx="30">
                  <c:v>77495183842.74968</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50289138547292.078</c:v>
                </c:pt>
                <c:pt idx="1">
                  <c:v>52803595474656.68</c:v>
                </c:pt>
                <c:pt idx="2">
                  <c:v>55318052402021.281</c:v>
                </c:pt>
                <c:pt idx="3">
                  <c:v>57832509329385.875</c:v>
                </c:pt>
                <c:pt idx="4">
                  <c:v>61242483810652.172</c:v>
                </c:pt>
                <c:pt idx="5">
                  <c:v>64652458291918.453</c:v>
                </c:pt>
                <c:pt idx="6">
                  <c:v>68062432773184.734</c:v>
                </c:pt>
                <c:pt idx="7">
                  <c:v>71472407254451.016</c:v>
                </c:pt>
                <c:pt idx="8">
                  <c:v>74882381735717.297</c:v>
                </c:pt>
                <c:pt idx="9">
                  <c:v>78292356216983.578</c:v>
                </c:pt>
                <c:pt idx="10">
                  <c:v>81702330698249.875</c:v>
                </c:pt>
                <c:pt idx="11">
                  <c:v>83471460545684.969</c:v>
                </c:pt>
                <c:pt idx="12">
                  <c:v>85240590393120.063</c:v>
                </c:pt>
                <c:pt idx="13">
                  <c:v>87009720240555.156</c:v>
                </c:pt>
                <c:pt idx="14">
                  <c:v>88778850087990.25</c:v>
                </c:pt>
                <c:pt idx="15">
                  <c:v>90547979935425.344</c:v>
                </c:pt>
                <c:pt idx="16">
                  <c:v>92317109782860.438</c:v>
                </c:pt>
                <c:pt idx="17">
                  <c:v>94086239630295.531</c:v>
                </c:pt>
                <c:pt idx="18">
                  <c:v>95855369477730.641</c:v>
                </c:pt>
                <c:pt idx="19">
                  <c:v>97624499325165.734</c:v>
                </c:pt>
                <c:pt idx="20">
                  <c:v>99393629172600.828</c:v>
                </c:pt>
                <c:pt idx="21">
                  <c:v>100825050936360.67</c:v>
                </c:pt>
                <c:pt idx="22">
                  <c:v>102256472700120.53</c:v>
                </c:pt>
                <c:pt idx="23">
                  <c:v>103687894463880.38</c:v>
                </c:pt>
                <c:pt idx="24">
                  <c:v>105119316227640.22</c:v>
                </c:pt>
                <c:pt idx="25">
                  <c:v>106550737991400.08</c:v>
                </c:pt>
                <c:pt idx="26">
                  <c:v>107982159755159.92</c:v>
                </c:pt>
                <c:pt idx="27">
                  <c:v>109413581518919.78</c:v>
                </c:pt>
                <c:pt idx="28">
                  <c:v>110845003282679.63</c:v>
                </c:pt>
                <c:pt idx="29">
                  <c:v>112276425046439.47</c:v>
                </c:pt>
                <c:pt idx="30">
                  <c:v>113707846810199.33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1678338968507.9272</c:v>
                </c:pt>
                <c:pt idx="1">
                  <c:v>1762255916933.3237</c:v>
                </c:pt>
                <c:pt idx="2">
                  <c:v>1846172865358.72</c:v>
                </c:pt>
                <c:pt idx="3">
                  <c:v>1930089813784.1162</c:v>
                </c:pt>
                <c:pt idx="4">
                  <c:v>2043893573777.8333</c:v>
                </c:pt>
                <c:pt idx="5">
                  <c:v>2157697333771.5503</c:v>
                </c:pt>
                <c:pt idx="6">
                  <c:v>2271501093765.2671</c:v>
                </c:pt>
                <c:pt idx="7">
                  <c:v>2385304853758.9844</c:v>
                </c:pt>
                <c:pt idx="8">
                  <c:v>2499108613752.7012</c:v>
                </c:pt>
                <c:pt idx="9">
                  <c:v>2612912373746.418</c:v>
                </c:pt>
                <c:pt idx="10">
                  <c:v>2726716133740.1353</c:v>
                </c:pt>
                <c:pt idx="11">
                  <c:v>2785758695396.0396</c:v>
                </c:pt>
                <c:pt idx="12">
                  <c:v>2844801257051.9438</c:v>
                </c:pt>
                <c:pt idx="13">
                  <c:v>2903843818707.8481</c:v>
                </c:pt>
                <c:pt idx="14">
                  <c:v>2962886380363.7524</c:v>
                </c:pt>
                <c:pt idx="15">
                  <c:v>3021928942019.6567</c:v>
                </c:pt>
                <c:pt idx="16">
                  <c:v>3080971503675.561</c:v>
                </c:pt>
                <c:pt idx="17">
                  <c:v>3140014065331.4653</c:v>
                </c:pt>
                <c:pt idx="18">
                  <c:v>3199056626987.3696</c:v>
                </c:pt>
                <c:pt idx="19">
                  <c:v>3258099188643.2739</c:v>
                </c:pt>
                <c:pt idx="20">
                  <c:v>3317141750299.1782</c:v>
                </c:pt>
                <c:pt idx="21">
                  <c:v>3364913714502.3286</c:v>
                </c:pt>
                <c:pt idx="22">
                  <c:v>3412685678705.4785</c:v>
                </c:pt>
                <c:pt idx="23">
                  <c:v>3460457642908.6289</c:v>
                </c:pt>
                <c:pt idx="24">
                  <c:v>3508229607111.7793</c:v>
                </c:pt>
                <c:pt idx="25">
                  <c:v>3556001571314.9297</c:v>
                </c:pt>
                <c:pt idx="26">
                  <c:v>3603773535518.0801</c:v>
                </c:pt>
                <c:pt idx="27">
                  <c:v>3651545499721.2305</c:v>
                </c:pt>
                <c:pt idx="28">
                  <c:v>3699317463924.3809</c:v>
                </c:pt>
                <c:pt idx="29">
                  <c:v>3747089428127.5308</c:v>
                </c:pt>
                <c:pt idx="30">
                  <c:v>3794861392330.6812</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232702470131.25436</c:v>
                      </c:pt>
                      <c:pt idx="1">
                        <c:v>244337593637.81708</c:v>
                      </c:pt>
                      <c:pt idx="2">
                        <c:v>255972717144.37979</c:v>
                      </c:pt>
                      <c:pt idx="3">
                        <c:v>267607840650.9425</c:v>
                      </c:pt>
                      <c:pt idx="4">
                        <c:v>270548586152.60123</c:v>
                      </c:pt>
                      <c:pt idx="5">
                        <c:v>273489331654.25995</c:v>
                      </c:pt>
                      <c:pt idx="6">
                        <c:v>276430077155.91864</c:v>
                      </c:pt>
                      <c:pt idx="7">
                        <c:v>279370822657.57733</c:v>
                      </c:pt>
                      <c:pt idx="8">
                        <c:v>282311568159.23608</c:v>
                      </c:pt>
                      <c:pt idx="9">
                        <c:v>285252313660.89478</c:v>
                      </c:pt>
                      <c:pt idx="10">
                        <c:v>288193059162.55347</c:v>
                      </c:pt>
                      <c:pt idx="11">
                        <c:v>289994265782.31946</c:v>
                      </c:pt>
                      <c:pt idx="12">
                        <c:v>291795472402.08539</c:v>
                      </c:pt>
                      <c:pt idx="13">
                        <c:v>293596679021.85138</c:v>
                      </c:pt>
                      <c:pt idx="14">
                        <c:v>295397885641.61731</c:v>
                      </c:pt>
                      <c:pt idx="15">
                        <c:v>297199092261.3833</c:v>
                      </c:pt>
                      <c:pt idx="16">
                        <c:v>299000298881.14923</c:v>
                      </c:pt>
                      <c:pt idx="17">
                        <c:v>300801505500.91522</c:v>
                      </c:pt>
                      <c:pt idx="18">
                        <c:v>302602712120.68115</c:v>
                      </c:pt>
                      <c:pt idx="19">
                        <c:v>304403918740.44708</c:v>
                      </c:pt>
                      <c:pt idx="20">
                        <c:v>306205125360.21307</c:v>
                      </c:pt>
                      <c:pt idx="21">
                        <c:v>306719755823.00336</c:v>
                      </c:pt>
                      <c:pt idx="22">
                        <c:v>307234386285.79364</c:v>
                      </c:pt>
                      <c:pt idx="23">
                        <c:v>307749016748.58392</c:v>
                      </c:pt>
                      <c:pt idx="24">
                        <c:v>308263647211.37415</c:v>
                      </c:pt>
                      <c:pt idx="25">
                        <c:v>308778277674.16443</c:v>
                      </c:pt>
                      <c:pt idx="26">
                        <c:v>309292908136.95471</c:v>
                      </c:pt>
                      <c:pt idx="27">
                        <c:v>309807538599.745</c:v>
                      </c:pt>
                      <c:pt idx="28">
                        <c:v>310322169062.53528</c:v>
                      </c:pt>
                      <c:pt idx="29">
                        <c:v>310836799525.32556</c:v>
                      </c:pt>
                      <c:pt idx="30">
                        <c:v>311351429988.11578</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103829408.41123253</c:v>
                      </c:pt>
                      <c:pt idx="1">
                        <c:v>109020878.83179416</c:v>
                      </c:pt>
                      <c:pt idx="2">
                        <c:v>114212349.25235578</c:v>
                      </c:pt>
                      <c:pt idx="3">
                        <c:v>119403819.67291741</c:v>
                      </c:pt>
                      <c:pt idx="4">
                        <c:v>120715949.55943298</c:v>
                      </c:pt>
                      <c:pt idx="5">
                        <c:v>122028079.44594856</c:v>
                      </c:pt>
                      <c:pt idx="6">
                        <c:v>123340209.33246413</c:v>
                      </c:pt>
                      <c:pt idx="7">
                        <c:v>124652339.2189797</c:v>
                      </c:pt>
                      <c:pt idx="8">
                        <c:v>125964469.10549529</c:v>
                      </c:pt>
                      <c:pt idx="9">
                        <c:v>127276598.99201086</c:v>
                      </c:pt>
                      <c:pt idx="10">
                        <c:v>128588728.87852643</c:v>
                      </c:pt>
                      <c:pt idx="11">
                        <c:v>129392408.43401723</c:v>
                      </c:pt>
                      <c:pt idx="12">
                        <c:v>130196087.98950802</c:v>
                      </c:pt>
                      <c:pt idx="13">
                        <c:v>130999767.54499881</c:v>
                      </c:pt>
                      <c:pt idx="14">
                        <c:v>131803447.1004896</c:v>
                      </c:pt>
                      <c:pt idx="15">
                        <c:v>132607126.65598039</c:v>
                      </c:pt>
                      <c:pt idx="16">
                        <c:v>133410806.21147119</c:v>
                      </c:pt>
                      <c:pt idx="17">
                        <c:v>134214485.76696196</c:v>
                      </c:pt>
                      <c:pt idx="18">
                        <c:v>135018165.32245275</c:v>
                      </c:pt>
                      <c:pt idx="19">
                        <c:v>135821844.87794355</c:v>
                      </c:pt>
                      <c:pt idx="20">
                        <c:v>136625524.43343434</c:v>
                      </c:pt>
                      <c:pt idx="21">
                        <c:v>136855147.16357458</c:v>
                      </c:pt>
                      <c:pt idx="22">
                        <c:v>137084769.89371479</c:v>
                      </c:pt>
                      <c:pt idx="23">
                        <c:v>137314392.62385502</c:v>
                      </c:pt>
                      <c:pt idx="24">
                        <c:v>137544015.35399523</c:v>
                      </c:pt>
                      <c:pt idx="25">
                        <c:v>137773638.08413547</c:v>
                      </c:pt>
                      <c:pt idx="26">
                        <c:v>138003260.81427568</c:v>
                      </c:pt>
                      <c:pt idx="27">
                        <c:v>138232883.54441592</c:v>
                      </c:pt>
                      <c:pt idx="28">
                        <c:v>138462506.27455613</c:v>
                      </c:pt>
                      <c:pt idx="29">
                        <c:v>138692129.00469637</c:v>
                      </c:pt>
                      <c:pt idx="30">
                        <c:v>138921751.73483661</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87924473532.771896</c:v>
                      </c:pt>
                      <c:pt idx="1">
                        <c:v>92320697209.410492</c:v>
                      </c:pt>
                      <c:pt idx="2">
                        <c:v>96716920886.049088</c:v>
                      </c:pt>
                      <c:pt idx="3">
                        <c:v>101113144562.68767</c:v>
                      </c:pt>
                      <c:pt idx="4">
                        <c:v>102224278019.4205</c:v>
                      </c:pt>
                      <c:pt idx="5">
                        <c:v>103335411476.15334</c:v>
                      </c:pt>
                      <c:pt idx="6">
                        <c:v>104446544932.88617</c:v>
                      </c:pt>
                      <c:pt idx="7">
                        <c:v>105557678389.619</c:v>
                      </c:pt>
                      <c:pt idx="8">
                        <c:v>106668811846.35184</c:v>
                      </c:pt>
                      <c:pt idx="9">
                        <c:v>107779945303.08467</c:v>
                      </c:pt>
                      <c:pt idx="10">
                        <c:v>108891078759.81749</c:v>
                      </c:pt>
                      <c:pt idx="11">
                        <c:v>109571648002.06636</c:v>
                      </c:pt>
                      <c:pt idx="12">
                        <c:v>110252217244.31522</c:v>
                      </c:pt>
                      <c:pt idx="13">
                        <c:v>110932786486.56407</c:v>
                      </c:pt>
                      <c:pt idx="14">
                        <c:v>111613355728.81293</c:v>
                      </c:pt>
                      <c:pt idx="15">
                        <c:v>112293924971.0618</c:v>
                      </c:pt>
                      <c:pt idx="16">
                        <c:v>112974494213.31065</c:v>
                      </c:pt>
                      <c:pt idx="17">
                        <c:v>113655063455.55951</c:v>
                      </c:pt>
                      <c:pt idx="18">
                        <c:v>114335632697.80836</c:v>
                      </c:pt>
                      <c:pt idx="19">
                        <c:v>115016201940.05724</c:v>
                      </c:pt>
                      <c:pt idx="20">
                        <c:v>115696771182.30609</c:v>
                      </c:pt>
                      <c:pt idx="21">
                        <c:v>115891219537.23433</c:v>
                      </c:pt>
                      <c:pt idx="22">
                        <c:v>116085667892.16258</c:v>
                      </c:pt>
                      <c:pt idx="23">
                        <c:v>116280116247.09082</c:v>
                      </c:pt>
                      <c:pt idx="24">
                        <c:v>116474564602.01907</c:v>
                      </c:pt>
                      <c:pt idx="25">
                        <c:v>116669012956.94731</c:v>
                      </c:pt>
                      <c:pt idx="26">
                        <c:v>116863461311.87556</c:v>
                      </c:pt>
                      <c:pt idx="27">
                        <c:v>117057909666.8038</c:v>
                      </c:pt>
                      <c:pt idx="28">
                        <c:v>117252358021.73206</c:v>
                      </c:pt>
                      <c:pt idx="29">
                        <c:v>117446806376.66029</c:v>
                      </c:pt>
                      <c:pt idx="30">
                        <c:v>117641254731.58855</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189729208479.98541</c:v>
                      </c:pt>
                      <c:pt idx="1">
                        <c:v>199215668903.98468</c:v>
                      </c:pt>
                      <c:pt idx="2">
                        <c:v>208702129327.98395</c:v>
                      </c:pt>
                      <c:pt idx="3">
                        <c:v>218188589751.98322</c:v>
                      </c:pt>
                      <c:pt idx="4">
                        <c:v>220586266562.44458</c:v>
                      </c:pt>
                      <c:pt idx="5">
                        <c:v>222983943372.90591</c:v>
                      </c:pt>
                      <c:pt idx="6">
                        <c:v>225381620183.36728</c:v>
                      </c:pt>
                      <c:pt idx="7">
                        <c:v>227779296993.82861</c:v>
                      </c:pt>
                      <c:pt idx="8">
                        <c:v>230176973804.28998</c:v>
                      </c:pt>
                      <c:pt idx="9">
                        <c:v>232574650614.75134</c:v>
                      </c:pt>
                      <c:pt idx="10">
                        <c:v>234972327425.21268</c:v>
                      </c:pt>
                      <c:pt idx="11">
                        <c:v>236440904471.62027</c:v>
                      </c:pt>
                      <c:pt idx="12">
                        <c:v>237909481518.02786</c:v>
                      </c:pt>
                      <c:pt idx="13">
                        <c:v>239378058564.43542</c:v>
                      </c:pt>
                      <c:pt idx="14">
                        <c:v>240846635610.84302</c:v>
                      </c:pt>
                      <c:pt idx="15">
                        <c:v>242315212657.25058</c:v>
                      </c:pt>
                      <c:pt idx="16">
                        <c:v>243783789703.65817</c:v>
                      </c:pt>
                      <c:pt idx="17">
                        <c:v>245252366750.06573</c:v>
                      </c:pt>
                      <c:pt idx="18">
                        <c:v>246720943796.47333</c:v>
                      </c:pt>
                      <c:pt idx="19">
                        <c:v>248189520842.88089</c:v>
                      </c:pt>
                      <c:pt idx="20">
                        <c:v>249658097889.28848</c:v>
                      </c:pt>
                      <c:pt idx="21">
                        <c:v>250077691331.11923</c:v>
                      </c:pt>
                      <c:pt idx="22">
                        <c:v>250497284772.94995</c:v>
                      </c:pt>
                      <c:pt idx="23">
                        <c:v>250916878214.7807</c:v>
                      </c:pt>
                      <c:pt idx="24">
                        <c:v>251336471656.61142</c:v>
                      </c:pt>
                      <c:pt idx="25">
                        <c:v>251756065098.44217</c:v>
                      </c:pt>
                      <c:pt idx="26">
                        <c:v>252175658540.27292</c:v>
                      </c:pt>
                      <c:pt idx="27">
                        <c:v>252595251982.10364</c:v>
                      </c:pt>
                      <c:pt idx="28">
                        <c:v>253014845423.93439</c:v>
                      </c:pt>
                      <c:pt idx="29">
                        <c:v>253434438865.76511</c:v>
                      </c:pt>
                      <c:pt idx="30">
                        <c:v>253854032307.59586</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117010551809.03851</c:v>
                      </c:pt>
                      <c:pt idx="1">
                        <c:v>122861079399.49045</c:v>
                      </c:pt>
                      <c:pt idx="2">
                        <c:v>128711606989.94237</c:v>
                      </c:pt>
                      <c:pt idx="3">
                        <c:v>134562134580.39429</c:v>
                      </c:pt>
                      <c:pt idx="4">
                        <c:v>136040839356.00302</c:v>
                      </c:pt>
                      <c:pt idx="5">
                        <c:v>137519544131.61176</c:v>
                      </c:pt>
                      <c:pt idx="6">
                        <c:v>138998248907.22049</c:v>
                      </c:pt>
                      <c:pt idx="7">
                        <c:v>140476953682.82919</c:v>
                      </c:pt>
                      <c:pt idx="8">
                        <c:v>141955658458.43793</c:v>
                      </c:pt>
                      <c:pt idx="9">
                        <c:v>143434363234.04666</c:v>
                      </c:pt>
                      <c:pt idx="10">
                        <c:v>144913068009.6554</c:v>
                      </c:pt>
                      <c:pt idx="11">
                        <c:v>145818774684.71573</c:v>
                      </c:pt>
                      <c:pt idx="12">
                        <c:v>146724481359.77609</c:v>
                      </c:pt>
                      <c:pt idx="13">
                        <c:v>147630188034.83643</c:v>
                      </c:pt>
                      <c:pt idx="14">
                        <c:v>148535894709.89679</c:v>
                      </c:pt>
                      <c:pt idx="15">
                        <c:v>149441601384.95712</c:v>
                      </c:pt>
                      <c:pt idx="16">
                        <c:v>150347308060.01746</c:v>
                      </c:pt>
                      <c:pt idx="17">
                        <c:v>151253014735.07782</c:v>
                      </c:pt>
                      <c:pt idx="18">
                        <c:v>152158721410.13815</c:v>
                      </c:pt>
                      <c:pt idx="19">
                        <c:v>153064428085.19852</c:v>
                      </c:pt>
                      <c:pt idx="20">
                        <c:v>153970134760.25885</c:v>
                      </c:pt>
                      <c:pt idx="21">
                        <c:v>154228908095.99039</c:v>
                      </c:pt>
                      <c:pt idx="22">
                        <c:v>154487681431.72192</c:v>
                      </c:pt>
                      <c:pt idx="23">
                        <c:v>154746454767.45343</c:v>
                      </c:pt>
                      <c:pt idx="24">
                        <c:v>155005228103.18497</c:v>
                      </c:pt>
                      <c:pt idx="25">
                        <c:v>155264001438.9165</c:v>
                      </c:pt>
                      <c:pt idx="26">
                        <c:v>155522774774.64801</c:v>
                      </c:pt>
                      <c:pt idx="27">
                        <c:v>155781548110.37955</c:v>
                      </c:pt>
                      <c:pt idx="28">
                        <c:v>156040321446.11108</c:v>
                      </c:pt>
                      <c:pt idx="29">
                        <c:v>156299094781.84259</c:v>
                      </c:pt>
                      <c:pt idx="30">
                        <c:v>156557868117.57413</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1038591728416.4374</c:v>
                      </c:pt>
                      <c:pt idx="1">
                        <c:v>1090521314837.2593</c:v>
                      </c:pt>
                      <c:pt idx="2">
                        <c:v>1142450901258.0813</c:v>
                      </c:pt>
                      <c:pt idx="3">
                        <c:v>1194380487678.9031</c:v>
                      </c:pt>
                      <c:pt idx="4">
                        <c:v>1207505547983.0669</c:v>
                      </c:pt>
                      <c:pt idx="5">
                        <c:v>1220630608287.2305</c:v>
                      </c:pt>
                      <c:pt idx="6">
                        <c:v>1233755668591.3943</c:v>
                      </c:pt>
                      <c:pt idx="7">
                        <c:v>1246880728895.5581</c:v>
                      </c:pt>
                      <c:pt idx="8">
                        <c:v>1260005789199.7219</c:v>
                      </c:pt>
                      <c:pt idx="9">
                        <c:v>1273130849503.8857</c:v>
                      </c:pt>
                      <c:pt idx="10">
                        <c:v>1286255909808.0496</c:v>
                      </c:pt>
                      <c:pt idx="11">
                        <c:v>1294295009244.3499</c:v>
                      </c:pt>
                      <c:pt idx="12">
                        <c:v>1302334108680.6501</c:v>
                      </c:pt>
                      <c:pt idx="13">
                        <c:v>1310373208116.9504</c:v>
                      </c:pt>
                      <c:pt idx="14">
                        <c:v>1318412307553.2507</c:v>
                      </c:pt>
                      <c:pt idx="15">
                        <c:v>1326451406989.551</c:v>
                      </c:pt>
                      <c:pt idx="16">
                        <c:v>1334490506425.8513</c:v>
                      </c:pt>
                      <c:pt idx="17">
                        <c:v>1342529605862.1516</c:v>
                      </c:pt>
                      <c:pt idx="18">
                        <c:v>1350568705298.4519</c:v>
                      </c:pt>
                      <c:pt idx="19">
                        <c:v>1358607804734.7522</c:v>
                      </c:pt>
                      <c:pt idx="20">
                        <c:v>1366646904171.0525</c:v>
                      </c:pt>
                      <c:pt idx="21">
                        <c:v>1368943789724.2813</c:v>
                      </c:pt>
                      <c:pt idx="22">
                        <c:v>1371240675277.5098</c:v>
                      </c:pt>
                      <c:pt idx="23">
                        <c:v>1373537560830.7385</c:v>
                      </c:pt>
                      <c:pt idx="24">
                        <c:v>1375834446383.9673</c:v>
                      </c:pt>
                      <c:pt idx="25">
                        <c:v>1378131331937.1958</c:v>
                      </c:pt>
                      <c:pt idx="26">
                        <c:v>1380428217490.4246</c:v>
                      </c:pt>
                      <c:pt idx="27">
                        <c:v>1382725103043.6531</c:v>
                      </c:pt>
                      <c:pt idx="28">
                        <c:v>1385021988596.8818</c:v>
                      </c:pt>
                      <c:pt idx="29">
                        <c:v>1387318874150.1104</c:v>
                      </c:pt>
                      <c:pt idx="30">
                        <c:v>1389615759703.3391</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1210477853060.9526</c:v>
                      </c:pt>
                      <c:pt idx="1">
                        <c:v>1271001745714.0002</c:v>
                      </c:pt>
                      <c:pt idx="2">
                        <c:v>1331525638367.0479</c:v>
                      </c:pt>
                      <c:pt idx="3">
                        <c:v>1392049531020.0955</c:v>
                      </c:pt>
                      <c:pt idx="4">
                        <c:v>1407346778613.7229</c:v>
                      </c:pt>
                      <c:pt idx="5">
                        <c:v>1422644026207.3503</c:v>
                      </c:pt>
                      <c:pt idx="6">
                        <c:v>1437941273800.9778</c:v>
                      </c:pt>
                      <c:pt idx="7">
                        <c:v>1453238521394.6052</c:v>
                      </c:pt>
                      <c:pt idx="8">
                        <c:v>1468535768988.2327</c:v>
                      </c:pt>
                      <c:pt idx="9">
                        <c:v>1483833016581.8601</c:v>
                      </c:pt>
                      <c:pt idx="10">
                        <c:v>1499130264175.4875</c:v>
                      </c:pt>
                      <c:pt idx="11">
                        <c:v>1508499828326.5842</c:v>
                      </c:pt>
                      <c:pt idx="12">
                        <c:v>1517869392477.6812</c:v>
                      </c:pt>
                      <c:pt idx="13">
                        <c:v>1527238956628.7778</c:v>
                      </c:pt>
                      <c:pt idx="14">
                        <c:v>1536608520779.8748</c:v>
                      </c:pt>
                      <c:pt idx="15">
                        <c:v>1545978084930.9714</c:v>
                      </c:pt>
                      <c:pt idx="16">
                        <c:v>1555347649082.0681</c:v>
                      </c:pt>
                      <c:pt idx="17">
                        <c:v>1564717213233.165</c:v>
                      </c:pt>
                      <c:pt idx="18">
                        <c:v>1574086777384.2617</c:v>
                      </c:pt>
                      <c:pt idx="19">
                        <c:v>1583456341535.3586</c:v>
                      </c:pt>
                      <c:pt idx="20">
                        <c:v>1592825905686.4553</c:v>
                      </c:pt>
                      <c:pt idx="21">
                        <c:v>1595502924015.3403</c:v>
                      </c:pt>
                      <c:pt idx="22">
                        <c:v>1598179942344.2251</c:v>
                      </c:pt>
                      <c:pt idx="23">
                        <c:v>1600856960673.1099</c:v>
                      </c:pt>
                      <c:pt idx="24">
                        <c:v>1603533979001.9946</c:v>
                      </c:pt>
                      <c:pt idx="25">
                        <c:v>1606210997330.8794</c:v>
                      </c:pt>
                      <c:pt idx="26">
                        <c:v>1608888015659.7642</c:v>
                      </c:pt>
                      <c:pt idx="27">
                        <c:v>1611565033988.6489</c:v>
                      </c:pt>
                      <c:pt idx="28">
                        <c:v>1614242052317.5337</c:v>
                      </c:pt>
                      <c:pt idx="29">
                        <c:v>1616919070646.4187</c:v>
                      </c:pt>
                      <c:pt idx="30">
                        <c:v>1619596088975.3035</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413808712800</c:v>
                      </c:pt>
                      <c:pt idx="1">
                        <c:v>434499148440</c:v>
                      </c:pt>
                      <c:pt idx="2">
                        <c:v>455189584080</c:v>
                      </c:pt>
                      <c:pt idx="3">
                        <c:v>475880019720</c:v>
                      </c:pt>
                      <c:pt idx="4">
                        <c:v>481545258050</c:v>
                      </c:pt>
                      <c:pt idx="5">
                        <c:v>487210496380</c:v>
                      </c:pt>
                      <c:pt idx="6">
                        <c:v>492875734710</c:v>
                      </c:pt>
                      <c:pt idx="7">
                        <c:v>498540973040</c:v>
                      </c:pt>
                      <c:pt idx="8">
                        <c:v>504206211370</c:v>
                      </c:pt>
                      <c:pt idx="9">
                        <c:v>509871449700</c:v>
                      </c:pt>
                      <c:pt idx="10">
                        <c:v>515536688030</c:v>
                      </c:pt>
                      <c:pt idx="11">
                        <c:v>515536688030</c:v>
                      </c:pt>
                      <c:pt idx="12">
                        <c:v>515536688030</c:v>
                      </c:pt>
                      <c:pt idx="13">
                        <c:v>515536688030</c:v>
                      </c:pt>
                      <c:pt idx="14">
                        <c:v>515536688030</c:v>
                      </c:pt>
                      <c:pt idx="15">
                        <c:v>515536688030</c:v>
                      </c:pt>
                      <c:pt idx="16">
                        <c:v>515536688030</c:v>
                      </c:pt>
                      <c:pt idx="17">
                        <c:v>515536688030</c:v>
                      </c:pt>
                      <c:pt idx="18">
                        <c:v>515536688030</c:v>
                      </c:pt>
                      <c:pt idx="19">
                        <c:v>515536688030</c:v>
                      </c:pt>
                      <c:pt idx="20">
                        <c:v>515536688030</c:v>
                      </c:pt>
                      <c:pt idx="21">
                        <c:v>515536688030</c:v>
                      </c:pt>
                      <c:pt idx="22">
                        <c:v>515536688030</c:v>
                      </c:pt>
                      <c:pt idx="23">
                        <c:v>515536688030</c:v>
                      </c:pt>
                      <c:pt idx="24">
                        <c:v>515536688030</c:v>
                      </c:pt>
                      <c:pt idx="25">
                        <c:v>515536688030</c:v>
                      </c:pt>
                      <c:pt idx="26">
                        <c:v>515536688030</c:v>
                      </c:pt>
                      <c:pt idx="27">
                        <c:v>515536688030</c:v>
                      </c:pt>
                      <c:pt idx="28">
                        <c:v>515536688030</c:v>
                      </c:pt>
                      <c:pt idx="29">
                        <c:v>515536688030</c:v>
                      </c:pt>
                      <c:pt idx="30">
                        <c:v>515536688030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20572360474586.078</c:v>
                      </c:pt>
                      <c:pt idx="1">
                        <c:v>21600978498315.383</c:v>
                      </c:pt>
                      <c:pt idx="2">
                        <c:v>22629596522044.688</c:v>
                      </c:pt>
                      <c:pt idx="3">
                        <c:v>23658214545773.988</c:v>
                      </c:pt>
                      <c:pt idx="4">
                        <c:v>23901174387065.637</c:v>
                      </c:pt>
                      <c:pt idx="5">
                        <c:v>24144134228357.281</c:v>
                      </c:pt>
                      <c:pt idx="6">
                        <c:v>24387094069648.926</c:v>
                      </c:pt>
                      <c:pt idx="7">
                        <c:v>24630053910940.574</c:v>
                      </c:pt>
                      <c:pt idx="8">
                        <c:v>24873013752232.219</c:v>
                      </c:pt>
                      <c:pt idx="9">
                        <c:v>25115973593523.863</c:v>
                      </c:pt>
                      <c:pt idx="10">
                        <c:v>25358933434815.508</c:v>
                      </c:pt>
                      <c:pt idx="11">
                        <c:v>25380192420928.527</c:v>
                      </c:pt>
                      <c:pt idx="12">
                        <c:v>25401451407041.547</c:v>
                      </c:pt>
                      <c:pt idx="13">
                        <c:v>25422710393154.566</c:v>
                      </c:pt>
                      <c:pt idx="14">
                        <c:v>25443969379267.586</c:v>
                      </c:pt>
                      <c:pt idx="15">
                        <c:v>25465228365380.605</c:v>
                      </c:pt>
                      <c:pt idx="16">
                        <c:v>25486487351493.625</c:v>
                      </c:pt>
                      <c:pt idx="17">
                        <c:v>25507746337606.641</c:v>
                      </c:pt>
                      <c:pt idx="18">
                        <c:v>25529005323719.66</c:v>
                      </c:pt>
                      <c:pt idx="19">
                        <c:v>25550264309832.68</c:v>
                      </c:pt>
                      <c:pt idx="20">
                        <c:v>25571523295945.699</c:v>
                      </c:pt>
                      <c:pt idx="21">
                        <c:v>25516857331655.078</c:v>
                      </c:pt>
                      <c:pt idx="22">
                        <c:v>25462191367364.457</c:v>
                      </c:pt>
                      <c:pt idx="23">
                        <c:v>25407525403073.84</c:v>
                      </c:pt>
                      <c:pt idx="24">
                        <c:v>25352859438783.219</c:v>
                      </c:pt>
                      <c:pt idx="25">
                        <c:v>25298193474492.598</c:v>
                      </c:pt>
                      <c:pt idx="26">
                        <c:v>25243527510201.977</c:v>
                      </c:pt>
                      <c:pt idx="27">
                        <c:v>25188861545911.355</c:v>
                      </c:pt>
                      <c:pt idx="28">
                        <c:v>25134195581620.738</c:v>
                      </c:pt>
                      <c:pt idx="29">
                        <c:v>25079529617330.117</c:v>
                      </c:pt>
                      <c:pt idx="30">
                        <c:v>25024863653039.496</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6290721798013.9219</c:v>
                      </c:pt>
                      <c:pt idx="1">
                        <c:v>6605257887914.6182</c:v>
                      </c:pt>
                      <c:pt idx="2">
                        <c:v>6919793977815.3135</c:v>
                      </c:pt>
                      <c:pt idx="3">
                        <c:v>7234330067716.0098</c:v>
                      </c:pt>
                      <c:pt idx="4">
                        <c:v>7308623572904.3643</c:v>
                      </c:pt>
                      <c:pt idx="5">
                        <c:v>7382917078092.7188</c:v>
                      </c:pt>
                      <c:pt idx="6">
                        <c:v>7457210583281.0732</c:v>
                      </c:pt>
                      <c:pt idx="7">
                        <c:v>7531504088469.4277</c:v>
                      </c:pt>
                      <c:pt idx="8">
                        <c:v>7605797593657.7822</c:v>
                      </c:pt>
                      <c:pt idx="9">
                        <c:v>7680091098846.1367</c:v>
                      </c:pt>
                      <c:pt idx="10">
                        <c:v>7754384604034.4912</c:v>
                      </c:pt>
                      <c:pt idx="11">
                        <c:v>7760885285738.4717</c:v>
                      </c:pt>
                      <c:pt idx="12">
                        <c:v>7767385967442.4531</c:v>
                      </c:pt>
                      <c:pt idx="13">
                        <c:v>7773886649146.4336</c:v>
                      </c:pt>
                      <c:pt idx="14">
                        <c:v>7780387330850.415</c:v>
                      </c:pt>
                      <c:pt idx="15">
                        <c:v>7786888012554.3955</c:v>
                      </c:pt>
                      <c:pt idx="16">
                        <c:v>7793388694258.377</c:v>
                      </c:pt>
                      <c:pt idx="17">
                        <c:v>7799889375962.3584</c:v>
                      </c:pt>
                      <c:pt idx="18">
                        <c:v>7806390057666.3389</c:v>
                      </c:pt>
                      <c:pt idx="19">
                        <c:v>7812890739370.3203</c:v>
                      </c:pt>
                      <c:pt idx="20">
                        <c:v>7819391421074.3008</c:v>
                      </c:pt>
                      <c:pt idx="21">
                        <c:v>7802675382406.9209</c:v>
                      </c:pt>
                      <c:pt idx="22">
                        <c:v>7785959343739.541</c:v>
                      </c:pt>
                      <c:pt idx="23">
                        <c:v>7769243305072.1621</c:v>
                      </c:pt>
                      <c:pt idx="24">
                        <c:v>7752527266404.7822</c:v>
                      </c:pt>
                      <c:pt idx="25">
                        <c:v>7735811227737.4023</c:v>
                      </c:pt>
                      <c:pt idx="26">
                        <c:v>7719095189070.0225</c:v>
                      </c:pt>
                      <c:pt idx="27">
                        <c:v>7702379150402.6426</c:v>
                      </c:pt>
                      <c:pt idx="28">
                        <c:v>7685663111735.2627</c:v>
                      </c:pt>
                      <c:pt idx="29">
                        <c:v>7668947073067.8838</c:v>
                      </c:pt>
                      <c:pt idx="30">
                        <c:v>7652231034400.5039</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10571519459812.5</c:v>
                      </c:pt>
                      <c:pt idx="1">
                        <c:v>11100095432803.125</c:v>
                      </c:pt>
                      <c:pt idx="2">
                        <c:v>11628671405793.75</c:v>
                      </c:pt>
                      <c:pt idx="3">
                        <c:v>12157247378784.375</c:v>
                      </c:pt>
                      <c:pt idx="4">
                        <c:v>12698985794090.625</c:v>
                      </c:pt>
                      <c:pt idx="5">
                        <c:v>13240724209396.875</c:v>
                      </c:pt>
                      <c:pt idx="6">
                        <c:v>13782462624703.125</c:v>
                      </c:pt>
                      <c:pt idx="7">
                        <c:v>14324201040009.375</c:v>
                      </c:pt>
                      <c:pt idx="8">
                        <c:v>14865939455315.625</c:v>
                      </c:pt>
                      <c:pt idx="9">
                        <c:v>15407677870621.875</c:v>
                      </c:pt>
                      <c:pt idx="10">
                        <c:v>15949416285928.125</c:v>
                      </c:pt>
                      <c:pt idx="11">
                        <c:v>16116717855360.938</c:v>
                      </c:pt>
                      <c:pt idx="12">
                        <c:v>16284019424793.75</c:v>
                      </c:pt>
                      <c:pt idx="13">
                        <c:v>16451320994226.563</c:v>
                      </c:pt>
                      <c:pt idx="14">
                        <c:v>16618622563659.375</c:v>
                      </c:pt>
                      <c:pt idx="15">
                        <c:v>16785924133092.188</c:v>
                      </c:pt>
                      <c:pt idx="16">
                        <c:v>16953225702525</c:v>
                      </c:pt>
                      <c:pt idx="17">
                        <c:v>17120527271957.813</c:v>
                      </c:pt>
                      <c:pt idx="18">
                        <c:v>17287828841390.625</c:v>
                      </c:pt>
                      <c:pt idx="19">
                        <c:v>17455130410823.438</c:v>
                      </c:pt>
                      <c:pt idx="20">
                        <c:v>17622431980256.25</c:v>
                      </c:pt>
                      <c:pt idx="21">
                        <c:v>17670763544759.063</c:v>
                      </c:pt>
                      <c:pt idx="22">
                        <c:v>17719095109261.875</c:v>
                      </c:pt>
                      <c:pt idx="23">
                        <c:v>17767426673764.688</c:v>
                      </c:pt>
                      <c:pt idx="24">
                        <c:v>17815758238267.5</c:v>
                      </c:pt>
                      <c:pt idx="25">
                        <c:v>17864089802770.313</c:v>
                      </c:pt>
                      <c:pt idx="26">
                        <c:v>17912421367273.125</c:v>
                      </c:pt>
                      <c:pt idx="27">
                        <c:v>17960752931775.938</c:v>
                      </c:pt>
                      <c:pt idx="28">
                        <c:v>18009084496278.75</c:v>
                      </c:pt>
                      <c:pt idx="29">
                        <c:v>18057416060781.563</c:v>
                      </c:pt>
                      <c:pt idx="30">
                        <c:v>18105747625284.375</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704767963987.5</c:v>
                      </c:pt>
                      <c:pt idx="1">
                        <c:v>740006362186.875</c:v>
                      </c:pt>
                      <c:pt idx="2">
                        <c:v>775244760386.25</c:v>
                      </c:pt>
                      <c:pt idx="3">
                        <c:v>810483158585.625</c:v>
                      </c:pt>
                      <c:pt idx="4">
                        <c:v>846599052939.375</c:v>
                      </c:pt>
                      <c:pt idx="5">
                        <c:v>882714947293.125</c:v>
                      </c:pt>
                      <c:pt idx="6">
                        <c:v>918830841646.875</c:v>
                      </c:pt>
                      <c:pt idx="7">
                        <c:v>954946736000.625</c:v>
                      </c:pt>
                      <c:pt idx="8">
                        <c:v>991062630354.375</c:v>
                      </c:pt>
                      <c:pt idx="9">
                        <c:v>1027178524708.125</c:v>
                      </c:pt>
                      <c:pt idx="10">
                        <c:v>1063294419061.875</c:v>
                      </c:pt>
                      <c:pt idx="11">
                        <c:v>1074447857024.0625</c:v>
                      </c:pt>
                      <c:pt idx="12">
                        <c:v>1085601294986.25</c:v>
                      </c:pt>
                      <c:pt idx="13">
                        <c:v>1096754732948.4375</c:v>
                      </c:pt>
                      <c:pt idx="14">
                        <c:v>1107908170910.625</c:v>
                      </c:pt>
                      <c:pt idx="15">
                        <c:v>1119061608872.8125</c:v>
                      </c:pt>
                      <c:pt idx="16">
                        <c:v>1130215046835</c:v>
                      </c:pt>
                      <c:pt idx="17">
                        <c:v>1141368484797.1875</c:v>
                      </c:pt>
                      <c:pt idx="18">
                        <c:v>1152521922759.375</c:v>
                      </c:pt>
                      <c:pt idx="19">
                        <c:v>1163675360721.5625</c:v>
                      </c:pt>
                      <c:pt idx="20">
                        <c:v>1174828798683.75</c:v>
                      </c:pt>
                      <c:pt idx="21">
                        <c:v>1178050902983.9375</c:v>
                      </c:pt>
                      <c:pt idx="22">
                        <c:v>1181273007284.125</c:v>
                      </c:pt>
                      <c:pt idx="23">
                        <c:v>1184495111584.3125</c:v>
                      </c:pt>
                      <c:pt idx="24">
                        <c:v>1187717215884.5</c:v>
                      </c:pt>
                      <c:pt idx="25">
                        <c:v>1190939320184.6875</c:v>
                      </c:pt>
                      <c:pt idx="26">
                        <c:v>1194161424484.875</c:v>
                      </c:pt>
                      <c:pt idx="27">
                        <c:v>1197383528785.0625</c:v>
                      </c:pt>
                      <c:pt idx="28">
                        <c:v>1200605633085.25</c:v>
                      </c:pt>
                      <c:pt idx="29">
                        <c:v>1203827737385.4375</c:v>
                      </c:pt>
                      <c:pt idx="30">
                        <c:v>1207049841685.625</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651882557769.0824</c:v>
                      </c:pt>
                      <c:pt idx="1">
                        <c:v>684476685657.5365</c:v>
                      </c:pt>
                      <c:pt idx="2">
                        <c:v>717070813545.9906</c:v>
                      </c:pt>
                      <c:pt idx="3">
                        <c:v>749664941434.4447</c:v>
                      </c:pt>
                      <c:pt idx="4">
                        <c:v>757903017713.94409</c:v>
                      </c:pt>
                      <c:pt idx="5">
                        <c:v>766141093993.44348</c:v>
                      </c:pt>
                      <c:pt idx="6">
                        <c:v>774379170272.94287</c:v>
                      </c:pt>
                      <c:pt idx="7">
                        <c:v>782617246552.44226</c:v>
                      </c:pt>
                      <c:pt idx="8">
                        <c:v>790855322831.94165</c:v>
                      </c:pt>
                      <c:pt idx="9">
                        <c:v>799093399111.44104</c:v>
                      </c:pt>
                      <c:pt idx="10">
                        <c:v>807331475390.94043</c:v>
                      </c:pt>
                      <c:pt idx="11">
                        <c:v>812377297112.13379</c:v>
                      </c:pt>
                      <c:pt idx="12">
                        <c:v>817423118833.32727</c:v>
                      </c:pt>
                      <c:pt idx="13">
                        <c:v>822468940554.52063</c:v>
                      </c:pt>
                      <c:pt idx="14">
                        <c:v>827514762275.71399</c:v>
                      </c:pt>
                      <c:pt idx="15">
                        <c:v>832560583996.90735</c:v>
                      </c:pt>
                      <c:pt idx="16">
                        <c:v>837606405718.10071</c:v>
                      </c:pt>
                      <c:pt idx="17">
                        <c:v>842652227439.29407</c:v>
                      </c:pt>
                      <c:pt idx="18">
                        <c:v>847698049160.48743</c:v>
                      </c:pt>
                      <c:pt idx="19">
                        <c:v>852743870881.68091</c:v>
                      </c:pt>
                      <c:pt idx="20">
                        <c:v>857789692602.87427</c:v>
                      </c:pt>
                      <c:pt idx="21">
                        <c:v>859231355951.78662</c:v>
                      </c:pt>
                      <c:pt idx="22">
                        <c:v>860673019300.69897</c:v>
                      </c:pt>
                      <c:pt idx="23">
                        <c:v>862114682649.61145</c:v>
                      </c:pt>
                      <c:pt idx="24">
                        <c:v>863556345998.5238</c:v>
                      </c:pt>
                      <c:pt idx="25">
                        <c:v>864998009347.43616</c:v>
                      </c:pt>
                      <c:pt idx="26">
                        <c:v>866439672696.34863</c:v>
                      </c:pt>
                      <c:pt idx="27">
                        <c:v>867881336045.26099</c:v>
                      </c:pt>
                      <c:pt idx="28">
                        <c:v>869322999394.17334</c:v>
                      </c:pt>
                      <c:pt idx="29">
                        <c:v>870764662743.08582</c:v>
                      </c:pt>
                      <c:pt idx="30">
                        <c:v>872206326091.99817</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57919504992.065872</c:v>
                      </c:pt>
                      <c:pt idx="1">
                        <c:v>60815480241.669167</c:v>
                      </c:pt>
                      <c:pt idx="2">
                        <c:v>63711455491.272461</c:v>
                      </c:pt>
                      <c:pt idx="3">
                        <c:v>66607430740.875755</c:v>
                      </c:pt>
                      <c:pt idx="4">
                        <c:v>67339380529.23703</c:v>
                      </c:pt>
                      <c:pt idx="5">
                        <c:v>68071330317.598305</c:v>
                      </c:pt>
                      <c:pt idx="6">
                        <c:v>68803280105.959579</c:v>
                      </c:pt>
                      <c:pt idx="7">
                        <c:v>69535229894.320847</c:v>
                      </c:pt>
                      <c:pt idx="8">
                        <c:v>70267179682.682114</c:v>
                      </c:pt>
                      <c:pt idx="9">
                        <c:v>70999129471.043396</c:v>
                      </c:pt>
                      <c:pt idx="10">
                        <c:v>71731079259.404663</c:v>
                      </c:pt>
                      <c:pt idx="11">
                        <c:v>72179398504.77594</c:v>
                      </c:pt>
                      <c:pt idx="12">
                        <c:v>72627717750.147217</c:v>
                      </c:pt>
                      <c:pt idx="13">
                        <c:v>73076036995.518494</c:v>
                      </c:pt>
                      <c:pt idx="14">
                        <c:v>73524356240.889771</c:v>
                      </c:pt>
                      <c:pt idx="15">
                        <c:v>73972675486.261063</c:v>
                      </c:pt>
                      <c:pt idx="16">
                        <c:v>74420994731.632339</c:v>
                      </c:pt>
                      <c:pt idx="17">
                        <c:v>74869313977.003616</c:v>
                      </c:pt>
                      <c:pt idx="18">
                        <c:v>75317633222.374893</c:v>
                      </c:pt>
                      <c:pt idx="19">
                        <c:v>75765952467.74617</c:v>
                      </c:pt>
                      <c:pt idx="20">
                        <c:v>76214271713.117447</c:v>
                      </c:pt>
                      <c:pt idx="21">
                        <c:v>76342362926.080673</c:v>
                      </c:pt>
                      <c:pt idx="22">
                        <c:v>76470454139.0439</c:v>
                      </c:pt>
                      <c:pt idx="23">
                        <c:v>76598545352.007126</c:v>
                      </c:pt>
                      <c:pt idx="24">
                        <c:v>76726636564.970337</c:v>
                      </c:pt>
                      <c:pt idx="25">
                        <c:v>76854727777.933563</c:v>
                      </c:pt>
                      <c:pt idx="26">
                        <c:v>76982818990.89679</c:v>
                      </c:pt>
                      <c:pt idx="27">
                        <c:v>77110910203.860016</c:v>
                      </c:pt>
                      <c:pt idx="28">
                        <c:v>77239001416.823227</c:v>
                      </c:pt>
                      <c:pt idx="29">
                        <c:v>77367092629.786453</c:v>
                      </c:pt>
                      <c:pt idx="30">
                        <c:v>77495183842.74968</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5078360447164.1191</c:v>
                </c:pt>
                <c:pt idx="1">
                  <c:v>4701265651843.3506</c:v>
                </c:pt>
                <c:pt idx="2">
                  <c:v>4324170856522.5825</c:v>
                </c:pt>
                <c:pt idx="3">
                  <c:v>3947076061201.8145</c:v>
                </c:pt>
                <c:pt idx="4">
                  <c:v>3876592560108.9248</c:v>
                </c:pt>
                <c:pt idx="5">
                  <c:v>3806109059016.0356</c:v>
                </c:pt>
                <c:pt idx="6">
                  <c:v>3735625557923.1455</c:v>
                </c:pt>
                <c:pt idx="7">
                  <c:v>3665142056830.2563</c:v>
                </c:pt>
                <c:pt idx="8">
                  <c:v>3594658555737.3667</c:v>
                </c:pt>
                <c:pt idx="9">
                  <c:v>3524175054644.4771</c:v>
                </c:pt>
                <c:pt idx="10">
                  <c:v>3453691553551.5874</c:v>
                </c:pt>
                <c:pt idx="11">
                  <c:v>3444602891568.5571</c:v>
                </c:pt>
                <c:pt idx="12">
                  <c:v>3435514229585.5264</c:v>
                </c:pt>
                <c:pt idx="13">
                  <c:v>3426425567602.4961</c:v>
                </c:pt>
                <c:pt idx="14">
                  <c:v>3417336905619.4653</c:v>
                </c:pt>
                <c:pt idx="15">
                  <c:v>3408248243636.4351</c:v>
                </c:pt>
                <c:pt idx="16">
                  <c:v>3399159581653.4043</c:v>
                </c:pt>
                <c:pt idx="17">
                  <c:v>3390070919670.3745</c:v>
                </c:pt>
                <c:pt idx="18">
                  <c:v>3380982257687.3438</c:v>
                </c:pt>
                <c:pt idx="19">
                  <c:v>3371893595704.3135</c:v>
                </c:pt>
                <c:pt idx="20">
                  <c:v>3362804933721.2827</c:v>
                </c:pt>
                <c:pt idx="21">
                  <c:v>3329047046355.7407</c:v>
                </c:pt>
                <c:pt idx="22">
                  <c:v>3295289158990.1987</c:v>
                </c:pt>
                <c:pt idx="23">
                  <c:v>3261531271624.6572</c:v>
                </c:pt>
                <c:pt idx="24">
                  <c:v>3227773384259.1152</c:v>
                </c:pt>
                <c:pt idx="25">
                  <c:v>3194015496893.5737</c:v>
                </c:pt>
                <c:pt idx="26">
                  <c:v>3160257609528.0317</c:v>
                </c:pt>
                <c:pt idx="27">
                  <c:v>3126499722162.4897</c:v>
                </c:pt>
                <c:pt idx="28">
                  <c:v>3092741834796.9482</c:v>
                </c:pt>
                <c:pt idx="29">
                  <c:v>3058983947431.4058</c:v>
                </c:pt>
                <c:pt idx="30">
                  <c:v>3025226060065.8643</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131737595338.63387</c:v>
                </c:pt>
                <c:pt idx="1">
                  <c:v>121955390615.84514</c:v>
                </c:pt>
                <c:pt idx="2">
                  <c:v>112173185893.05641</c:v>
                </c:pt>
                <c:pt idx="3">
                  <c:v>102390981170.26767</c:v>
                </c:pt>
                <c:pt idx="4">
                  <c:v>100562570792.22719</c:v>
                </c:pt>
                <c:pt idx="5">
                  <c:v>98734160414.186691</c:v>
                </c:pt>
                <c:pt idx="6">
                  <c:v>96905750036.146194</c:v>
                </c:pt>
                <c:pt idx="7">
                  <c:v>95077339658.105698</c:v>
                </c:pt>
                <c:pt idx="8">
                  <c:v>93248929280.065216</c:v>
                </c:pt>
                <c:pt idx="9">
                  <c:v>91420518902.024704</c:v>
                </c:pt>
                <c:pt idx="10">
                  <c:v>89592108523.984222</c:v>
                </c:pt>
                <c:pt idx="11">
                  <c:v>89356339817.342163</c:v>
                </c:pt>
                <c:pt idx="12">
                  <c:v>89120571110.700089</c:v>
                </c:pt>
                <c:pt idx="13">
                  <c:v>88884802404.058029</c:v>
                </c:pt>
                <c:pt idx="14">
                  <c:v>88649033697.415955</c:v>
                </c:pt>
                <c:pt idx="15">
                  <c:v>88413264990.773895</c:v>
                </c:pt>
                <c:pt idx="16">
                  <c:v>88177496284.131836</c:v>
                </c:pt>
                <c:pt idx="17">
                  <c:v>87941727577.489777</c:v>
                </c:pt>
                <c:pt idx="18">
                  <c:v>87705958870.847717</c:v>
                </c:pt>
                <c:pt idx="19">
                  <c:v>87470190164.205643</c:v>
                </c:pt>
                <c:pt idx="20">
                  <c:v>87234421457.563583</c:v>
                </c:pt>
                <c:pt idx="21">
                  <c:v>86358709118.607346</c:v>
                </c:pt>
                <c:pt idx="22">
                  <c:v>85482996779.651108</c:v>
                </c:pt>
                <c:pt idx="23">
                  <c:v>84607284440.69487</c:v>
                </c:pt>
                <c:pt idx="24">
                  <c:v>83731572101.738632</c:v>
                </c:pt>
                <c:pt idx="25">
                  <c:v>82855859762.782394</c:v>
                </c:pt>
                <c:pt idx="26">
                  <c:v>81980147423.826172</c:v>
                </c:pt>
                <c:pt idx="27">
                  <c:v>81104435084.869919</c:v>
                </c:pt>
                <c:pt idx="28">
                  <c:v>80228722745.913696</c:v>
                </c:pt>
                <c:pt idx="29">
                  <c:v>79353010406.957443</c:v>
                </c:pt>
                <c:pt idx="30">
                  <c:v>78477298068.001221</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151836395460.46991</c:v>
                </c:pt>
                <c:pt idx="1">
                  <c:v>140561749821.56442</c:v>
                </c:pt>
                <c:pt idx="2">
                  <c:v>129287104182.65892</c:v>
                </c:pt>
                <c:pt idx="3">
                  <c:v>118012458543.75342</c:v>
                </c:pt>
                <c:pt idx="4">
                  <c:v>115905093212.61496</c:v>
                </c:pt>
                <c:pt idx="5">
                  <c:v>113797727881.47652</c:v>
                </c:pt>
                <c:pt idx="6">
                  <c:v>111690362550.33806</c:v>
                </c:pt>
                <c:pt idx="7">
                  <c:v>109582997219.1996</c:v>
                </c:pt>
                <c:pt idx="8">
                  <c:v>107475631888.06116</c:v>
                </c:pt>
                <c:pt idx="9">
                  <c:v>105368266556.92268</c:v>
                </c:pt>
                <c:pt idx="10">
                  <c:v>103260901225.78424</c:v>
                </c:pt>
                <c:pt idx="11">
                  <c:v>102989162012.03218</c:v>
                </c:pt>
                <c:pt idx="12">
                  <c:v>102717422798.28011</c:v>
                </c:pt>
                <c:pt idx="13">
                  <c:v>102445683584.52805</c:v>
                </c:pt>
                <c:pt idx="14">
                  <c:v>102173944370.77599</c:v>
                </c:pt>
                <c:pt idx="15">
                  <c:v>101902205157.02391</c:v>
                </c:pt>
                <c:pt idx="16">
                  <c:v>101630465943.27185</c:v>
                </c:pt>
                <c:pt idx="17">
                  <c:v>101358726729.51981</c:v>
                </c:pt>
                <c:pt idx="18">
                  <c:v>101086987515.76773</c:v>
                </c:pt>
                <c:pt idx="19">
                  <c:v>100815248302.01567</c:v>
                </c:pt>
                <c:pt idx="20">
                  <c:v>100543509088.26361</c:v>
                </c:pt>
                <c:pt idx="21">
                  <c:v>99534192008.613068</c:v>
                </c:pt>
                <c:pt idx="22">
                  <c:v>98524874928.962555</c:v>
                </c:pt>
                <c:pt idx="23">
                  <c:v>97515557849.312042</c:v>
                </c:pt>
                <c:pt idx="24">
                  <c:v>96506240769.661514</c:v>
                </c:pt>
                <c:pt idx="25">
                  <c:v>95496923690.010986</c:v>
                </c:pt>
                <c:pt idx="26">
                  <c:v>94487606610.360474</c:v>
                </c:pt>
                <c:pt idx="27">
                  <c:v>93478289530.709946</c:v>
                </c:pt>
                <c:pt idx="28">
                  <c:v>92468972451.059418</c:v>
                </c:pt>
                <c:pt idx="29">
                  <c:v>91459655371.40889</c:v>
                </c:pt>
                <c:pt idx="30">
                  <c:v>90450338291.758377</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27506132392.257534</c:v>
                </c:pt>
                <c:pt idx="1">
                  <c:v>25463658355.126804</c:v>
                </c:pt>
                <c:pt idx="2">
                  <c:v>23421184317.996078</c:v>
                </c:pt>
                <c:pt idx="3">
                  <c:v>21378710280.865349</c:v>
                </c:pt>
                <c:pt idx="4">
                  <c:v>20996947597.278469</c:v>
                </c:pt>
                <c:pt idx="5">
                  <c:v>20615184913.691589</c:v>
                </c:pt>
                <c:pt idx="6">
                  <c:v>20233422230.104706</c:v>
                </c:pt>
                <c:pt idx="7">
                  <c:v>19851659546.517826</c:v>
                </c:pt>
                <c:pt idx="8">
                  <c:v>19469896862.930946</c:v>
                </c:pt>
                <c:pt idx="9">
                  <c:v>19088134179.344063</c:v>
                </c:pt>
                <c:pt idx="10">
                  <c:v>18706371495.757183</c:v>
                </c:pt>
                <c:pt idx="11">
                  <c:v>18657144202.347294</c:v>
                </c:pt>
                <c:pt idx="12">
                  <c:v>18607916908.937405</c:v>
                </c:pt>
                <c:pt idx="13">
                  <c:v>18558689615.527519</c:v>
                </c:pt>
                <c:pt idx="14">
                  <c:v>18509462322.11763</c:v>
                </c:pt>
                <c:pt idx="15">
                  <c:v>18460235028.707745</c:v>
                </c:pt>
                <c:pt idx="16">
                  <c:v>18411007735.297855</c:v>
                </c:pt>
                <c:pt idx="17">
                  <c:v>18361780441.88797</c:v>
                </c:pt>
                <c:pt idx="18">
                  <c:v>18312553148.478085</c:v>
                </c:pt>
                <c:pt idx="19">
                  <c:v>18263325855.068195</c:v>
                </c:pt>
                <c:pt idx="20">
                  <c:v>18214098561.65831</c:v>
                </c:pt>
                <c:pt idx="21">
                  <c:v>18031254328.993011</c:v>
                </c:pt>
                <c:pt idx="22">
                  <c:v>17848410096.327717</c:v>
                </c:pt>
                <c:pt idx="23">
                  <c:v>17665565863.662422</c:v>
                </c:pt>
                <c:pt idx="24">
                  <c:v>17482721630.997124</c:v>
                </c:pt>
                <c:pt idx="25">
                  <c:v>17299877398.331829</c:v>
                </c:pt>
                <c:pt idx="26">
                  <c:v>17117033165.666534</c:v>
                </c:pt>
                <c:pt idx="27">
                  <c:v>16934188933.001238</c:v>
                </c:pt>
                <c:pt idx="28">
                  <c:v>16751344700.335943</c:v>
                </c:pt>
                <c:pt idx="29">
                  <c:v>16568500467.670645</c:v>
                </c:pt>
                <c:pt idx="30">
                  <c:v>16385656235.00535</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4306033735.3013754</c:v>
                </c:pt>
                <c:pt idx="1">
                  <c:v>3986288233.3914909</c:v>
                </c:pt>
                <c:pt idx="2">
                  <c:v>3666542731.4816065</c:v>
                </c:pt>
                <c:pt idx="3">
                  <c:v>3346797229.5717225</c:v>
                </c:pt>
                <c:pt idx="4">
                  <c:v>3287032993.3293705</c:v>
                </c:pt>
                <c:pt idx="5">
                  <c:v>3227268757.0870185</c:v>
                </c:pt>
                <c:pt idx="6">
                  <c:v>3167504520.844666</c:v>
                </c:pt>
                <c:pt idx="7">
                  <c:v>3107740284.602314</c:v>
                </c:pt>
                <c:pt idx="8">
                  <c:v>3047976048.359962</c:v>
                </c:pt>
                <c:pt idx="9">
                  <c:v>2988211812.1176095</c:v>
                </c:pt>
                <c:pt idx="10">
                  <c:v>2928447575.875257</c:v>
                </c:pt>
                <c:pt idx="11">
                  <c:v>2920741134.8861117</c:v>
                </c:pt>
                <c:pt idx="12">
                  <c:v>2913034693.8969665</c:v>
                </c:pt>
                <c:pt idx="13">
                  <c:v>2905328252.9078207</c:v>
                </c:pt>
                <c:pt idx="14">
                  <c:v>2897621811.9186754</c:v>
                </c:pt>
                <c:pt idx="15">
                  <c:v>2889915370.9295301</c:v>
                </c:pt>
                <c:pt idx="16">
                  <c:v>2882208929.9403844</c:v>
                </c:pt>
                <c:pt idx="17">
                  <c:v>2874502488.9512396</c:v>
                </c:pt>
                <c:pt idx="18">
                  <c:v>2866796047.9620938</c:v>
                </c:pt>
                <c:pt idx="19">
                  <c:v>2859089606.9729486</c:v>
                </c:pt>
                <c:pt idx="20">
                  <c:v>2851383165.9838033</c:v>
                </c:pt>
                <c:pt idx="21">
                  <c:v>2822759242.309834</c:v>
                </c:pt>
                <c:pt idx="22">
                  <c:v>2794135318.6358657</c:v>
                </c:pt>
                <c:pt idx="23">
                  <c:v>2765511394.9618974</c:v>
                </c:pt>
                <c:pt idx="24">
                  <c:v>2736887471.2879281</c:v>
                </c:pt>
                <c:pt idx="25">
                  <c:v>2708263547.6139598</c:v>
                </c:pt>
                <c:pt idx="26">
                  <c:v>2679639623.939991</c:v>
                </c:pt>
                <c:pt idx="27">
                  <c:v>2651015700.2660222</c:v>
                </c:pt>
                <c:pt idx="28">
                  <c:v>2622391776.5920539</c:v>
                </c:pt>
                <c:pt idx="29">
                  <c:v>2593767852.9180846</c:v>
                </c:pt>
                <c:pt idx="30">
                  <c:v>2565143929.2441163</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13355463819.83132</c:v>
                </c:pt>
                <c:pt idx="1">
                  <c:v>12363750854.997248</c:v>
                </c:pt>
                <c:pt idx="2">
                  <c:v>11372037890.163174</c:v>
                </c:pt>
                <c:pt idx="3">
                  <c:v>10380324925.329102</c:v>
                </c:pt>
                <c:pt idx="4">
                  <c:v>10194961980.233938</c:v>
                </c:pt>
                <c:pt idx="5">
                  <c:v>10009599035.138777</c:v>
                </c:pt>
                <c:pt idx="6">
                  <c:v>9824236090.0436134</c:v>
                </c:pt>
                <c:pt idx="7">
                  <c:v>9638873144.948452</c:v>
                </c:pt>
                <c:pt idx="8">
                  <c:v>9453510199.8532887</c:v>
                </c:pt>
                <c:pt idx="9">
                  <c:v>9268147254.7581253</c:v>
                </c:pt>
                <c:pt idx="10">
                  <c:v>9082784309.6629639</c:v>
                </c:pt>
                <c:pt idx="11">
                  <c:v>9058882245.6901665</c:v>
                </c:pt>
                <c:pt idx="12">
                  <c:v>9034980181.7173691</c:v>
                </c:pt>
                <c:pt idx="13">
                  <c:v>9011078117.7445717</c:v>
                </c:pt>
                <c:pt idx="14">
                  <c:v>8987176053.7717743</c:v>
                </c:pt>
                <c:pt idx="15">
                  <c:v>8963273989.7989769</c:v>
                </c:pt>
                <c:pt idx="16">
                  <c:v>8939371925.8261795</c:v>
                </c:pt>
                <c:pt idx="17">
                  <c:v>8915469861.853384</c:v>
                </c:pt>
                <c:pt idx="18">
                  <c:v>8891567797.8805866</c:v>
                </c:pt>
                <c:pt idx="19">
                  <c:v>8867665733.9077892</c:v>
                </c:pt>
                <c:pt idx="20">
                  <c:v>8843763669.9349918</c:v>
                </c:pt>
                <c:pt idx="21">
                  <c:v>8754984575.1788864</c:v>
                </c:pt>
                <c:pt idx="22">
                  <c:v>8666205480.4227829</c:v>
                </c:pt>
                <c:pt idx="23">
                  <c:v>8577426385.6666784</c:v>
                </c:pt>
                <c:pt idx="24">
                  <c:v>8488647290.910574</c:v>
                </c:pt>
                <c:pt idx="25">
                  <c:v>8399868196.1544704</c:v>
                </c:pt>
                <c:pt idx="26">
                  <c:v>8311089101.3983669</c:v>
                </c:pt>
                <c:pt idx="27">
                  <c:v>8222310006.6422615</c:v>
                </c:pt>
                <c:pt idx="28">
                  <c:v>8133530911.886158</c:v>
                </c:pt>
                <c:pt idx="29">
                  <c:v>8044751817.1300526</c:v>
                </c:pt>
                <c:pt idx="30">
                  <c:v>7955972722.3739491</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61623576982501.945</c:v>
                </c:pt>
                <c:pt idx="1">
                  <c:v>62817056132541.227</c:v>
                </c:pt>
                <c:pt idx="2">
                  <c:v>64010535282580.523</c:v>
                </c:pt>
                <c:pt idx="3">
                  <c:v>65204014432619.75</c:v>
                </c:pt>
                <c:pt idx="4">
                  <c:v>66359683790084.641</c:v>
                </c:pt>
                <c:pt idx="5">
                  <c:v>67515353147549.453</c:v>
                </c:pt>
                <c:pt idx="6">
                  <c:v>68671022505014.781</c:v>
                </c:pt>
                <c:pt idx="7">
                  <c:v>69826691862479.594</c:v>
                </c:pt>
                <c:pt idx="8">
                  <c:v>70982361219944.406</c:v>
                </c:pt>
                <c:pt idx="9">
                  <c:v>72138030577409.75</c:v>
                </c:pt>
                <c:pt idx="10">
                  <c:v>73293699934874.828</c:v>
                </c:pt>
                <c:pt idx="11">
                  <c:v>73979695049604.203</c:v>
                </c:pt>
                <c:pt idx="12">
                  <c:v>74665690164333.578</c:v>
                </c:pt>
                <c:pt idx="13">
                  <c:v>75351685279063.203</c:v>
                </c:pt>
                <c:pt idx="14">
                  <c:v>76037680393792.594</c:v>
                </c:pt>
                <c:pt idx="15">
                  <c:v>76723675508522.219</c:v>
                </c:pt>
                <c:pt idx="16">
                  <c:v>77409670623251.609</c:v>
                </c:pt>
                <c:pt idx="17">
                  <c:v>78095665737981.234</c:v>
                </c:pt>
                <c:pt idx="18">
                  <c:v>78781660852710.625</c:v>
                </c:pt>
                <c:pt idx="19">
                  <c:v>79467655967440.25</c:v>
                </c:pt>
                <c:pt idx="20">
                  <c:v>80153651082169.891</c:v>
                </c:pt>
                <c:pt idx="21">
                  <c:v>80370738143793.156</c:v>
                </c:pt>
                <c:pt idx="22">
                  <c:v>80587825205416.422</c:v>
                </c:pt>
                <c:pt idx="23">
                  <c:v>80804912267039.672</c:v>
                </c:pt>
                <c:pt idx="24">
                  <c:v>81021999328662.938</c:v>
                </c:pt>
                <c:pt idx="25">
                  <c:v>81239086390286.203</c:v>
                </c:pt>
                <c:pt idx="26">
                  <c:v>81456173451909.453</c:v>
                </c:pt>
                <c:pt idx="27">
                  <c:v>81673260513532.719</c:v>
                </c:pt>
                <c:pt idx="28">
                  <c:v>81890347575155.984</c:v>
                </c:pt>
                <c:pt idx="29">
                  <c:v>82107434636779.25</c:v>
                </c:pt>
                <c:pt idx="30">
                  <c:v>82324521698402.5</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31912209508795.652</c:v>
                </c:pt>
                <c:pt idx="1">
                  <c:v>32530261211494.566</c:v>
                </c:pt>
                <c:pt idx="2">
                  <c:v>33148312914193.488</c:v>
                </c:pt>
                <c:pt idx="3">
                  <c:v>33766364616892.371</c:v>
                </c:pt>
                <c:pt idx="4">
                  <c:v>34364836248436.688</c:v>
                </c:pt>
                <c:pt idx="5">
                  <c:v>34963307879980.969</c:v>
                </c:pt>
                <c:pt idx="6">
                  <c:v>35561779511525.516</c:v>
                </c:pt>
                <c:pt idx="7">
                  <c:v>36160251143069.797</c:v>
                </c:pt>
                <c:pt idx="8">
                  <c:v>36758722774614.07</c:v>
                </c:pt>
                <c:pt idx="9">
                  <c:v>37357194406158.625</c:v>
                </c:pt>
                <c:pt idx="10">
                  <c:v>37955666037703.039</c:v>
                </c:pt>
                <c:pt idx="11">
                  <c:v>38310913507830.75</c:v>
                </c:pt>
                <c:pt idx="12">
                  <c:v>38666160977958.461</c:v>
                </c:pt>
                <c:pt idx="13">
                  <c:v>39021408448086.305</c:v>
                </c:pt>
                <c:pt idx="14">
                  <c:v>39376655918214.023</c:v>
                </c:pt>
                <c:pt idx="15">
                  <c:v>39731903388341.867</c:v>
                </c:pt>
                <c:pt idx="16">
                  <c:v>40087150858469.586</c:v>
                </c:pt>
                <c:pt idx="17">
                  <c:v>40442398328597.43</c:v>
                </c:pt>
                <c:pt idx="18">
                  <c:v>40797645798725.148</c:v>
                </c:pt>
                <c:pt idx="19">
                  <c:v>41152893268852.992</c:v>
                </c:pt>
                <c:pt idx="20">
                  <c:v>41508140738980.836</c:v>
                </c:pt>
                <c:pt idx="21">
                  <c:v>41620560824464.313</c:v>
                </c:pt>
                <c:pt idx="22">
                  <c:v>41732980909947.789</c:v>
                </c:pt>
                <c:pt idx="23">
                  <c:v>41845400995431.266</c:v>
                </c:pt>
                <c:pt idx="24">
                  <c:v>41957821080914.734</c:v>
                </c:pt>
                <c:pt idx="25">
                  <c:v>42070241166398.211</c:v>
                </c:pt>
                <c:pt idx="26">
                  <c:v>42182661251881.688</c:v>
                </c:pt>
                <c:pt idx="27">
                  <c:v>42295081337365.156</c:v>
                </c:pt>
                <c:pt idx="28">
                  <c:v>42407501422848.633</c:v>
                </c:pt>
                <c:pt idx="29">
                  <c:v>42519921508332.109</c:v>
                </c:pt>
                <c:pt idx="30">
                  <c:v>42632341593815.586</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4725799604.0604343</c:v>
                </c:pt>
                <c:pt idx="1">
                  <c:v>4374884293.3098373</c:v>
                </c:pt>
                <c:pt idx="2">
                  <c:v>4023968982.5592403</c:v>
                </c:pt>
                <c:pt idx="3">
                  <c:v>3673053671.8086438</c:v>
                </c:pt>
                <c:pt idx="4">
                  <c:v>3607463427.6692038</c:v>
                </c:pt>
                <c:pt idx="5">
                  <c:v>3541873183.5297637</c:v>
                </c:pt>
                <c:pt idx="6">
                  <c:v>3476282939.3903236</c:v>
                </c:pt>
                <c:pt idx="7">
                  <c:v>3410692695.2508836</c:v>
                </c:pt>
                <c:pt idx="8">
                  <c:v>3345102451.1114435</c:v>
                </c:pt>
                <c:pt idx="9">
                  <c:v>3279512206.972003</c:v>
                </c:pt>
                <c:pt idx="10">
                  <c:v>3213921962.8325634</c:v>
                </c:pt>
                <c:pt idx="11">
                  <c:v>3205464273.4566879</c:v>
                </c:pt>
                <c:pt idx="12">
                  <c:v>3197006584.0808129</c:v>
                </c:pt>
                <c:pt idx="13">
                  <c:v>3188548894.7049375</c:v>
                </c:pt>
                <c:pt idx="14">
                  <c:v>3180091205.3290625</c:v>
                </c:pt>
                <c:pt idx="15">
                  <c:v>3171633515.9531875</c:v>
                </c:pt>
                <c:pt idx="16">
                  <c:v>3163175826.577312</c:v>
                </c:pt>
                <c:pt idx="17">
                  <c:v>3154718137.2014375</c:v>
                </c:pt>
                <c:pt idx="18">
                  <c:v>3146260447.825562</c:v>
                </c:pt>
                <c:pt idx="19">
                  <c:v>3137802758.449687</c:v>
                </c:pt>
                <c:pt idx="20">
                  <c:v>3129345069.0738115</c:v>
                </c:pt>
                <c:pt idx="21">
                  <c:v>3097930794.2491322</c:v>
                </c:pt>
                <c:pt idx="22">
                  <c:v>3066516519.4244533</c:v>
                </c:pt>
                <c:pt idx="23">
                  <c:v>3035102244.5997744</c:v>
                </c:pt>
                <c:pt idx="24">
                  <c:v>3003687969.7750945</c:v>
                </c:pt>
                <c:pt idx="25">
                  <c:v>2972273694.9504156</c:v>
                </c:pt>
                <c:pt idx="26">
                  <c:v>2940859420.1257367</c:v>
                </c:pt>
                <c:pt idx="27">
                  <c:v>2909445145.3010573</c:v>
                </c:pt>
                <c:pt idx="28">
                  <c:v>2878030870.476378</c:v>
                </c:pt>
                <c:pt idx="29">
                  <c:v>2846616595.6516986</c:v>
                </c:pt>
                <c:pt idx="30">
                  <c:v>2815202320.8270197</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546617487536.32355</c:v>
                </c:pt>
                <c:pt idx="1">
                  <c:v>506028283259.50446</c:v>
                </c:pt>
                <c:pt idx="2">
                  <c:v>465439078982.68542</c:v>
                </c:pt>
                <c:pt idx="3">
                  <c:v>424849874705.86639</c:v>
                </c:pt>
                <c:pt idx="4">
                  <c:v>417263269800.40454</c:v>
                </c:pt>
                <c:pt idx="5">
                  <c:v>409676664894.94263</c:v>
                </c:pt>
                <c:pt idx="6">
                  <c:v>402090059989.48071</c:v>
                </c:pt>
                <c:pt idx="7">
                  <c:v>394503455084.0188</c:v>
                </c:pt>
                <c:pt idx="8">
                  <c:v>386916850178.55695</c:v>
                </c:pt>
                <c:pt idx="9">
                  <c:v>379330245273.09503</c:v>
                </c:pt>
                <c:pt idx="10">
                  <c:v>371743640367.63312</c:v>
                </c:pt>
                <c:pt idx="11">
                  <c:v>370765367629.82355</c:v>
                </c:pt>
                <c:pt idx="12">
                  <c:v>369787094892.01398</c:v>
                </c:pt>
                <c:pt idx="13">
                  <c:v>368808822154.20441</c:v>
                </c:pt>
                <c:pt idx="14">
                  <c:v>367830549416.39484</c:v>
                </c:pt>
                <c:pt idx="15">
                  <c:v>366852276678.58527</c:v>
                </c:pt>
                <c:pt idx="16">
                  <c:v>365874003940.77576</c:v>
                </c:pt>
                <c:pt idx="17">
                  <c:v>364895731202.96619</c:v>
                </c:pt>
                <c:pt idx="18">
                  <c:v>363917458465.15668</c:v>
                </c:pt>
                <c:pt idx="19">
                  <c:v>362939185727.34711</c:v>
                </c:pt>
                <c:pt idx="20">
                  <c:v>361960912989.53754</c:v>
                </c:pt>
                <c:pt idx="21">
                  <c:v>358327328534.81628</c:v>
                </c:pt>
                <c:pt idx="22">
                  <c:v>354693744080.09503</c:v>
                </c:pt>
                <c:pt idx="23">
                  <c:v>351060159625.37384</c:v>
                </c:pt>
                <c:pt idx="24">
                  <c:v>347426575170.65259</c:v>
                </c:pt>
                <c:pt idx="25">
                  <c:v>343792990715.9314</c:v>
                </c:pt>
                <c:pt idx="26">
                  <c:v>340159406261.21021</c:v>
                </c:pt>
                <c:pt idx="27">
                  <c:v>336525821806.48889</c:v>
                </c:pt>
                <c:pt idx="28">
                  <c:v>332892237351.7677</c:v>
                </c:pt>
                <c:pt idx="29">
                  <c:v>329258652897.04645</c:v>
                </c:pt>
                <c:pt idx="30">
                  <c:v>325625068442.32526</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329398162942.67096</c:v>
                </c:pt>
                <c:pt idx="1">
                  <c:v>256878587746.58789</c:v>
                </c:pt>
                <c:pt idx="2">
                  <c:v>184359012550.50482</c:v>
                </c:pt>
                <c:pt idx="3">
                  <c:v>111839437354.42175</c:v>
                </c:pt>
                <c:pt idx="4">
                  <c:v>108258371626.32451</c:v>
                </c:pt>
                <c:pt idx="5">
                  <c:v>104677305898.22725</c:v>
                </c:pt>
                <c:pt idx="6">
                  <c:v>101096240170.13</c:v>
                </c:pt>
                <c:pt idx="7">
                  <c:v>97515174442.032761</c:v>
                </c:pt>
                <c:pt idx="8">
                  <c:v>93934108713.935516</c:v>
                </c:pt>
                <c:pt idx="9">
                  <c:v>90353042985.838257</c:v>
                </c:pt>
                <c:pt idx="10">
                  <c:v>86771977257.741013</c:v>
                </c:pt>
                <c:pt idx="11">
                  <c:v>86579150641.612747</c:v>
                </c:pt>
                <c:pt idx="12">
                  <c:v>86386324025.484436</c:v>
                </c:pt>
                <c:pt idx="13">
                  <c:v>86193497409.356125</c:v>
                </c:pt>
                <c:pt idx="14">
                  <c:v>86000670793.227814</c:v>
                </c:pt>
                <c:pt idx="15">
                  <c:v>85807844177.099487</c:v>
                </c:pt>
                <c:pt idx="16">
                  <c:v>85615017560.971176</c:v>
                </c:pt>
                <c:pt idx="17">
                  <c:v>85422190944.842865</c:v>
                </c:pt>
                <c:pt idx="18">
                  <c:v>85229364328.714554</c:v>
                </c:pt>
                <c:pt idx="19">
                  <c:v>85036537712.586243</c:v>
                </c:pt>
                <c:pt idx="20">
                  <c:v>84843711096.457886</c:v>
                </c:pt>
                <c:pt idx="21">
                  <c:v>84265231248.072937</c:v>
                </c:pt>
                <c:pt idx="22">
                  <c:v>83686751399.688004</c:v>
                </c:pt>
                <c:pt idx="23">
                  <c:v>83108271551.303055</c:v>
                </c:pt>
                <c:pt idx="24">
                  <c:v>82529791702.918121</c:v>
                </c:pt>
                <c:pt idx="25">
                  <c:v>81951311854.533173</c:v>
                </c:pt>
                <c:pt idx="26">
                  <c:v>81372832006.148239</c:v>
                </c:pt>
                <c:pt idx="27">
                  <c:v>80794352157.763306</c:v>
                </c:pt>
                <c:pt idx="28">
                  <c:v>80215872309.378357</c:v>
                </c:pt>
                <c:pt idx="29">
                  <c:v>79637392460.993423</c:v>
                </c:pt>
                <c:pt idx="30">
                  <c:v>79058912612.608475</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293631727124.83441</c:v>
                </c:pt>
                <c:pt idx="1">
                  <c:v>280411037636.16168</c:v>
                </c:pt>
                <c:pt idx="2">
                  <c:v>267190348147.48895</c:v>
                </c:pt>
                <c:pt idx="3">
                  <c:v>253969658658.81625</c:v>
                </c:pt>
                <c:pt idx="4">
                  <c:v>268215538931.74789</c:v>
                </c:pt>
                <c:pt idx="5">
                  <c:v>282461419204.67957</c:v>
                </c:pt>
                <c:pt idx="6">
                  <c:v>296707299477.61127</c:v>
                </c:pt>
                <c:pt idx="7">
                  <c:v>310953179750.54291</c:v>
                </c:pt>
                <c:pt idx="8">
                  <c:v>325199060023.47455</c:v>
                </c:pt>
                <c:pt idx="9">
                  <c:v>339444940296.40625</c:v>
                </c:pt>
                <c:pt idx="10">
                  <c:v>353690820569.33795</c:v>
                </c:pt>
                <c:pt idx="11">
                  <c:v>348974942961.74677</c:v>
                </c:pt>
                <c:pt idx="12">
                  <c:v>344259065354.15558</c:v>
                </c:pt>
                <c:pt idx="13">
                  <c:v>339543187746.56439</c:v>
                </c:pt>
                <c:pt idx="14">
                  <c:v>334827310138.97321</c:v>
                </c:pt>
                <c:pt idx="15">
                  <c:v>330111432531.38202</c:v>
                </c:pt>
                <c:pt idx="16">
                  <c:v>325395554923.79089</c:v>
                </c:pt>
                <c:pt idx="17">
                  <c:v>320679677316.19971</c:v>
                </c:pt>
                <c:pt idx="18">
                  <c:v>315963799708.60852</c:v>
                </c:pt>
                <c:pt idx="19">
                  <c:v>311247922101.0174</c:v>
                </c:pt>
                <c:pt idx="20">
                  <c:v>306532044493.42621</c:v>
                </c:pt>
                <c:pt idx="21">
                  <c:v>298230134955.06256</c:v>
                </c:pt>
                <c:pt idx="22">
                  <c:v>289928225416.69891</c:v>
                </c:pt>
                <c:pt idx="23">
                  <c:v>281626315878.33533</c:v>
                </c:pt>
                <c:pt idx="24">
                  <c:v>273324406339.97171</c:v>
                </c:pt>
                <c:pt idx="25">
                  <c:v>265022496801.60809</c:v>
                </c:pt>
                <c:pt idx="26">
                  <c:v>256720587263.24442</c:v>
                </c:pt>
                <c:pt idx="27">
                  <c:v>248418677724.88083</c:v>
                </c:pt>
                <c:pt idx="28">
                  <c:v>240116768186.51718</c:v>
                </c:pt>
                <c:pt idx="29">
                  <c:v>231814858648.15353</c:v>
                </c:pt>
                <c:pt idx="30">
                  <c:v>223512949109.78995</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2495869680561.0923</c:v>
                </c:pt>
                <c:pt idx="1">
                  <c:v>2383493819907.374</c:v>
                </c:pt>
                <c:pt idx="2">
                  <c:v>2271117959253.6563</c:v>
                </c:pt>
                <c:pt idx="3">
                  <c:v>2158742098599.938</c:v>
                </c:pt>
                <c:pt idx="4">
                  <c:v>2279832080919.8569</c:v>
                </c:pt>
                <c:pt idx="5">
                  <c:v>2400922063239.7764</c:v>
                </c:pt>
                <c:pt idx="6">
                  <c:v>2522012045559.6953</c:v>
                </c:pt>
                <c:pt idx="7">
                  <c:v>2643102027879.6147</c:v>
                </c:pt>
                <c:pt idx="8">
                  <c:v>2764192010199.5337</c:v>
                </c:pt>
                <c:pt idx="9">
                  <c:v>2885281992519.4531</c:v>
                </c:pt>
                <c:pt idx="10">
                  <c:v>3006371974839.3721</c:v>
                </c:pt>
                <c:pt idx="11">
                  <c:v>2966287015174.8472</c:v>
                </c:pt>
                <c:pt idx="12">
                  <c:v>2926202055510.3218</c:v>
                </c:pt>
                <c:pt idx="13">
                  <c:v>2886117095845.7969</c:v>
                </c:pt>
                <c:pt idx="14">
                  <c:v>2846032136181.2725</c:v>
                </c:pt>
                <c:pt idx="15">
                  <c:v>2805947176516.7476</c:v>
                </c:pt>
                <c:pt idx="16">
                  <c:v>2765862216852.2227</c:v>
                </c:pt>
                <c:pt idx="17">
                  <c:v>2725777257187.6973</c:v>
                </c:pt>
                <c:pt idx="18">
                  <c:v>2685692297523.1724</c:v>
                </c:pt>
                <c:pt idx="19">
                  <c:v>2645607337858.6475</c:v>
                </c:pt>
                <c:pt idx="20">
                  <c:v>2605522378194.1226</c:v>
                </c:pt>
                <c:pt idx="21">
                  <c:v>2534956147118.0317</c:v>
                </c:pt>
                <c:pt idx="22">
                  <c:v>2464389916041.9409</c:v>
                </c:pt>
                <c:pt idx="23">
                  <c:v>2393823684965.8501</c:v>
                </c:pt>
                <c:pt idx="24">
                  <c:v>2323257453889.7593</c:v>
                </c:pt>
                <c:pt idx="25">
                  <c:v>2252691222813.6685</c:v>
                </c:pt>
                <c:pt idx="26">
                  <c:v>2182124991737.5776</c:v>
                </c:pt>
                <c:pt idx="27">
                  <c:v>2111558760661.4868</c:v>
                </c:pt>
                <c:pt idx="28">
                  <c:v>2040992529585.396</c:v>
                </c:pt>
                <c:pt idx="29">
                  <c:v>1970426298509.3052</c:v>
                </c:pt>
                <c:pt idx="30">
                  <c:v>1899860067433.2144</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63495621573.94751</c:v>
                </c:pt>
                <c:pt idx="1">
                  <c:v>66670402652.644882</c:v>
                </c:pt>
                <c:pt idx="2">
                  <c:v>69845183731.342255</c:v>
                </c:pt>
                <c:pt idx="3">
                  <c:v>73019964810.039627</c:v>
                </c:pt>
                <c:pt idx="4">
                  <c:v>76273803346.791061</c:v>
                </c:pt>
                <c:pt idx="5">
                  <c:v>79527641883.542496</c:v>
                </c:pt>
                <c:pt idx="6">
                  <c:v>82781480420.293945</c:v>
                </c:pt>
                <c:pt idx="7">
                  <c:v>86035318957.04538</c:v>
                </c:pt>
                <c:pt idx="8">
                  <c:v>89289157493.796829</c:v>
                </c:pt>
                <c:pt idx="9">
                  <c:v>92542996030.548248</c:v>
                </c:pt>
                <c:pt idx="10">
                  <c:v>95796834567.299698</c:v>
                </c:pt>
                <c:pt idx="11">
                  <c:v>96801696468.355286</c:v>
                </c:pt>
                <c:pt idx="12">
                  <c:v>97806558369.410889</c:v>
                </c:pt>
                <c:pt idx="13">
                  <c:v>98811420270.466476</c:v>
                </c:pt>
                <c:pt idx="14">
                  <c:v>99816282171.522064</c:v>
                </c:pt>
                <c:pt idx="15">
                  <c:v>100821144072.57765</c:v>
                </c:pt>
                <c:pt idx="16">
                  <c:v>101826005973.63324</c:v>
                </c:pt>
                <c:pt idx="17">
                  <c:v>102830867874.68883</c:v>
                </c:pt>
                <c:pt idx="18">
                  <c:v>103835729775.74443</c:v>
                </c:pt>
                <c:pt idx="19">
                  <c:v>104840591676.80002</c:v>
                </c:pt>
                <c:pt idx="20">
                  <c:v>105845453577.85561</c:v>
                </c:pt>
                <c:pt idx="21">
                  <c:v>106135747015.93834</c:v>
                </c:pt>
                <c:pt idx="22">
                  <c:v>106426040454.02107</c:v>
                </c:pt>
                <c:pt idx="23">
                  <c:v>106716333892.10379</c:v>
                </c:pt>
                <c:pt idx="24">
                  <c:v>107006627330.18652</c:v>
                </c:pt>
                <c:pt idx="25">
                  <c:v>107296920768.26924</c:v>
                </c:pt>
                <c:pt idx="26">
                  <c:v>107587214206.35197</c:v>
                </c:pt>
                <c:pt idx="27">
                  <c:v>107877507644.43469</c:v>
                </c:pt>
                <c:pt idx="28">
                  <c:v>108167801082.51743</c:v>
                </c:pt>
                <c:pt idx="29">
                  <c:v>108458094520.60014</c:v>
                </c:pt>
                <c:pt idx="30">
                  <c:v>108748387958.68286</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79369526967.434372</c:v>
                </c:pt>
                <c:pt idx="1">
                  <c:v>83338003315.806076</c:v>
                </c:pt>
                <c:pt idx="2">
                  <c:v>87306479664.177811</c:v>
                </c:pt>
                <c:pt idx="3">
                  <c:v>91274956012.54953</c:v>
                </c:pt>
                <c:pt idx="4">
                  <c:v>95342254183.488815</c:v>
                </c:pt>
                <c:pt idx="5">
                  <c:v>99409552354.428116</c:v>
                </c:pt>
                <c:pt idx="6">
                  <c:v>103476850525.36742</c:v>
                </c:pt>
                <c:pt idx="7">
                  <c:v>107544148696.30672</c:v>
                </c:pt>
                <c:pt idx="8">
                  <c:v>111611446867.24602</c:v>
                </c:pt>
                <c:pt idx="9">
                  <c:v>115678745038.18532</c:v>
                </c:pt>
                <c:pt idx="10">
                  <c:v>119746043209.12462</c:v>
                </c:pt>
                <c:pt idx="11">
                  <c:v>121002120585.44411</c:v>
                </c:pt>
                <c:pt idx="12">
                  <c:v>122258197961.76358</c:v>
                </c:pt>
                <c:pt idx="13">
                  <c:v>123514275338.08308</c:v>
                </c:pt>
                <c:pt idx="14">
                  <c:v>124770352714.40257</c:v>
                </c:pt>
                <c:pt idx="15">
                  <c:v>126026430090.72205</c:v>
                </c:pt>
                <c:pt idx="16">
                  <c:v>127282507467.04155</c:v>
                </c:pt>
                <c:pt idx="17">
                  <c:v>128538584843.36104</c:v>
                </c:pt>
                <c:pt idx="18">
                  <c:v>129794662219.68051</c:v>
                </c:pt>
                <c:pt idx="19">
                  <c:v>131050739596.00002</c:v>
                </c:pt>
                <c:pt idx="20">
                  <c:v>132306816972.3195</c:v>
                </c:pt>
                <c:pt idx="21">
                  <c:v>132669683769.9229</c:v>
                </c:pt>
                <c:pt idx="22">
                  <c:v>133032550567.52632</c:v>
                </c:pt>
                <c:pt idx="23">
                  <c:v>133395417365.12973</c:v>
                </c:pt>
                <c:pt idx="24">
                  <c:v>133758284162.73312</c:v>
                </c:pt>
                <c:pt idx="25">
                  <c:v>134121150960.33655</c:v>
                </c:pt>
                <c:pt idx="26">
                  <c:v>134484017757.93994</c:v>
                </c:pt>
                <c:pt idx="27">
                  <c:v>134846884555.54335</c:v>
                </c:pt>
                <c:pt idx="28">
                  <c:v>135209751353.14677</c:v>
                </c:pt>
                <c:pt idx="29">
                  <c:v>135572618150.75017</c:v>
                </c:pt>
                <c:pt idx="30">
                  <c:v>135935484948.35358</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325415060566.48096</c:v>
                </c:pt>
                <c:pt idx="1">
                  <c:v>341685813594.80493</c:v>
                </c:pt>
                <c:pt idx="2">
                  <c:v>357956566623.12903</c:v>
                </c:pt>
                <c:pt idx="3">
                  <c:v>374227319651.453</c:v>
                </c:pt>
                <c:pt idx="4">
                  <c:v>390903242152.3042</c:v>
                </c:pt>
                <c:pt idx="5">
                  <c:v>407579164653.15527</c:v>
                </c:pt>
                <c:pt idx="6">
                  <c:v>424255087154.00641</c:v>
                </c:pt>
                <c:pt idx="7">
                  <c:v>440931009654.85754</c:v>
                </c:pt>
                <c:pt idx="8">
                  <c:v>457606932155.70862</c:v>
                </c:pt>
                <c:pt idx="9">
                  <c:v>474282854656.55975</c:v>
                </c:pt>
                <c:pt idx="10">
                  <c:v>490958777157.41089</c:v>
                </c:pt>
                <c:pt idx="11">
                  <c:v>496108694400.3208</c:v>
                </c:pt>
                <c:pt idx="12">
                  <c:v>501258611643.23071</c:v>
                </c:pt>
                <c:pt idx="13">
                  <c:v>506408528886.14056</c:v>
                </c:pt>
                <c:pt idx="14">
                  <c:v>511558446129.05048</c:v>
                </c:pt>
                <c:pt idx="15">
                  <c:v>516708363371.96039</c:v>
                </c:pt>
                <c:pt idx="16">
                  <c:v>521858280614.8703</c:v>
                </c:pt>
                <c:pt idx="17">
                  <c:v>527008197857.78021</c:v>
                </c:pt>
                <c:pt idx="18">
                  <c:v>532158115100.69012</c:v>
                </c:pt>
                <c:pt idx="19">
                  <c:v>537308032343.60004</c:v>
                </c:pt>
                <c:pt idx="20">
                  <c:v>542457949586.50995</c:v>
                </c:pt>
                <c:pt idx="21">
                  <c:v>543945703456.6839</c:v>
                </c:pt>
                <c:pt idx="22">
                  <c:v>545433457326.85785</c:v>
                </c:pt>
                <c:pt idx="23">
                  <c:v>546921211197.03186</c:v>
                </c:pt>
                <c:pt idx="24">
                  <c:v>548408965067.20581</c:v>
                </c:pt>
                <c:pt idx="25">
                  <c:v>549896718937.37976</c:v>
                </c:pt>
                <c:pt idx="26">
                  <c:v>551384472807.55371</c:v>
                </c:pt>
                <c:pt idx="27">
                  <c:v>552872226677.72778</c:v>
                </c:pt>
                <c:pt idx="28">
                  <c:v>554359980547.90173</c:v>
                </c:pt>
                <c:pt idx="29">
                  <c:v>555847734418.07568</c:v>
                </c:pt>
                <c:pt idx="30">
                  <c:v>557335488288.24963</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2801744301950.4326</c:v>
                </c:pt>
                <c:pt idx="1">
                  <c:v>2941831517047.9546</c:v>
                </c:pt>
                <c:pt idx="2">
                  <c:v>3081918732145.4761</c:v>
                </c:pt>
                <c:pt idx="3">
                  <c:v>3222005947242.998</c:v>
                </c:pt>
                <c:pt idx="4">
                  <c:v>3365581572677.1553</c:v>
                </c:pt>
                <c:pt idx="5">
                  <c:v>3509157198111.3125</c:v>
                </c:pt>
                <c:pt idx="6">
                  <c:v>3652732823545.4697</c:v>
                </c:pt>
                <c:pt idx="7">
                  <c:v>3796308448979.627</c:v>
                </c:pt>
                <c:pt idx="8">
                  <c:v>3939884074413.7842</c:v>
                </c:pt>
                <c:pt idx="9">
                  <c:v>4083459699847.9414</c:v>
                </c:pt>
                <c:pt idx="10">
                  <c:v>4227035325282.0986</c:v>
                </c:pt>
                <c:pt idx="11">
                  <c:v>4271374856666.1758</c:v>
                </c:pt>
                <c:pt idx="12">
                  <c:v>4315714388050.2539</c:v>
                </c:pt>
                <c:pt idx="13">
                  <c:v>4360053919434.332</c:v>
                </c:pt>
                <c:pt idx="14">
                  <c:v>4404393450818.4102</c:v>
                </c:pt>
                <c:pt idx="15">
                  <c:v>4448732982202.4883</c:v>
                </c:pt>
                <c:pt idx="16">
                  <c:v>4493072513586.5664</c:v>
                </c:pt>
                <c:pt idx="17">
                  <c:v>4537412044970.6445</c:v>
                </c:pt>
                <c:pt idx="18">
                  <c:v>4581751576354.7217</c:v>
                </c:pt>
                <c:pt idx="19">
                  <c:v>4626091107738.7998</c:v>
                </c:pt>
                <c:pt idx="20">
                  <c:v>4670430639122.8779</c:v>
                </c:pt>
                <c:pt idx="21">
                  <c:v>4683239837078.2783</c:v>
                </c:pt>
                <c:pt idx="22">
                  <c:v>4696049035033.6777</c:v>
                </c:pt>
                <c:pt idx="23">
                  <c:v>4708858232989.0781</c:v>
                </c:pt>
                <c:pt idx="24">
                  <c:v>4721667430944.4795</c:v>
                </c:pt>
                <c:pt idx="25">
                  <c:v>4734476628899.8799</c:v>
                </c:pt>
                <c:pt idx="26">
                  <c:v>4747285826855.2793</c:v>
                </c:pt>
                <c:pt idx="27">
                  <c:v>4760095024810.6797</c:v>
                </c:pt>
                <c:pt idx="28">
                  <c:v>4772904222766.0811</c:v>
                </c:pt>
                <c:pt idx="29">
                  <c:v>4785713420721.4805</c:v>
                </c:pt>
                <c:pt idx="30">
                  <c:v>4798522618676.8809</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2746185633073.2285</c:v>
                </c:pt>
                <c:pt idx="1">
                  <c:v>2883494914726.8901</c:v>
                </c:pt>
                <c:pt idx="2">
                  <c:v>3020804196380.5518</c:v>
                </c:pt>
                <c:pt idx="3">
                  <c:v>3158113478034.2134</c:v>
                </c:pt>
                <c:pt idx="4">
                  <c:v>3298841994748.7129</c:v>
                </c:pt>
                <c:pt idx="5">
                  <c:v>3439570511463.2124</c:v>
                </c:pt>
                <c:pt idx="6">
                  <c:v>3580299028177.7124</c:v>
                </c:pt>
                <c:pt idx="7">
                  <c:v>3721027544892.2119</c:v>
                </c:pt>
                <c:pt idx="8">
                  <c:v>3861756061606.7114</c:v>
                </c:pt>
                <c:pt idx="9">
                  <c:v>4002484578321.2109</c:v>
                </c:pt>
                <c:pt idx="10">
                  <c:v>4143213095035.7104</c:v>
                </c:pt>
                <c:pt idx="11">
                  <c:v>4186673372256.3652</c:v>
                </c:pt>
                <c:pt idx="12">
                  <c:v>4230133649477.0195</c:v>
                </c:pt>
                <c:pt idx="13">
                  <c:v>4273593926697.6738</c:v>
                </c:pt>
                <c:pt idx="14">
                  <c:v>4317054203918.3281</c:v>
                </c:pt>
                <c:pt idx="15">
                  <c:v>4360514481138.9819</c:v>
                </c:pt>
                <c:pt idx="16">
                  <c:v>4403974758359.6367</c:v>
                </c:pt>
                <c:pt idx="17">
                  <c:v>4447435035580.291</c:v>
                </c:pt>
                <c:pt idx="18">
                  <c:v>4490895312800.9453</c:v>
                </c:pt>
                <c:pt idx="19">
                  <c:v>4534355590021.5996</c:v>
                </c:pt>
                <c:pt idx="20">
                  <c:v>4577815867242.2539</c:v>
                </c:pt>
                <c:pt idx="21">
                  <c:v>4590371058439.332</c:v>
                </c:pt>
                <c:pt idx="22">
                  <c:v>4602926249636.4102</c:v>
                </c:pt>
                <c:pt idx="23">
                  <c:v>4615481440833.4873</c:v>
                </c:pt>
                <c:pt idx="24">
                  <c:v>4628036632030.5654</c:v>
                </c:pt>
                <c:pt idx="25">
                  <c:v>4640591823227.6436</c:v>
                </c:pt>
                <c:pt idx="26">
                  <c:v>4653147014424.7217</c:v>
                </c:pt>
                <c:pt idx="27">
                  <c:v>4665702205621.7988</c:v>
                </c:pt>
                <c:pt idx="28">
                  <c:v>4678257396818.877</c:v>
                </c:pt>
                <c:pt idx="29">
                  <c:v>4690812588015.9551</c:v>
                </c:pt>
                <c:pt idx="30">
                  <c:v>4703367779213.0322</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801578318686.94641</c:v>
                </c:pt>
                <c:pt idx="1">
                  <c:v>742056940643.05139</c:v>
                </c:pt>
                <c:pt idx="2">
                  <c:v>682535562599.15625</c:v>
                </c:pt>
                <c:pt idx="3">
                  <c:v>623014184555.26123</c:v>
                </c:pt>
                <c:pt idx="4">
                  <c:v>611888931259.63159</c:v>
                </c:pt>
                <c:pt idx="5">
                  <c:v>600763677964.00195</c:v>
                </c:pt>
                <c:pt idx="6">
                  <c:v>589638424668.37219</c:v>
                </c:pt>
                <c:pt idx="7">
                  <c:v>578513171372.74255</c:v>
                </c:pt>
                <c:pt idx="8">
                  <c:v>567387918077.11292</c:v>
                </c:pt>
                <c:pt idx="9">
                  <c:v>556262664781.48315</c:v>
                </c:pt>
                <c:pt idx="10">
                  <c:v>545137411485.85358</c:v>
                </c:pt>
                <c:pt idx="11">
                  <c:v>543702839350.3645</c:v>
                </c:pt>
                <c:pt idx="12">
                  <c:v>542268267214.87537</c:v>
                </c:pt>
                <c:pt idx="13">
                  <c:v>540833695079.38629</c:v>
                </c:pt>
                <c:pt idx="14">
                  <c:v>539399122943.89722</c:v>
                </c:pt>
                <c:pt idx="15">
                  <c:v>537964550808.40808</c:v>
                </c:pt>
                <c:pt idx="16">
                  <c:v>536529978672.91901</c:v>
                </c:pt>
                <c:pt idx="17">
                  <c:v>535095406537.42999</c:v>
                </c:pt>
                <c:pt idx="18">
                  <c:v>533660834401.94092</c:v>
                </c:pt>
                <c:pt idx="19">
                  <c:v>532226262266.45178</c:v>
                </c:pt>
                <c:pt idx="20">
                  <c:v>530791690130.96271</c:v>
                </c:pt>
                <c:pt idx="21">
                  <c:v>525463279342.00317</c:v>
                </c:pt>
                <c:pt idx="22">
                  <c:v>520134868553.04376</c:v>
                </c:pt>
                <c:pt idx="23">
                  <c:v>514806457764.08429</c:v>
                </c:pt>
                <c:pt idx="24">
                  <c:v>509478046975.12476</c:v>
                </c:pt>
                <c:pt idx="25">
                  <c:v>504149636186.16534</c:v>
                </c:pt>
                <c:pt idx="26">
                  <c:v>498821225397.20587</c:v>
                </c:pt>
                <c:pt idx="27">
                  <c:v>493492814608.2464</c:v>
                </c:pt>
                <c:pt idx="28">
                  <c:v>488164403819.28693</c:v>
                </c:pt>
                <c:pt idx="29">
                  <c:v>482835993030.32739</c:v>
                </c:pt>
                <c:pt idx="30">
                  <c:v>477507582241.36798</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2863134711717.9321</c:v>
                </c:pt>
                <c:pt idx="1">
                  <c:v>2650532000798.9038</c:v>
                </c:pt>
                <c:pt idx="2">
                  <c:v>2437929289879.8755</c:v>
                </c:pt>
                <c:pt idx="3">
                  <c:v>2225326578960.8472</c:v>
                </c:pt>
                <c:pt idx="4">
                  <c:v>2185588604336.5464</c:v>
                </c:pt>
                <c:pt idx="5">
                  <c:v>2145850629712.2456</c:v>
                </c:pt>
                <c:pt idx="6">
                  <c:v>2106112655087.9446</c:v>
                </c:pt>
                <c:pt idx="7">
                  <c:v>2066374680463.6438</c:v>
                </c:pt>
                <c:pt idx="8">
                  <c:v>2026636705839.343</c:v>
                </c:pt>
                <c:pt idx="9">
                  <c:v>1986898731215.042</c:v>
                </c:pt>
                <c:pt idx="10">
                  <c:v>1947160756590.7412</c:v>
                </c:pt>
                <c:pt idx="11">
                  <c:v>1942036649336.5552</c:v>
                </c:pt>
                <c:pt idx="12">
                  <c:v>1936912542082.3689</c:v>
                </c:pt>
                <c:pt idx="13">
                  <c:v>1931788434828.1829</c:v>
                </c:pt>
                <c:pt idx="14">
                  <c:v>1926664327573.9966</c:v>
                </c:pt>
                <c:pt idx="15">
                  <c:v>1921540220319.8103</c:v>
                </c:pt>
                <c:pt idx="16">
                  <c:v>1916416113065.6243</c:v>
                </c:pt>
                <c:pt idx="17">
                  <c:v>1911292005811.4382</c:v>
                </c:pt>
                <c:pt idx="18">
                  <c:v>1906167898557.2522</c:v>
                </c:pt>
                <c:pt idx="19">
                  <c:v>1901043791303.0659</c:v>
                </c:pt>
                <c:pt idx="20">
                  <c:v>1895919684048.8796</c:v>
                </c:pt>
                <c:pt idx="21">
                  <c:v>1876887285676.188</c:v>
                </c:pt>
                <c:pt idx="22">
                  <c:v>1857854887303.4968</c:v>
                </c:pt>
                <c:pt idx="23">
                  <c:v>1838822488930.8054</c:v>
                </c:pt>
                <c:pt idx="24">
                  <c:v>1819790090558.1138</c:v>
                </c:pt>
                <c:pt idx="25">
                  <c:v>1800757692185.4224</c:v>
                </c:pt>
                <c:pt idx="26">
                  <c:v>1781725293812.731</c:v>
                </c:pt>
                <c:pt idx="27">
                  <c:v>1762692895440.0393</c:v>
                </c:pt>
                <c:pt idx="28">
                  <c:v>1743660497067.3481</c:v>
                </c:pt>
                <c:pt idx="29">
                  <c:v>1724628098694.6565</c:v>
                </c:pt>
                <c:pt idx="30">
                  <c:v>1705595700321.9651</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6133470752043.8545</c:v>
                </c:pt>
                <c:pt idx="1">
                  <c:v>6308171727315.6367</c:v>
                </c:pt>
                <c:pt idx="2">
                  <c:v>6482872702587.418</c:v>
                </c:pt>
                <c:pt idx="3">
                  <c:v>6657573677859.2002</c:v>
                </c:pt>
                <c:pt idx="4">
                  <c:v>6736635581559.4463</c:v>
                </c:pt>
                <c:pt idx="5">
                  <c:v>6815697485259.6924</c:v>
                </c:pt>
                <c:pt idx="6">
                  <c:v>6894759388959.9395</c:v>
                </c:pt>
                <c:pt idx="7">
                  <c:v>6973821292660.1846</c:v>
                </c:pt>
                <c:pt idx="8">
                  <c:v>7052883196360.4316</c:v>
                </c:pt>
                <c:pt idx="9">
                  <c:v>7131945100060.6768</c:v>
                </c:pt>
                <c:pt idx="10">
                  <c:v>7211007003760.9238</c:v>
                </c:pt>
                <c:pt idx="11">
                  <c:v>7214281757168.627</c:v>
                </c:pt>
                <c:pt idx="12">
                  <c:v>7217556510576.3301</c:v>
                </c:pt>
                <c:pt idx="13">
                  <c:v>7220831263984.0313</c:v>
                </c:pt>
                <c:pt idx="14">
                  <c:v>7224106017391.7344</c:v>
                </c:pt>
                <c:pt idx="15">
                  <c:v>7227380770799.4365</c:v>
                </c:pt>
                <c:pt idx="16">
                  <c:v>7230655524207.1387</c:v>
                </c:pt>
                <c:pt idx="17">
                  <c:v>7233930277614.8408</c:v>
                </c:pt>
                <c:pt idx="18">
                  <c:v>7237205031022.5439</c:v>
                </c:pt>
                <c:pt idx="19">
                  <c:v>7240479784430.2461</c:v>
                </c:pt>
                <c:pt idx="20">
                  <c:v>7243754537837.9492</c:v>
                </c:pt>
                <c:pt idx="21">
                  <c:v>7194960712063.1807</c:v>
                </c:pt>
                <c:pt idx="22">
                  <c:v>7146166886288.4141</c:v>
                </c:pt>
                <c:pt idx="23">
                  <c:v>7097373060513.6465</c:v>
                </c:pt>
                <c:pt idx="24">
                  <c:v>7048579234738.8789</c:v>
                </c:pt>
                <c:pt idx="25">
                  <c:v>6999785408964.1123</c:v>
                </c:pt>
                <c:pt idx="26">
                  <c:v>6950991583189.3447</c:v>
                </c:pt>
                <c:pt idx="27">
                  <c:v>6902197757414.5771</c:v>
                </c:pt>
                <c:pt idx="28">
                  <c:v>6853403931639.8105</c:v>
                </c:pt>
                <c:pt idx="29">
                  <c:v>6804610105865.042</c:v>
                </c:pt>
                <c:pt idx="30">
                  <c:v>6755816280090.2744</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529006345143.79504</c:v>
                </c:pt>
                <c:pt idx="1">
                  <c:v>544074147397.64703</c:v>
                </c:pt>
                <c:pt idx="2">
                  <c:v>559141949651.49902</c:v>
                </c:pt>
                <c:pt idx="3">
                  <c:v>574209751905.35107</c:v>
                </c:pt>
                <c:pt idx="4">
                  <c:v>581028770110.1156</c:v>
                </c:pt>
                <c:pt idx="5">
                  <c:v>587847788314.88013</c:v>
                </c:pt>
                <c:pt idx="6">
                  <c:v>594666806519.64465</c:v>
                </c:pt>
                <c:pt idx="7">
                  <c:v>601485824724.40918</c:v>
                </c:pt>
                <c:pt idx="8">
                  <c:v>608304842929.17383</c:v>
                </c:pt>
                <c:pt idx="9">
                  <c:v>615123861133.93835</c:v>
                </c:pt>
                <c:pt idx="10">
                  <c:v>621942879338.70288</c:v>
                </c:pt>
                <c:pt idx="11">
                  <c:v>622225323879.72864</c:v>
                </c:pt>
                <c:pt idx="12">
                  <c:v>622507768420.75439</c:v>
                </c:pt>
                <c:pt idx="13">
                  <c:v>622790212961.78015</c:v>
                </c:pt>
                <c:pt idx="14">
                  <c:v>623072657502.80591</c:v>
                </c:pt>
                <c:pt idx="15">
                  <c:v>623355102043.83154</c:v>
                </c:pt>
                <c:pt idx="16">
                  <c:v>623637546584.85742</c:v>
                </c:pt>
                <c:pt idx="17">
                  <c:v>623919991125.88318</c:v>
                </c:pt>
                <c:pt idx="18">
                  <c:v>624202435666.90881</c:v>
                </c:pt>
                <c:pt idx="19">
                  <c:v>624484880207.93469</c:v>
                </c:pt>
                <c:pt idx="20">
                  <c:v>624767324748.96045</c:v>
                </c:pt>
                <c:pt idx="21">
                  <c:v>620558901087.67676</c:v>
                </c:pt>
                <c:pt idx="22">
                  <c:v>616350477426.39307</c:v>
                </c:pt>
                <c:pt idx="23">
                  <c:v>612142053765.10938</c:v>
                </c:pt>
                <c:pt idx="24">
                  <c:v>607933630103.82568</c:v>
                </c:pt>
                <c:pt idx="25">
                  <c:v>603725206442.54199</c:v>
                </c:pt>
                <c:pt idx="26">
                  <c:v>599516782781.2583</c:v>
                </c:pt>
                <c:pt idx="27">
                  <c:v>595308359119.97461</c:v>
                </c:pt>
                <c:pt idx="28">
                  <c:v>591099935458.69092</c:v>
                </c:pt>
                <c:pt idx="29">
                  <c:v>586891511797.40723</c:v>
                </c:pt>
                <c:pt idx="30">
                  <c:v>582683088136.12354</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4859228840699.4434</c:v>
                </c:pt>
                <c:pt idx="1">
                  <c:v>4997635307748.4756</c:v>
                </c:pt>
                <c:pt idx="2">
                  <c:v>5136041774797.5078</c:v>
                </c:pt>
                <c:pt idx="3">
                  <c:v>5274448241846.541</c:v>
                </c:pt>
                <c:pt idx="4">
                  <c:v>5337084862805.8594</c:v>
                </c:pt>
                <c:pt idx="5">
                  <c:v>5399721483765.1787</c:v>
                </c:pt>
                <c:pt idx="6">
                  <c:v>5462358104724.4971</c:v>
                </c:pt>
                <c:pt idx="7">
                  <c:v>5524994725683.8154</c:v>
                </c:pt>
                <c:pt idx="8">
                  <c:v>5587631346643.1338</c:v>
                </c:pt>
                <c:pt idx="9">
                  <c:v>5650267967602.4531</c:v>
                </c:pt>
                <c:pt idx="10">
                  <c:v>5712904588561.7715</c:v>
                </c:pt>
                <c:pt idx="11">
                  <c:v>5715499004814.5254</c:v>
                </c:pt>
                <c:pt idx="12">
                  <c:v>5718093421067.2764</c:v>
                </c:pt>
                <c:pt idx="13">
                  <c:v>5720687837320.0313</c:v>
                </c:pt>
                <c:pt idx="14">
                  <c:v>5723282253572.7842</c:v>
                </c:pt>
                <c:pt idx="15">
                  <c:v>5725876669825.5361</c:v>
                </c:pt>
                <c:pt idx="16">
                  <c:v>5728471086078.2891</c:v>
                </c:pt>
                <c:pt idx="17">
                  <c:v>5731065502331.042</c:v>
                </c:pt>
                <c:pt idx="18">
                  <c:v>5733659918583.7949</c:v>
                </c:pt>
                <c:pt idx="19">
                  <c:v>5736254334836.5479</c:v>
                </c:pt>
                <c:pt idx="20">
                  <c:v>5738848751089.3008</c:v>
                </c:pt>
                <c:pt idx="21">
                  <c:v>5700191948923.2822</c:v>
                </c:pt>
                <c:pt idx="22">
                  <c:v>5661535146757.2656</c:v>
                </c:pt>
                <c:pt idx="23">
                  <c:v>5622878344591.2471</c:v>
                </c:pt>
                <c:pt idx="24">
                  <c:v>5584221542425.2305</c:v>
                </c:pt>
                <c:pt idx="25">
                  <c:v>5545564740259.2139</c:v>
                </c:pt>
                <c:pt idx="26">
                  <c:v>5506907938093.1953</c:v>
                </c:pt>
                <c:pt idx="27">
                  <c:v>5468251135927.1787</c:v>
                </c:pt>
                <c:pt idx="28">
                  <c:v>5429594333761.1602</c:v>
                </c:pt>
                <c:pt idx="29">
                  <c:v>5390937531595.1436</c:v>
                </c:pt>
                <c:pt idx="30">
                  <c:v>5352280729429.126</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3661430645969.1938</c:v>
                </c:pt>
                <c:pt idx="1">
                  <c:v>3765719967725.1763</c:v>
                </c:pt>
                <c:pt idx="2">
                  <c:v>3870009289481.1587</c:v>
                </c:pt>
                <c:pt idx="3">
                  <c:v>3974298611237.1406</c:v>
                </c:pt>
                <c:pt idx="4">
                  <c:v>4021495327230.3301</c:v>
                </c:pt>
                <c:pt idx="5">
                  <c:v>4068692043223.519</c:v>
                </c:pt>
                <c:pt idx="6">
                  <c:v>4115888759216.709</c:v>
                </c:pt>
                <c:pt idx="7">
                  <c:v>4163085475209.8979</c:v>
                </c:pt>
                <c:pt idx="8">
                  <c:v>4210282191203.0869</c:v>
                </c:pt>
                <c:pt idx="9">
                  <c:v>4257478907196.2759</c:v>
                </c:pt>
                <c:pt idx="10">
                  <c:v>4304675623189.4658</c:v>
                </c:pt>
                <c:pt idx="11">
                  <c:v>4306630516751.314</c:v>
                </c:pt>
                <c:pt idx="12">
                  <c:v>4308585410313.1616</c:v>
                </c:pt>
                <c:pt idx="13">
                  <c:v>4310540303875.0098</c:v>
                </c:pt>
                <c:pt idx="14">
                  <c:v>4312495197436.8579</c:v>
                </c:pt>
                <c:pt idx="15">
                  <c:v>4314450090998.7065</c:v>
                </c:pt>
                <c:pt idx="16">
                  <c:v>4316404984560.5547</c:v>
                </c:pt>
                <c:pt idx="17">
                  <c:v>4318359878122.4019</c:v>
                </c:pt>
                <c:pt idx="18">
                  <c:v>4320314771684.2505</c:v>
                </c:pt>
                <c:pt idx="19">
                  <c:v>4322269665246.0986</c:v>
                </c:pt>
                <c:pt idx="20">
                  <c:v>4324224558807.9468</c:v>
                </c:pt>
                <c:pt idx="21">
                  <c:v>4295096644736.4102</c:v>
                </c:pt>
                <c:pt idx="22">
                  <c:v>4265968730664.874</c:v>
                </c:pt>
                <c:pt idx="23">
                  <c:v>4236840816593.3374</c:v>
                </c:pt>
                <c:pt idx="24">
                  <c:v>4207712902521.8008</c:v>
                </c:pt>
                <c:pt idx="25">
                  <c:v>4178584988450.2646</c:v>
                </c:pt>
                <c:pt idx="26">
                  <c:v>4149457074378.729</c:v>
                </c:pt>
                <c:pt idx="27">
                  <c:v>4120329160307.1919</c:v>
                </c:pt>
                <c:pt idx="28">
                  <c:v>4091201246235.6563</c:v>
                </c:pt>
                <c:pt idx="29">
                  <c:v>4062073332164.1196</c:v>
                </c:pt>
                <c:pt idx="30">
                  <c:v>4032945418092.5825</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614793274264.11743</c:v>
                </c:pt>
                <c:pt idx="1">
                  <c:v>632304564192.203</c:v>
                </c:pt>
                <c:pt idx="2">
                  <c:v>649815854120.2887</c:v>
                </c:pt>
                <c:pt idx="3">
                  <c:v>667327144048.37427</c:v>
                </c:pt>
                <c:pt idx="4">
                  <c:v>675251976269.87476</c:v>
                </c:pt>
                <c:pt idx="5">
                  <c:v>683176808491.37549</c:v>
                </c:pt>
                <c:pt idx="6">
                  <c:v>691101640712.87598</c:v>
                </c:pt>
                <c:pt idx="7">
                  <c:v>699026472934.37671</c:v>
                </c:pt>
                <c:pt idx="8">
                  <c:v>706951305155.87732</c:v>
                </c:pt>
                <c:pt idx="9">
                  <c:v>714876137377.37793</c:v>
                </c:pt>
                <c:pt idx="10">
                  <c:v>722800969598.87854</c:v>
                </c:pt>
                <c:pt idx="11">
                  <c:v>723129217087.34314</c:v>
                </c:pt>
                <c:pt idx="12">
                  <c:v>723457464575.80762</c:v>
                </c:pt>
                <c:pt idx="13">
                  <c:v>723785712064.27209</c:v>
                </c:pt>
                <c:pt idx="14">
                  <c:v>724113959552.73657</c:v>
                </c:pt>
                <c:pt idx="15">
                  <c:v>724442207041.20117</c:v>
                </c:pt>
                <c:pt idx="16">
                  <c:v>724770454529.66565</c:v>
                </c:pt>
                <c:pt idx="17">
                  <c:v>725098702018.13025</c:v>
                </c:pt>
                <c:pt idx="18">
                  <c:v>725426949506.59473</c:v>
                </c:pt>
                <c:pt idx="19">
                  <c:v>725755196995.0592</c:v>
                </c:pt>
                <c:pt idx="20">
                  <c:v>726083444483.52368</c:v>
                </c:pt>
                <c:pt idx="21">
                  <c:v>721192556905.40234</c:v>
                </c:pt>
                <c:pt idx="22">
                  <c:v>716301669327.28101</c:v>
                </c:pt>
                <c:pt idx="23">
                  <c:v>711410781749.15967</c:v>
                </c:pt>
                <c:pt idx="24">
                  <c:v>706519894171.03821</c:v>
                </c:pt>
                <c:pt idx="25">
                  <c:v>701629006592.91687</c:v>
                </c:pt>
                <c:pt idx="26">
                  <c:v>696738119014.79541</c:v>
                </c:pt>
                <c:pt idx="27">
                  <c:v>691847231436.67407</c:v>
                </c:pt>
                <c:pt idx="28">
                  <c:v>686956343858.55261</c:v>
                </c:pt>
                <c:pt idx="29">
                  <c:v>682065456280.43127</c:v>
                </c:pt>
                <c:pt idx="30">
                  <c:v>677174568702.30981</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3509890910354.2461</c:v>
                </c:pt>
                <c:pt idx="1">
                  <c:v>3609863893013.7163</c:v>
                </c:pt>
                <c:pt idx="2">
                  <c:v>3709836875673.1865</c:v>
                </c:pt>
                <c:pt idx="3">
                  <c:v>3809809858332.6567</c:v>
                </c:pt>
                <c:pt idx="4">
                  <c:v>3855053190920.5444</c:v>
                </c:pt>
                <c:pt idx="5">
                  <c:v>3900296523508.4307</c:v>
                </c:pt>
                <c:pt idx="6">
                  <c:v>3945539856096.3179</c:v>
                </c:pt>
                <c:pt idx="7">
                  <c:v>3990783188684.2051</c:v>
                </c:pt>
                <c:pt idx="8">
                  <c:v>4036026521272.0913</c:v>
                </c:pt>
                <c:pt idx="9">
                  <c:v>4081269853859.979</c:v>
                </c:pt>
                <c:pt idx="10">
                  <c:v>4126513186447.8652</c:v>
                </c:pt>
                <c:pt idx="11">
                  <c:v>4128387170637.896</c:v>
                </c:pt>
                <c:pt idx="12">
                  <c:v>4130261154827.9277</c:v>
                </c:pt>
                <c:pt idx="13">
                  <c:v>4132135139017.9575</c:v>
                </c:pt>
                <c:pt idx="14">
                  <c:v>4134009123207.9888</c:v>
                </c:pt>
                <c:pt idx="15">
                  <c:v>4135883107398.0195</c:v>
                </c:pt>
                <c:pt idx="16">
                  <c:v>4137757091588.0508</c:v>
                </c:pt>
                <c:pt idx="17">
                  <c:v>4139631075778.0811</c:v>
                </c:pt>
                <c:pt idx="18">
                  <c:v>4141505059968.1118</c:v>
                </c:pt>
                <c:pt idx="19">
                  <c:v>4143379044158.1431</c:v>
                </c:pt>
                <c:pt idx="20">
                  <c:v>4145253028348.1743</c:v>
                </c:pt>
                <c:pt idx="21">
                  <c:v>4117330663916.7144</c:v>
                </c:pt>
                <c:pt idx="22">
                  <c:v>4089408299485.2554</c:v>
                </c:pt>
                <c:pt idx="23">
                  <c:v>4061485935053.7959</c:v>
                </c:pt>
                <c:pt idx="24">
                  <c:v>4033563570622.3369</c:v>
                </c:pt>
                <c:pt idx="25">
                  <c:v>4005641206190.877</c:v>
                </c:pt>
                <c:pt idx="26">
                  <c:v>3977718841759.4189</c:v>
                </c:pt>
                <c:pt idx="27">
                  <c:v>3949796477327.96</c:v>
                </c:pt>
                <c:pt idx="28">
                  <c:v>3921874112896.5</c:v>
                </c:pt>
                <c:pt idx="29">
                  <c:v>3893951748465.041</c:v>
                </c:pt>
                <c:pt idx="30">
                  <c:v>3866029384033.582</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83356035107919.141</c:v>
                </c:pt>
                <c:pt idx="1">
                  <c:v>85527314645453.281</c:v>
                </c:pt>
                <c:pt idx="2">
                  <c:v>87698594182987.422</c:v>
                </c:pt>
                <c:pt idx="3">
                  <c:v>89869873720521.75</c:v>
                </c:pt>
                <c:pt idx="4">
                  <c:v>94280316681896.75</c:v>
                </c:pt>
                <c:pt idx="5">
                  <c:v>98690759643271.766</c:v>
                </c:pt>
                <c:pt idx="6">
                  <c:v>103101202604646.78</c:v>
                </c:pt>
                <c:pt idx="7">
                  <c:v>107511645566021.78</c:v>
                </c:pt>
                <c:pt idx="8">
                  <c:v>111922088527396.78</c:v>
                </c:pt>
                <c:pt idx="9">
                  <c:v>116332531488771.78</c:v>
                </c:pt>
                <c:pt idx="10">
                  <c:v>120742974450146.78</c:v>
                </c:pt>
                <c:pt idx="11">
                  <c:v>122673344760197.84</c:v>
                </c:pt>
                <c:pt idx="12">
                  <c:v>124603715070248.88</c:v>
                </c:pt>
                <c:pt idx="13">
                  <c:v>126534085380299.91</c:v>
                </c:pt>
                <c:pt idx="14">
                  <c:v>128464455690350.92</c:v>
                </c:pt>
                <c:pt idx="15">
                  <c:v>130394826000401.95</c:v>
                </c:pt>
                <c:pt idx="16">
                  <c:v>132325196310452.98</c:v>
                </c:pt>
                <c:pt idx="17">
                  <c:v>134255566620504.02</c:v>
                </c:pt>
                <c:pt idx="18">
                  <c:v>136185936930555.03</c:v>
                </c:pt>
                <c:pt idx="19">
                  <c:v>138116307240606.08</c:v>
                </c:pt>
                <c:pt idx="20">
                  <c:v>140046677550657.09</c:v>
                </c:pt>
                <c:pt idx="21">
                  <c:v>141155208811849</c:v>
                </c:pt>
                <c:pt idx="22">
                  <c:v>142263740073040.91</c:v>
                </c:pt>
                <c:pt idx="23">
                  <c:v>143372271334232.81</c:v>
                </c:pt>
                <c:pt idx="24">
                  <c:v>144480802595424.75</c:v>
                </c:pt>
                <c:pt idx="25">
                  <c:v>145589333856616.63</c:v>
                </c:pt>
                <c:pt idx="26">
                  <c:v>146697865117808.53</c:v>
                </c:pt>
                <c:pt idx="27">
                  <c:v>147806396379000.44</c:v>
                </c:pt>
                <c:pt idx="28">
                  <c:v>148914927640192.34</c:v>
                </c:pt>
                <c:pt idx="29">
                  <c:v>150023458901384.25</c:v>
                </c:pt>
                <c:pt idx="30">
                  <c:v>151131990162576.16</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90448365409031.672</c:v>
                </c:pt>
                <c:pt idx="1">
                  <c:v>92795696974811.594</c:v>
                </c:pt>
                <c:pt idx="2">
                  <c:v>95143028540591.516</c:v>
                </c:pt>
                <c:pt idx="3">
                  <c:v>97490360106371.578</c:v>
                </c:pt>
                <c:pt idx="4">
                  <c:v>102422029205629.77</c:v>
                </c:pt>
                <c:pt idx="5">
                  <c:v>107353698304887.94</c:v>
                </c:pt>
                <c:pt idx="6">
                  <c:v>112285367404146.11</c:v>
                </c:pt>
                <c:pt idx="7">
                  <c:v>117217036503404.28</c:v>
                </c:pt>
                <c:pt idx="8">
                  <c:v>122148705602662.47</c:v>
                </c:pt>
                <c:pt idx="9">
                  <c:v>127080374701920.64</c:v>
                </c:pt>
                <c:pt idx="10">
                  <c:v>132012043801178.8</c:v>
                </c:pt>
                <c:pt idx="11">
                  <c:v>133994238558510.53</c:v>
                </c:pt>
                <c:pt idx="12">
                  <c:v>135976433315842.25</c:v>
                </c:pt>
                <c:pt idx="13">
                  <c:v>137958628073173.97</c:v>
                </c:pt>
                <c:pt idx="14">
                  <c:v>139940822830505.69</c:v>
                </c:pt>
                <c:pt idx="15">
                  <c:v>141923017587837.41</c:v>
                </c:pt>
                <c:pt idx="16">
                  <c:v>143905212345169.13</c:v>
                </c:pt>
                <c:pt idx="17">
                  <c:v>145887407102500.88</c:v>
                </c:pt>
                <c:pt idx="18">
                  <c:v>147869601859832.56</c:v>
                </c:pt>
                <c:pt idx="19">
                  <c:v>149851796617164.31</c:v>
                </c:pt>
                <c:pt idx="20">
                  <c:v>151833991374496.03</c:v>
                </c:pt>
                <c:pt idx="21">
                  <c:v>152910443699407.44</c:v>
                </c:pt>
                <c:pt idx="22">
                  <c:v>153986896024318.84</c:v>
                </c:pt>
                <c:pt idx="23">
                  <c:v>155063348349230.25</c:v>
                </c:pt>
                <c:pt idx="24">
                  <c:v>156139800674141.63</c:v>
                </c:pt>
                <c:pt idx="25">
                  <c:v>157216252999053.03</c:v>
                </c:pt>
                <c:pt idx="26">
                  <c:v>158292705323964.44</c:v>
                </c:pt>
                <c:pt idx="27">
                  <c:v>159369157648875.88</c:v>
                </c:pt>
                <c:pt idx="28">
                  <c:v>160445609973787.25</c:v>
                </c:pt>
                <c:pt idx="29">
                  <c:v>161522062298698.66</c:v>
                </c:pt>
                <c:pt idx="30">
                  <c:v>162598514623610.06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1180480471949.8601</c:v>
                </c:pt>
                <c:pt idx="1">
                  <c:v>1214104352795.825</c:v>
                </c:pt>
                <c:pt idx="2">
                  <c:v>1247728233641.79</c:v>
                </c:pt>
                <c:pt idx="3">
                  <c:v>1281352114487.7549</c:v>
                </c:pt>
                <c:pt idx="4">
                  <c:v>1296568789868.8547</c:v>
                </c:pt>
                <c:pt idx="5">
                  <c:v>1311785465249.9543</c:v>
                </c:pt>
                <c:pt idx="6">
                  <c:v>1327002140631.0542</c:v>
                </c:pt>
                <c:pt idx="7">
                  <c:v>1342218816012.1538</c:v>
                </c:pt>
                <c:pt idx="8">
                  <c:v>1357435491393.2539</c:v>
                </c:pt>
                <c:pt idx="9">
                  <c:v>1372652166774.3535</c:v>
                </c:pt>
                <c:pt idx="10">
                  <c:v>1387868842155.4531</c:v>
                </c:pt>
                <c:pt idx="11">
                  <c:v>1388499118650.5283</c:v>
                </c:pt>
                <c:pt idx="12">
                  <c:v>1389129395145.6033</c:v>
                </c:pt>
                <c:pt idx="13">
                  <c:v>1389759671640.6787</c:v>
                </c:pt>
                <c:pt idx="14">
                  <c:v>1390389948135.7537</c:v>
                </c:pt>
                <c:pt idx="15">
                  <c:v>1391020224630.8289</c:v>
                </c:pt>
                <c:pt idx="16">
                  <c:v>1391650501125.9041</c:v>
                </c:pt>
                <c:pt idx="17">
                  <c:v>1392280777620.9792</c:v>
                </c:pt>
                <c:pt idx="18">
                  <c:v>1392911054116.0542</c:v>
                </c:pt>
                <c:pt idx="19">
                  <c:v>1393541330611.1294</c:v>
                </c:pt>
                <c:pt idx="20">
                  <c:v>1394171607106.2048</c:v>
                </c:pt>
                <c:pt idx="21">
                  <c:v>1384780487329.585</c:v>
                </c:pt>
                <c:pt idx="22">
                  <c:v>1375389367552.9653</c:v>
                </c:pt>
                <c:pt idx="23">
                  <c:v>1365998247776.3459</c:v>
                </c:pt>
                <c:pt idx="24">
                  <c:v>1356607127999.7263</c:v>
                </c:pt>
                <c:pt idx="25">
                  <c:v>1347216008223.1069</c:v>
                </c:pt>
                <c:pt idx="26">
                  <c:v>1337824888446.4873</c:v>
                </c:pt>
                <c:pt idx="27">
                  <c:v>1328433768669.8677</c:v>
                </c:pt>
                <c:pt idx="28">
                  <c:v>1319042648893.248</c:v>
                </c:pt>
                <c:pt idx="29">
                  <c:v>1309651529116.6287</c:v>
                </c:pt>
                <c:pt idx="30">
                  <c:v>1300260409340.009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2975019416201.1797</c:v>
                </c:pt>
                <c:pt idx="1">
                  <c:v>3059757538297.8149</c:v>
                </c:pt>
                <c:pt idx="2">
                  <c:v>3144495660394.4497</c:v>
                </c:pt>
                <c:pt idx="3">
                  <c:v>3229233782491.0854</c:v>
                </c:pt>
                <c:pt idx="4">
                  <c:v>3267582493701.8921</c:v>
                </c:pt>
                <c:pt idx="5">
                  <c:v>3305931204912.6987</c:v>
                </c:pt>
                <c:pt idx="6">
                  <c:v>3344279916123.5063</c:v>
                </c:pt>
                <c:pt idx="7">
                  <c:v>3382628627334.313</c:v>
                </c:pt>
                <c:pt idx="8">
                  <c:v>3420977338545.1201</c:v>
                </c:pt>
                <c:pt idx="9">
                  <c:v>3459326049755.9268</c:v>
                </c:pt>
                <c:pt idx="10">
                  <c:v>3497674760966.7344</c:v>
                </c:pt>
                <c:pt idx="11">
                  <c:v>3499263169123.394</c:v>
                </c:pt>
                <c:pt idx="12">
                  <c:v>3500851577280.0547</c:v>
                </c:pt>
                <c:pt idx="13">
                  <c:v>3502439985436.7153</c:v>
                </c:pt>
                <c:pt idx="14">
                  <c:v>3504028393593.376</c:v>
                </c:pt>
                <c:pt idx="15">
                  <c:v>3505616801750.0371</c:v>
                </c:pt>
                <c:pt idx="16">
                  <c:v>3507205209906.6978</c:v>
                </c:pt>
                <c:pt idx="17">
                  <c:v>3508793618063.3584</c:v>
                </c:pt>
                <c:pt idx="18">
                  <c:v>3510382026220.019</c:v>
                </c:pt>
                <c:pt idx="19">
                  <c:v>3511970434376.6797</c:v>
                </c:pt>
                <c:pt idx="20">
                  <c:v>3513558842533.3403</c:v>
                </c:pt>
                <c:pt idx="21">
                  <c:v>3489891560999.0972</c:v>
                </c:pt>
                <c:pt idx="22">
                  <c:v>3466224279464.853</c:v>
                </c:pt>
                <c:pt idx="23">
                  <c:v>3442556997930.6094</c:v>
                </c:pt>
                <c:pt idx="24">
                  <c:v>3418889716396.3657</c:v>
                </c:pt>
                <c:pt idx="25">
                  <c:v>3395222434862.1226</c:v>
                </c:pt>
                <c:pt idx="26">
                  <c:v>3371555153327.8784</c:v>
                </c:pt>
                <c:pt idx="27">
                  <c:v>3347887871793.6353</c:v>
                </c:pt>
                <c:pt idx="28">
                  <c:v>3324220590259.3921</c:v>
                </c:pt>
                <c:pt idx="29">
                  <c:v>3300553308725.1484</c:v>
                </c:pt>
                <c:pt idx="30">
                  <c:v>3276886027190.9048</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870308882489572.25</c:v>
                </c:pt>
                <c:pt idx="1">
                  <c:v>885715113615014.13</c:v>
                </c:pt>
                <c:pt idx="2">
                  <c:v>901121344740452.13</c:v>
                </c:pt>
                <c:pt idx="3">
                  <c:v>916527575865890.13</c:v>
                </c:pt>
                <c:pt idx="4">
                  <c:v>931155327085728.13</c:v>
                </c:pt>
                <c:pt idx="5">
                  <c:v>945783078305562.25</c:v>
                </c:pt>
                <c:pt idx="6">
                  <c:v>960410829525396.25</c:v>
                </c:pt>
                <c:pt idx="7">
                  <c:v>975038580745230.25</c:v>
                </c:pt>
                <c:pt idx="8">
                  <c:v>989666331965064.38</c:v>
                </c:pt>
                <c:pt idx="9">
                  <c:v>1004294083184898.4</c:v>
                </c:pt>
                <c:pt idx="10">
                  <c:v>1018921834404728.5</c:v>
                </c:pt>
                <c:pt idx="11">
                  <c:v>1013004053253711.1</c:v>
                </c:pt>
                <c:pt idx="12">
                  <c:v>1007086272102693.9</c:v>
                </c:pt>
                <c:pt idx="13">
                  <c:v>1001168490951676.6</c:v>
                </c:pt>
                <c:pt idx="14">
                  <c:v>995250709800659.38</c:v>
                </c:pt>
                <c:pt idx="15">
                  <c:v>989332928649642.13</c:v>
                </c:pt>
                <c:pt idx="16">
                  <c:v>983415147498624.88</c:v>
                </c:pt>
                <c:pt idx="17">
                  <c:v>977497366347607.63</c:v>
                </c:pt>
                <c:pt idx="18">
                  <c:v>971579585196590.38</c:v>
                </c:pt>
                <c:pt idx="19">
                  <c:v>965661804045573.13</c:v>
                </c:pt>
                <c:pt idx="20">
                  <c:v>959744022894555.88</c:v>
                </c:pt>
                <c:pt idx="21">
                  <c:v>948663249849667</c:v>
                </c:pt>
                <c:pt idx="22">
                  <c:v>937582476804778.13</c:v>
                </c:pt>
                <c:pt idx="23">
                  <c:v>926501703759893.25</c:v>
                </c:pt>
                <c:pt idx="24">
                  <c:v>915420930715004.38</c:v>
                </c:pt>
                <c:pt idx="25">
                  <c:v>904340157670115.5</c:v>
                </c:pt>
                <c:pt idx="26">
                  <c:v>893259384625230.75</c:v>
                </c:pt>
                <c:pt idx="27">
                  <c:v>882178611580341.88</c:v>
                </c:pt>
                <c:pt idx="28">
                  <c:v>871097838535453</c:v>
                </c:pt>
                <c:pt idx="29">
                  <c:v>860017065490564.13</c:v>
                </c:pt>
                <c:pt idx="30">
                  <c:v>848936292445677.25</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90128135434850.266</c:v>
                </c:pt>
                <c:pt idx="1">
                  <c:v>87720537389167.063</c:v>
                </c:pt>
                <c:pt idx="2">
                  <c:v>85312939343483.859</c:v>
                </c:pt>
                <c:pt idx="3">
                  <c:v>82905341297800.672</c:v>
                </c:pt>
                <c:pt idx="4">
                  <c:v>82494403627850.984</c:v>
                </c:pt>
                <c:pt idx="5">
                  <c:v>82083465957901.297</c:v>
                </c:pt>
                <c:pt idx="6">
                  <c:v>81672528287951.625</c:v>
                </c:pt>
                <c:pt idx="7">
                  <c:v>81261590618001.938</c:v>
                </c:pt>
                <c:pt idx="8">
                  <c:v>80850652948052.25</c:v>
                </c:pt>
                <c:pt idx="9">
                  <c:v>80439715278102.563</c:v>
                </c:pt>
                <c:pt idx="10">
                  <c:v>80028777608152.875</c:v>
                </c:pt>
                <c:pt idx="11">
                  <c:v>79458118098283.359</c:v>
                </c:pt>
                <c:pt idx="12">
                  <c:v>78887458588413.828</c:v>
                </c:pt>
                <c:pt idx="13">
                  <c:v>78316799078544.313</c:v>
                </c:pt>
                <c:pt idx="14">
                  <c:v>77746139568674.797</c:v>
                </c:pt>
                <c:pt idx="15">
                  <c:v>77175480058805.266</c:v>
                </c:pt>
                <c:pt idx="16">
                  <c:v>76604820548935.75</c:v>
                </c:pt>
                <c:pt idx="17">
                  <c:v>76034161039066.219</c:v>
                </c:pt>
                <c:pt idx="18">
                  <c:v>75463501529196.703</c:v>
                </c:pt>
                <c:pt idx="19">
                  <c:v>74892842019327.172</c:v>
                </c:pt>
                <c:pt idx="20">
                  <c:v>74322182509457.656</c:v>
                </c:pt>
                <c:pt idx="21">
                  <c:v>73220372350521.031</c:v>
                </c:pt>
                <c:pt idx="22">
                  <c:v>72118562191584.406</c:v>
                </c:pt>
                <c:pt idx="23">
                  <c:v>71016752032647.766</c:v>
                </c:pt>
                <c:pt idx="24">
                  <c:v>69914941873711.148</c:v>
                </c:pt>
                <c:pt idx="25">
                  <c:v>68813131714774.523</c:v>
                </c:pt>
                <c:pt idx="26">
                  <c:v>67711321555837.891</c:v>
                </c:pt>
                <c:pt idx="27">
                  <c:v>66609511396901.266</c:v>
                </c:pt>
                <c:pt idx="28">
                  <c:v>65507701237964.641</c:v>
                </c:pt>
                <c:pt idx="29">
                  <c:v>64405891079028.008</c:v>
                </c:pt>
                <c:pt idx="30">
                  <c:v>63304080920091.375</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11077615121425.721</c:v>
                </c:pt>
                <c:pt idx="1">
                  <c:v>11084088681455.018</c:v>
                </c:pt>
                <c:pt idx="2">
                  <c:v>11090562241484.313</c:v>
                </c:pt>
                <c:pt idx="3">
                  <c:v>11097035801513.611</c:v>
                </c:pt>
                <c:pt idx="4">
                  <c:v>11414991090372.039</c:v>
                </c:pt>
                <c:pt idx="5">
                  <c:v>11732946379230.465</c:v>
                </c:pt>
                <c:pt idx="6">
                  <c:v>12050901668088.895</c:v>
                </c:pt>
                <c:pt idx="7">
                  <c:v>12368856956947.32</c:v>
                </c:pt>
                <c:pt idx="8">
                  <c:v>12686812245805.75</c:v>
                </c:pt>
                <c:pt idx="9">
                  <c:v>13004767534664.176</c:v>
                </c:pt>
                <c:pt idx="10">
                  <c:v>13322722823522.604</c:v>
                </c:pt>
                <c:pt idx="11">
                  <c:v>13354833906870.436</c:v>
                </c:pt>
                <c:pt idx="12">
                  <c:v>13386944990218.27</c:v>
                </c:pt>
                <c:pt idx="13">
                  <c:v>13419056073566.105</c:v>
                </c:pt>
                <c:pt idx="14">
                  <c:v>13451167156913.938</c:v>
                </c:pt>
                <c:pt idx="15">
                  <c:v>13483278240261.771</c:v>
                </c:pt>
                <c:pt idx="16">
                  <c:v>13515389323609.604</c:v>
                </c:pt>
                <c:pt idx="17">
                  <c:v>13547500406957.438</c:v>
                </c:pt>
                <c:pt idx="18">
                  <c:v>13579611490305.271</c:v>
                </c:pt>
                <c:pt idx="19">
                  <c:v>13611722573653.104</c:v>
                </c:pt>
                <c:pt idx="20">
                  <c:v>13643833657000.938</c:v>
                </c:pt>
                <c:pt idx="21">
                  <c:v>13563134009515.482</c:v>
                </c:pt>
                <c:pt idx="22">
                  <c:v>13482434362030.023</c:v>
                </c:pt>
                <c:pt idx="23">
                  <c:v>13401734714544.568</c:v>
                </c:pt>
                <c:pt idx="24">
                  <c:v>13321035067059.109</c:v>
                </c:pt>
                <c:pt idx="25">
                  <c:v>13240335419573.654</c:v>
                </c:pt>
                <c:pt idx="26">
                  <c:v>13159635772088.197</c:v>
                </c:pt>
                <c:pt idx="27">
                  <c:v>13078936124602.74</c:v>
                </c:pt>
                <c:pt idx="28">
                  <c:v>12998236477117.285</c:v>
                </c:pt>
                <c:pt idx="29">
                  <c:v>12917536829631.828</c:v>
                </c:pt>
                <c:pt idx="30">
                  <c:v>12836837182146.369</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55556315235332.148</c:v>
                </c:pt>
                <c:pt idx="1">
                  <c:v>57581304339415.164</c:v>
                </c:pt>
                <c:pt idx="2">
                  <c:v>59606293443498.945</c:v>
                </c:pt>
                <c:pt idx="3">
                  <c:v>61631282547582.32</c:v>
                </c:pt>
                <c:pt idx="4">
                  <c:v>62658854301019.18</c:v>
                </c:pt>
                <c:pt idx="5">
                  <c:v>63686426054456.016</c:v>
                </c:pt>
                <c:pt idx="6">
                  <c:v>64713997807892.859</c:v>
                </c:pt>
                <c:pt idx="7">
                  <c:v>65741569561329.711</c:v>
                </c:pt>
                <c:pt idx="8">
                  <c:v>66769141314766.555</c:v>
                </c:pt>
                <c:pt idx="9">
                  <c:v>67796713068203.398</c:v>
                </c:pt>
                <c:pt idx="10">
                  <c:v>68824284821640.234</c:v>
                </c:pt>
                <c:pt idx="11">
                  <c:v>69220635847007.594</c:v>
                </c:pt>
                <c:pt idx="12">
                  <c:v>69616986872374.945</c:v>
                </c:pt>
                <c:pt idx="13">
                  <c:v>70013337897742.297</c:v>
                </c:pt>
                <c:pt idx="14">
                  <c:v>70409688923109.641</c:v>
                </c:pt>
                <c:pt idx="15">
                  <c:v>70806039948476.984</c:v>
                </c:pt>
                <c:pt idx="16">
                  <c:v>71202390973844.328</c:v>
                </c:pt>
                <c:pt idx="17">
                  <c:v>71598741999211.688</c:v>
                </c:pt>
                <c:pt idx="18">
                  <c:v>71995093024579.031</c:v>
                </c:pt>
                <c:pt idx="19">
                  <c:v>72391444049946.375</c:v>
                </c:pt>
                <c:pt idx="20">
                  <c:v>72787795075313.719</c:v>
                </c:pt>
                <c:pt idx="21">
                  <c:v>72562027296144.641</c:v>
                </c:pt>
                <c:pt idx="22">
                  <c:v>72336259516975.609</c:v>
                </c:pt>
                <c:pt idx="23">
                  <c:v>72110491737806.594</c:v>
                </c:pt>
                <c:pt idx="24">
                  <c:v>71884723958637.547</c:v>
                </c:pt>
                <c:pt idx="25">
                  <c:v>71658956179468.531</c:v>
                </c:pt>
                <c:pt idx="26">
                  <c:v>71433188400299.484</c:v>
                </c:pt>
                <c:pt idx="27">
                  <c:v>71207420621130.469</c:v>
                </c:pt>
                <c:pt idx="28">
                  <c:v>70981652841961.438</c:v>
                </c:pt>
                <c:pt idx="29">
                  <c:v>70755885062792.406</c:v>
                </c:pt>
                <c:pt idx="30">
                  <c:v>70530117283623.422</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9674572373698.3379</c:v>
                </c:pt>
                <c:pt idx="1">
                  <c:v>10027203817313.996</c:v>
                </c:pt>
                <c:pt idx="2">
                  <c:v>10379835260929.783</c:v>
                </c:pt>
                <c:pt idx="3">
                  <c:v>10732466704545.508</c:v>
                </c:pt>
                <c:pt idx="4">
                  <c:v>10911407969020.703</c:v>
                </c:pt>
                <c:pt idx="5">
                  <c:v>11090349233495.896</c:v>
                </c:pt>
                <c:pt idx="6">
                  <c:v>11269290497971.092</c:v>
                </c:pt>
                <c:pt idx="7">
                  <c:v>11448231762446.287</c:v>
                </c:pt>
                <c:pt idx="8">
                  <c:v>11627173026921.48</c:v>
                </c:pt>
                <c:pt idx="9">
                  <c:v>11806114291396.676</c:v>
                </c:pt>
                <c:pt idx="10">
                  <c:v>11985055555871.871</c:v>
                </c:pt>
                <c:pt idx="11">
                  <c:v>12054076092314.275</c:v>
                </c:pt>
                <c:pt idx="12">
                  <c:v>12123096628756.682</c:v>
                </c:pt>
                <c:pt idx="13">
                  <c:v>12192117165199.084</c:v>
                </c:pt>
                <c:pt idx="14">
                  <c:v>12261137701641.49</c:v>
                </c:pt>
                <c:pt idx="15">
                  <c:v>12330158238083.895</c:v>
                </c:pt>
                <c:pt idx="16">
                  <c:v>12399178774526.299</c:v>
                </c:pt>
                <c:pt idx="17">
                  <c:v>12468199310968.703</c:v>
                </c:pt>
                <c:pt idx="18">
                  <c:v>12537219847411.109</c:v>
                </c:pt>
                <c:pt idx="19">
                  <c:v>12606240383853.51</c:v>
                </c:pt>
                <c:pt idx="20">
                  <c:v>12675260920295.914</c:v>
                </c:pt>
                <c:pt idx="21">
                  <c:v>12635945736955.043</c:v>
                </c:pt>
                <c:pt idx="22">
                  <c:v>12596630553614.18</c:v>
                </c:pt>
                <c:pt idx="23">
                  <c:v>12557315370273.316</c:v>
                </c:pt>
                <c:pt idx="24">
                  <c:v>12518000186932.451</c:v>
                </c:pt>
                <c:pt idx="25">
                  <c:v>12478685003591.588</c:v>
                </c:pt>
                <c:pt idx="26">
                  <c:v>12439369820250.723</c:v>
                </c:pt>
                <c:pt idx="27">
                  <c:v>12400054636909.857</c:v>
                </c:pt>
                <c:pt idx="28">
                  <c:v>12360739453568.994</c:v>
                </c:pt>
                <c:pt idx="29">
                  <c:v>12321424270228.129</c:v>
                </c:pt>
                <c:pt idx="30">
                  <c:v>12282109086887.275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15103210703782.057</c:v>
                </c:pt>
                <c:pt idx="1">
                  <c:v>15653712244107.004</c:v>
                </c:pt>
                <c:pt idx="2">
                  <c:v>16204213784432.156</c:v>
                </c:pt>
                <c:pt idx="3">
                  <c:v>16754715324757.203</c:v>
                </c:pt>
                <c:pt idx="4">
                  <c:v>17034064893562.688</c:v>
                </c:pt>
                <c:pt idx="5">
                  <c:v>17313414462368.17</c:v>
                </c:pt>
                <c:pt idx="6">
                  <c:v>17592764031173.652</c:v>
                </c:pt>
                <c:pt idx="7">
                  <c:v>17872113599979.133</c:v>
                </c:pt>
                <c:pt idx="8">
                  <c:v>18151463168784.613</c:v>
                </c:pt>
                <c:pt idx="9">
                  <c:v>18430812737590.094</c:v>
                </c:pt>
                <c:pt idx="10">
                  <c:v>18710162306395.578</c:v>
                </c:pt>
                <c:pt idx="11">
                  <c:v>18817911947879.648</c:v>
                </c:pt>
                <c:pt idx="12">
                  <c:v>18925661589363.723</c:v>
                </c:pt>
                <c:pt idx="13">
                  <c:v>19033411230847.797</c:v>
                </c:pt>
                <c:pt idx="14">
                  <c:v>19141160872331.867</c:v>
                </c:pt>
                <c:pt idx="15">
                  <c:v>19248910513815.941</c:v>
                </c:pt>
                <c:pt idx="16">
                  <c:v>19356660155300.012</c:v>
                </c:pt>
                <c:pt idx="17">
                  <c:v>19464409796784.086</c:v>
                </c:pt>
                <c:pt idx="18">
                  <c:v>19572159438268.156</c:v>
                </c:pt>
                <c:pt idx="19">
                  <c:v>19679909079752.227</c:v>
                </c:pt>
                <c:pt idx="20">
                  <c:v>19787658721236.293</c:v>
                </c:pt>
                <c:pt idx="21">
                  <c:v>19726282830404.234</c:v>
                </c:pt>
                <c:pt idx="22">
                  <c:v>19664906939572.18</c:v>
                </c:pt>
                <c:pt idx="23">
                  <c:v>19603531048740.129</c:v>
                </c:pt>
                <c:pt idx="24">
                  <c:v>19542155157908.078</c:v>
                </c:pt>
                <c:pt idx="25">
                  <c:v>19480779267076.023</c:v>
                </c:pt>
                <c:pt idx="26">
                  <c:v>19419403376243.977</c:v>
                </c:pt>
                <c:pt idx="27">
                  <c:v>19358027485411.922</c:v>
                </c:pt>
                <c:pt idx="28">
                  <c:v>19296651594579.867</c:v>
                </c:pt>
                <c:pt idx="29">
                  <c:v>19235275703747.816</c:v>
                </c:pt>
                <c:pt idx="30">
                  <c:v>19173899812915.777</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15768962899744.588</c:v>
                </c:pt>
                <c:pt idx="1">
                  <c:v>16343730645218.904</c:v>
                </c:pt>
                <c:pt idx="2">
                  <c:v>16918498390693.43</c:v>
                </c:pt>
                <c:pt idx="3">
                  <c:v>17493266136167.85</c:v>
                </c:pt>
                <c:pt idx="4">
                  <c:v>17784929483316.297</c:v>
                </c:pt>
                <c:pt idx="5">
                  <c:v>18076592830464.738</c:v>
                </c:pt>
                <c:pt idx="6">
                  <c:v>18368256177613.184</c:v>
                </c:pt>
                <c:pt idx="7">
                  <c:v>18659919524761.629</c:v>
                </c:pt>
                <c:pt idx="8">
                  <c:v>18951582871910.074</c:v>
                </c:pt>
                <c:pt idx="9">
                  <c:v>19243246219058.52</c:v>
                </c:pt>
                <c:pt idx="10">
                  <c:v>19534909566206.961</c:v>
                </c:pt>
                <c:pt idx="11">
                  <c:v>19647408830922.754</c:v>
                </c:pt>
                <c:pt idx="12">
                  <c:v>19759908095638.543</c:v>
                </c:pt>
                <c:pt idx="13">
                  <c:v>19872407360354.328</c:v>
                </c:pt>
                <c:pt idx="14">
                  <c:v>19984906625070.117</c:v>
                </c:pt>
                <c:pt idx="15">
                  <c:v>20097405889785.906</c:v>
                </c:pt>
                <c:pt idx="16">
                  <c:v>20209905154501.695</c:v>
                </c:pt>
                <c:pt idx="17">
                  <c:v>20322404419217.484</c:v>
                </c:pt>
                <c:pt idx="18">
                  <c:v>20434903683933.273</c:v>
                </c:pt>
                <c:pt idx="19">
                  <c:v>20547402948649.063</c:v>
                </c:pt>
                <c:pt idx="20">
                  <c:v>20659902213364.848</c:v>
                </c:pt>
                <c:pt idx="21">
                  <c:v>20595820862422.219</c:v>
                </c:pt>
                <c:pt idx="22">
                  <c:v>20531739511479.598</c:v>
                </c:pt>
                <c:pt idx="23">
                  <c:v>20467658160536.977</c:v>
                </c:pt>
                <c:pt idx="24">
                  <c:v>20403576809594.355</c:v>
                </c:pt>
                <c:pt idx="25">
                  <c:v>20339495458651.734</c:v>
                </c:pt>
                <c:pt idx="26">
                  <c:v>20275414107709.113</c:v>
                </c:pt>
                <c:pt idx="27">
                  <c:v>20211332756766.492</c:v>
                </c:pt>
                <c:pt idx="28">
                  <c:v>20147251405823.871</c:v>
                </c:pt>
                <c:pt idx="29">
                  <c:v>20083170054881.254</c:v>
                </c:pt>
                <c:pt idx="30">
                  <c:v>20019088703938.648</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4038126999788.1694</c:v>
                </c:pt>
                <c:pt idx="1">
                  <c:v>4185313924277.9722</c:v>
                </c:pt>
                <c:pt idx="2">
                  <c:v>4332500848767.8291</c:v>
                </c:pt>
                <c:pt idx="3">
                  <c:v>4479687773257.6582</c:v>
                </c:pt>
                <c:pt idx="4">
                  <c:v>4554377126289.7344</c:v>
                </c:pt>
                <c:pt idx="5">
                  <c:v>4629066479321.8096</c:v>
                </c:pt>
                <c:pt idx="6">
                  <c:v>4703755832353.8867</c:v>
                </c:pt>
                <c:pt idx="7">
                  <c:v>4778445185385.9609</c:v>
                </c:pt>
                <c:pt idx="8">
                  <c:v>4853134538418.0371</c:v>
                </c:pt>
                <c:pt idx="9">
                  <c:v>4927823891450.1123</c:v>
                </c:pt>
                <c:pt idx="10">
                  <c:v>5002513244482.1875</c:v>
                </c:pt>
                <c:pt idx="11">
                  <c:v>5031322134527.3594</c:v>
                </c:pt>
                <c:pt idx="12">
                  <c:v>5060131024572.5322</c:v>
                </c:pt>
                <c:pt idx="13">
                  <c:v>5088939914617.7051</c:v>
                </c:pt>
                <c:pt idx="14">
                  <c:v>5117748804662.877</c:v>
                </c:pt>
                <c:pt idx="15">
                  <c:v>5146557694708.0488</c:v>
                </c:pt>
                <c:pt idx="16">
                  <c:v>5175366584753.2217</c:v>
                </c:pt>
                <c:pt idx="17">
                  <c:v>5204175474798.3936</c:v>
                </c:pt>
                <c:pt idx="18">
                  <c:v>5232984364843.5654</c:v>
                </c:pt>
                <c:pt idx="19">
                  <c:v>5261793254888.7383</c:v>
                </c:pt>
                <c:pt idx="20">
                  <c:v>5290602144933.9092</c:v>
                </c:pt>
                <c:pt idx="21">
                  <c:v>5274192147962.6738</c:v>
                </c:pt>
                <c:pt idx="22">
                  <c:v>5257782150991.4404</c:v>
                </c:pt>
                <c:pt idx="23">
                  <c:v>5241372154020.207</c:v>
                </c:pt>
                <c:pt idx="24">
                  <c:v>5224962157048.9736</c:v>
                </c:pt>
                <c:pt idx="25">
                  <c:v>5208552160077.7412</c:v>
                </c:pt>
                <c:pt idx="26">
                  <c:v>5192142163106.5078</c:v>
                </c:pt>
                <c:pt idx="27">
                  <c:v>5175732166135.2754</c:v>
                </c:pt>
                <c:pt idx="28">
                  <c:v>5159322169164.042</c:v>
                </c:pt>
                <c:pt idx="29">
                  <c:v>5142912172192.8086</c:v>
                </c:pt>
                <c:pt idx="30">
                  <c:v>5126502175221.5791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1548681777940.2856</c:v>
                </c:pt>
                <c:pt idx="1">
                  <c:v>1592793216297.051</c:v>
                </c:pt>
                <c:pt idx="2">
                  <c:v>1636904654653.8159</c:v>
                </c:pt>
                <c:pt idx="3">
                  <c:v>1681016093010.5815</c:v>
                </c:pt>
                <c:pt idx="4">
                  <c:v>1700978971214.4172</c:v>
                </c:pt>
                <c:pt idx="5">
                  <c:v>1720941849418.2532</c:v>
                </c:pt>
                <c:pt idx="6">
                  <c:v>1740904727622.0889</c:v>
                </c:pt>
                <c:pt idx="7">
                  <c:v>1760867605825.9248</c:v>
                </c:pt>
                <c:pt idx="8">
                  <c:v>1780830484029.7607</c:v>
                </c:pt>
                <c:pt idx="9">
                  <c:v>1800793362233.5967</c:v>
                </c:pt>
                <c:pt idx="10">
                  <c:v>1820756240437.4326</c:v>
                </c:pt>
                <c:pt idx="11">
                  <c:v>1821583105215.1062</c:v>
                </c:pt>
                <c:pt idx="12">
                  <c:v>1822409969992.7798</c:v>
                </c:pt>
                <c:pt idx="13">
                  <c:v>1823236834770.4534</c:v>
                </c:pt>
                <c:pt idx="14">
                  <c:v>1824063699548.1272</c:v>
                </c:pt>
                <c:pt idx="15">
                  <c:v>1824890564325.8008</c:v>
                </c:pt>
                <c:pt idx="16">
                  <c:v>1825717429103.4746</c:v>
                </c:pt>
                <c:pt idx="17">
                  <c:v>1826544293881.1482</c:v>
                </c:pt>
                <c:pt idx="18">
                  <c:v>1827371158658.8218</c:v>
                </c:pt>
                <c:pt idx="19">
                  <c:v>1828198023436.4954</c:v>
                </c:pt>
                <c:pt idx="20">
                  <c:v>1829024888214.1692</c:v>
                </c:pt>
                <c:pt idx="21">
                  <c:v>1816704603026.8315</c:v>
                </c:pt>
                <c:pt idx="22">
                  <c:v>1804384317839.4937</c:v>
                </c:pt>
                <c:pt idx="23">
                  <c:v>1792064032652.1558</c:v>
                </c:pt>
                <c:pt idx="24">
                  <c:v>1779743747464.8181</c:v>
                </c:pt>
                <c:pt idx="25">
                  <c:v>1767423462277.4802</c:v>
                </c:pt>
                <c:pt idx="26">
                  <c:v>1755103177090.1426</c:v>
                </c:pt>
                <c:pt idx="27">
                  <c:v>1742782891902.8049</c:v>
                </c:pt>
                <c:pt idx="28">
                  <c:v>1730462606715.4673</c:v>
                </c:pt>
                <c:pt idx="29">
                  <c:v>1718142321528.1292</c:v>
                </c:pt>
                <c:pt idx="30">
                  <c:v>1705822036340.7915</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1365353501728.8877</c:v>
                </c:pt>
                <c:pt idx="1">
                  <c:v>1366718855230.6165</c:v>
                </c:pt>
                <c:pt idx="2">
                  <c:v>1368085574085.8469</c:v>
                </c:pt>
                <c:pt idx="3">
                  <c:v>1369453659659.9326</c:v>
                </c:pt>
                <c:pt idx="4">
                  <c:v>1370823113319.5923</c:v>
                </c:pt>
                <c:pt idx="5">
                  <c:v>1372193936432.9116</c:v>
                </c:pt>
                <c:pt idx="6">
                  <c:v>1373566130369.3445</c:v>
                </c:pt>
                <c:pt idx="7">
                  <c:v>1374939696499.7139</c:v>
                </c:pt>
                <c:pt idx="8">
                  <c:v>1376314636196.2136</c:v>
                </c:pt>
                <c:pt idx="9">
                  <c:v>1377690950832.4094</c:v>
                </c:pt>
                <c:pt idx="10">
                  <c:v>1379068641783.2417</c:v>
                </c:pt>
                <c:pt idx="11">
                  <c:v>1380447710425.0251</c:v>
                </c:pt>
                <c:pt idx="12">
                  <c:v>1381828158135.4497</c:v>
                </c:pt>
                <c:pt idx="13">
                  <c:v>1383209986293.585</c:v>
                </c:pt>
                <c:pt idx="14">
                  <c:v>1384593196279.8784</c:v>
                </c:pt>
                <c:pt idx="15">
                  <c:v>1385977789476.1582</c:v>
                </c:pt>
                <c:pt idx="16">
                  <c:v>1387363767265.634</c:v>
                </c:pt>
                <c:pt idx="17">
                  <c:v>1388751131032.8994</c:v>
                </c:pt>
                <c:pt idx="18">
                  <c:v>1390139882163.9324</c:v>
                </c:pt>
                <c:pt idx="19">
                  <c:v>1391530022046.0959</c:v>
                </c:pt>
                <c:pt idx="20">
                  <c:v>1392921552068.1418</c:v>
                </c:pt>
                <c:pt idx="21">
                  <c:v>1385956944307.8013</c:v>
                </c:pt>
                <c:pt idx="22">
                  <c:v>1379027159586.2622</c:v>
                </c:pt>
                <c:pt idx="23">
                  <c:v>1372132023788.3308</c:v>
                </c:pt>
                <c:pt idx="24">
                  <c:v>1365271363669.3892</c:v>
                </c:pt>
                <c:pt idx="25">
                  <c:v>1358445006851.0422</c:v>
                </c:pt>
                <c:pt idx="26">
                  <c:v>1351652781816.7871</c:v>
                </c:pt>
                <c:pt idx="27">
                  <c:v>1344894517907.7031</c:v>
                </c:pt>
                <c:pt idx="28">
                  <c:v>1338170045318.1646</c:v>
                </c:pt>
                <c:pt idx="29">
                  <c:v>1331479195091.5737</c:v>
                </c:pt>
                <c:pt idx="30">
                  <c:v>1324821799116.1157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3445489922.8724227</c:v>
                </c:pt>
                <c:pt idx="1">
                  <c:v>3543628558.2632132</c:v>
                </c:pt>
                <c:pt idx="2">
                  <c:v>3641767193.6540036</c:v>
                </c:pt>
                <c:pt idx="3">
                  <c:v>3739905829.0447941</c:v>
                </c:pt>
                <c:pt idx="4">
                  <c:v>3784319017.5142312</c:v>
                </c:pt>
                <c:pt idx="5">
                  <c:v>3828732205.9836688</c:v>
                </c:pt>
                <c:pt idx="6">
                  <c:v>3873145394.4531069</c:v>
                </c:pt>
                <c:pt idx="7">
                  <c:v>3917558582.922545</c:v>
                </c:pt>
                <c:pt idx="8">
                  <c:v>3961971771.391983</c:v>
                </c:pt>
                <c:pt idx="9">
                  <c:v>4006384959.8614206</c:v>
                </c:pt>
                <c:pt idx="10">
                  <c:v>4050798148.3308587</c:v>
                </c:pt>
                <c:pt idx="11">
                  <c:v>4052637747.853261</c:v>
                </c:pt>
                <c:pt idx="12">
                  <c:v>4054477347.3756633</c:v>
                </c:pt>
                <c:pt idx="13">
                  <c:v>4056316946.8980665</c:v>
                </c:pt>
                <c:pt idx="14">
                  <c:v>4058156546.4204698</c:v>
                </c:pt>
                <c:pt idx="15">
                  <c:v>4059996145.9428725</c:v>
                </c:pt>
                <c:pt idx="16">
                  <c:v>4061835745.4652753</c:v>
                </c:pt>
                <c:pt idx="17">
                  <c:v>4063675344.9876776</c:v>
                </c:pt>
                <c:pt idx="18">
                  <c:v>4065514944.5100803</c:v>
                </c:pt>
                <c:pt idx="19">
                  <c:v>4067354544.0324826</c:v>
                </c:pt>
                <c:pt idx="20">
                  <c:v>4069194143.5548859</c:v>
                </c:pt>
                <c:pt idx="21">
                  <c:v>4041784110.6710854</c:v>
                </c:pt>
                <c:pt idx="22">
                  <c:v>4014374077.7872839</c:v>
                </c:pt>
                <c:pt idx="23">
                  <c:v>3986964044.9034834</c:v>
                </c:pt>
                <c:pt idx="24">
                  <c:v>3959554012.0196819</c:v>
                </c:pt>
                <c:pt idx="25">
                  <c:v>3932143979.1358809</c:v>
                </c:pt>
                <c:pt idx="26">
                  <c:v>3904733946.2520804</c:v>
                </c:pt>
                <c:pt idx="27">
                  <c:v>3877323913.368279</c:v>
                </c:pt>
                <c:pt idx="28">
                  <c:v>3849913880.4844775</c:v>
                </c:pt>
                <c:pt idx="29">
                  <c:v>3822503847.600677</c:v>
                </c:pt>
                <c:pt idx="30">
                  <c:v>3795093814.7168765</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10201669388723.27</c:v>
                </c:pt>
                <c:pt idx="1">
                  <c:v>10492227883388.553</c:v>
                </c:pt>
                <c:pt idx="2">
                  <c:v>10782786378053.836</c:v>
                </c:pt>
                <c:pt idx="3">
                  <c:v>11073344872719.119</c:v>
                </c:pt>
                <c:pt idx="4">
                  <c:v>11204836495244.883</c:v>
                </c:pt>
                <c:pt idx="5">
                  <c:v>11336328117770.648</c:v>
                </c:pt>
                <c:pt idx="6">
                  <c:v>11467819740296.414</c:v>
                </c:pt>
                <c:pt idx="7">
                  <c:v>11599311362822.178</c:v>
                </c:pt>
                <c:pt idx="8">
                  <c:v>11730802985347.943</c:v>
                </c:pt>
                <c:pt idx="9">
                  <c:v>11862294607873.707</c:v>
                </c:pt>
                <c:pt idx="10">
                  <c:v>11993786230399.473</c:v>
                </c:pt>
                <c:pt idx="11">
                  <c:v>11999233141640.5</c:v>
                </c:pt>
                <c:pt idx="12">
                  <c:v>12004680052881.527</c:v>
                </c:pt>
                <c:pt idx="13">
                  <c:v>12010126964122.555</c:v>
                </c:pt>
                <c:pt idx="14">
                  <c:v>12015573875363.582</c:v>
                </c:pt>
                <c:pt idx="15">
                  <c:v>12021020786604.609</c:v>
                </c:pt>
                <c:pt idx="16">
                  <c:v>12026467697845.633</c:v>
                </c:pt>
                <c:pt idx="17">
                  <c:v>12031914609086.662</c:v>
                </c:pt>
                <c:pt idx="18">
                  <c:v>12037361520327.689</c:v>
                </c:pt>
                <c:pt idx="19">
                  <c:v>12042808431568.715</c:v>
                </c:pt>
                <c:pt idx="20">
                  <c:v>12048255342809.744</c:v>
                </c:pt>
                <c:pt idx="21">
                  <c:v>11967097974874.369</c:v>
                </c:pt>
                <c:pt idx="22">
                  <c:v>11885940606938.996</c:v>
                </c:pt>
                <c:pt idx="23">
                  <c:v>11804783239003.623</c:v>
                </c:pt>
                <c:pt idx="24">
                  <c:v>11723625871068.25</c:v>
                </c:pt>
                <c:pt idx="25">
                  <c:v>11642468503132.877</c:v>
                </c:pt>
                <c:pt idx="26">
                  <c:v>11561311135197.504</c:v>
                </c:pt>
                <c:pt idx="27">
                  <c:v>11480153767262.131</c:v>
                </c:pt>
                <c:pt idx="28">
                  <c:v>11398996399326.756</c:v>
                </c:pt>
                <c:pt idx="29">
                  <c:v>11317839031391.383</c:v>
                </c:pt>
                <c:pt idx="30">
                  <c:v>11236681663456.008</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879843177911.25598</c:v>
                </c:pt>
                <c:pt idx="1">
                  <c:v>904903941625.84607</c:v>
                </c:pt>
                <c:pt idx="2">
                  <c:v>929964705340.43616</c:v>
                </c:pt>
                <c:pt idx="3">
                  <c:v>955025469055.02612</c:v>
                </c:pt>
                <c:pt idx="4">
                  <c:v>966366857873.12048</c:v>
                </c:pt>
                <c:pt idx="5">
                  <c:v>977708246691.21472</c:v>
                </c:pt>
                <c:pt idx="6">
                  <c:v>989049635509.30908</c:v>
                </c:pt>
                <c:pt idx="7">
                  <c:v>1000391024327.4032</c:v>
                </c:pt>
                <c:pt idx="8">
                  <c:v>1011732413145.4974</c:v>
                </c:pt>
                <c:pt idx="9">
                  <c:v>1023073801963.5918</c:v>
                </c:pt>
                <c:pt idx="10">
                  <c:v>1034415190781.6859</c:v>
                </c:pt>
                <c:pt idx="11">
                  <c:v>1034884952448.7076</c:v>
                </c:pt>
                <c:pt idx="12">
                  <c:v>1035354714115.7294</c:v>
                </c:pt>
                <c:pt idx="13">
                  <c:v>1035824475782.751</c:v>
                </c:pt>
                <c:pt idx="14">
                  <c:v>1036294237449.7727</c:v>
                </c:pt>
                <c:pt idx="15">
                  <c:v>1036763999116.7942</c:v>
                </c:pt>
                <c:pt idx="16">
                  <c:v>1037233760783.8159</c:v>
                </c:pt>
                <c:pt idx="17">
                  <c:v>1037703522450.8375</c:v>
                </c:pt>
                <c:pt idx="18">
                  <c:v>1038173284117.8593</c:v>
                </c:pt>
                <c:pt idx="19">
                  <c:v>1038643045784.881</c:v>
                </c:pt>
                <c:pt idx="20">
                  <c:v>1039112807451.9026</c:v>
                </c:pt>
                <c:pt idx="21">
                  <c:v>1032113358613.2799</c:v>
                </c:pt>
                <c:pt idx="22">
                  <c:v>1025113909774.6572</c:v>
                </c:pt>
                <c:pt idx="23">
                  <c:v>1018114460936.0347</c:v>
                </c:pt>
                <c:pt idx="24">
                  <c:v>1011115012097.412</c:v>
                </c:pt>
                <c:pt idx="25">
                  <c:v>1004115563258.7893</c:v>
                </c:pt>
                <c:pt idx="26">
                  <c:v>997116114420.16663</c:v>
                </c:pt>
                <c:pt idx="27">
                  <c:v>990116665581.54395</c:v>
                </c:pt>
                <c:pt idx="28">
                  <c:v>983117216742.92114</c:v>
                </c:pt>
                <c:pt idx="29">
                  <c:v>976117767904.29846</c:v>
                </c:pt>
                <c:pt idx="30">
                  <c:v>969118319065.67578</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17650179226678.129</c:v>
                </c:pt>
                <c:pt idx="1">
                  <c:v>17798944379104.559</c:v>
                </c:pt>
                <c:pt idx="2">
                  <c:v>17947709531530.957</c:v>
                </c:pt>
                <c:pt idx="3">
                  <c:v>18096474683957.387</c:v>
                </c:pt>
                <c:pt idx="4">
                  <c:v>18119219453480.25</c:v>
                </c:pt>
                <c:pt idx="5">
                  <c:v>18141964223003.125</c:v>
                </c:pt>
                <c:pt idx="6">
                  <c:v>18164708992526.008</c:v>
                </c:pt>
                <c:pt idx="7">
                  <c:v>18187453762048.883</c:v>
                </c:pt>
                <c:pt idx="8">
                  <c:v>18210198531571.766</c:v>
                </c:pt>
                <c:pt idx="9">
                  <c:v>18232943301094.645</c:v>
                </c:pt>
                <c:pt idx="10">
                  <c:v>18255688070617.523</c:v>
                </c:pt>
                <c:pt idx="11">
                  <c:v>18266789139343.938</c:v>
                </c:pt>
                <c:pt idx="12">
                  <c:v>18277890208070.348</c:v>
                </c:pt>
                <c:pt idx="13">
                  <c:v>18288991276796.762</c:v>
                </c:pt>
                <c:pt idx="14">
                  <c:v>18300092345523.172</c:v>
                </c:pt>
                <c:pt idx="15">
                  <c:v>18311193414249.586</c:v>
                </c:pt>
                <c:pt idx="16">
                  <c:v>18322294482975.996</c:v>
                </c:pt>
                <c:pt idx="17">
                  <c:v>18333395551702.41</c:v>
                </c:pt>
                <c:pt idx="18">
                  <c:v>18344496620428.82</c:v>
                </c:pt>
                <c:pt idx="19">
                  <c:v>18355597689155.234</c:v>
                </c:pt>
                <c:pt idx="20">
                  <c:v>18366698757881.648</c:v>
                </c:pt>
                <c:pt idx="21">
                  <c:v>18233187205289.277</c:v>
                </c:pt>
                <c:pt idx="22">
                  <c:v>18099675652696.906</c:v>
                </c:pt>
                <c:pt idx="23">
                  <c:v>17966164100104.535</c:v>
                </c:pt>
                <c:pt idx="24">
                  <c:v>17832652547512.164</c:v>
                </c:pt>
                <c:pt idx="25">
                  <c:v>17699140994919.793</c:v>
                </c:pt>
                <c:pt idx="26">
                  <c:v>17565629442327.42</c:v>
                </c:pt>
                <c:pt idx="27">
                  <c:v>17432117889735.051</c:v>
                </c:pt>
                <c:pt idx="28">
                  <c:v>17298606337142.68</c:v>
                </c:pt>
                <c:pt idx="29">
                  <c:v>17165094784550.309</c:v>
                </c:pt>
                <c:pt idx="30">
                  <c:v>17031583231957.938</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9163172615374.6367</c:v>
                </c:pt>
                <c:pt idx="1">
                  <c:v>9310469283915.3652</c:v>
                </c:pt>
                <c:pt idx="2">
                  <c:v>9457765952456.1016</c:v>
                </c:pt>
                <c:pt idx="3">
                  <c:v>9605062620996.8379</c:v>
                </c:pt>
                <c:pt idx="4">
                  <c:v>9657402886555.4512</c:v>
                </c:pt>
                <c:pt idx="5">
                  <c:v>9709743152114.0625</c:v>
                </c:pt>
                <c:pt idx="6">
                  <c:v>9762083417672.6816</c:v>
                </c:pt>
                <c:pt idx="7">
                  <c:v>9814423683231.2969</c:v>
                </c:pt>
                <c:pt idx="8">
                  <c:v>9866763948789.916</c:v>
                </c:pt>
                <c:pt idx="9">
                  <c:v>9919104214348.5332</c:v>
                </c:pt>
                <c:pt idx="10">
                  <c:v>9971444479907.1484</c:v>
                </c:pt>
                <c:pt idx="11">
                  <c:v>9976875632967.8398</c:v>
                </c:pt>
                <c:pt idx="12">
                  <c:v>9982306786028.5273</c:v>
                </c:pt>
                <c:pt idx="13">
                  <c:v>9987737939089.2168</c:v>
                </c:pt>
                <c:pt idx="14">
                  <c:v>9993169092149.9063</c:v>
                </c:pt>
                <c:pt idx="15">
                  <c:v>9998600245210.5938</c:v>
                </c:pt>
                <c:pt idx="16">
                  <c:v>10004031398271.285</c:v>
                </c:pt>
                <c:pt idx="17">
                  <c:v>10009462551331.971</c:v>
                </c:pt>
                <c:pt idx="18">
                  <c:v>10014893704392.66</c:v>
                </c:pt>
                <c:pt idx="19">
                  <c:v>10020324857453.35</c:v>
                </c:pt>
                <c:pt idx="20">
                  <c:v>10025756010514.039</c:v>
                </c:pt>
                <c:pt idx="21">
                  <c:v>9955076771171.5391</c:v>
                </c:pt>
                <c:pt idx="22">
                  <c:v>9884397531829.0391</c:v>
                </c:pt>
                <c:pt idx="23">
                  <c:v>9813718292486.541</c:v>
                </c:pt>
                <c:pt idx="24">
                  <c:v>9743039053144.043</c:v>
                </c:pt>
                <c:pt idx="25">
                  <c:v>9672359813801.543</c:v>
                </c:pt>
                <c:pt idx="26">
                  <c:v>9601680574459.0449</c:v>
                </c:pt>
                <c:pt idx="27">
                  <c:v>9531001335116.5449</c:v>
                </c:pt>
                <c:pt idx="28">
                  <c:v>9460322095774.0449</c:v>
                </c:pt>
                <c:pt idx="29">
                  <c:v>9389642856431.5469</c:v>
                </c:pt>
                <c:pt idx="30">
                  <c:v>9318963617089.0469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1340509409663.1941</c:v>
                </c:pt>
                <c:pt idx="1">
                  <c:v>1366927922206.6719</c:v>
                </c:pt>
                <c:pt idx="2">
                  <c:v>1393346434750.1487</c:v>
                </c:pt>
                <c:pt idx="3">
                  <c:v>1419764947293.6265</c:v>
                </c:pt>
                <c:pt idx="4">
                  <c:v>1430239266556.8113</c:v>
                </c:pt>
                <c:pt idx="5">
                  <c:v>1440713585819.9956</c:v>
                </c:pt>
                <c:pt idx="6">
                  <c:v>1451187905083.1807</c:v>
                </c:pt>
                <c:pt idx="7">
                  <c:v>1461662224346.366</c:v>
                </c:pt>
                <c:pt idx="8">
                  <c:v>1472136543609.5513</c:v>
                </c:pt>
                <c:pt idx="9">
                  <c:v>1482610862872.7366</c:v>
                </c:pt>
                <c:pt idx="10">
                  <c:v>1493085182135.9216</c:v>
                </c:pt>
                <c:pt idx="11">
                  <c:v>1493856644838.3623</c:v>
                </c:pt>
                <c:pt idx="12">
                  <c:v>1494628107540.8032</c:v>
                </c:pt>
                <c:pt idx="13">
                  <c:v>1495399570243.2441</c:v>
                </c:pt>
                <c:pt idx="14">
                  <c:v>1496171032945.6851</c:v>
                </c:pt>
                <c:pt idx="15">
                  <c:v>1496942495648.1257</c:v>
                </c:pt>
                <c:pt idx="16">
                  <c:v>1497713958350.5667</c:v>
                </c:pt>
                <c:pt idx="17">
                  <c:v>1498485421053.0076</c:v>
                </c:pt>
                <c:pt idx="18">
                  <c:v>1499256883755.4482</c:v>
                </c:pt>
                <c:pt idx="19">
                  <c:v>1500028346457.8892</c:v>
                </c:pt>
                <c:pt idx="20">
                  <c:v>1500799809160.3301</c:v>
                </c:pt>
                <c:pt idx="21">
                  <c:v>1490364966359.5342</c:v>
                </c:pt>
                <c:pt idx="22">
                  <c:v>1479930123558.7383</c:v>
                </c:pt>
                <c:pt idx="23">
                  <c:v>1469495280757.9426</c:v>
                </c:pt>
                <c:pt idx="24">
                  <c:v>1459060437957.147</c:v>
                </c:pt>
                <c:pt idx="25">
                  <c:v>1448625595156.3513</c:v>
                </c:pt>
                <c:pt idx="26">
                  <c:v>1438190752355.5552</c:v>
                </c:pt>
                <c:pt idx="27">
                  <c:v>1427755909554.7598</c:v>
                </c:pt>
                <c:pt idx="28">
                  <c:v>1417321066753.9636</c:v>
                </c:pt>
                <c:pt idx="29">
                  <c:v>1406886223953.168</c:v>
                </c:pt>
                <c:pt idx="30">
                  <c:v>1396451381152.3721</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9284293579399.8672</c:v>
                </c:pt>
                <c:pt idx="1">
                  <c:v>9421235469061.8359</c:v>
                </c:pt>
                <c:pt idx="2">
                  <c:v>9558177358723.8066</c:v>
                </c:pt>
                <c:pt idx="3">
                  <c:v>9695119248385.7773</c:v>
                </c:pt>
                <c:pt idx="4">
                  <c:v>9741034802188.082</c:v>
                </c:pt>
                <c:pt idx="5">
                  <c:v>9786950355990.3867</c:v>
                </c:pt>
                <c:pt idx="6">
                  <c:v>9832865909792.6914</c:v>
                </c:pt>
                <c:pt idx="7">
                  <c:v>9878781463594.9941</c:v>
                </c:pt>
                <c:pt idx="8">
                  <c:v>9924697017397.2988</c:v>
                </c:pt>
                <c:pt idx="9">
                  <c:v>9970612571199.6035</c:v>
                </c:pt>
                <c:pt idx="10">
                  <c:v>10016528125001.908</c:v>
                </c:pt>
                <c:pt idx="11">
                  <c:v>10022089363382.543</c:v>
                </c:pt>
                <c:pt idx="12">
                  <c:v>10027650601763.178</c:v>
                </c:pt>
                <c:pt idx="13">
                  <c:v>10033211840143.813</c:v>
                </c:pt>
                <c:pt idx="14">
                  <c:v>10038773078524.447</c:v>
                </c:pt>
                <c:pt idx="15">
                  <c:v>10044334316905.082</c:v>
                </c:pt>
                <c:pt idx="16">
                  <c:v>10049895555285.719</c:v>
                </c:pt>
                <c:pt idx="17">
                  <c:v>10055456793666.354</c:v>
                </c:pt>
                <c:pt idx="18">
                  <c:v>10061018032046.988</c:v>
                </c:pt>
                <c:pt idx="19">
                  <c:v>10066579270427.625</c:v>
                </c:pt>
                <c:pt idx="20">
                  <c:v>10072140508808.258</c:v>
                </c:pt>
                <c:pt idx="21">
                  <c:v>10000766870872.143</c:v>
                </c:pt>
                <c:pt idx="22">
                  <c:v>9929393232936.0254</c:v>
                </c:pt>
                <c:pt idx="23">
                  <c:v>9858019594999.9102</c:v>
                </c:pt>
                <c:pt idx="24">
                  <c:v>9786645957063.793</c:v>
                </c:pt>
                <c:pt idx="25">
                  <c:v>9715272319127.6758</c:v>
                </c:pt>
                <c:pt idx="26">
                  <c:v>9643898681191.5586</c:v>
                </c:pt>
                <c:pt idx="27">
                  <c:v>9572525043255.4434</c:v>
                </c:pt>
                <c:pt idx="28">
                  <c:v>9501151405319.3262</c:v>
                </c:pt>
                <c:pt idx="29">
                  <c:v>9429777767383.2109</c:v>
                </c:pt>
                <c:pt idx="30">
                  <c:v>9358404129447.0938</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76178854522446.953</c:v>
                </c:pt>
                <c:pt idx="1">
                  <c:v>81043841966329.469</c:v>
                </c:pt>
                <c:pt idx="2">
                  <c:v>85908829410211</c:v>
                </c:pt>
                <c:pt idx="3">
                  <c:v>90773816854092.844</c:v>
                </c:pt>
                <c:pt idx="4">
                  <c:v>96453422182835.625</c:v>
                </c:pt>
                <c:pt idx="5">
                  <c:v>102133027511580</c:v>
                </c:pt>
                <c:pt idx="6">
                  <c:v>107812632840323.09</c:v>
                </c:pt>
                <c:pt idx="7">
                  <c:v>113492238169066.2</c:v>
                </c:pt>
                <c:pt idx="8">
                  <c:v>119171843497809.31</c:v>
                </c:pt>
                <c:pt idx="9">
                  <c:v>124851448826552.41</c:v>
                </c:pt>
                <c:pt idx="10">
                  <c:v>130531054155295.53</c:v>
                </c:pt>
                <c:pt idx="11">
                  <c:v>133130357824162.36</c:v>
                </c:pt>
                <c:pt idx="12">
                  <c:v>135729661493029.2</c:v>
                </c:pt>
                <c:pt idx="13">
                  <c:v>138328965161896.03</c:v>
                </c:pt>
                <c:pt idx="14">
                  <c:v>140928268830762.88</c:v>
                </c:pt>
                <c:pt idx="15">
                  <c:v>143527572499629.72</c:v>
                </c:pt>
                <c:pt idx="16">
                  <c:v>146126876168496.56</c:v>
                </c:pt>
                <c:pt idx="17">
                  <c:v>148726179837363.41</c:v>
                </c:pt>
                <c:pt idx="18">
                  <c:v>151325483506230.22</c:v>
                </c:pt>
                <c:pt idx="19">
                  <c:v>153924787175097.09</c:v>
                </c:pt>
                <c:pt idx="20">
                  <c:v>156524090843963.94</c:v>
                </c:pt>
                <c:pt idx="21">
                  <c:v>158343575631398.22</c:v>
                </c:pt>
                <c:pt idx="22">
                  <c:v>160163060418832.5</c:v>
                </c:pt>
                <c:pt idx="23">
                  <c:v>161982545206266.75</c:v>
                </c:pt>
                <c:pt idx="24">
                  <c:v>163802029993701.06</c:v>
                </c:pt>
                <c:pt idx="25">
                  <c:v>165621514781135.31</c:v>
                </c:pt>
                <c:pt idx="26">
                  <c:v>167440999568569.63</c:v>
                </c:pt>
                <c:pt idx="27">
                  <c:v>169260484356003.91</c:v>
                </c:pt>
                <c:pt idx="28">
                  <c:v>171079969143438.19</c:v>
                </c:pt>
                <c:pt idx="29">
                  <c:v>172899453930872.44</c:v>
                </c:pt>
                <c:pt idx="30">
                  <c:v>174718938718306.75</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67617814527218.93</c:v>
                </c:pt>
                <c:pt idx="1">
                  <c:v>72405192016251.578</c:v>
                </c:pt>
                <c:pt idx="2">
                  <c:v>77192569505285.219</c:v>
                </c:pt>
                <c:pt idx="3">
                  <c:v>81979946994319.125</c:v>
                </c:pt>
                <c:pt idx="4">
                  <c:v>87428206827808.188</c:v>
                </c:pt>
                <c:pt idx="5">
                  <c:v>92876466661295.688</c:v>
                </c:pt>
                <c:pt idx="6">
                  <c:v>98324726494784.438</c:v>
                </c:pt>
                <c:pt idx="7">
                  <c:v>103772986328273.2</c:v>
                </c:pt>
                <c:pt idx="8">
                  <c:v>109221246161761.97</c:v>
                </c:pt>
                <c:pt idx="9">
                  <c:v>114669505995250.72</c:v>
                </c:pt>
                <c:pt idx="10">
                  <c:v>120117765828739.47</c:v>
                </c:pt>
                <c:pt idx="11">
                  <c:v>122460188180360.69</c:v>
                </c:pt>
                <c:pt idx="12">
                  <c:v>124802610531981.91</c:v>
                </c:pt>
                <c:pt idx="13">
                  <c:v>127145032883603.13</c:v>
                </c:pt>
                <c:pt idx="14">
                  <c:v>129487455235224.34</c:v>
                </c:pt>
                <c:pt idx="15">
                  <c:v>131829877586845.55</c:v>
                </c:pt>
                <c:pt idx="16">
                  <c:v>134172299938466.75</c:v>
                </c:pt>
                <c:pt idx="17">
                  <c:v>136514722290087.97</c:v>
                </c:pt>
                <c:pt idx="18">
                  <c:v>138857144641709.19</c:v>
                </c:pt>
                <c:pt idx="19">
                  <c:v>141199566993330.41</c:v>
                </c:pt>
                <c:pt idx="20">
                  <c:v>143541989344951.63</c:v>
                </c:pt>
                <c:pt idx="21">
                  <c:v>145174652593326.19</c:v>
                </c:pt>
                <c:pt idx="22">
                  <c:v>146807315841700.78</c:v>
                </c:pt>
                <c:pt idx="23">
                  <c:v>148439979090075.34</c:v>
                </c:pt>
                <c:pt idx="24">
                  <c:v>150072642338449.94</c:v>
                </c:pt>
                <c:pt idx="25">
                  <c:v>151705305586824.5</c:v>
                </c:pt>
                <c:pt idx="26">
                  <c:v>153337968835199.06</c:v>
                </c:pt>
                <c:pt idx="27">
                  <c:v>154970632083573.66</c:v>
                </c:pt>
                <c:pt idx="28">
                  <c:v>156603295331948.22</c:v>
                </c:pt>
                <c:pt idx="29">
                  <c:v>158235958580322.81</c:v>
                </c:pt>
                <c:pt idx="30">
                  <c:v>159868621828697.38</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4722809391498.6816</c:v>
                </c:pt>
                <c:pt idx="1">
                  <c:v>4755248068664.2734</c:v>
                </c:pt>
                <c:pt idx="2">
                  <c:v>4787686745829.8662</c:v>
                </c:pt>
                <c:pt idx="3">
                  <c:v>4820125422995.458</c:v>
                </c:pt>
                <c:pt idx="4">
                  <c:v>4821949242132.7109</c:v>
                </c:pt>
                <c:pt idx="5">
                  <c:v>4823773061269.9531</c:v>
                </c:pt>
                <c:pt idx="6">
                  <c:v>4825596880407.1992</c:v>
                </c:pt>
                <c:pt idx="7">
                  <c:v>4827420699544.4453</c:v>
                </c:pt>
                <c:pt idx="8">
                  <c:v>4829244518681.6914</c:v>
                </c:pt>
                <c:pt idx="9">
                  <c:v>4831068337818.9375</c:v>
                </c:pt>
                <c:pt idx="10">
                  <c:v>4832892156956.1836</c:v>
                </c:pt>
                <c:pt idx="11">
                  <c:v>4835897478473.334</c:v>
                </c:pt>
                <c:pt idx="12">
                  <c:v>4838902799990.4824</c:v>
                </c:pt>
                <c:pt idx="13">
                  <c:v>4841908121507.6309</c:v>
                </c:pt>
                <c:pt idx="14">
                  <c:v>4844913443024.7813</c:v>
                </c:pt>
                <c:pt idx="15">
                  <c:v>4847918764541.9297</c:v>
                </c:pt>
                <c:pt idx="16">
                  <c:v>4850924086059.0791</c:v>
                </c:pt>
                <c:pt idx="17">
                  <c:v>4853929407576.2285</c:v>
                </c:pt>
                <c:pt idx="18">
                  <c:v>4856934729093.377</c:v>
                </c:pt>
                <c:pt idx="19">
                  <c:v>4859940050610.5264</c:v>
                </c:pt>
                <c:pt idx="20">
                  <c:v>4862945372127.6758</c:v>
                </c:pt>
                <c:pt idx="21">
                  <c:v>4827364197061.5059</c:v>
                </c:pt>
                <c:pt idx="22">
                  <c:v>4791783021995.3359</c:v>
                </c:pt>
                <c:pt idx="23">
                  <c:v>4756201846929.166</c:v>
                </c:pt>
                <c:pt idx="24">
                  <c:v>4720620671862.9961</c:v>
                </c:pt>
                <c:pt idx="25">
                  <c:v>4685039496796.8252</c:v>
                </c:pt>
                <c:pt idx="26">
                  <c:v>4649458321730.6553</c:v>
                </c:pt>
                <c:pt idx="27">
                  <c:v>4613877146664.4854</c:v>
                </c:pt>
                <c:pt idx="28">
                  <c:v>4578295971598.3154</c:v>
                </c:pt>
                <c:pt idx="29">
                  <c:v>4542714796532.1455</c:v>
                </c:pt>
                <c:pt idx="30">
                  <c:v>4507133621465.9756</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9234573349156.5391</c:v>
                </c:pt>
                <c:pt idx="1">
                  <c:v>9339028727085.7031</c:v>
                </c:pt>
                <c:pt idx="2">
                  <c:v>9443484105014.8477</c:v>
                </c:pt>
                <c:pt idx="3">
                  <c:v>9547939482943.9961</c:v>
                </c:pt>
                <c:pt idx="4">
                  <c:v>9575240008062.9844</c:v>
                </c:pt>
                <c:pt idx="5">
                  <c:v>9602540533181.9512</c:v>
                </c:pt>
                <c:pt idx="6">
                  <c:v>9629841058300.9297</c:v>
                </c:pt>
                <c:pt idx="7">
                  <c:v>9657141583419.9063</c:v>
                </c:pt>
                <c:pt idx="8">
                  <c:v>9684442108538.8828</c:v>
                </c:pt>
                <c:pt idx="9">
                  <c:v>9711742633657.8594</c:v>
                </c:pt>
                <c:pt idx="10">
                  <c:v>9739043158776.8379</c:v>
                </c:pt>
                <c:pt idx="11">
                  <c:v>9744725085251.2617</c:v>
                </c:pt>
                <c:pt idx="12">
                  <c:v>9750407011725.6875</c:v>
                </c:pt>
                <c:pt idx="13">
                  <c:v>9756088938200.1133</c:v>
                </c:pt>
                <c:pt idx="14">
                  <c:v>9761770864674.5391</c:v>
                </c:pt>
                <c:pt idx="15">
                  <c:v>9767452791148.9648</c:v>
                </c:pt>
                <c:pt idx="16">
                  <c:v>9773134717623.3887</c:v>
                </c:pt>
                <c:pt idx="17">
                  <c:v>9778816644097.8145</c:v>
                </c:pt>
                <c:pt idx="18">
                  <c:v>9784498570572.2402</c:v>
                </c:pt>
                <c:pt idx="19">
                  <c:v>9790180497046.666</c:v>
                </c:pt>
                <c:pt idx="20">
                  <c:v>9795862423521.0898</c:v>
                </c:pt>
                <c:pt idx="21">
                  <c:v>9725490125859.3535</c:v>
                </c:pt>
                <c:pt idx="22">
                  <c:v>9655117828197.6152</c:v>
                </c:pt>
                <c:pt idx="23">
                  <c:v>9584745530535.877</c:v>
                </c:pt>
                <c:pt idx="24">
                  <c:v>9514373232874.1406</c:v>
                </c:pt>
                <c:pt idx="25">
                  <c:v>9444000935212.4023</c:v>
                </c:pt>
                <c:pt idx="26">
                  <c:v>9373628637550.6641</c:v>
                </c:pt>
                <c:pt idx="27">
                  <c:v>9303256339888.9277</c:v>
                </c:pt>
                <c:pt idx="28">
                  <c:v>9232884042227.1914</c:v>
                </c:pt>
                <c:pt idx="29">
                  <c:v>9162511744565.4531</c:v>
                </c:pt>
                <c:pt idx="30">
                  <c:v>9092139446903.7148</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129141560287363.61</c:v>
                </c:pt>
                <c:pt idx="1">
                  <c:v>129917176281023.66</c:v>
                </c:pt>
                <c:pt idx="2">
                  <c:v>130692792274683.69</c:v>
                </c:pt>
                <c:pt idx="3">
                  <c:v>131468408268343.73</c:v>
                </c:pt>
                <c:pt idx="4">
                  <c:v>133433089249496.88</c:v>
                </c:pt>
                <c:pt idx="5">
                  <c:v>135397770230650.03</c:v>
                </c:pt>
                <c:pt idx="6">
                  <c:v>137362451211803.16</c:v>
                </c:pt>
                <c:pt idx="7">
                  <c:v>139327132192956.31</c:v>
                </c:pt>
                <c:pt idx="8">
                  <c:v>141291813174109.44</c:v>
                </c:pt>
                <c:pt idx="9">
                  <c:v>143256494155262.59</c:v>
                </c:pt>
                <c:pt idx="10">
                  <c:v>145221175136415.75</c:v>
                </c:pt>
                <c:pt idx="11">
                  <c:v>145165194121404.22</c:v>
                </c:pt>
                <c:pt idx="12">
                  <c:v>145109213106392.69</c:v>
                </c:pt>
                <c:pt idx="13">
                  <c:v>145053232091381.13</c:v>
                </c:pt>
                <c:pt idx="14">
                  <c:v>144997251076369.63</c:v>
                </c:pt>
                <c:pt idx="15">
                  <c:v>144941270061358.06</c:v>
                </c:pt>
                <c:pt idx="16">
                  <c:v>144885289046346.56</c:v>
                </c:pt>
                <c:pt idx="17">
                  <c:v>144829308031335</c:v>
                </c:pt>
                <c:pt idx="18">
                  <c:v>144773327016323.5</c:v>
                </c:pt>
                <c:pt idx="19">
                  <c:v>144717346001311.97</c:v>
                </c:pt>
                <c:pt idx="20">
                  <c:v>144661364986300.44</c:v>
                </c:pt>
                <c:pt idx="21">
                  <c:v>143897704692942.56</c:v>
                </c:pt>
                <c:pt idx="22">
                  <c:v>143134044399584.69</c:v>
                </c:pt>
                <c:pt idx="23">
                  <c:v>142370384106226.81</c:v>
                </c:pt>
                <c:pt idx="24">
                  <c:v>141606723812868.97</c:v>
                </c:pt>
                <c:pt idx="25">
                  <c:v>140843063519511.09</c:v>
                </c:pt>
                <c:pt idx="26">
                  <c:v>140079403226153.22</c:v>
                </c:pt>
                <c:pt idx="27">
                  <c:v>139315742932795.36</c:v>
                </c:pt>
                <c:pt idx="28">
                  <c:v>138552082639437.5</c:v>
                </c:pt>
                <c:pt idx="29">
                  <c:v>137788422346079.63</c:v>
                </c:pt>
                <c:pt idx="30">
                  <c:v>137024762052721.75</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13544364000324.152</c:v>
                </c:pt>
                <c:pt idx="1">
                  <c:v>14151598190851.203</c:v>
                </c:pt>
                <c:pt idx="2">
                  <c:v>14758832381378.25</c:v>
                </c:pt>
                <c:pt idx="3">
                  <c:v>15366066571905.301</c:v>
                </c:pt>
                <c:pt idx="4">
                  <c:v>16189654142606.188</c:v>
                </c:pt>
                <c:pt idx="5">
                  <c:v>17013241713307.109</c:v>
                </c:pt>
                <c:pt idx="6">
                  <c:v>17836829284007.988</c:v>
                </c:pt>
                <c:pt idx="7">
                  <c:v>18660416854708.859</c:v>
                </c:pt>
                <c:pt idx="8">
                  <c:v>19484004425409.738</c:v>
                </c:pt>
                <c:pt idx="9">
                  <c:v>20307591996110.609</c:v>
                </c:pt>
                <c:pt idx="10">
                  <c:v>21131179566811.488</c:v>
                </c:pt>
                <c:pt idx="11">
                  <c:v>21206487808386.859</c:v>
                </c:pt>
                <c:pt idx="12">
                  <c:v>21281796049962.227</c:v>
                </c:pt>
                <c:pt idx="13">
                  <c:v>21357104291537.602</c:v>
                </c:pt>
                <c:pt idx="14">
                  <c:v>21432412533112.977</c:v>
                </c:pt>
                <c:pt idx="15">
                  <c:v>21507720774688.344</c:v>
                </c:pt>
                <c:pt idx="16">
                  <c:v>21583029016263.719</c:v>
                </c:pt>
                <c:pt idx="17">
                  <c:v>21658337257839.09</c:v>
                </c:pt>
                <c:pt idx="18">
                  <c:v>21733645499414.461</c:v>
                </c:pt>
                <c:pt idx="19">
                  <c:v>21808953740989.836</c:v>
                </c:pt>
                <c:pt idx="20">
                  <c:v>21884261982565.203</c:v>
                </c:pt>
                <c:pt idx="21">
                  <c:v>21710575254885.105</c:v>
                </c:pt>
                <c:pt idx="22">
                  <c:v>21536888527205.008</c:v>
                </c:pt>
                <c:pt idx="23">
                  <c:v>21363201799524.906</c:v>
                </c:pt>
                <c:pt idx="24">
                  <c:v>21189515071844.805</c:v>
                </c:pt>
                <c:pt idx="25">
                  <c:v>21015828344164.707</c:v>
                </c:pt>
                <c:pt idx="26">
                  <c:v>20842141616484.605</c:v>
                </c:pt>
                <c:pt idx="27">
                  <c:v>20668454888804.504</c:v>
                </c:pt>
                <c:pt idx="28">
                  <c:v>20494768161124.406</c:v>
                </c:pt>
                <c:pt idx="29">
                  <c:v>20321081433444.305</c:v>
                </c:pt>
                <c:pt idx="30">
                  <c:v>20147394705764.203</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23228277313295.039</c:v>
                </c:pt>
                <c:pt idx="1">
                  <c:v>24140132701872.406</c:v>
                </c:pt>
                <c:pt idx="2">
                  <c:v>25051988090449.773</c:v>
                </c:pt>
                <c:pt idx="3">
                  <c:v>25963843479027.137</c:v>
                </c:pt>
                <c:pt idx="4">
                  <c:v>27298719721828.789</c:v>
                </c:pt>
                <c:pt idx="5">
                  <c:v>28633595964630.527</c:v>
                </c:pt>
                <c:pt idx="6">
                  <c:v>29968472207432.191</c:v>
                </c:pt>
                <c:pt idx="7">
                  <c:v>31303348450233.852</c:v>
                </c:pt>
                <c:pt idx="8">
                  <c:v>32638224693035.516</c:v>
                </c:pt>
                <c:pt idx="9">
                  <c:v>33973100935837.18</c:v>
                </c:pt>
                <c:pt idx="10">
                  <c:v>35307977178638.844</c:v>
                </c:pt>
                <c:pt idx="11">
                  <c:v>35438601551824.844</c:v>
                </c:pt>
                <c:pt idx="12">
                  <c:v>35569225925010.859</c:v>
                </c:pt>
                <c:pt idx="13">
                  <c:v>35699850298196.867</c:v>
                </c:pt>
                <c:pt idx="14">
                  <c:v>35830474671382.875</c:v>
                </c:pt>
                <c:pt idx="15">
                  <c:v>35961099044568.883</c:v>
                </c:pt>
                <c:pt idx="16">
                  <c:v>36091723417754.891</c:v>
                </c:pt>
                <c:pt idx="17">
                  <c:v>36222347790940.906</c:v>
                </c:pt>
                <c:pt idx="18">
                  <c:v>36352972164126.914</c:v>
                </c:pt>
                <c:pt idx="19">
                  <c:v>36483596537312.922</c:v>
                </c:pt>
                <c:pt idx="20">
                  <c:v>36614220910498.93</c:v>
                </c:pt>
                <c:pt idx="21">
                  <c:v>36342767852429.406</c:v>
                </c:pt>
                <c:pt idx="22">
                  <c:v>36071314794359.875</c:v>
                </c:pt>
                <c:pt idx="23">
                  <c:v>35799861736290.359</c:v>
                </c:pt>
                <c:pt idx="24">
                  <c:v>35528408678220.828</c:v>
                </c:pt>
                <c:pt idx="25">
                  <c:v>35256955620151.313</c:v>
                </c:pt>
                <c:pt idx="26">
                  <c:v>34985502562081.785</c:v>
                </c:pt>
                <c:pt idx="27">
                  <c:v>34714049504012.262</c:v>
                </c:pt>
                <c:pt idx="28">
                  <c:v>34442596445942.734</c:v>
                </c:pt>
                <c:pt idx="29">
                  <c:v>34171143387873.211</c:v>
                </c:pt>
                <c:pt idx="30">
                  <c:v>33899690329803.688</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123130623300294.22</c:v>
                </c:pt>
                <c:pt idx="1">
                  <c:v>126416738819345.91</c:v>
                </c:pt>
                <c:pt idx="2">
                  <c:v>129702854338398.88</c:v>
                </c:pt>
                <c:pt idx="3">
                  <c:v>132988969857451.19</c:v>
                </c:pt>
                <c:pt idx="4">
                  <c:v>134851185557066.39</c:v>
                </c:pt>
                <c:pt idx="5">
                  <c:v>136713401256681.5</c:v>
                </c:pt>
                <c:pt idx="6">
                  <c:v>138575616956296.66</c:v>
                </c:pt>
                <c:pt idx="7">
                  <c:v>140437832655911.84</c:v>
                </c:pt>
                <c:pt idx="8">
                  <c:v>142300048355527</c:v>
                </c:pt>
                <c:pt idx="9">
                  <c:v>144162264055142.16</c:v>
                </c:pt>
                <c:pt idx="10">
                  <c:v>146024479754757.31</c:v>
                </c:pt>
                <c:pt idx="11">
                  <c:v>146829568335381.75</c:v>
                </c:pt>
                <c:pt idx="12">
                  <c:v>147634656916006.19</c:v>
                </c:pt>
                <c:pt idx="13">
                  <c:v>148439745496630.59</c:v>
                </c:pt>
                <c:pt idx="14">
                  <c:v>149244834077255.03</c:v>
                </c:pt>
                <c:pt idx="15">
                  <c:v>150049922657879.44</c:v>
                </c:pt>
                <c:pt idx="16">
                  <c:v>150855011238503.91</c:v>
                </c:pt>
                <c:pt idx="17">
                  <c:v>151660099819128.31</c:v>
                </c:pt>
                <c:pt idx="18">
                  <c:v>152465188399752.75</c:v>
                </c:pt>
                <c:pt idx="19">
                  <c:v>153270276980377.16</c:v>
                </c:pt>
                <c:pt idx="20">
                  <c:v>154075365561001.56</c:v>
                </c:pt>
                <c:pt idx="21">
                  <c:v>153597938814000.81</c:v>
                </c:pt>
                <c:pt idx="22">
                  <c:v>153120512067000.06</c:v>
                </c:pt>
                <c:pt idx="23">
                  <c:v>152643085319999.34</c:v>
                </c:pt>
                <c:pt idx="24">
                  <c:v>152165658572998.59</c:v>
                </c:pt>
                <c:pt idx="25">
                  <c:v>151688231825997.88</c:v>
                </c:pt>
                <c:pt idx="26">
                  <c:v>151210805078997.13</c:v>
                </c:pt>
                <c:pt idx="27">
                  <c:v>150733378331996.41</c:v>
                </c:pt>
                <c:pt idx="28">
                  <c:v>150255951584995.69</c:v>
                </c:pt>
                <c:pt idx="29">
                  <c:v>149778524837994.94</c:v>
                </c:pt>
                <c:pt idx="30">
                  <c:v>149301098090994.25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20462611649024.242</c:v>
                </c:pt>
                <c:pt idx="1">
                  <c:v>21029590249548.637</c:v>
                </c:pt>
                <c:pt idx="2">
                  <c:v>21596568850073.25</c:v>
                </c:pt>
                <c:pt idx="3">
                  <c:v>22163547450597.766</c:v>
                </c:pt>
                <c:pt idx="4">
                  <c:v>22482568248347.039</c:v>
                </c:pt>
                <c:pt idx="5">
                  <c:v>22801589046096.32</c:v>
                </c:pt>
                <c:pt idx="6">
                  <c:v>23120609843845.602</c:v>
                </c:pt>
                <c:pt idx="7">
                  <c:v>23439630641594.883</c:v>
                </c:pt>
                <c:pt idx="8">
                  <c:v>23758651439344.164</c:v>
                </c:pt>
                <c:pt idx="9">
                  <c:v>24077672237093.441</c:v>
                </c:pt>
                <c:pt idx="10">
                  <c:v>24396693034842.723</c:v>
                </c:pt>
                <c:pt idx="11">
                  <c:v>24532655282716.445</c:v>
                </c:pt>
                <c:pt idx="12">
                  <c:v>24668617530590.168</c:v>
                </c:pt>
                <c:pt idx="13">
                  <c:v>24804579778463.891</c:v>
                </c:pt>
                <c:pt idx="14">
                  <c:v>24940542026337.617</c:v>
                </c:pt>
                <c:pt idx="15">
                  <c:v>25076504274211.336</c:v>
                </c:pt>
                <c:pt idx="16">
                  <c:v>25212466522085.063</c:v>
                </c:pt>
                <c:pt idx="17">
                  <c:v>25348428769958.781</c:v>
                </c:pt>
                <c:pt idx="18">
                  <c:v>25484391017832.508</c:v>
                </c:pt>
                <c:pt idx="19">
                  <c:v>25620353265706.227</c:v>
                </c:pt>
                <c:pt idx="20">
                  <c:v>25756315513579.949</c:v>
                </c:pt>
                <c:pt idx="21">
                  <c:v>25676917176506.551</c:v>
                </c:pt>
                <c:pt idx="22">
                  <c:v>25597518839433.156</c:v>
                </c:pt>
                <c:pt idx="23">
                  <c:v>25518120502359.766</c:v>
                </c:pt>
                <c:pt idx="24">
                  <c:v>25438722165286.367</c:v>
                </c:pt>
                <c:pt idx="25">
                  <c:v>25359323828212.977</c:v>
                </c:pt>
                <c:pt idx="26">
                  <c:v>25279925491139.586</c:v>
                </c:pt>
                <c:pt idx="27">
                  <c:v>25200527154066.188</c:v>
                </c:pt>
                <c:pt idx="28">
                  <c:v>25121128816992.797</c:v>
                </c:pt>
                <c:pt idx="29">
                  <c:v>25041730479919.406</c:v>
                </c:pt>
                <c:pt idx="30">
                  <c:v>24962332142846.016</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27854718057561.02</c:v>
                </c:pt>
                <c:pt idx="1">
                  <c:v>28717853116252.645</c:v>
                </c:pt>
                <c:pt idx="2">
                  <c:v>29580988174944.621</c:v>
                </c:pt>
                <c:pt idx="3">
                  <c:v>30444123233636.426</c:v>
                </c:pt>
                <c:pt idx="4">
                  <c:v>30920165323636.176</c:v>
                </c:pt>
                <c:pt idx="5">
                  <c:v>31396207413635.91</c:v>
                </c:pt>
                <c:pt idx="6">
                  <c:v>31872249503635.656</c:v>
                </c:pt>
                <c:pt idx="7">
                  <c:v>32348291593635.395</c:v>
                </c:pt>
                <c:pt idx="8">
                  <c:v>32824333683635.141</c:v>
                </c:pt>
                <c:pt idx="9">
                  <c:v>33300375773634.879</c:v>
                </c:pt>
                <c:pt idx="10">
                  <c:v>33776417863634.621</c:v>
                </c:pt>
                <c:pt idx="11">
                  <c:v>33970982142202.758</c:v>
                </c:pt>
                <c:pt idx="12">
                  <c:v>34165546420770.879</c:v>
                </c:pt>
                <c:pt idx="13">
                  <c:v>34360110699339.008</c:v>
                </c:pt>
                <c:pt idx="14">
                  <c:v>34554674977907.137</c:v>
                </c:pt>
                <c:pt idx="15">
                  <c:v>34749239256475.266</c:v>
                </c:pt>
                <c:pt idx="16">
                  <c:v>34943803535043.395</c:v>
                </c:pt>
                <c:pt idx="17">
                  <c:v>35138367813611.523</c:v>
                </c:pt>
                <c:pt idx="18">
                  <c:v>35332932092179.656</c:v>
                </c:pt>
                <c:pt idx="19">
                  <c:v>35527496370747.781</c:v>
                </c:pt>
                <c:pt idx="20">
                  <c:v>35722060649315.906</c:v>
                </c:pt>
                <c:pt idx="21">
                  <c:v>35613732043097.266</c:v>
                </c:pt>
                <c:pt idx="22">
                  <c:v>35505403436878.641</c:v>
                </c:pt>
                <c:pt idx="23">
                  <c:v>35397074830660.023</c:v>
                </c:pt>
                <c:pt idx="24">
                  <c:v>35288746224441.398</c:v>
                </c:pt>
                <c:pt idx="25">
                  <c:v>35180417618222.773</c:v>
                </c:pt>
                <c:pt idx="26">
                  <c:v>35072089012004.152</c:v>
                </c:pt>
                <c:pt idx="27">
                  <c:v>34963760405785.531</c:v>
                </c:pt>
                <c:pt idx="28">
                  <c:v>34855431799566.906</c:v>
                </c:pt>
                <c:pt idx="29">
                  <c:v>34747103193348.289</c:v>
                </c:pt>
                <c:pt idx="30">
                  <c:v>34638774587129.68</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46932649749182.141</c:v>
                </c:pt>
                <c:pt idx="1">
                  <c:v>47929800183843.906</c:v>
                </c:pt>
                <c:pt idx="2">
                  <c:v>48926950618506</c:v>
                </c:pt>
                <c:pt idx="3">
                  <c:v>49924101053167.938</c:v>
                </c:pt>
                <c:pt idx="4">
                  <c:v>50517095392693.828</c:v>
                </c:pt>
                <c:pt idx="5">
                  <c:v>51110089732219.75</c:v>
                </c:pt>
                <c:pt idx="6">
                  <c:v>51703084071745.656</c:v>
                </c:pt>
                <c:pt idx="7">
                  <c:v>52296078411271.563</c:v>
                </c:pt>
                <c:pt idx="8">
                  <c:v>52889072750797.461</c:v>
                </c:pt>
                <c:pt idx="9">
                  <c:v>53482067090323.359</c:v>
                </c:pt>
                <c:pt idx="10">
                  <c:v>54075061429849.266</c:v>
                </c:pt>
                <c:pt idx="11">
                  <c:v>54355406428762.406</c:v>
                </c:pt>
                <c:pt idx="12">
                  <c:v>54635751427675.563</c:v>
                </c:pt>
                <c:pt idx="13">
                  <c:v>54916096426588.711</c:v>
                </c:pt>
                <c:pt idx="14">
                  <c:v>55196441425501.844</c:v>
                </c:pt>
                <c:pt idx="15">
                  <c:v>55476786424415</c:v>
                </c:pt>
                <c:pt idx="16">
                  <c:v>55757131423328.141</c:v>
                </c:pt>
                <c:pt idx="17">
                  <c:v>56037476422241.297</c:v>
                </c:pt>
                <c:pt idx="18">
                  <c:v>56317821421154.438</c:v>
                </c:pt>
                <c:pt idx="19">
                  <c:v>56598166420067.578</c:v>
                </c:pt>
                <c:pt idx="20">
                  <c:v>56878511418980.727</c:v>
                </c:pt>
                <c:pt idx="21">
                  <c:v>56697227254441.484</c:v>
                </c:pt>
                <c:pt idx="22">
                  <c:v>56515943089902.234</c:v>
                </c:pt>
                <c:pt idx="23">
                  <c:v>56334658925362.984</c:v>
                </c:pt>
                <c:pt idx="24">
                  <c:v>56153374760823.734</c:v>
                </c:pt>
                <c:pt idx="25">
                  <c:v>55972090596284.5</c:v>
                </c:pt>
                <c:pt idx="26">
                  <c:v>55790806431745.25</c:v>
                </c:pt>
                <c:pt idx="27">
                  <c:v>55609522267206</c:v>
                </c:pt>
                <c:pt idx="28">
                  <c:v>55428238102666.75</c:v>
                </c:pt>
                <c:pt idx="29">
                  <c:v>55246953938127.5</c:v>
                </c:pt>
                <c:pt idx="30">
                  <c:v>55065669773588.266</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8794813904069.4072</c:v>
                </c:pt>
                <c:pt idx="1">
                  <c:v>9032832990733.3457</c:v>
                </c:pt>
                <c:pt idx="2">
                  <c:v>9270852077397.3789</c:v>
                </c:pt>
                <c:pt idx="3">
                  <c:v>9508871164061.3613</c:v>
                </c:pt>
                <c:pt idx="4">
                  <c:v>9643393676456.3945</c:v>
                </c:pt>
                <c:pt idx="5">
                  <c:v>9777916188851.4277</c:v>
                </c:pt>
                <c:pt idx="6">
                  <c:v>9912438701246.4648</c:v>
                </c:pt>
                <c:pt idx="7">
                  <c:v>10046961213641.5</c:v>
                </c:pt>
                <c:pt idx="8">
                  <c:v>10181483726036.535</c:v>
                </c:pt>
                <c:pt idx="9">
                  <c:v>10316006238431.57</c:v>
                </c:pt>
                <c:pt idx="10">
                  <c:v>10450528750826.604</c:v>
                </c:pt>
                <c:pt idx="11">
                  <c:v>10508376575086.221</c:v>
                </c:pt>
                <c:pt idx="12">
                  <c:v>10566224399345.832</c:v>
                </c:pt>
                <c:pt idx="13">
                  <c:v>10624072223605.447</c:v>
                </c:pt>
                <c:pt idx="14">
                  <c:v>10681920047865.063</c:v>
                </c:pt>
                <c:pt idx="15">
                  <c:v>10739767872124.676</c:v>
                </c:pt>
                <c:pt idx="16">
                  <c:v>10797615696384.289</c:v>
                </c:pt>
                <c:pt idx="17">
                  <c:v>10855463520643.904</c:v>
                </c:pt>
                <c:pt idx="18">
                  <c:v>10913311344903.518</c:v>
                </c:pt>
                <c:pt idx="19">
                  <c:v>10971159169163.133</c:v>
                </c:pt>
                <c:pt idx="20">
                  <c:v>11029006993422.744</c:v>
                </c:pt>
                <c:pt idx="21">
                  <c:v>10994897021485.693</c:v>
                </c:pt>
                <c:pt idx="22">
                  <c:v>10960787049548.645</c:v>
                </c:pt>
                <c:pt idx="23">
                  <c:v>10926677077611.596</c:v>
                </c:pt>
                <c:pt idx="24">
                  <c:v>10892567105674.547</c:v>
                </c:pt>
                <c:pt idx="25">
                  <c:v>10858457133737.496</c:v>
                </c:pt>
                <c:pt idx="26">
                  <c:v>10824347161800.449</c:v>
                </c:pt>
                <c:pt idx="27">
                  <c:v>10790237189863.398</c:v>
                </c:pt>
                <c:pt idx="28">
                  <c:v>10756127217926.348</c:v>
                </c:pt>
                <c:pt idx="29">
                  <c:v>10722017245989.301</c:v>
                </c:pt>
                <c:pt idx="30">
                  <c:v>10687907274052.256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7079324138423.2734</c:v>
                </c:pt>
                <c:pt idx="1">
                  <c:v>7114362122387.5518</c:v>
                </c:pt>
                <c:pt idx="2">
                  <c:v>7149400106351.8135</c:v>
                </c:pt>
                <c:pt idx="3">
                  <c:v>7184438090316.0762</c:v>
                </c:pt>
                <c:pt idx="4">
                  <c:v>7179312197037.7109</c:v>
                </c:pt>
                <c:pt idx="5">
                  <c:v>7174186303759.332</c:v>
                </c:pt>
                <c:pt idx="6">
                  <c:v>7169060410480.957</c:v>
                </c:pt>
                <c:pt idx="7">
                  <c:v>7163934517202.5811</c:v>
                </c:pt>
                <c:pt idx="8">
                  <c:v>7158808623924.2051</c:v>
                </c:pt>
                <c:pt idx="9">
                  <c:v>7153682730645.8291</c:v>
                </c:pt>
                <c:pt idx="10">
                  <c:v>7148556837367.4541</c:v>
                </c:pt>
                <c:pt idx="11">
                  <c:v>7153126090732.5088</c:v>
                </c:pt>
                <c:pt idx="12">
                  <c:v>7157695344097.5645</c:v>
                </c:pt>
                <c:pt idx="13">
                  <c:v>7162264597462.6191</c:v>
                </c:pt>
                <c:pt idx="14">
                  <c:v>7166833850827.6738</c:v>
                </c:pt>
                <c:pt idx="15">
                  <c:v>7171403104192.7285</c:v>
                </c:pt>
                <c:pt idx="16">
                  <c:v>7175972357557.7832</c:v>
                </c:pt>
                <c:pt idx="17">
                  <c:v>7180541610922.8389</c:v>
                </c:pt>
                <c:pt idx="18">
                  <c:v>7185110864287.8926</c:v>
                </c:pt>
                <c:pt idx="19">
                  <c:v>7189680117652.9492</c:v>
                </c:pt>
                <c:pt idx="20">
                  <c:v>7194249371018.0029</c:v>
                </c:pt>
                <c:pt idx="21">
                  <c:v>7141179352940.8262</c:v>
                </c:pt>
                <c:pt idx="22">
                  <c:v>7088109334863.6484</c:v>
                </c:pt>
                <c:pt idx="23">
                  <c:v>7035039316786.4707</c:v>
                </c:pt>
                <c:pt idx="24">
                  <c:v>6981969298709.293</c:v>
                </c:pt>
                <c:pt idx="25">
                  <c:v>6928899280632.1152</c:v>
                </c:pt>
                <c:pt idx="26">
                  <c:v>6875829262554.9375</c:v>
                </c:pt>
                <c:pt idx="27">
                  <c:v>6822759244477.7598</c:v>
                </c:pt>
                <c:pt idx="28">
                  <c:v>6769689226400.582</c:v>
                </c:pt>
                <c:pt idx="29">
                  <c:v>6716619208323.4043</c:v>
                </c:pt>
                <c:pt idx="30">
                  <c:v>6663549190246.2266</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7777408729323.2285</c:v>
                </c:pt>
                <c:pt idx="1">
                  <c:v>7785186138052.5508</c:v>
                </c:pt>
                <c:pt idx="2">
                  <c:v>7792971324190.6016</c:v>
                </c:pt>
                <c:pt idx="3">
                  <c:v>7800764295514.791</c:v>
                </c:pt>
                <c:pt idx="4">
                  <c:v>7808565059810.3047</c:v>
                </c:pt>
                <c:pt idx="5">
                  <c:v>7816373624870.1152</c:v>
                </c:pt>
                <c:pt idx="6">
                  <c:v>7824189998494.9844</c:v>
                </c:pt>
                <c:pt idx="7">
                  <c:v>7832014188493.4785</c:v>
                </c:pt>
                <c:pt idx="8">
                  <c:v>7839846202681.9707</c:v>
                </c:pt>
                <c:pt idx="9">
                  <c:v>7847686048884.6523</c:v>
                </c:pt>
                <c:pt idx="10">
                  <c:v>7855533734933.5361</c:v>
                </c:pt>
                <c:pt idx="11">
                  <c:v>7863389268668.4688</c:v>
                </c:pt>
                <c:pt idx="12">
                  <c:v>7871252657937.1367</c:v>
                </c:pt>
                <c:pt idx="13">
                  <c:v>7879123910595.0723</c:v>
                </c:pt>
                <c:pt idx="14">
                  <c:v>7887003034505.666</c:v>
                </c:pt>
                <c:pt idx="15">
                  <c:v>7894890037540.1709</c:v>
                </c:pt>
                <c:pt idx="16">
                  <c:v>7902784927577.7109</c:v>
                </c:pt>
                <c:pt idx="17">
                  <c:v>7910687712505.2871</c:v>
                </c:pt>
                <c:pt idx="18">
                  <c:v>7918598400217.791</c:v>
                </c:pt>
                <c:pt idx="19">
                  <c:v>7926516998618.0088</c:v>
                </c:pt>
                <c:pt idx="20">
                  <c:v>7934443515616.627</c:v>
                </c:pt>
                <c:pt idx="21">
                  <c:v>7894771298038.543</c:v>
                </c:pt>
                <c:pt idx="22">
                  <c:v>7855297441548.3506</c:v>
                </c:pt>
                <c:pt idx="23">
                  <c:v>7816020954340.6084</c:v>
                </c:pt>
                <c:pt idx="24">
                  <c:v>7776940849568.9053</c:v>
                </c:pt>
                <c:pt idx="25">
                  <c:v>7738056145321.0605</c:v>
                </c:pt>
                <c:pt idx="26">
                  <c:v>7699365864594.4551</c:v>
                </c:pt>
                <c:pt idx="27">
                  <c:v>7660869035271.4834</c:v>
                </c:pt>
                <c:pt idx="28">
                  <c:v>7622564690095.127</c:v>
                </c:pt>
                <c:pt idx="29">
                  <c:v>7584451866644.6504</c:v>
                </c:pt>
                <c:pt idx="30">
                  <c:v>7546529607311.4277</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7261578703.5887556</c:v>
                </c:pt>
                <c:pt idx="1">
                  <c:v>7411772713.2242012</c:v>
                </c:pt>
                <c:pt idx="2">
                  <c:v>7561966722.8596478</c:v>
                </c:pt>
                <c:pt idx="3">
                  <c:v>7712160732.4950933</c:v>
                </c:pt>
                <c:pt idx="4">
                  <c:v>7772998596.6175051</c:v>
                </c:pt>
                <c:pt idx="5">
                  <c:v>7833836460.7399197</c:v>
                </c:pt>
                <c:pt idx="6">
                  <c:v>7894674324.8623362</c:v>
                </c:pt>
                <c:pt idx="7">
                  <c:v>7955512188.9847517</c:v>
                </c:pt>
                <c:pt idx="8">
                  <c:v>8016350053.1071663</c:v>
                </c:pt>
                <c:pt idx="9">
                  <c:v>8077187917.2295828</c:v>
                </c:pt>
                <c:pt idx="10">
                  <c:v>8138025781.3519983</c:v>
                </c:pt>
                <c:pt idx="11">
                  <c:v>8142171247.3529329</c:v>
                </c:pt>
                <c:pt idx="12">
                  <c:v>8146316713.3538675</c:v>
                </c:pt>
                <c:pt idx="13">
                  <c:v>8150462179.3548021</c:v>
                </c:pt>
                <c:pt idx="14">
                  <c:v>8154607645.3557367</c:v>
                </c:pt>
                <c:pt idx="15">
                  <c:v>8158753111.3566713</c:v>
                </c:pt>
                <c:pt idx="16">
                  <c:v>8162898577.357605</c:v>
                </c:pt>
                <c:pt idx="17">
                  <c:v>8167044043.3585396</c:v>
                </c:pt>
                <c:pt idx="18">
                  <c:v>8171189509.3594742</c:v>
                </c:pt>
                <c:pt idx="19">
                  <c:v>8175334975.3604078</c:v>
                </c:pt>
                <c:pt idx="20">
                  <c:v>8179480441.3613424</c:v>
                </c:pt>
                <c:pt idx="21">
                  <c:v>8122816467.9668465</c:v>
                </c:pt>
                <c:pt idx="22">
                  <c:v>8066152494.5723486</c:v>
                </c:pt>
                <c:pt idx="23">
                  <c:v>8009488521.1778526</c:v>
                </c:pt>
                <c:pt idx="24">
                  <c:v>7952824547.7833548</c:v>
                </c:pt>
                <c:pt idx="25">
                  <c:v>7896160574.3888569</c:v>
                </c:pt>
                <c:pt idx="26">
                  <c:v>7839496600.9943609</c:v>
                </c:pt>
                <c:pt idx="27">
                  <c:v>7782832627.5998631</c:v>
                </c:pt>
                <c:pt idx="28">
                  <c:v>7726168654.2053661</c:v>
                </c:pt>
                <c:pt idx="29">
                  <c:v>7669504680.8108702</c:v>
                </c:pt>
                <c:pt idx="30">
                  <c:v>7612840707.4163713</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789410464995.25098</c:v>
                </c:pt>
                <c:pt idx="1">
                  <c:v>816902422841.80444</c:v>
                </c:pt>
                <c:pt idx="2">
                  <c:v>844394380688.35803</c:v>
                </c:pt>
                <c:pt idx="3">
                  <c:v>871886338534.9115</c:v>
                </c:pt>
                <c:pt idx="4">
                  <c:v>882003183126.05042</c:v>
                </c:pt>
                <c:pt idx="5">
                  <c:v>892120027717.18921</c:v>
                </c:pt>
                <c:pt idx="6">
                  <c:v>902236872308.32788</c:v>
                </c:pt>
                <c:pt idx="7">
                  <c:v>912353716899.46655</c:v>
                </c:pt>
                <c:pt idx="8">
                  <c:v>922470561490.60547</c:v>
                </c:pt>
                <c:pt idx="9">
                  <c:v>932587406081.74414</c:v>
                </c:pt>
                <c:pt idx="10">
                  <c:v>942704250672.88293</c:v>
                </c:pt>
                <c:pt idx="11">
                  <c:v>944802692166.17773</c:v>
                </c:pt>
                <c:pt idx="12">
                  <c:v>946901133659.47241</c:v>
                </c:pt>
                <c:pt idx="13">
                  <c:v>948999575152.76709</c:v>
                </c:pt>
                <c:pt idx="14">
                  <c:v>951098016646.06189</c:v>
                </c:pt>
                <c:pt idx="15">
                  <c:v>953196458139.35657</c:v>
                </c:pt>
                <c:pt idx="16">
                  <c:v>955294899632.65112</c:v>
                </c:pt>
                <c:pt idx="17">
                  <c:v>957393341125.94604</c:v>
                </c:pt>
                <c:pt idx="18">
                  <c:v>959491782619.24072</c:v>
                </c:pt>
                <c:pt idx="19">
                  <c:v>961590224112.5354</c:v>
                </c:pt>
                <c:pt idx="20">
                  <c:v>963688665605.83008</c:v>
                </c:pt>
                <c:pt idx="21">
                  <c:v>959774496453.04175</c:v>
                </c:pt>
                <c:pt idx="22">
                  <c:v>955860327300.25366</c:v>
                </c:pt>
                <c:pt idx="23">
                  <c:v>951946158147.46533</c:v>
                </c:pt>
                <c:pt idx="24">
                  <c:v>948031988994.67712</c:v>
                </c:pt>
                <c:pt idx="25">
                  <c:v>944117819841.88879</c:v>
                </c:pt>
                <c:pt idx="26">
                  <c:v>940203650689.10059</c:v>
                </c:pt>
                <c:pt idx="27">
                  <c:v>936289481536.31238</c:v>
                </c:pt>
                <c:pt idx="28">
                  <c:v>932375312383.52417</c:v>
                </c:pt>
                <c:pt idx="29">
                  <c:v>928461143230.73584</c:v>
                </c:pt>
                <c:pt idx="30">
                  <c:v>924546974077.94751</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48119394099.44635</c:v>
                </c:pt>
                <c:pt idx="1">
                  <c:v>49492223293.900063</c:v>
                </c:pt>
                <c:pt idx="2">
                  <c:v>50865052488.353783</c:v>
                </c:pt>
                <c:pt idx="3">
                  <c:v>52237881682.807487</c:v>
                </c:pt>
                <c:pt idx="4">
                  <c:v>52858125915.769669</c:v>
                </c:pt>
                <c:pt idx="5">
                  <c:v>53478370148.731842</c:v>
                </c:pt>
                <c:pt idx="6">
                  <c:v>54098614381.694023</c:v>
                </c:pt>
                <c:pt idx="7">
                  <c:v>54718858614.656197</c:v>
                </c:pt>
                <c:pt idx="8">
                  <c:v>55339102847.61837</c:v>
                </c:pt>
                <c:pt idx="9">
                  <c:v>55959347080.580559</c:v>
                </c:pt>
                <c:pt idx="10">
                  <c:v>56579591313.542725</c:v>
                </c:pt>
                <c:pt idx="11">
                  <c:v>56606031234.054024</c:v>
                </c:pt>
                <c:pt idx="12">
                  <c:v>56632471154.5653</c:v>
                </c:pt>
                <c:pt idx="13">
                  <c:v>56658911075.076591</c:v>
                </c:pt>
                <c:pt idx="14">
                  <c:v>56685350995.587883</c:v>
                </c:pt>
                <c:pt idx="15">
                  <c:v>56711790916.099174</c:v>
                </c:pt>
                <c:pt idx="16">
                  <c:v>56738230836.610451</c:v>
                </c:pt>
                <c:pt idx="17">
                  <c:v>56764670757.121742</c:v>
                </c:pt>
                <c:pt idx="18">
                  <c:v>56791110677.633034</c:v>
                </c:pt>
                <c:pt idx="19">
                  <c:v>56817550598.144325</c:v>
                </c:pt>
                <c:pt idx="20">
                  <c:v>56843990518.655602</c:v>
                </c:pt>
                <c:pt idx="21">
                  <c:v>56462240151.144379</c:v>
                </c:pt>
                <c:pt idx="22">
                  <c:v>56080489783.633148</c:v>
                </c:pt>
                <c:pt idx="23">
                  <c:v>55698739416.12191</c:v>
                </c:pt>
                <c:pt idx="24">
                  <c:v>55316989048.610687</c:v>
                </c:pt>
                <c:pt idx="25">
                  <c:v>54935238681.099464</c:v>
                </c:pt>
                <c:pt idx="26">
                  <c:v>54553488313.588226</c:v>
                </c:pt>
                <c:pt idx="27">
                  <c:v>54171737946.076996</c:v>
                </c:pt>
                <c:pt idx="28">
                  <c:v>53789987578.565773</c:v>
                </c:pt>
                <c:pt idx="29">
                  <c:v>53408237211.054535</c:v>
                </c:pt>
                <c:pt idx="30">
                  <c:v>53026486843.543312</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528975169599.04834</c:v>
                </c:pt>
                <c:pt idx="1">
                  <c:v>545933935735.2561</c:v>
                </c:pt>
                <c:pt idx="2">
                  <c:v>562892701871.46387</c:v>
                </c:pt>
                <c:pt idx="3">
                  <c:v>579851468007.67163</c:v>
                </c:pt>
                <c:pt idx="4">
                  <c:v>586647850333.92896</c:v>
                </c:pt>
                <c:pt idx="5">
                  <c:v>593444232660.18616</c:v>
                </c:pt>
                <c:pt idx="6">
                  <c:v>600240614986.44348</c:v>
                </c:pt>
                <c:pt idx="7">
                  <c:v>607036997312.70068</c:v>
                </c:pt>
                <c:pt idx="8">
                  <c:v>613833379638.95801</c:v>
                </c:pt>
                <c:pt idx="9">
                  <c:v>620629761965.21521</c:v>
                </c:pt>
                <c:pt idx="10">
                  <c:v>627426144291.47253</c:v>
                </c:pt>
                <c:pt idx="11">
                  <c:v>628342197214.70764</c:v>
                </c:pt>
                <c:pt idx="12">
                  <c:v>629258250137.94263</c:v>
                </c:pt>
                <c:pt idx="13">
                  <c:v>630174303061.17773</c:v>
                </c:pt>
                <c:pt idx="14">
                  <c:v>631090355984.41284</c:v>
                </c:pt>
                <c:pt idx="15">
                  <c:v>632006408907.64795</c:v>
                </c:pt>
                <c:pt idx="16">
                  <c:v>632922461830.88293</c:v>
                </c:pt>
                <c:pt idx="17">
                  <c:v>633838514754.11816</c:v>
                </c:pt>
                <c:pt idx="18">
                  <c:v>634754567677.35315</c:v>
                </c:pt>
                <c:pt idx="19">
                  <c:v>635670620600.58826</c:v>
                </c:pt>
                <c:pt idx="20">
                  <c:v>636586673523.82336</c:v>
                </c:pt>
                <c:pt idx="21">
                  <c:v>633272415032.05688</c:v>
                </c:pt>
                <c:pt idx="22">
                  <c:v>629958156540.29041</c:v>
                </c:pt>
                <c:pt idx="23">
                  <c:v>626643898048.52405</c:v>
                </c:pt>
                <c:pt idx="24">
                  <c:v>623329639556.75769</c:v>
                </c:pt>
                <c:pt idx="25">
                  <c:v>620015381064.99121</c:v>
                </c:pt>
                <c:pt idx="26">
                  <c:v>616701122573.22473</c:v>
                </c:pt>
                <c:pt idx="27">
                  <c:v>613386864081.45837</c:v>
                </c:pt>
                <c:pt idx="28">
                  <c:v>610072605589.69189</c:v>
                </c:pt>
                <c:pt idx="29">
                  <c:v>606758347097.92554</c:v>
                </c:pt>
                <c:pt idx="30">
                  <c:v>603444088606.15906</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522061063583.69806</c:v>
                </c:pt>
                <c:pt idx="1">
                  <c:v>541013404183.47748</c:v>
                </c:pt>
                <c:pt idx="2">
                  <c:v>559965744783.25684</c:v>
                </c:pt>
                <c:pt idx="3">
                  <c:v>578918085383.03613</c:v>
                </c:pt>
                <c:pt idx="4">
                  <c:v>585599599222.63452</c:v>
                </c:pt>
                <c:pt idx="5">
                  <c:v>592281113062.23279</c:v>
                </c:pt>
                <c:pt idx="6">
                  <c:v>598962626901.83118</c:v>
                </c:pt>
                <c:pt idx="7">
                  <c:v>605644140741.42944</c:v>
                </c:pt>
                <c:pt idx="8">
                  <c:v>612325654581.02783</c:v>
                </c:pt>
                <c:pt idx="9">
                  <c:v>619007168420.62598</c:v>
                </c:pt>
                <c:pt idx="10">
                  <c:v>625688682260.22437</c:v>
                </c:pt>
                <c:pt idx="11">
                  <c:v>627334696343.3418</c:v>
                </c:pt>
                <c:pt idx="12">
                  <c:v>628980710426.45911</c:v>
                </c:pt>
                <c:pt idx="13">
                  <c:v>630626724509.57654</c:v>
                </c:pt>
                <c:pt idx="14">
                  <c:v>632272738592.69397</c:v>
                </c:pt>
                <c:pt idx="15">
                  <c:v>633918752675.81128</c:v>
                </c:pt>
                <c:pt idx="16">
                  <c:v>635564766758.92871</c:v>
                </c:pt>
                <c:pt idx="17">
                  <c:v>637210780842.04614</c:v>
                </c:pt>
                <c:pt idx="18">
                  <c:v>638856794925.16345</c:v>
                </c:pt>
                <c:pt idx="19">
                  <c:v>640502809008.28088</c:v>
                </c:pt>
                <c:pt idx="20">
                  <c:v>642148823091.39832</c:v>
                </c:pt>
                <c:pt idx="21">
                  <c:v>639924604686.25281</c:v>
                </c:pt>
                <c:pt idx="22">
                  <c:v>637700386281.1073</c:v>
                </c:pt>
                <c:pt idx="23">
                  <c:v>635476167875.96179</c:v>
                </c:pt>
                <c:pt idx="24">
                  <c:v>633251949470.81628</c:v>
                </c:pt>
                <c:pt idx="25">
                  <c:v>631027731065.67078</c:v>
                </c:pt>
                <c:pt idx="26">
                  <c:v>628803512660.52539</c:v>
                </c:pt>
                <c:pt idx="27">
                  <c:v>626579294255.37976</c:v>
                </c:pt>
                <c:pt idx="28">
                  <c:v>624355075850.23438</c:v>
                </c:pt>
                <c:pt idx="29">
                  <c:v>622130857445.08875</c:v>
                </c:pt>
                <c:pt idx="30">
                  <c:v>619906639039.94324</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172812616383.55313</c:v>
                </c:pt>
                <c:pt idx="1">
                  <c:v>180252566259.92664</c:v>
                </c:pt>
                <c:pt idx="2">
                  <c:v>187692516136.30014</c:v>
                </c:pt>
                <c:pt idx="3">
                  <c:v>195132466012.67361</c:v>
                </c:pt>
                <c:pt idx="4">
                  <c:v>197330472735.58438</c:v>
                </c:pt>
                <c:pt idx="5">
                  <c:v>199528479458.49515</c:v>
                </c:pt>
                <c:pt idx="6">
                  <c:v>201726486181.40591</c:v>
                </c:pt>
                <c:pt idx="7">
                  <c:v>203924492904.31665</c:v>
                </c:pt>
                <c:pt idx="8">
                  <c:v>206122499627.22742</c:v>
                </c:pt>
                <c:pt idx="9">
                  <c:v>208320506350.13818</c:v>
                </c:pt>
                <c:pt idx="10">
                  <c:v>210518513073.04895</c:v>
                </c:pt>
                <c:pt idx="11">
                  <c:v>211454013319.89102</c:v>
                </c:pt>
                <c:pt idx="12">
                  <c:v>212389513566.73312</c:v>
                </c:pt>
                <c:pt idx="13">
                  <c:v>213325013813.5752</c:v>
                </c:pt>
                <c:pt idx="14">
                  <c:v>214260514060.4173</c:v>
                </c:pt>
                <c:pt idx="15">
                  <c:v>215196014307.2594</c:v>
                </c:pt>
                <c:pt idx="16">
                  <c:v>216131514554.10147</c:v>
                </c:pt>
                <c:pt idx="17">
                  <c:v>217067014800.94354</c:v>
                </c:pt>
                <c:pt idx="18">
                  <c:v>218002515047.78564</c:v>
                </c:pt>
                <c:pt idx="19">
                  <c:v>218938015294.62775</c:v>
                </c:pt>
                <c:pt idx="20">
                  <c:v>219873515541.46982</c:v>
                </c:pt>
                <c:pt idx="21">
                  <c:v>219688364657.65341</c:v>
                </c:pt>
                <c:pt idx="22">
                  <c:v>219503213773.83701</c:v>
                </c:pt>
                <c:pt idx="23">
                  <c:v>219318062890.02057</c:v>
                </c:pt>
                <c:pt idx="24">
                  <c:v>219132912006.20416</c:v>
                </c:pt>
                <c:pt idx="25">
                  <c:v>218947761122.38776</c:v>
                </c:pt>
                <c:pt idx="26">
                  <c:v>218762610238.57135</c:v>
                </c:pt>
                <c:pt idx="27">
                  <c:v>218577459354.75494</c:v>
                </c:pt>
                <c:pt idx="28">
                  <c:v>218392308470.93854</c:v>
                </c:pt>
                <c:pt idx="29">
                  <c:v>218207157587.1221</c:v>
                </c:pt>
                <c:pt idx="30">
                  <c:v>218022006703.30569</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1357168992397.6106</c:v>
                </c:pt>
                <c:pt idx="1">
                  <c:v>1418172683997.5239</c:v>
                </c:pt>
                <c:pt idx="2">
                  <c:v>1479176375597.4373</c:v>
                </c:pt>
                <c:pt idx="3">
                  <c:v>1540180067197.3506</c:v>
                </c:pt>
                <c:pt idx="4">
                  <c:v>1557411664564.1675</c:v>
                </c:pt>
                <c:pt idx="5">
                  <c:v>1574643261930.9844</c:v>
                </c:pt>
                <c:pt idx="6">
                  <c:v>1591874859297.8013</c:v>
                </c:pt>
                <c:pt idx="7">
                  <c:v>1609106456664.6182</c:v>
                </c:pt>
                <c:pt idx="8">
                  <c:v>1626338054031.4353</c:v>
                </c:pt>
                <c:pt idx="9">
                  <c:v>1643569651398.2524</c:v>
                </c:pt>
                <c:pt idx="10">
                  <c:v>1660801248765.0693</c:v>
                </c:pt>
                <c:pt idx="11">
                  <c:v>1669010441452.4854</c:v>
                </c:pt>
                <c:pt idx="12">
                  <c:v>1677219634139.9016</c:v>
                </c:pt>
                <c:pt idx="13">
                  <c:v>1685428826827.3176</c:v>
                </c:pt>
                <c:pt idx="14">
                  <c:v>1693638019514.7339</c:v>
                </c:pt>
                <c:pt idx="15">
                  <c:v>1701847212202.1499</c:v>
                </c:pt>
                <c:pt idx="16">
                  <c:v>1710056404889.5659</c:v>
                </c:pt>
                <c:pt idx="17">
                  <c:v>1718265597576.9822</c:v>
                </c:pt>
                <c:pt idx="18">
                  <c:v>1726474790264.3982</c:v>
                </c:pt>
                <c:pt idx="19">
                  <c:v>1734683982951.8145</c:v>
                </c:pt>
                <c:pt idx="20">
                  <c:v>1742893175639.2305</c:v>
                </c:pt>
                <c:pt idx="21">
                  <c:v>1742655671750.8335</c:v>
                </c:pt>
                <c:pt idx="22">
                  <c:v>1742418167862.4365</c:v>
                </c:pt>
                <c:pt idx="23">
                  <c:v>1742180663974.0396</c:v>
                </c:pt>
                <c:pt idx="24">
                  <c:v>1741943160085.6428</c:v>
                </c:pt>
                <c:pt idx="25">
                  <c:v>1741705656197.2456</c:v>
                </c:pt>
                <c:pt idx="26">
                  <c:v>1741468152308.8489</c:v>
                </c:pt>
                <c:pt idx="27">
                  <c:v>1741230648420.4517</c:v>
                </c:pt>
                <c:pt idx="28">
                  <c:v>1740993144532.0549</c:v>
                </c:pt>
                <c:pt idx="29">
                  <c:v>1740755640643.6577</c:v>
                </c:pt>
                <c:pt idx="30">
                  <c:v>1740518136755.261</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53134769497929.219</c:v>
                </c:pt>
                <c:pt idx="1">
                  <c:v>55725147552927.93</c:v>
                </c:pt>
                <c:pt idx="2">
                  <c:v>58315525607926.648</c:v>
                </c:pt>
                <c:pt idx="3">
                  <c:v>60905903662925.375</c:v>
                </c:pt>
                <c:pt idx="4">
                  <c:v>64436255305276.977</c:v>
                </c:pt>
                <c:pt idx="5">
                  <c:v>67966606947628.57</c:v>
                </c:pt>
                <c:pt idx="6">
                  <c:v>71496958589980.156</c:v>
                </c:pt>
                <c:pt idx="7">
                  <c:v>75027310232331.75</c:v>
                </c:pt>
                <c:pt idx="8">
                  <c:v>78557661874683.344</c:v>
                </c:pt>
                <c:pt idx="9">
                  <c:v>82088013517034.938</c:v>
                </c:pt>
                <c:pt idx="10">
                  <c:v>85618365159386.547</c:v>
                </c:pt>
                <c:pt idx="11">
                  <c:v>87476644859876.406</c:v>
                </c:pt>
                <c:pt idx="12">
                  <c:v>89334924560366.25</c:v>
                </c:pt>
                <c:pt idx="13">
                  <c:v>91193204260856.109</c:v>
                </c:pt>
                <c:pt idx="14">
                  <c:v>93051483961345.969</c:v>
                </c:pt>
                <c:pt idx="15">
                  <c:v>94909763661835.813</c:v>
                </c:pt>
                <c:pt idx="16">
                  <c:v>96768043362325.672</c:v>
                </c:pt>
                <c:pt idx="17">
                  <c:v>98626323062815.531</c:v>
                </c:pt>
                <c:pt idx="18">
                  <c:v>100484602763305.39</c:v>
                </c:pt>
                <c:pt idx="19">
                  <c:v>102342882463795.25</c:v>
                </c:pt>
                <c:pt idx="20">
                  <c:v>104201162164285.11</c:v>
                </c:pt>
                <c:pt idx="21">
                  <c:v>105696568357114.28</c:v>
                </c:pt>
                <c:pt idx="22">
                  <c:v>107191974549943.47</c:v>
                </c:pt>
                <c:pt idx="23">
                  <c:v>108687380742772.66</c:v>
                </c:pt>
                <c:pt idx="24">
                  <c:v>110182786935601.83</c:v>
                </c:pt>
                <c:pt idx="25">
                  <c:v>111678193128431.02</c:v>
                </c:pt>
                <c:pt idx="26">
                  <c:v>113173599321260.19</c:v>
                </c:pt>
                <c:pt idx="27">
                  <c:v>114669005514089.39</c:v>
                </c:pt>
                <c:pt idx="28">
                  <c:v>116164411706918.56</c:v>
                </c:pt>
                <c:pt idx="29">
                  <c:v>117659817899747.73</c:v>
                </c:pt>
                <c:pt idx="30">
                  <c:v>119155224092576.94</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3986939465822.4063</c:v>
                </c:pt>
                <c:pt idx="1">
                  <c:v>4132449627160.2319</c:v>
                </c:pt>
                <c:pt idx="2">
                  <c:v>4277959788498.0566</c:v>
                </c:pt>
                <c:pt idx="3">
                  <c:v>4423469949835.8955</c:v>
                </c:pt>
                <c:pt idx="4">
                  <c:v>4634933167000.1328</c:v>
                </c:pt>
                <c:pt idx="5">
                  <c:v>4846396384164.3691</c:v>
                </c:pt>
                <c:pt idx="6">
                  <c:v>5057859601328.6055</c:v>
                </c:pt>
                <c:pt idx="7">
                  <c:v>5269322818492.8438</c:v>
                </c:pt>
                <c:pt idx="8">
                  <c:v>5480786035657.0801</c:v>
                </c:pt>
                <c:pt idx="9">
                  <c:v>5692249252821.3164</c:v>
                </c:pt>
                <c:pt idx="10">
                  <c:v>5903712469985.5527</c:v>
                </c:pt>
                <c:pt idx="11">
                  <c:v>6035080431058.291</c:v>
                </c:pt>
                <c:pt idx="12">
                  <c:v>6166448392131.0273</c:v>
                </c:pt>
                <c:pt idx="13">
                  <c:v>6297816353203.7656</c:v>
                </c:pt>
                <c:pt idx="14">
                  <c:v>6429184314276.5029</c:v>
                </c:pt>
                <c:pt idx="15">
                  <c:v>6560552275349.2402</c:v>
                </c:pt>
                <c:pt idx="16">
                  <c:v>6691920236421.9766</c:v>
                </c:pt>
                <c:pt idx="17">
                  <c:v>6823288197494.7148</c:v>
                </c:pt>
                <c:pt idx="18">
                  <c:v>6954656158567.4512</c:v>
                </c:pt>
                <c:pt idx="19">
                  <c:v>7086024119640.1885</c:v>
                </c:pt>
                <c:pt idx="20">
                  <c:v>7217392080712.9258</c:v>
                </c:pt>
                <c:pt idx="21">
                  <c:v>7317073265518.5488</c:v>
                </c:pt>
                <c:pt idx="22">
                  <c:v>7416754450324.1699</c:v>
                </c:pt>
                <c:pt idx="23">
                  <c:v>7516435635129.792</c:v>
                </c:pt>
                <c:pt idx="24">
                  <c:v>7616116819935.4141</c:v>
                </c:pt>
                <c:pt idx="25">
                  <c:v>7715798004741.0371</c:v>
                </c:pt>
                <c:pt idx="26">
                  <c:v>7815479189546.6582</c:v>
                </c:pt>
                <c:pt idx="27">
                  <c:v>7915160374352.2803</c:v>
                </c:pt>
                <c:pt idx="28">
                  <c:v>8014841559157.9023</c:v>
                </c:pt>
                <c:pt idx="29">
                  <c:v>8114522743963.5234</c:v>
                </c:pt>
                <c:pt idx="30">
                  <c:v>8214203928769.1465</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107146987909.95592</c:v>
                </c:pt>
                <c:pt idx="1">
                  <c:v>110198878762.95549</c:v>
                </c:pt>
                <c:pt idx="2">
                  <c:v>113250769615.95508</c:v>
                </c:pt>
                <c:pt idx="3">
                  <c:v>116302660468.95465</c:v>
                </c:pt>
                <c:pt idx="4">
                  <c:v>117683810747.87064</c:v>
                </c:pt>
                <c:pt idx="5">
                  <c:v>119064961026.78661</c:v>
                </c:pt>
                <c:pt idx="6">
                  <c:v>120446111305.70261</c:v>
                </c:pt>
                <c:pt idx="7">
                  <c:v>121827261584.61858</c:v>
                </c:pt>
                <c:pt idx="8">
                  <c:v>123208411863.53458</c:v>
                </c:pt>
                <c:pt idx="9">
                  <c:v>124589562142.45055</c:v>
                </c:pt>
                <c:pt idx="10">
                  <c:v>125970712421.36652</c:v>
                </c:pt>
                <c:pt idx="11">
                  <c:v>126027919829.36897</c:v>
                </c:pt>
                <c:pt idx="12">
                  <c:v>126085127237.37138</c:v>
                </c:pt>
                <c:pt idx="13">
                  <c:v>126142334645.37384</c:v>
                </c:pt>
                <c:pt idx="14">
                  <c:v>126199542053.37628</c:v>
                </c:pt>
                <c:pt idx="15">
                  <c:v>126256749461.37871</c:v>
                </c:pt>
                <c:pt idx="16">
                  <c:v>126313956869.38116</c:v>
                </c:pt>
                <c:pt idx="17">
                  <c:v>126371164277.38359</c:v>
                </c:pt>
                <c:pt idx="18">
                  <c:v>126428371685.38603</c:v>
                </c:pt>
                <c:pt idx="19">
                  <c:v>126485579093.38846</c:v>
                </c:pt>
                <c:pt idx="20">
                  <c:v>126542786501.3909</c:v>
                </c:pt>
                <c:pt idx="21">
                  <c:v>125690396122.1546</c:v>
                </c:pt>
                <c:pt idx="22">
                  <c:v>124838005742.91826</c:v>
                </c:pt>
                <c:pt idx="23">
                  <c:v>123985615363.68196</c:v>
                </c:pt>
                <c:pt idx="24">
                  <c:v>123133224984.44565</c:v>
                </c:pt>
                <c:pt idx="25">
                  <c:v>122280834605.20934</c:v>
                </c:pt>
                <c:pt idx="26">
                  <c:v>121428444225.97304</c:v>
                </c:pt>
                <c:pt idx="27">
                  <c:v>120576053846.73669</c:v>
                </c:pt>
                <c:pt idx="28">
                  <c:v>119723663467.5004</c:v>
                </c:pt>
                <c:pt idx="29">
                  <c:v>118871273088.26408</c:v>
                </c:pt>
                <c:pt idx="30">
                  <c:v>118018882709.02776</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1480507198733.2893</c:v>
                </c:pt>
                <c:pt idx="1">
                  <c:v>1548722395698.0496</c:v>
                </c:pt>
                <c:pt idx="2">
                  <c:v>1616937592662.8098</c:v>
                </c:pt>
                <c:pt idx="3">
                  <c:v>1685152789627.5701</c:v>
                </c:pt>
                <c:pt idx="4">
                  <c:v>1703930780015.4258</c:v>
                </c:pt>
                <c:pt idx="5">
                  <c:v>1722708770403.2815</c:v>
                </c:pt>
                <c:pt idx="6">
                  <c:v>1741486760791.1372</c:v>
                </c:pt>
                <c:pt idx="7">
                  <c:v>1760264751178.9932</c:v>
                </c:pt>
                <c:pt idx="8">
                  <c:v>1779042741566.8489</c:v>
                </c:pt>
                <c:pt idx="9">
                  <c:v>1797820731954.7046</c:v>
                </c:pt>
                <c:pt idx="10">
                  <c:v>1816598722342.5603</c:v>
                </c:pt>
                <c:pt idx="11">
                  <c:v>1826112459272.1162</c:v>
                </c:pt>
                <c:pt idx="12">
                  <c:v>1835626196201.6721</c:v>
                </c:pt>
                <c:pt idx="13">
                  <c:v>1845139933131.228</c:v>
                </c:pt>
                <c:pt idx="14">
                  <c:v>1854653670060.7842</c:v>
                </c:pt>
                <c:pt idx="15">
                  <c:v>1864167406990.3398</c:v>
                </c:pt>
                <c:pt idx="16">
                  <c:v>1873681143919.8958</c:v>
                </c:pt>
                <c:pt idx="17">
                  <c:v>1883194880849.4519</c:v>
                </c:pt>
                <c:pt idx="18">
                  <c:v>1892708617779.0078</c:v>
                </c:pt>
                <c:pt idx="19">
                  <c:v>1902222354708.564</c:v>
                </c:pt>
                <c:pt idx="20">
                  <c:v>1911736091638.1196</c:v>
                </c:pt>
                <c:pt idx="21">
                  <c:v>1912264935567.9631</c:v>
                </c:pt>
                <c:pt idx="22">
                  <c:v>1912793779497.8064</c:v>
                </c:pt>
                <c:pt idx="23">
                  <c:v>1913322623427.6497</c:v>
                </c:pt>
                <c:pt idx="24">
                  <c:v>1913851467357.4929</c:v>
                </c:pt>
                <c:pt idx="25">
                  <c:v>1914380311287.3362</c:v>
                </c:pt>
                <c:pt idx="26">
                  <c:v>1914909155217.1794</c:v>
                </c:pt>
                <c:pt idx="27">
                  <c:v>1915437999147.0229</c:v>
                </c:pt>
                <c:pt idx="28">
                  <c:v>1915966843076.8662</c:v>
                </c:pt>
                <c:pt idx="29">
                  <c:v>1916495687006.7095</c:v>
                </c:pt>
                <c:pt idx="30">
                  <c:v>1917024530936.5527</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2887907273648.8721</c:v>
                </c:pt>
                <c:pt idx="1">
                  <c:v>2928046843693.5</c:v>
                </c:pt>
                <c:pt idx="2">
                  <c:v>2968186413738.1279</c:v>
                </c:pt>
                <c:pt idx="3">
                  <c:v>3008325983782.7554</c:v>
                </c:pt>
                <c:pt idx="4">
                  <c:v>3098331041882.8823</c:v>
                </c:pt>
                <c:pt idx="5">
                  <c:v>3188336099983.0093</c:v>
                </c:pt>
                <c:pt idx="6">
                  <c:v>3278341158083.1357</c:v>
                </c:pt>
                <c:pt idx="7">
                  <c:v>3368346216183.2627</c:v>
                </c:pt>
                <c:pt idx="8">
                  <c:v>3458351274283.3892</c:v>
                </c:pt>
                <c:pt idx="9">
                  <c:v>3548356332383.5156</c:v>
                </c:pt>
                <c:pt idx="10">
                  <c:v>3638361390483.6421</c:v>
                </c:pt>
                <c:pt idx="11">
                  <c:v>3641149626825.1187</c:v>
                </c:pt>
                <c:pt idx="12">
                  <c:v>3643937863166.5957</c:v>
                </c:pt>
                <c:pt idx="13">
                  <c:v>3646726099508.0718</c:v>
                </c:pt>
                <c:pt idx="14">
                  <c:v>3649514335849.5483</c:v>
                </c:pt>
                <c:pt idx="15">
                  <c:v>3652302572191.0244</c:v>
                </c:pt>
                <c:pt idx="16">
                  <c:v>3655090808532.5015</c:v>
                </c:pt>
                <c:pt idx="17">
                  <c:v>3657879044873.9775</c:v>
                </c:pt>
                <c:pt idx="18">
                  <c:v>3660667281215.4551</c:v>
                </c:pt>
                <c:pt idx="19">
                  <c:v>3663455517556.9316</c:v>
                </c:pt>
                <c:pt idx="20">
                  <c:v>3666243753898.4077</c:v>
                </c:pt>
                <c:pt idx="21">
                  <c:v>3660061142880.3501</c:v>
                </c:pt>
                <c:pt idx="22">
                  <c:v>3653878531862.2939</c:v>
                </c:pt>
                <c:pt idx="23">
                  <c:v>3647695920844.2378</c:v>
                </c:pt>
                <c:pt idx="24">
                  <c:v>3641513309826.1807</c:v>
                </c:pt>
                <c:pt idx="25">
                  <c:v>3635330698808.1245</c:v>
                </c:pt>
                <c:pt idx="26">
                  <c:v>3629148087790.0679</c:v>
                </c:pt>
                <c:pt idx="27">
                  <c:v>3622965476772.0117</c:v>
                </c:pt>
                <c:pt idx="28">
                  <c:v>3616782865753.9546</c:v>
                </c:pt>
                <c:pt idx="29">
                  <c:v>3610600254735.8984</c:v>
                </c:pt>
                <c:pt idx="30">
                  <c:v>3604417643717.8423</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20964667581843.848</c:v>
                </c:pt>
                <c:pt idx="1">
                  <c:v>21997066706988.805</c:v>
                </c:pt>
                <c:pt idx="2">
                  <c:v>23029465832133.758</c:v>
                </c:pt>
                <c:pt idx="3">
                  <c:v>24061864957278.711</c:v>
                </c:pt>
                <c:pt idx="4">
                  <c:v>24320412924217.898</c:v>
                </c:pt>
                <c:pt idx="5">
                  <c:v>24578960891157.082</c:v>
                </c:pt>
                <c:pt idx="6">
                  <c:v>24837508858096.266</c:v>
                </c:pt>
                <c:pt idx="7">
                  <c:v>25096056825035.457</c:v>
                </c:pt>
                <c:pt idx="8">
                  <c:v>25354604791974.641</c:v>
                </c:pt>
                <c:pt idx="9">
                  <c:v>25613152758913.824</c:v>
                </c:pt>
                <c:pt idx="10">
                  <c:v>25871700725853.008</c:v>
                </c:pt>
                <c:pt idx="11">
                  <c:v>25895297930813.16</c:v>
                </c:pt>
                <c:pt idx="12">
                  <c:v>25918895135773.309</c:v>
                </c:pt>
                <c:pt idx="13">
                  <c:v>25942492340733.461</c:v>
                </c:pt>
                <c:pt idx="14">
                  <c:v>25966089545693.613</c:v>
                </c:pt>
                <c:pt idx="15">
                  <c:v>25989686750653.762</c:v>
                </c:pt>
                <c:pt idx="16">
                  <c:v>26013283955613.914</c:v>
                </c:pt>
                <c:pt idx="17">
                  <c:v>26036881160574.059</c:v>
                </c:pt>
                <c:pt idx="18">
                  <c:v>26060478365534.211</c:v>
                </c:pt>
                <c:pt idx="19">
                  <c:v>26084075570494.359</c:v>
                </c:pt>
                <c:pt idx="20">
                  <c:v>26107672775454.512</c:v>
                </c:pt>
                <c:pt idx="21">
                  <c:v>26050791656466.609</c:v>
                </c:pt>
                <c:pt idx="22">
                  <c:v>25993910537478.703</c:v>
                </c:pt>
                <c:pt idx="23">
                  <c:v>25937029418490.805</c:v>
                </c:pt>
                <c:pt idx="24">
                  <c:v>25880148299502.902</c:v>
                </c:pt>
                <c:pt idx="25">
                  <c:v>25823267180515</c:v>
                </c:pt>
                <c:pt idx="26">
                  <c:v>25766386061527.098</c:v>
                </c:pt>
                <c:pt idx="27">
                  <c:v>25709504942539.191</c:v>
                </c:pt>
                <c:pt idx="28">
                  <c:v>25652623823551.293</c:v>
                </c:pt>
                <c:pt idx="29">
                  <c:v>25595742704563.391</c:v>
                </c:pt>
                <c:pt idx="30">
                  <c:v>25538861585575.488</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7057772848924.7031</c:v>
                </c:pt>
                <c:pt idx="1">
                  <c:v>7379701865848.1807</c:v>
                </c:pt>
                <c:pt idx="2">
                  <c:v>7701630882771.6563</c:v>
                </c:pt>
                <c:pt idx="3">
                  <c:v>8023559899695.1328</c:v>
                </c:pt>
                <c:pt idx="4">
                  <c:v>8128331792703.8203</c:v>
                </c:pt>
                <c:pt idx="5">
                  <c:v>8233103685712.5059</c:v>
                </c:pt>
                <c:pt idx="6">
                  <c:v>8337875578721.1934</c:v>
                </c:pt>
                <c:pt idx="7">
                  <c:v>8442647471729.8789</c:v>
                </c:pt>
                <c:pt idx="8">
                  <c:v>8547419364738.5664</c:v>
                </c:pt>
                <c:pt idx="9">
                  <c:v>8652191257747.252</c:v>
                </c:pt>
                <c:pt idx="10">
                  <c:v>8756963150755.9385</c:v>
                </c:pt>
                <c:pt idx="11">
                  <c:v>8768035590632.9688</c:v>
                </c:pt>
                <c:pt idx="12">
                  <c:v>8779108030510</c:v>
                </c:pt>
                <c:pt idx="13">
                  <c:v>8790180470387.0303</c:v>
                </c:pt>
                <c:pt idx="14">
                  <c:v>8801252910264.0625</c:v>
                </c:pt>
                <c:pt idx="15">
                  <c:v>8812325350141.0918</c:v>
                </c:pt>
                <c:pt idx="16">
                  <c:v>8823397790018.123</c:v>
                </c:pt>
                <c:pt idx="17">
                  <c:v>8834470229895.1543</c:v>
                </c:pt>
                <c:pt idx="18">
                  <c:v>8845542669772.1855</c:v>
                </c:pt>
                <c:pt idx="19">
                  <c:v>8856615109649.2168</c:v>
                </c:pt>
                <c:pt idx="20">
                  <c:v>8867687549526.2461</c:v>
                </c:pt>
                <c:pt idx="21">
                  <c:v>8846640371537.0293</c:v>
                </c:pt>
                <c:pt idx="22">
                  <c:v>8825593193547.8125</c:v>
                </c:pt>
                <c:pt idx="23">
                  <c:v>8804546015558.5977</c:v>
                </c:pt>
                <c:pt idx="24">
                  <c:v>8783498837569.3809</c:v>
                </c:pt>
                <c:pt idx="25">
                  <c:v>8762451659580.165</c:v>
                </c:pt>
                <c:pt idx="26">
                  <c:v>8741404481590.9482</c:v>
                </c:pt>
                <c:pt idx="27">
                  <c:v>8720357303601.7314</c:v>
                </c:pt>
                <c:pt idx="28">
                  <c:v>8699310125612.5146</c:v>
                </c:pt>
                <c:pt idx="29">
                  <c:v>8678262947623.2998</c:v>
                </c:pt>
                <c:pt idx="30">
                  <c:v>8657215769634.083</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15311979437357.389</c:v>
                </c:pt>
                <c:pt idx="1">
                  <c:v>16009247665341.049</c:v>
                </c:pt>
                <c:pt idx="2">
                  <c:v>16706515893324.777</c:v>
                </c:pt>
                <c:pt idx="3">
                  <c:v>17403784121308.473</c:v>
                </c:pt>
                <c:pt idx="4">
                  <c:v>18036508496201.777</c:v>
                </c:pt>
                <c:pt idx="5">
                  <c:v>18669232871095.082</c:v>
                </c:pt>
                <c:pt idx="6">
                  <c:v>19301957245988.387</c:v>
                </c:pt>
                <c:pt idx="7">
                  <c:v>19934681620881.695</c:v>
                </c:pt>
                <c:pt idx="8">
                  <c:v>20567405995775</c:v>
                </c:pt>
                <c:pt idx="9">
                  <c:v>21200130370668.305</c:v>
                </c:pt>
                <c:pt idx="10">
                  <c:v>21832854745561.609</c:v>
                </c:pt>
                <c:pt idx="11">
                  <c:v>22035532270981.699</c:v>
                </c:pt>
                <c:pt idx="12">
                  <c:v>22238209796401.793</c:v>
                </c:pt>
                <c:pt idx="13">
                  <c:v>22440887321821.883</c:v>
                </c:pt>
                <c:pt idx="14">
                  <c:v>22643564847241.977</c:v>
                </c:pt>
                <c:pt idx="15">
                  <c:v>22846242372662.07</c:v>
                </c:pt>
                <c:pt idx="16">
                  <c:v>23048919898082.16</c:v>
                </c:pt>
                <c:pt idx="17">
                  <c:v>23251597423502.254</c:v>
                </c:pt>
                <c:pt idx="18">
                  <c:v>23454274948922.344</c:v>
                </c:pt>
                <c:pt idx="19">
                  <c:v>23656952474342.438</c:v>
                </c:pt>
                <c:pt idx="20">
                  <c:v>23859629999762.527</c:v>
                </c:pt>
                <c:pt idx="21">
                  <c:v>23889466530241.57</c:v>
                </c:pt>
                <c:pt idx="22">
                  <c:v>23919303060720.613</c:v>
                </c:pt>
                <c:pt idx="23">
                  <c:v>23949139591199.656</c:v>
                </c:pt>
                <c:pt idx="24">
                  <c:v>23978976121678.703</c:v>
                </c:pt>
                <c:pt idx="25">
                  <c:v>24008812652157.746</c:v>
                </c:pt>
                <c:pt idx="26">
                  <c:v>24038649182636.793</c:v>
                </c:pt>
                <c:pt idx="27">
                  <c:v>24068485713115.836</c:v>
                </c:pt>
                <c:pt idx="28">
                  <c:v>24098322243594.883</c:v>
                </c:pt>
                <c:pt idx="29">
                  <c:v>24128158774073.926</c:v>
                </c:pt>
                <c:pt idx="30">
                  <c:v>24157995304552.977</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825503328345.49878</c:v>
                </c:pt>
                <c:pt idx="1">
                  <c:v>854879384387.00134</c:v>
                </c:pt>
                <c:pt idx="2">
                  <c:v>884255440428.51563</c:v>
                </c:pt>
                <c:pt idx="3">
                  <c:v>913631496470.02417</c:v>
                </c:pt>
                <c:pt idx="4">
                  <c:v>929475784329.76941</c:v>
                </c:pt>
                <c:pt idx="5">
                  <c:v>945320072189.51465</c:v>
                </c:pt>
                <c:pt idx="6">
                  <c:v>961164360049.26013</c:v>
                </c:pt>
                <c:pt idx="7">
                  <c:v>977008647909.00549</c:v>
                </c:pt>
                <c:pt idx="8">
                  <c:v>992852935768.75073</c:v>
                </c:pt>
                <c:pt idx="9">
                  <c:v>1008697223628.496</c:v>
                </c:pt>
                <c:pt idx="10">
                  <c:v>1024541511488.2415</c:v>
                </c:pt>
                <c:pt idx="11">
                  <c:v>1030701877686.7189</c:v>
                </c:pt>
                <c:pt idx="12">
                  <c:v>1036862243885.1965</c:v>
                </c:pt>
                <c:pt idx="13">
                  <c:v>1043022610083.674</c:v>
                </c:pt>
                <c:pt idx="14">
                  <c:v>1049182976282.1516</c:v>
                </c:pt>
                <c:pt idx="15">
                  <c:v>1055343342480.629</c:v>
                </c:pt>
                <c:pt idx="16">
                  <c:v>1061503708679.1067</c:v>
                </c:pt>
                <c:pt idx="17">
                  <c:v>1067664074877.5841</c:v>
                </c:pt>
                <c:pt idx="18">
                  <c:v>1073824441076.0616</c:v>
                </c:pt>
                <c:pt idx="19">
                  <c:v>1079984807274.5392</c:v>
                </c:pt>
                <c:pt idx="20">
                  <c:v>1086145173473.0166</c:v>
                </c:pt>
                <c:pt idx="21">
                  <c:v>1082924449700.0477</c:v>
                </c:pt>
                <c:pt idx="22">
                  <c:v>1079703725927.0795</c:v>
                </c:pt>
                <c:pt idx="23">
                  <c:v>1076483002154.1112</c:v>
                </c:pt>
                <c:pt idx="24">
                  <c:v>1073262278381.1428</c:v>
                </c:pt>
                <c:pt idx="25">
                  <c:v>1070041554608.1746</c:v>
                </c:pt>
                <c:pt idx="26">
                  <c:v>1066820830835.2063</c:v>
                </c:pt>
                <c:pt idx="27">
                  <c:v>1063600107062.2379</c:v>
                </c:pt>
                <c:pt idx="28">
                  <c:v>1060379383289.2697</c:v>
                </c:pt>
                <c:pt idx="29">
                  <c:v>1057158659516.3014</c:v>
                </c:pt>
                <c:pt idx="30">
                  <c:v>1053937935743.3339</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1993481327543.5732</c:v>
                </c:pt>
                <c:pt idx="1">
                  <c:v>2074579402729.5103</c:v>
                </c:pt>
                <c:pt idx="2">
                  <c:v>2155677477915.4656</c:v>
                </c:pt>
                <c:pt idx="3">
                  <c:v>2236775553101.4121</c:v>
                </c:pt>
                <c:pt idx="4">
                  <c:v>2297626351361.373</c:v>
                </c:pt>
                <c:pt idx="5">
                  <c:v>2358477149621.333</c:v>
                </c:pt>
                <c:pt idx="6">
                  <c:v>2419327947881.2944</c:v>
                </c:pt>
                <c:pt idx="7">
                  <c:v>2480178746141.2549</c:v>
                </c:pt>
                <c:pt idx="8">
                  <c:v>2541029544401.2158</c:v>
                </c:pt>
                <c:pt idx="9">
                  <c:v>2601880342661.1768</c:v>
                </c:pt>
                <c:pt idx="10">
                  <c:v>2662731140921.1367</c:v>
                </c:pt>
                <c:pt idx="11">
                  <c:v>2683501676685.085</c:v>
                </c:pt>
                <c:pt idx="12">
                  <c:v>2704272212449.0322</c:v>
                </c:pt>
                <c:pt idx="13">
                  <c:v>2725042748212.98</c:v>
                </c:pt>
                <c:pt idx="14">
                  <c:v>2745813283976.9277</c:v>
                </c:pt>
                <c:pt idx="15">
                  <c:v>2766583819740.875</c:v>
                </c:pt>
                <c:pt idx="16">
                  <c:v>2787354355504.8228</c:v>
                </c:pt>
                <c:pt idx="17">
                  <c:v>2808124891268.7705</c:v>
                </c:pt>
                <c:pt idx="18">
                  <c:v>2828895427032.7178</c:v>
                </c:pt>
                <c:pt idx="19">
                  <c:v>2849665962796.6655</c:v>
                </c:pt>
                <c:pt idx="20">
                  <c:v>2870436498560.6128</c:v>
                </c:pt>
                <c:pt idx="21">
                  <c:v>2868630652489.1567</c:v>
                </c:pt>
                <c:pt idx="22">
                  <c:v>2866824806417.7012</c:v>
                </c:pt>
                <c:pt idx="23">
                  <c:v>2865018960346.2461</c:v>
                </c:pt>
                <c:pt idx="24">
                  <c:v>2863213114274.791</c:v>
                </c:pt>
                <c:pt idx="25">
                  <c:v>2861407268203.3359</c:v>
                </c:pt>
                <c:pt idx="26">
                  <c:v>2859601422131.8809</c:v>
                </c:pt>
                <c:pt idx="27">
                  <c:v>2857795576060.4258</c:v>
                </c:pt>
                <c:pt idx="28">
                  <c:v>2855989729988.9707</c:v>
                </c:pt>
                <c:pt idx="29">
                  <c:v>2854183883917.5156</c:v>
                </c:pt>
                <c:pt idx="30">
                  <c:v>2852378037846.0615</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1345520076286.2925</c:v>
                </c:pt>
                <c:pt idx="1">
                  <c:v>1393401255936.0127</c:v>
                </c:pt>
                <c:pt idx="2">
                  <c:v>1441282435585.7522</c:v>
                </c:pt>
                <c:pt idx="3">
                  <c:v>1489163615235.4824</c:v>
                </c:pt>
                <c:pt idx="4">
                  <c:v>1514988838075.5579</c:v>
                </c:pt>
                <c:pt idx="5">
                  <c:v>1540814060915.6331</c:v>
                </c:pt>
                <c:pt idx="6">
                  <c:v>1566639283755.7085</c:v>
                </c:pt>
                <c:pt idx="7">
                  <c:v>1592464506595.7842</c:v>
                </c:pt>
                <c:pt idx="8">
                  <c:v>1618289729435.8596</c:v>
                </c:pt>
                <c:pt idx="9">
                  <c:v>1644114952275.9351</c:v>
                </c:pt>
                <c:pt idx="10">
                  <c:v>1669940175116.0105</c:v>
                </c:pt>
                <c:pt idx="11">
                  <c:v>1679981196287.833</c:v>
                </c:pt>
                <c:pt idx="12">
                  <c:v>1690022217459.6555</c:v>
                </c:pt>
                <c:pt idx="13">
                  <c:v>1700063238631.4778</c:v>
                </c:pt>
                <c:pt idx="14">
                  <c:v>1710104259803.3</c:v>
                </c:pt>
                <c:pt idx="15">
                  <c:v>1720145280975.1223</c:v>
                </c:pt>
                <c:pt idx="16">
                  <c:v>1730186302146.9448</c:v>
                </c:pt>
                <c:pt idx="17">
                  <c:v>1740227323318.7671</c:v>
                </c:pt>
                <c:pt idx="18">
                  <c:v>1750268344490.5894</c:v>
                </c:pt>
                <c:pt idx="19">
                  <c:v>1760309365662.4119</c:v>
                </c:pt>
                <c:pt idx="20">
                  <c:v>1770350386834.2339</c:v>
                </c:pt>
                <c:pt idx="21">
                  <c:v>1765100803521.9688</c:v>
                </c:pt>
                <c:pt idx="22">
                  <c:v>1759851220209.7041</c:v>
                </c:pt>
                <c:pt idx="23">
                  <c:v>1754601636897.4395</c:v>
                </c:pt>
                <c:pt idx="24">
                  <c:v>1749352053585.1748</c:v>
                </c:pt>
                <c:pt idx="25">
                  <c:v>1744102470272.9104</c:v>
                </c:pt>
                <c:pt idx="26">
                  <c:v>1738852886960.6458</c:v>
                </c:pt>
                <c:pt idx="27">
                  <c:v>1733603303648.3813</c:v>
                </c:pt>
                <c:pt idx="28">
                  <c:v>1728353720336.1167</c:v>
                </c:pt>
                <c:pt idx="29">
                  <c:v>1723104137023.8523</c:v>
                </c:pt>
                <c:pt idx="30">
                  <c:v>1717854553711.5889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344561718063.06427</c:v>
                </c:pt>
                <c:pt idx="1">
                  <c:v>356823163888.92609</c:v>
                </c:pt>
                <c:pt idx="2">
                  <c:v>369084609714.79291</c:v>
                </c:pt>
                <c:pt idx="3">
                  <c:v>381346055540.65723</c:v>
                </c:pt>
                <c:pt idx="4">
                  <c:v>387959396588.45331</c:v>
                </c:pt>
                <c:pt idx="5">
                  <c:v>394572737636.24939</c:v>
                </c:pt>
                <c:pt idx="6">
                  <c:v>401186078684.04559</c:v>
                </c:pt>
                <c:pt idx="7">
                  <c:v>407799419731.84167</c:v>
                </c:pt>
                <c:pt idx="8">
                  <c:v>414412760779.63782</c:v>
                </c:pt>
                <c:pt idx="9">
                  <c:v>421026101827.4339</c:v>
                </c:pt>
                <c:pt idx="10">
                  <c:v>427639442875.22998</c:v>
                </c:pt>
                <c:pt idx="11">
                  <c:v>430210754568.78705</c:v>
                </c:pt>
                <c:pt idx="12">
                  <c:v>432782066262.34412</c:v>
                </c:pt>
                <c:pt idx="13">
                  <c:v>435353377955.90118</c:v>
                </c:pt>
                <c:pt idx="14">
                  <c:v>437924689649.45825</c:v>
                </c:pt>
                <c:pt idx="15">
                  <c:v>440496001343.01532</c:v>
                </c:pt>
                <c:pt idx="16">
                  <c:v>443067313036.57227</c:v>
                </c:pt>
                <c:pt idx="17">
                  <c:v>445638624730.12933</c:v>
                </c:pt>
                <c:pt idx="18">
                  <c:v>448209936423.6864</c:v>
                </c:pt>
                <c:pt idx="19">
                  <c:v>450781248117.24347</c:v>
                </c:pt>
                <c:pt idx="20">
                  <c:v>453352559810.80042</c:v>
                </c:pt>
                <c:pt idx="21">
                  <c:v>452008242860.74658</c:v>
                </c:pt>
                <c:pt idx="22">
                  <c:v>450663925910.69299</c:v>
                </c:pt>
                <c:pt idx="23">
                  <c:v>449319608960.63947</c:v>
                </c:pt>
                <c:pt idx="24">
                  <c:v>447975292010.58582</c:v>
                </c:pt>
                <c:pt idx="25">
                  <c:v>446630975060.53223</c:v>
                </c:pt>
                <c:pt idx="26">
                  <c:v>445286658110.4787</c:v>
                </c:pt>
                <c:pt idx="27">
                  <c:v>443942341160.42511</c:v>
                </c:pt>
                <c:pt idx="28">
                  <c:v>442598024210.37146</c:v>
                </c:pt>
                <c:pt idx="29">
                  <c:v>441253707260.31787</c:v>
                </c:pt>
                <c:pt idx="30">
                  <c:v>439909390310.26465</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792449548651.40576</c:v>
                </c:pt>
                <c:pt idx="1">
                  <c:v>829047476572.65186</c:v>
                </c:pt>
                <c:pt idx="2">
                  <c:v>865645404493.89783</c:v>
                </c:pt>
                <c:pt idx="3">
                  <c:v>902243332415.14392</c:v>
                </c:pt>
                <c:pt idx="4">
                  <c:v>912293350798.20166</c:v>
                </c:pt>
                <c:pt idx="5">
                  <c:v>922343369181.25928</c:v>
                </c:pt>
                <c:pt idx="6">
                  <c:v>932393387564.31689</c:v>
                </c:pt>
                <c:pt idx="7">
                  <c:v>942443405947.37463</c:v>
                </c:pt>
                <c:pt idx="8">
                  <c:v>952493424330.43237</c:v>
                </c:pt>
                <c:pt idx="9">
                  <c:v>962543442713.48999</c:v>
                </c:pt>
                <c:pt idx="10">
                  <c:v>972593461096.54773</c:v>
                </c:pt>
                <c:pt idx="11">
                  <c:v>977714333674.10156</c:v>
                </c:pt>
                <c:pt idx="12">
                  <c:v>982835206251.6554</c:v>
                </c:pt>
                <c:pt idx="13">
                  <c:v>987956078829.20911</c:v>
                </c:pt>
                <c:pt idx="14">
                  <c:v>993076951406.76294</c:v>
                </c:pt>
                <c:pt idx="15">
                  <c:v>998197823984.31665</c:v>
                </c:pt>
                <c:pt idx="16">
                  <c:v>1003318696561.8704</c:v>
                </c:pt>
                <c:pt idx="17">
                  <c:v>1008439569139.4242</c:v>
                </c:pt>
                <c:pt idx="18">
                  <c:v>1013560441716.9779</c:v>
                </c:pt>
                <c:pt idx="19">
                  <c:v>1018681314294.5319</c:v>
                </c:pt>
                <c:pt idx="20">
                  <c:v>1023802186872.0856</c:v>
                </c:pt>
                <c:pt idx="21">
                  <c:v>1024125592461.2279</c:v>
                </c:pt>
                <c:pt idx="22">
                  <c:v>1024448998050.3704</c:v>
                </c:pt>
                <c:pt idx="23">
                  <c:v>1024772403639.5127</c:v>
                </c:pt>
                <c:pt idx="24">
                  <c:v>1025095809228.6552</c:v>
                </c:pt>
                <c:pt idx="25">
                  <c:v>1025419214817.7975</c:v>
                </c:pt>
                <c:pt idx="26">
                  <c:v>1025742620406.9399</c:v>
                </c:pt>
                <c:pt idx="27">
                  <c:v>1026066025996.0823</c:v>
                </c:pt>
                <c:pt idx="28">
                  <c:v>1026389431585.2246</c:v>
                </c:pt>
                <c:pt idx="29">
                  <c:v>1026712837174.3671</c:v>
                </c:pt>
                <c:pt idx="30">
                  <c:v>1027036242763.5095</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149539572658.57932</c:v>
                </c:pt>
                <c:pt idx="1">
                  <c:v>149689112231.23785</c:v>
                </c:pt>
                <c:pt idx="2">
                  <c:v>149838801343.46909</c:v>
                </c:pt>
                <c:pt idx="3">
                  <c:v>149988640144.81253</c:v>
                </c:pt>
                <c:pt idx="4">
                  <c:v>150138628784.95734</c:v>
                </c:pt>
                <c:pt idx="5">
                  <c:v>150288767413.74228</c:v>
                </c:pt>
                <c:pt idx="6">
                  <c:v>150439056181.15601</c:v>
                </c:pt>
                <c:pt idx="7">
                  <c:v>150589495237.33716</c:v>
                </c:pt>
                <c:pt idx="8">
                  <c:v>150740084732.57449</c:v>
                </c:pt>
                <c:pt idx="9">
                  <c:v>150890824817.30704</c:v>
                </c:pt>
                <c:pt idx="10">
                  <c:v>151041715642.12433</c:v>
                </c:pt>
                <c:pt idx="11">
                  <c:v>151192757357.76645</c:v>
                </c:pt>
                <c:pt idx="12">
                  <c:v>151343950115.12418</c:v>
                </c:pt>
                <c:pt idx="13">
                  <c:v>151495294065.23929</c:v>
                </c:pt>
                <c:pt idx="14">
                  <c:v>151646789359.3045</c:v>
                </c:pt>
                <c:pt idx="15">
                  <c:v>151798436148.66379</c:v>
                </c:pt>
                <c:pt idx="16">
                  <c:v>151950234584.81244</c:v>
                </c:pt>
                <c:pt idx="17">
                  <c:v>152102184819.39722</c:v>
                </c:pt>
                <c:pt idx="18">
                  <c:v>152254287004.21661</c:v>
                </c:pt>
                <c:pt idx="19">
                  <c:v>152406541291.22083</c:v>
                </c:pt>
                <c:pt idx="20">
                  <c:v>152558947832.51199</c:v>
                </c:pt>
                <c:pt idx="21">
                  <c:v>151796153093.34943</c:v>
                </c:pt>
                <c:pt idx="22">
                  <c:v>151037172327.88269</c:v>
                </c:pt>
                <c:pt idx="23">
                  <c:v>150281986466.24326</c:v>
                </c:pt>
                <c:pt idx="24">
                  <c:v>149530576533.91205</c:v>
                </c:pt>
                <c:pt idx="25">
                  <c:v>148782923651.24249</c:v>
                </c:pt>
                <c:pt idx="26">
                  <c:v>148039009032.98627</c:v>
                </c:pt>
                <c:pt idx="27">
                  <c:v>147298813987.82135</c:v>
                </c:pt>
                <c:pt idx="28">
                  <c:v>146562319917.88226</c:v>
                </c:pt>
                <c:pt idx="29">
                  <c:v>145829508318.29282</c:v>
                </c:pt>
                <c:pt idx="30">
                  <c:v>145100360776.70135</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58232236863.436943</c:v>
                </c:pt>
                <c:pt idx="1">
                  <c:v>61137119722.636139</c:v>
                </c:pt>
                <c:pt idx="2">
                  <c:v>64042002581.835342</c:v>
                </c:pt>
                <c:pt idx="3">
                  <c:v>66946885441.034538</c:v>
                </c:pt>
                <c:pt idx="4">
                  <c:v>67682866417.950851</c:v>
                </c:pt>
                <c:pt idx="5">
                  <c:v>68418847394.867172</c:v>
                </c:pt>
                <c:pt idx="6">
                  <c:v>69154828371.783493</c:v>
                </c:pt>
                <c:pt idx="7">
                  <c:v>69890809348.699799</c:v>
                </c:pt>
                <c:pt idx="8">
                  <c:v>70626790325.616119</c:v>
                </c:pt>
                <c:pt idx="9">
                  <c:v>71362771302.53244</c:v>
                </c:pt>
                <c:pt idx="10">
                  <c:v>72098752279.448761</c:v>
                </c:pt>
                <c:pt idx="11">
                  <c:v>72547238497.127045</c:v>
                </c:pt>
                <c:pt idx="12">
                  <c:v>72995724714.805328</c:v>
                </c:pt>
                <c:pt idx="13">
                  <c:v>73444210932.483627</c:v>
                </c:pt>
                <c:pt idx="14">
                  <c:v>73892697150.161911</c:v>
                </c:pt>
                <c:pt idx="15">
                  <c:v>74341183367.840225</c:v>
                </c:pt>
                <c:pt idx="16">
                  <c:v>74789669585.518509</c:v>
                </c:pt>
                <c:pt idx="17">
                  <c:v>75238155803.196808</c:v>
                </c:pt>
                <c:pt idx="18">
                  <c:v>75686642020.875092</c:v>
                </c:pt>
                <c:pt idx="19">
                  <c:v>76135128238.553391</c:v>
                </c:pt>
                <c:pt idx="20">
                  <c:v>76583614456.231674</c:v>
                </c:pt>
                <c:pt idx="21">
                  <c:v>76709217781.820404</c:v>
                </c:pt>
                <c:pt idx="22">
                  <c:v>76834821107.409119</c:v>
                </c:pt>
                <c:pt idx="23">
                  <c:v>76960424432.997849</c:v>
                </c:pt>
                <c:pt idx="24">
                  <c:v>77086027758.586548</c:v>
                </c:pt>
                <c:pt idx="25">
                  <c:v>77211631084.175278</c:v>
                </c:pt>
                <c:pt idx="26">
                  <c:v>77337234409.763992</c:v>
                </c:pt>
                <c:pt idx="27">
                  <c:v>77462837735.352722</c:v>
                </c:pt>
                <c:pt idx="28">
                  <c:v>77588441060.941422</c:v>
                </c:pt>
                <c:pt idx="29">
                  <c:v>77714044386.530151</c:v>
                </c:pt>
                <c:pt idx="30">
                  <c:v>77839647712.118866</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6609046639163.6904</c:v>
                </c:pt>
                <c:pt idx="1">
                  <c:v>6275550710029.4551</c:v>
                </c:pt>
                <c:pt idx="2">
                  <c:v>5942054780895.2197</c:v>
                </c:pt>
                <c:pt idx="3">
                  <c:v>5608558851760.9844</c:v>
                </c:pt>
                <c:pt idx="4">
                  <c:v>5557806261468.7773</c:v>
                </c:pt>
                <c:pt idx="5">
                  <c:v>5507053671176.5693</c:v>
                </c:pt>
                <c:pt idx="6">
                  <c:v>5456301080884.3613</c:v>
                </c:pt>
                <c:pt idx="7">
                  <c:v>5405548490592.1533</c:v>
                </c:pt>
                <c:pt idx="8">
                  <c:v>5354795900299.9453</c:v>
                </c:pt>
                <c:pt idx="9">
                  <c:v>5304043310007.7373</c:v>
                </c:pt>
                <c:pt idx="10">
                  <c:v>5253290719715.5293</c:v>
                </c:pt>
                <c:pt idx="11">
                  <c:v>5245019314392.8828</c:v>
                </c:pt>
                <c:pt idx="12">
                  <c:v>5236747909070.2344</c:v>
                </c:pt>
                <c:pt idx="13">
                  <c:v>5228476503747.5879</c:v>
                </c:pt>
                <c:pt idx="14">
                  <c:v>5220205098424.9404</c:v>
                </c:pt>
                <c:pt idx="15">
                  <c:v>5211933693102.293</c:v>
                </c:pt>
                <c:pt idx="16">
                  <c:v>5203662287779.6455</c:v>
                </c:pt>
                <c:pt idx="17">
                  <c:v>5195390882456.999</c:v>
                </c:pt>
                <c:pt idx="18">
                  <c:v>5187119477134.3516</c:v>
                </c:pt>
                <c:pt idx="19">
                  <c:v>5178848071811.7041</c:v>
                </c:pt>
                <c:pt idx="20">
                  <c:v>5170576666489.0566</c:v>
                </c:pt>
                <c:pt idx="21">
                  <c:v>5124641654883.8047</c:v>
                </c:pt>
                <c:pt idx="22">
                  <c:v>5078706643278.5518</c:v>
                </c:pt>
                <c:pt idx="23">
                  <c:v>5032771631673.2998</c:v>
                </c:pt>
                <c:pt idx="24">
                  <c:v>4986836620068.0469</c:v>
                </c:pt>
                <c:pt idx="25">
                  <c:v>4940901608462.7949</c:v>
                </c:pt>
                <c:pt idx="26">
                  <c:v>4894966596857.543</c:v>
                </c:pt>
                <c:pt idx="27">
                  <c:v>4849031585252.29</c:v>
                </c:pt>
                <c:pt idx="28">
                  <c:v>4803096573647.0381</c:v>
                </c:pt>
                <c:pt idx="29">
                  <c:v>4757161562041.7852</c:v>
                </c:pt>
                <c:pt idx="30">
                  <c:v>4711226550436.5332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263757905001.30505</c:v>
                </c:pt>
                <c:pt idx="1">
                  <c:v>257736063339.84918</c:v>
                </c:pt>
                <c:pt idx="2">
                  <c:v>251714221678.39337</c:v>
                </c:pt>
                <c:pt idx="3">
                  <c:v>245692380016.93747</c:v>
                </c:pt>
                <c:pt idx="4">
                  <c:v>245565742979.14624</c:v>
                </c:pt>
                <c:pt idx="5">
                  <c:v>245439105941.35504</c:v>
                </c:pt>
                <c:pt idx="6">
                  <c:v>245312468903.56378</c:v>
                </c:pt>
                <c:pt idx="7">
                  <c:v>245185831865.77252</c:v>
                </c:pt>
                <c:pt idx="8">
                  <c:v>245059194827.98132</c:v>
                </c:pt>
                <c:pt idx="9">
                  <c:v>244932557790.19006</c:v>
                </c:pt>
                <c:pt idx="10">
                  <c:v>244805920752.39883</c:v>
                </c:pt>
                <c:pt idx="11">
                  <c:v>244640639698.9032</c:v>
                </c:pt>
                <c:pt idx="12">
                  <c:v>244475358645.40753</c:v>
                </c:pt>
                <c:pt idx="13">
                  <c:v>244310077591.91193</c:v>
                </c:pt>
                <c:pt idx="14">
                  <c:v>244144796538.41626</c:v>
                </c:pt>
                <c:pt idx="15">
                  <c:v>243979515484.92062</c:v>
                </c:pt>
                <c:pt idx="16">
                  <c:v>243814234431.42499</c:v>
                </c:pt>
                <c:pt idx="17">
                  <c:v>243648953377.92935</c:v>
                </c:pt>
                <c:pt idx="18">
                  <c:v>243483672324.43369</c:v>
                </c:pt>
                <c:pt idx="19">
                  <c:v>243318391270.93805</c:v>
                </c:pt>
                <c:pt idx="20">
                  <c:v>243153110217.44238</c:v>
                </c:pt>
                <c:pt idx="21">
                  <c:v>241227131846.60449</c:v>
                </c:pt>
                <c:pt idx="22">
                  <c:v>239301153475.7666</c:v>
                </c:pt>
                <c:pt idx="23">
                  <c:v>237375175104.92877</c:v>
                </c:pt>
                <c:pt idx="24">
                  <c:v>235449196734.09088</c:v>
                </c:pt>
                <c:pt idx="25">
                  <c:v>233523218363.25299</c:v>
                </c:pt>
                <c:pt idx="26">
                  <c:v>231597239992.41513</c:v>
                </c:pt>
                <c:pt idx="27">
                  <c:v>229671261621.57721</c:v>
                </c:pt>
                <c:pt idx="28">
                  <c:v>227745283250.73935</c:v>
                </c:pt>
                <c:pt idx="29">
                  <c:v>225819304879.90143</c:v>
                </c:pt>
                <c:pt idx="30">
                  <c:v>223893326509.0636</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1364519196262.3118</c:v>
                </c:pt>
                <c:pt idx="1">
                  <c:v>1387785657373.5771</c:v>
                </c:pt>
                <c:pt idx="2">
                  <c:v>1411052118484.8425</c:v>
                </c:pt>
                <c:pt idx="3">
                  <c:v>1434318579596.1079</c:v>
                </c:pt>
                <c:pt idx="4">
                  <c:v>1447842985360.314</c:v>
                </c:pt>
                <c:pt idx="5">
                  <c:v>1461367391124.52</c:v>
                </c:pt>
                <c:pt idx="6">
                  <c:v>1474891796888.7261</c:v>
                </c:pt>
                <c:pt idx="7">
                  <c:v>1488416202652.9319</c:v>
                </c:pt>
                <c:pt idx="8">
                  <c:v>1501940608417.1382</c:v>
                </c:pt>
                <c:pt idx="9">
                  <c:v>1515465014181.344</c:v>
                </c:pt>
                <c:pt idx="10">
                  <c:v>1528989419945.5503</c:v>
                </c:pt>
                <c:pt idx="11">
                  <c:v>1529365150540.4812</c:v>
                </c:pt>
                <c:pt idx="12">
                  <c:v>1529740881135.4119</c:v>
                </c:pt>
                <c:pt idx="13">
                  <c:v>1530116611730.3428</c:v>
                </c:pt>
                <c:pt idx="14">
                  <c:v>1530492342325.2734</c:v>
                </c:pt>
                <c:pt idx="15">
                  <c:v>1530868072920.2043</c:v>
                </c:pt>
                <c:pt idx="16">
                  <c:v>1531243803515.1353</c:v>
                </c:pt>
                <c:pt idx="17">
                  <c:v>1531619534110.0662</c:v>
                </c:pt>
                <c:pt idx="18">
                  <c:v>1531995264704.9971</c:v>
                </c:pt>
                <c:pt idx="19">
                  <c:v>1532370995299.9277</c:v>
                </c:pt>
                <c:pt idx="20">
                  <c:v>1532746725894.8589</c:v>
                </c:pt>
                <c:pt idx="21">
                  <c:v>1522090108665.8328</c:v>
                </c:pt>
                <c:pt idx="22">
                  <c:v>1511433491436.8069</c:v>
                </c:pt>
                <c:pt idx="23">
                  <c:v>1500776874207.7813</c:v>
                </c:pt>
                <c:pt idx="24">
                  <c:v>1490120256978.7554</c:v>
                </c:pt>
                <c:pt idx="25">
                  <c:v>1479463639749.7295</c:v>
                </c:pt>
                <c:pt idx="26">
                  <c:v>1468807022520.7036</c:v>
                </c:pt>
                <c:pt idx="27">
                  <c:v>1458150405291.6775</c:v>
                </c:pt>
                <c:pt idx="28">
                  <c:v>1447493788062.6516</c:v>
                </c:pt>
                <c:pt idx="29">
                  <c:v>1436837170833.6257</c:v>
                </c:pt>
                <c:pt idx="30">
                  <c:v>1426180553604.6001</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941263050672.42188</c:v>
                </c:pt>
                <c:pt idx="1">
                  <c:v>965247312758.8291</c:v>
                </c:pt>
                <c:pt idx="2">
                  <c:v>989231574845.23621</c:v>
                </c:pt>
                <c:pt idx="3">
                  <c:v>1013215836931.6431</c:v>
                </c:pt>
                <c:pt idx="4">
                  <c:v>1024612619283.822</c:v>
                </c:pt>
                <c:pt idx="5">
                  <c:v>1036009401636.0007</c:v>
                </c:pt>
                <c:pt idx="6">
                  <c:v>1047406183988.1797</c:v>
                </c:pt>
                <c:pt idx="7">
                  <c:v>1058802966340.3583</c:v>
                </c:pt>
                <c:pt idx="8">
                  <c:v>1070199748692.5371</c:v>
                </c:pt>
                <c:pt idx="9">
                  <c:v>1081596531044.7159</c:v>
                </c:pt>
                <c:pt idx="10">
                  <c:v>1092993313396.8948</c:v>
                </c:pt>
                <c:pt idx="11">
                  <c:v>1093431954832.777</c:v>
                </c:pt>
                <c:pt idx="12">
                  <c:v>1093870596268.6591</c:v>
                </c:pt>
                <c:pt idx="13">
                  <c:v>1094309237704.5413</c:v>
                </c:pt>
                <c:pt idx="14">
                  <c:v>1094747879140.4236</c:v>
                </c:pt>
                <c:pt idx="15">
                  <c:v>1095186520576.3058</c:v>
                </c:pt>
                <c:pt idx="16">
                  <c:v>1095625162012.1879</c:v>
                </c:pt>
                <c:pt idx="17">
                  <c:v>1096063803448.0699</c:v>
                </c:pt>
                <c:pt idx="18">
                  <c:v>1096502444883.9521</c:v>
                </c:pt>
                <c:pt idx="19">
                  <c:v>1096941086319.8345</c:v>
                </c:pt>
                <c:pt idx="20">
                  <c:v>1097379727755.7167</c:v>
                </c:pt>
                <c:pt idx="21">
                  <c:v>1089927639456.5995</c:v>
                </c:pt>
                <c:pt idx="22">
                  <c:v>1082475551157.4823</c:v>
                </c:pt>
                <c:pt idx="23">
                  <c:v>1075023462858.3652</c:v>
                </c:pt>
                <c:pt idx="24">
                  <c:v>1067571374559.2479</c:v>
                </c:pt>
                <c:pt idx="25">
                  <c:v>1060119286260.1309</c:v>
                </c:pt>
                <c:pt idx="26">
                  <c:v>1052667197961.0139</c:v>
                </c:pt>
                <c:pt idx="27">
                  <c:v>1045215109661.8966</c:v>
                </c:pt>
                <c:pt idx="28">
                  <c:v>1037763021362.7797</c:v>
                </c:pt>
                <c:pt idx="29">
                  <c:v>1030310933063.6625</c:v>
                </c:pt>
                <c:pt idx="30">
                  <c:v>1022858844764.5452</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157735570435.4971</c:v>
                </c:pt>
                <c:pt idx="1">
                  <c:v>161785991643.53522</c:v>
                </c:pt>
                <c:pt idx="2">
                  <c:v>165836412851.57336</c:v>
                </c:pt>
                <c:pt idx="3">
                  <c:v>169886834059.61148</c:v>
                </c:pt>
                <c:pt idx="4">
                  <c:v>171804813216.26328</c:v>
                </c:pt>
                <c:pt idx="5">
                  <c:v>173722792372.91507</c:v>
                </c:pt>
                <c:pt idx="6">
                  <c:v>175640771529.56686</c:v>
                </c:pt>
                <c:pt idx="7">
                  <c:v>177558750686.21869</c:v>
                </c:pt>
                <c:pt idx="8">
                  <c:v>179476729842.87048</c:v>
                </c:pt>
                <c:pt idx="9">
                  <c:v>181394708999.52228</c:v>
                </c:pt>
                <c:pt idx="10">
                  <c:v>183312688156.1741</c:v>
                </c:pt>
                <c:pt idx="11">
                  <c:v>183386900080.57111</c:v>
                </c:pt>
                <c:pt idx="12">
                  <c:v>183461112004.96811</c:v>
                </c:pt>
                <c:pt idx="13">
                  <c:v>183535323929.36508</c:v>
                </c:pt>
                <c:pt idx="14">
                  <c:v>183609535853.76208</c:v>
                </c:pt>
                <c:pt idx="15">
                  <c:v>183683747778.15912</c:v>
                </c:pt>
                <c:pt idx="16">
                  <c:v>183757959702.55612</c:v>
                </c:pt>
                <c:pt idx="17">
                  <c:v>183832171626.95309</c:v>
                </c:pt>
                <c:pt idx="18">
                  <c:v>183906383551.3501</c:v>
                </c:pt>
                <c:pt idx="19">
                  <c:v>183980595475.7471</c:v>
                </c:pt>
                <c:pt idx="20">
                  <c:v>184054807400.14413</c:v>
                </c:pt>
                <c:pt idx="21">
                  <c:v>182805599832.21655</c:v>
                </c:pt>
                <c:pt idx="22">
                  <c:v>181556392264.28894</c:v>
                </c:pt>
                <c:pt idx="23">
                  <c:v>180307184696.36133</c:v>
                </c:pt>
                <c:pt idx="24">
                  <c:v>179057977128.43381</c:v>
                </c:pt>
                <c:pt idx="25">
                  <c:v>177808769560.5062</c:v>
                </c:pt>
                <c:pt idx="26">
                  <c:v>176559561992.57867</c:v>
                </c:pt>
                <c:pt idx="27">
                  <c:v>175310354424.65106</c:v>
                </c:pt>
                <c:pt idx="28">
                  <c:v>174061146856.72345</c:v>
                </c:pt>
                <c:pt idx="29">
                  <c:v>172811939288.79593</c:v>
                </c:pt>
                <c:pt idx="30">
                  <c:v>171562731720.86832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889293699950.45251</c:v>
                </c:pt>
                <c:pt idx="1">
                  <c:v>913251525398.08582</c:v>
                </c:pt>
                <c:pt idx="2">
                  <c:v>937209350845.71924</c:v>
                </c:pt>
                <c:pt idx="3">
                  <c:v>961167176293.35266</c:v>
                </c:pt>
                <c:pt idx="4">
                  <c:v>972272866533.64124</c:v>
                </c:pt>
                <c:pt idx="5">
                  <c:v>983378556773.92993</c:v>
                </c:pt>
                <c:pt idx="6">
                  <c:v>994484247014.21838</c:v>
                </c:pt>
                <c:pt idx="7">
                  <c:v>1005589937254.507</c:v>
                </c:pt>
                <c:pt idx="8">
                  <c:v>1016695627494.7954</c:v>
                </c:pt>
                <c:pt idx="9">
                  <c:v>1027801317735.0842</c:v>
                </c:pt>
                <c:pt idx="10">
                  <c:v>1038907007975.3727</c:v>
                </c:pt>
                <c:pt idx="11">
                  <c:v>1039350782670.5579</c:v>
                </c:pt>
                <c:pt idx="12">
                  <c:v>1039794557365.7429</c:v>
                </c:pt>
                <c:pt idx="13">
                  <c:v>1040238332060.9281</c:v>
                </c:pt>
                <c:pt idx="14">
                  <c:v>1040682106756.1132</c:v>
                </c:pt>
                <c:pt idx="15">
                  <c:v>1041125881451.2981</c:v>
                </c:pt>
                <c:pt idx="16">
                  <c:v>1041569656146.4834</c:v>
                </c:pt>
                <c:pt idx="17">
                  <c:v>1042013430841.6683</c:v>
                </c:pt>
                <c:pt idx="18">
                  <c:v>1042457205536.8535</c:v>
                </c:pt>
                <c:pt idx="19">
                  <c:v>1042900980232.0388</c:v>
                </c:pt>
                <c:pt idx="20">
                  <c:v>1043344754927.2236</c:v>
                </c:pt>
                <c:pt idx="21">
                  <c:v>1036287592121.0149</c:v>
                </c:pt>
                <c:pt idx="22">
                  <c:v>1029230429314.8058</c:v>
                </c:pt>
                <c:pt idx="23">
                  <c:v>1022173266508.5972</c:v>
                </c:pt>
                <c:pt idx="24">
                  <c:v>1015116103702.3881</c:v>
                </c:pt>
                <c:pt idx="25">
                  <c:v>1008058940896.1792</c:v>
                </c:pt>
                <c:pt idx="26">
                  <c:v>1001001778089.9703</c:v>
                </c:pt>
                <c:pt idx="27">
                  <c:v>993944615283.76147</c:v>
                </c:pt>
                <c:pt idx="28">
                  <c:v>986887452477.55249</c:v>
                </c:pt>
                <c:pt idx="29">
                  <c:v>979830289671.34363</c:v>
                </c:pt>
                <c:pt idx="30">
                  <c:v>972773126865.13477</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69447729040406.18</c:v>
                </c:pt>
                <c:pt idx="1">
                  <c:v>70849955725639.328</c:v>
                </c:pt>
                <c:pt idx="2">
                  <c:v>72252182410872.484</c:v>
                </c:pt>
                <c:pt idx="3">
                  <c:v>73654409096105.609</c:v>
                </c:pt>
                <c:pt idx="4">
                  <c:v>75141059255005.563</c:v>
                </c:pt>
                <c:pt idx="5">
                  <c:v>76627709413905.438</c:v>
                </c:pt>
                <c:pt idx="6">
                  <c:v>78114359572805.828</c:v>
                </c:pt>
                <c:pt idx="7">
                  <c:v>79601009731705.719</c:v>
                </c:pt>
                <c:pt idx="8">
                  <c:v>81087659890605.594</c:v>
                </c:pt>
                <c:pt idx="9">
                  <c:v>82574310049506</c:v>
                </c:pt>
                <c:pt idx="10">
                  <c:v>84060960208406.141</c:v>
                </c:pt>
                <c:pt idx="11">
                  <c:v>84992075656144.297</c:v>
                </c:pt>
                <c:pt idx="12">
                  <c:v>85923191103882.438</c:v>
                </c:pt>
                <c:pt idx="13">
                  <c:v>86854306551620.844</c:v>
                </c:pt>
                <c:pt idx="14">
                  <c:v>87785421999359.016</c:v>
                </c:pt>
                <c:pt idx="15">
                  <c:v>88716537447097.422</c:v>
                </c:pt>
                <c:pt idx="16">
                  <c:v>89647652894835.594</c:v>
                </c:pt>
                <c:pt idx="17">
                  <c:v>90578768342574</c:v>
                </c:pt>
                <c:pt idx="18">
                  <c:v>91509883790312.172</c:v>
                </c:pt>
                <c:pt idx="19">
                  <c:v>92440999238050.578</c:v>
                </c:pt>
                <c:pt idx="20">
                  <c:v>93372114685789</c:v>
                </c:pt>
                <c:pt idx="21">
                  <c:v>93765128953385.531</c:v>
                </c:pt>
                <c:pt idx="22">
                  <c:v>94158143220982.063</c:v>
                </c:pt>
                <c:pt idx="23">
                  <c:v>94551157488578.578</c:v>
                </c:pt>
                <c:pt idx="24">
                  <c:v>94944171756175.125</c:v>
                </c:pt>
                <c:pt idx="25">
                  <c:v>95337186023771.656</c:v>
                </c:pt>
                <c:pt idx="26">
                  <c:v>95730200291368.172</c:v>
                </c:pt>
                <c:pt idx="27">
                  <c:v>96123214558964.703</c:v>
                </c:pt>
                <c:pt idx="28">
                  <c:v>96516228826561.234</c:v>
                </c:pt>
                <c:pt idx="29">
                  <c:v>96909243094157.766</c:v>
                </c:pt>
                <c:pt idx="30">
                  <c:v>97302257361754.281</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38259779395852.703</c:v>
                </c:pt>
                <c:pt idx="1">
                  <c:v>39047183580275.859</c:v>
                </c:pt>
                <c:pt idx="2">
                  <c:v>39834587764699.023</c:v>
                </c:pt>
                <c:pt idx="3">
                  <c:v>40621991949122.188</c:v>
                </c:pt>
                <c:pt idx="4">
                  <c:v>41488981338608.18</c:v>
                </c:pt>
                <c:pt idx="5">
                  <c:v>42355970728094.141</c:v>
                </c:pt>
                <c:pt idx="6">
                  <c:v>43222960117580.367</c:v>
                </c:pt>
                <c:pt idx="7">
                  <c:v>44089949507066.328</c:v>
                </c:pt>
                <c:pt idx="8">
                  <c:v>44956938896552.281</c:v>
                </c:pt>
                <c:pt idx="9">
                  <c:v>45823928286038.516</c:v>
                </c:pt>
                <c:pt idx="10">
                  <c:v>46690917675524.609</c:v>
                </c:pt>
                <c:pt idx="11">
                  <c:v>47245026112693.484</c:v>
                </c:pt>
                <c:pt idx="12">
                  <c:v>47799134549862.352</c:v>
                </c:pt>
                <c:pt idx="13">
                  <c:v>48353242987031.359</c:v>
                </c:pt>
                <c:pt idx="14">
                  <c:v>48907351424200.234</c:v>
                </c:pt>
                <c:pt idx="15">
                  <c:v>49461459861369.242</c:v>
                </c:pt>
                <c:pt idx="16">
                  <c:v>50015568298538.125</c:v>
                </c:pt>
                <c:pt idx="17">
                  <c:v>50569676735707.125</c:v>
                </c:pt>
                <c:pt idx="18">
                  <c:v>51123785172876.008</c:v>
                </c:pt>
                <c:pt idx="19">
                  <c:v>51677893610045.016</c:v>
                </c:pt>
                <c:pt idx="20">
                  <c:v>52232002047214.016</c:v>
                </c:pt>
                <c:pt idx="21">
                  <c:v>52487148172105.414</c:v>
                </c:pt>
                <c:pt idx="22">
                  <c:v>52742294296996.813</c:v>
                </c:pt>
                <c:pt idx="23">
                  <c:v>52997440421888.203</c:v>
                </c:pt>
                <c:pt idx="24">
                  <c:v>53252586546779.594</c:v>
                </c:pt>
                <c:pt idx="25">
                  <c:v>53507732671670.992</c:v>
                </c:pt>
                <c:pt idx="26">
                  <c:v>53762878796562.391</c:v>
                </c:pt>
                <c:pt idx="27">
                  <c:v>54018024921453.781</c:v>
                </c:pt>
                <c:pt idx="28">
                  <c:v>54273171046345.172</c:v>
                </c:pt>
                <c:pt idx="29">
                  <c:v>54528317171236.57</c:v>
                </c:pt>
                <c:pt idx="30">
                  <c:v>54783463296127.969</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299329822576.96857</c:v>
                </c:pt>
                <c:pt idx="1">
                  <c:v>307370177431.67963</c:v>
                </c:pt>
                <c:pt idx="2">
                  <c:v>315410532286.39075</c:v>
                </c:pt>
                <c:pt idx="3">
                  <c:v>323450887141.10181</c:v>
                </c:pt>
                <c:pt idx="4">
                  <c:v>327182813154.16925</c:v>
                </c:pt>
                <c:pt idx="5">
                  <c:v>330914739167.23663</c:v>
                </c:pt>
                <c:pt idx="6">
                  <c:v>334646665180.30402</c:v>
                </c:pt>
                <c:pt idx="7">
                  <c:v>338378591193.37134</c:v>
                </c:pt>
                <c:pt idx="8">
                  <c:v>342110517206.43884</c:v>
                </c:pt>
                <c:pt idx="9">
                  <c:v>345842443219.50616</c:v>
                </c:pt>
                <c:pt idx="10">
                  <c:v>349574369232.57367</c:v>
                </c:pt>
                <c:pt idx="11">
                  <c:v>349723205115.98138</c:v>
                </c:pt>
                <c:pt idx="12">
                  <c:v>349872040999.38928</c:v>
                </c:pt>
                <c:pt idx="13">
                  <c:v>350020876882.79718</c:v>
                </c:pt>
                <c:pt idx="14">
                  <c:v>350169712766.20496</c:v>
                </c:pt>
                <c:pt idx="15">
                  <c:v>350318548649.61285</c:v>
                </c:pt>
                <c:pt idx="16">
                  <c:v>350467384533.02075</c:v>
                </c:pt>
                <c:pt idx="17">
                  <c:v>350616220416.42847</c:v>
                </c:pt>
                <c:pt idx="18">
                  <c:v>350765056299.8363</c:v>
                </c:pt>
                <c:pt idx="19">
                  <c:v>350913892183.2442</c:v>
                </c:pt>
                <c:pt idx="20">
                  <c:v>351062728066.65204</c:v>
                </c:pt>
                <c:pt idx="21">
                  <c:v>348687639557.34998</c:v>
                </c:pt>
                <c:pt idx="22">
                  <c:v>346312551048.04791</c:v>
                </c:pt>
                <c:pt idx="23">
                  <c:v>343937462538.74591</c:v>
                </c:pt>
                <c:pt idx="24">
                  <c:v>341562374029.44385</c:v>
                </c:pt>
                <c:pt idx="25">
                  <c:v>339187285520.14191</c:v>
                </c:pt>
                <c:pt idx="26">
                  <c:v>336812197010.83984</c:v>
                </c:pt>
                <c:pt idx="27">
                  <c:v>334437108501.53778</c:v>
                </c:pt>
                <c:pt idx="28">
                  <c:v>332062019992.23572</c:v>
                </c:pt>
                <c:pt idx="29">
                  <c:v>329686931482.93365</c:v>
                </c:pt>
                <c:pt idx="30">
                  <c:v>327311842973.63165</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1289071690940.2122</c:v>
                </c:pt>
                <c:pt idx="1">
                  <c:v>1269629970473.6111</c:v>
                </c:pt>
                <c:pt idx="2">
                  <c:v>1250188250007.0103</c:v>
                </c:pt>
                <c:pt idx="3">
                  <c:v>1230746529540.4092</c:v>
                </c:pt>
                <c:pt idx="4">
                  <c:v>1232730336740.0024</c:v>
                </c:pt>
                <c:pt idx="5">
                  <c:v>1234714143939.5952</c:v>
                </c:pt>
                <c:pt idx="6">
                  <c:v>1236697951139.1885</c:v>
                </c:pt>
                <c:pt idx="7">
                  <c:v>1238681758338.7817</c:v>
                </c:pt>
                <c:pt idx="8">
                  <c:v>1240665565538.3748</c:v>
                </c:pt>
                <c:pt idx="9">
                  <c:v>1242649372737.9678</c:v>
                </c:pt>
                <c:pt idx="10">
                  <c:v>1244633179937.561</c:v>
                </c:pt>
                <c:pt idx="11">
                  <c:v>1244051314801.7358</c:v>
                </c:pt>
                <c:pt idx="12">
                  <c:v>1243469449665.9109</c:v>
                </c:pt>
                <c:pt idx="13">
                  <c:v>1242887584530.0857</c:v>
                </c:pt>
                <c:pt idx="14">
                  <c:v>1242305719394.2607</c:v>
                </c:pt>
                <c:pt idx="15">
                  <c:v>1241723854258.4358</c:v>
                </c:pt>
                <c:pt idx="16">
                  <c:v>1241141989122.6108</c:v>
                </c:pt>
                <c:pt idx="17">
                  <c:v>1240560123986.7856</c:v>
                </c:pt>
                <c:pt idx="18">
                  <c:v>1239978258850.9607</c:v>
                </c:pt>
                <c:pt idx="19">
                  <c:v>1239396393715.1357</c:v>
                </c:pt>
                <c:pt idx="20">
                  <c:v>1238814528579.3105</c:v>
                </c:pt>
                <c:pt idx="21">
                  <c:v>1229274470855.02</c:v>
                </c:pt>
                <c:pt idx="22">
                  <c:v>1219734413130.729</c:v>
                </c:pt>
                <c:pt idx="23">
                  <c:v>1210194355406.4385</c:v>
                </c:pt>
                <c:pt idx="24">
                  <c:v>1200654297682.1479</c:v>
                </c:pt>
                <c:pt idx="25">
                  <c:v>1191114239957.8572</c:v>
                </c:pt>
                <c:pt idx="26">
                  <c:v>1181574182233.5664</c:v>
                </c:pt>
                <c:pt idx="27">
                  <c:v>1172034124509.2759</c:v>
                </c:pt>
                <c:pt idx="28">
                  <c:v>1162494066784.9854</c:v>
                </c:pt>
                <c:pt idx="29">
                  <c:v>1152954009060.6946</c:v>
                </c:pt>
                <c:pt idx="30">
                  <c:v>1143413951336.4038</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7132010195957.4961</c:v>
                </c:pt>
                <c:pt idx="1">
                  <c:v>7112966629286.8174</c:v>
                </c:pt>
                <c:pt idx="2">
                  <c:v>7093923062616.1377</c:v>
                </c:pt>
                <c:pt idx="3">
                  <c:v>7074879495945.46</c:v>
                </c:pt>
                <c:pt idx="4">
                  <c:v>7303193424988.1904</c:v>
                </c:pt>
                <c:pt idx="5">
                  <c:v>7531507354030.9238</c:v>
                </c:pt>
                <c:pt idx="6">
                  <c:v>7759821283073.6543</c:v>
                </c:pt>
                <c:pt idx="7">
                  <c:v>7988135212116.3887</c:v>
                </c:pt>
                <c:pt idx="8">
                  <c:v>8216449141159.1191</c:v>
                </c:pt>
                <c:pt idx="9">
                  <c:v>8444763070201.8506</c:v>
                </c:pt>
                <c:pt idx="10">
                  <c:v>8673076999244.582</c:v>
                </c:pt>
                <c:pt idx="11">
                  <c:v>8680550516398.0859</c:v>
                </c:pt>
                <c:pt idx="12">
                  <c:v>8688024033551.5879</c:v>
                </c:pt>
                <c:pt idx="13">
                  <c:v>8695497550705.0928</c:v>
                </c:pt>
                <c:pt idx="14">
                  <c:v>8702971067858.5938</c:v>
                </c:pt>
                <c:pt idx="15">
                  <c:v>8710444585012.0967</c:v>
                </c:pt>
                <c:pt idx="16">
                  <c:v>8717918102165.5996</c:v>
                </c:pt>
                <c:pt idx="17">
                  <c:v>8725391619319.1025</c:v>
                </c:pt>
                <c:pt idx="18">
                  <c:v>8732865136472.6084</c:v>
                </c:pt>
                <c:pt idx="19">
                  <c:v>8740338653626.1094</c:v>
                </c:pt>
                <c:pt idx="20">
                  <c:v>8747812170779.6123</c:v>
                </c:pt>
                <c:pt idx="21">
                  <c:v>8730234406920.3057</c:v>
                </c:pt>
                <c:pt idx="22">
                  <c:v>8712656643060.999</c:v>
                </c:pt>
                <c:pt idx="23">
                  <c:v>8695078879201.6924</c:v>
                </c:pt>
                <c:pt idx="24">
                  <c:v>8677501115342.3857</c:v>
                </c:pt>
                <c:pt idx="25">
                  <c:v>8659923351483.0811</c:v>
                </c:pt>
                <c:pt idx="26">
                  <c:v>8642345587623.7744</c:v>
                </c:pt>
                <c:pt idx="27">
                  <c:v>8624767823764.4688</c:v>
                </c:pt>
                <c:pt idx="28">
                  <c:v>8607190059905.1611</c:v>
                </c:pt>
                <c:pt idx="29">
                  <c:v>8589612296045.8564</c:v>
                </c:pt>
                <c:pt idx="30">
                  <c:v>8572034532186.5498</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1372292492989.1086</c:v>
                </c:pt>
                <c:pt idx="1">
                  <c:v>1369468061109.2385</c:v>
                </c:pt>
                <c:pt idx="2">
                  <c:v>1366643629229.3687</c:v>
                </c:pt>
                <c:pt idx="3">
                  <c:v>1363819197349.4988</c:v>
                </c:pt>
                <c:pt idx="4">
                  <c:v>1420925120783.2495</c:v>
                </c:pt>
                <c:pt idx="5">
                  <c:v>1478031044217.0005</c:v>
                </c:pt>
                <c:pt idx="6">
                  <c:v>1535136967650.751</c:v>
                </c:pt>
                <c:pt idx="7">
                  <c:v>1592242891084.5017</c:v>
                </c:pt>
                <c:pt idx="8">
                  <c:v>1649348814518.2524</c:v>
                </c:pt>
                <c:pt idx="9">
                  <c:v>1706454737952.0029</c:v>
                </c:pt>
                <c:pt idx="10">
                  <c:v>1763560661385.7539</c:v>
                </c:pt>
                <c:pt idx="11">
                  <c:v>1765273790252.2856</c:v>
                </c:pt>
                <c:pt idx="12">
                  <c:v>1766986919118.8171</c:v>
                </c:pt>
                <c:pt idx="13">
                  <c:v>1768700047985.3489</c:v>
                </c:pt>
                <c:pt idx="14">
                  <c:v>1770413176851.8804</c:v>
                </c:pt>
                <c:pt idx="15">
                  <c:v>1772126305718.4121</c:v>
                </c:pt>
                <c:pt idx="16">
                  <c:v>1773839434584.9438</c:v>
                </c:pt>
                <c:pt idx="17">
                  <c:v>1775552563451.4756</c:v>
                </c:pt>
                <c:pt idx="18">
                  <c:v>1777265692318.0073</c:v>
                </c:pt>
                <c:pt idx="19">
                  <c:v>1778978821184.5391</c:v>
                </c:pt>
                <c:pt idx="20">
                  <c:v>1780691950051.0708</c:v>
                </c:pt>
                <c:pt idx="21">
                  <c:v>1766299402800.3801</c:v>
                </c:pt>
                <c:pt idx="22">
                  <c:v>1751906855549.6895</c:v>
                </c:pt>
                <c:pt idx="23">
                  <c:v>1737514308298.999</c:v>
                </c:pt>
                <c:pt idx="24">
                  <c:v>1723121761048.3083</c:v>
                </c:pt>
                <c:pt idx="25">
                  <c:v>1708729213797.6179</c:v>
                </c:pt>
                <c:pt idx="26">
                  <c:v>1694336666546.9272</c:v>
                </c:pt>
                <c:pt idx="27">
                  <c:v>1679944119296.2368</c:v>
                </c:pt>
                <c:pt idx="28">
                  <c:v>1665551572045.5461</c:v>
                </c:pt>
                <c:pt idx="29">
                  <c:v>1651159024794.8557</c:v>
                </c:pt>
                <c:pt idx="30">
                  <c:v>1636766477544.165</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4604900739967.25</c:v>
                </c:pt>
                <c:pt idx="1">
                  <c:v>4512851965356.1807</c:v>
                </c:pt>
                <c:pt idx="2">
                  <c:v>4420803190745.1113</c:v>
                </c:pt>
                <c:pt idx="3">
                  <c:v>4328754416134.043</c:v>
                </c:pt>
                <c:pt idx="4">
                  <c:v>4533645687139.2217</c:v>
                </c:pt>
                <c:pt idx="5">
                  <c:v>4738536958144.4004</c:v>
                </c:pt>
                <c:pt idx="6">
                  <c:v>4943428229149.5801</c:v>
                </c:pt>
                <c:pt idx="7">
                  <c:v>5148319500154.7598</c:v>
                </c:pt>
                <c:pt idx="8">
                  <c:v>5353210771159.9395</c:v>
                </c:pt>
                <c:pt idx="9">
                  <c:v>5558102042165.1191</c:v>
                </c:pt>
                <c:pt idx="10">
                  <c:v>5762993313170.2969</c:v>
                </c:pt>
                <c:pt idx="11">
                  <c:v>5735478546808.5615</c:v>
                </c:pt>
                <c:pt idx="12">
                  <c:v>5707963780446.8252</c:v>
                </c:pt>
                <c:pt idx="13">
                  <c:v>5680449014085.0898</c:v>
                </c:pt>
                <c:pt idx="14">
                  <c:v>5652934247723.3535</c:v>
                </c:pt>
                <c:pt idx="15">
                  <c:v>5625419481361.6182</c:v>
                </c:pt>
                <c:pt idx="16">
                  <c:v>5597904714999.8828</c:v>
                </c:pt>
                <c:pt idx="17">
                  <c:v>5570389948638.1455</c:v>
                </c:pt>
                <c:pt idx="18">
                  <c:v>5542875182276.4102</c:v>
                </c:pt>
                <c:pt idx="19">
                  <c:v>5515360415914.6738</c:v>
                </c:pt>
                <c:pt idx="20">
                  <c:v>5487845649552.9375</c:v>
                </c:pt>
                <c:pt idx="21">
                  <c:v>5405370814295.2578</c:v>
                </c:pt>
                <c:pt idx="22">
                  <c:v>5322895979037.5771</c:v>
                </c:pt>
                <c:pt idx="23">
                  <c:v>5240421143779.8965</c:v>
                </c:pt>
                <c:pt idx="24">
                  <c:v>5157946308522.2168</c:v>
                </c:pt>
                <c:pt idx="25">
                  <c:v>5075471473264.5361</c:v>
                </c:pt>
                <c:pt idx="26">
                  <c:v>4992996638006.8555</c:v>
                </c:pt>
                <c:pt idx="27">
                  <c:v>4910521802749.1758</c:v>
                </c:pt>
                <c:pt idx="28">
                  <c:v>4828046967491.4941</c:v>
                </c:pt>
                <c:pt idx="29">
                  <c:v>4745572132233.8145</c:v>
                </c:pt>
                <c:pt idx="30">
                  <c:v>4663097296976.1338</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13097539857147.09</c:v>
                </c:pt>
                <c:pt idx="1">
                  <c:v>13564539314352.797</c:v>
                </c:pt>
                <c:pt idx="2">
                  <c:v>14031538771558.691</c:v>
                </c:pt>
                <c:pt idx="3">
                  <c:v>14498538228764.49</c:v>
                </c:pt>
                <c:pt idx="4">
                  <c:v>14751960833136.482</c:v>
                </c:pt>
                <c:pt idx="5">
                  <c:v>15005383437508.473</c:v>
                </c:pt>
                <c:pt idx="6">
                  <c:v>15258806041880.461</c:v>
                </c:pt>
                <c:pt idx="7">
                  <c:v>15512228646252.453</c:v>
                </c:pt>
                <c:pt idx="8">
                  <c:v>15765651250624.441</c:v>
                </c:pt>
                <c:pt idx="9">
                  <c:v>16019073854996.432</c:v>
                </c:pt>
                <c:pt idx="10">
                  <c:v>16272496459368.42</c:v>
                </c:pt>
                <c:pt idx="11">
                  <c:v>16370768628112.701</c:v>
                </c:pt>
                <c:pt idx="12">
                  <c:v>16469040796856.984</c:v>
                </c:pt>
                <c:pt idx="13">
                  <c:v>16567312965601.268</c:v>
                </c:pt>
                <c:pt idx="14">
                  <c:v>16665585134345.547</c:v>
                </c:pt>
                <c:pt idx="15">
                  <c:v>16763857303089.828</c:v>
                </c:pt>
                <c:pt idx="16">
                  <c:v>16862129471834.107</c:v>
                </c:pt>
                <c:pt idx="17">
                  <c:v>16960401640578.391</c:v>
                </c:pt>
                <c:pt idx="18">
                  <c:v>17058673809322.674</c:v>
                </c:pt>
                <c:pt idx="19">
                  <c:v>17156945978066.955</c:v>
                </c:pt>
                <c:pt idx="20">
                  <c:v>17255218146811.23</c:v>
                </c:pt>
                <c:pt idx="21">
                  <c:v>17204655760816.061</c:v>
                </c:pt>
                <c:pt idx="22">
                  <c:v>17154093374820.898</c:v>
                </c:pt>
                <c:pt idx="23">
                  <c:v>17103530988825.734</c:v>
                </c:pt>
                <c:pt idx="24">
                  <c:v>17052968602830.57</c:v>
                </c:pt>
                <c:pt idx="25">
                  <c:v>17002406216835.408</c:v>
                </c:pt>
                <c:pt idx="26">
                  <c:v>16951843830840.246</c:v>
                </c:pt>
                <c:pt idx="27">
                  <c:v>16901281444845.084</c:v>
                </c:pt>
                <c:pt idx="28">
                  <c:v>16850719058849.92</c:v>
                </c:pt>
                <c:pt idx="29">
                  <c:v>16800156672854.756</c:v>
                </c:pt>
                <c:pt idx="30">
                  <c:v>16749594286859.609</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2349116966928.0127</c:v>
                </c:pt>
                <c:pt idx="1">
                  <c:v>2433855835965.1377</c:v>
                </c:pt>
                <c:pt idx="2">
                  <c:v>2518594705002.2949</c:v>
                </c:pt>
                <c:pt idx="3">
                  <c:v>2603333574039.4365</c:v>
                </c:pt>
                <c:pt idx="4">
                  <c:v>2650965241453.7227</c:v>
                </c:pt>
                <c:pt idx="5">
                  <c:v>2698596908868.0098</c:v>
                </c:pt>
                <c:pt idx="6">
                  <c:v>2746228576282.2959</c:v>
                </c:pt>
                <c:pt idx="7">
                  <c:v>2793860243696.5825</c:v>
                </c:pt>
                <c:pt idx="8">
                  <c:v>2841491911110.8691</c:v>
                </c:pt>
                <c:pt idx="9">
                  <c:v>2889123578525.1558</c:v>
                </c:pt>
                <c:pt idx="10">
                  <c:v>2936755245939.4424</c:v>
                </c:pt>
                <c:pt idx="11">
                  <c:v>2954949444493.5874</c:v>
                </c:pt>
                <c:pt idx="12">
                  <c:v>2973143643047.7314</c:v>
                </c:pt>
                <c:pt idx="13">
                  <c:v>2991337841601.8765</c:v>
                </c:pt>
                <c:pt idx="14">
                  <c:v>3009532040156.021</c:v>
                </c:pt>
                <c:pt idx="15">
                  <c:v>3027726238710.166</c:v>
                </c:pt>
                <c:pt idx="16">
                  <c:v>3045920437264.3101</c:v>
                </c:pt>
                <c:pt idx="17">
                  <c:v>3064114635818.4546</c:v>
                </c:pt>
                <c:pt idx="18">
                  <c:v>3082308834372.5996</c:v>
                </c:pt>
                <c:pt idx="19">
                  <c:v>3100503032926.7441</c:v>
                </c:pt>
                <c:pt idx="20">
                  <c:v>3118697231480.8887</c:v>
                </c:pt>
                <c:pt idx="21">
                  <c:v>3110204616674.1138</c:v>
                </c:pt>
                <c:pt idx="22">
                  <c:v>3101712001867.3408</c:v>
                </c:pt>
                <c:pt idx="23">
                  <c:v>3093219387060.5684</c:v>
                </c:pt>
                <c:pt idx="24">
                  <c:v>3084726772253.7949</c:v>
                </c:pt>
                <c:pt idx="25">
                  <c:v>3076234157447.0229</c:v>
                </c:pt>
                <c:pt idx="26">
                  <c:v>3067741542640.25</c:v>
                </c:pt>
                <c:pt idx="27">
                  <c:v>3059248927833.4771</c:v>
                </c:pt>
                <c:pt idx="28">
                  <c:v>3050756313026.7041</c:v>
                </c:pt>
                <c:pt idx="29">
                  <c:v>3042263698219.9312</c:v>
                </c:pt>
                <c:pt idx="30">
                  <c:v>3033771083413.1602</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3868773103273.4355</c:v>
                </c:pt>
                <c:pt idx="1">
                  <c:v>4011136484718.2773</c:v>
                </c:pt>
                <c:pt idx="2">
                  <c:v>4153499866163.1709</c:v>
                </c:pt>
                <c:pt idx="3">
                  <c:v>4295863247608.0386</c:v>
                </c:pt>
                <c:pt idx="4">
                  <c:v>4380548568606.7915</c:v>
                </c:pt>
                <c:pt idx="5">
                  <c:v>4465233889605.543</c:v>
                </c:pt>
                <c:pt idx="6">
                  <c:v>4549919210604.2959</c:v>
                </c:pt>
                <c:pt idx="7">
                  <c:v>4634604531603.0479</c:v>
                </c:pt>
                <c:pt idx="8">
                  <c:v>4719289852601.8008</c:v>
                </c:pt>
                <c:pt idx="9">
                  <c:v>4803975173600.5527</c:v>
                </c:pt>
                <c:pt idx="10">
                  <c:v>4888660494599.3037</c:v>
                </c:pt>
                <c:pt idx="11">
                  <c:v>4920252925598.209</c:v>
                </c:pt>
                <c:pt idx="12">
                  <c:v>4951845356597.1143</c:v>
                </c:pt>
                <c:pt idx="13">
                  <c:v>4983437787596.0186</c:v>
                </c:pt>
                <c:pt idx="14">
                  <c:v>5015030218594.9238</c:v>
                </c:pt>
                <c:pt idx="15">
                  <c:v>5046622649593.8281</c:v>
                </c:pt>
                <c:pt idx="16">
                  <c:v>5078215080592.7334</c:v>
                </c:pt>
                <c:pt idx="17">
                  <c:v>5109807511591.6387</c:v>
                </c:pt>
                <c:pt idx="18">
                  <c:v>5141399942590.5439</c:v>
                </c:pt>
                <c:pt idx="19">
                  <c:v>5172992373589.4473</c:v>
                </c:pt>
                <c:pt idx="20">
                  <c:v>5204584804588.3516</c:v>
                </c:pt>
                <c:pt idx="21">
                  <c:v>5192248050316.1309</c:v>
                </c:pt>
                <c:pt idx="22">
                  <c:v>5179911296043.9121</c:v>
                </c:pt>
                <c:pt idx="23">
                  <c:v>5167574541771.6943</c:v>
                </c:pt>
                <c:pt idx="24">
                  <c:v>5155237787499.4746</c:v>
                </c:pt>
                <c:pt idx="25">
                  <c:v>5142901033227.2549</c:v>
                </c:pt>
                <c:pt idx="26">
                  <c:v>5130564278955.0371</c:v>
                </c:pt>
                <c:pt idx="27">
                  <c:v>5118227524682.8184</c:v>
                </c:pt>
                <c:pt idx="28">
                  <c:v>5105890770410.5986</c:v>
                </c:pt>
                <c:pt idx="29">
                  <c:v>5093554016138.3809</c:v>
                </c:pt>
                <c:pt idx="30">
                  <c:v>5081217261866.165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6501294193151.0938</c:v>
                </c:pt>
                <c:pt idx="1">
                  <c:v>6773032222001.3135</c:v>
                </c:pt>
                <c:pt idx="2">
                  <c:v>7044770250851.5859</c:v>
                </c:pt>
                <c:pt idx="3">
                  <c:v>7316508279701.832</c:v>
                </c:pt>
                <c:pt idx="4">
                  <c:v>7531091169934.248</c:v>
                </c:pt>
                <c:pt idx="5">
                  <c:v>7745674060166.6631</c:v>
                </c:pt>
                <c:pt idx="6">
                  <c:v>7960256950399.0791</c:v>
                </c:pt>
                <c:pt idx="7">
                  <c:v>8174839840631.4951</c:v>
                </c:pt>
                <c:pt idx="8">
                  <c:v>8389422730863.9102</c:v>
                </c:pt>
                <c:pt idx="9">
                  <c:v>8604005621096.3271</c:v>
                </c:pt>
                <c:pt idx="10">
                  <c:v>8818588511328.7422</c:v>
                </c:pt>
                <c:pt idx="11">
                  <c:v>8890536147146.5234</c:v>
                </c:pt>
                <c:pt idx="12">
                  <c:v>8962483782964.3086</c:v>
                </c:pt>
                <c:pt idx="13">
                  <c:v>9034431418782.0918</c:v>
                </c:pt>
                <c:pt idx="14">
                  <c:v>9106379054599.875</c:v>
                </c:pt>
                <c:pt idx="15">
                  <c:v>9178326690417.6602</c:v>
                </c:pt>
                <c:pt idx="16">
                  <c:v>9250274326235.4414</c:v>
                </c:pt>
                <c:pt idx="17">
                  <c:v>9322221962053.2266</c:v>
                </c:pt>
                <c:pt idx="18">
                  <c:v>9394169597871.0078</c:v>
                </c:pt>
                <c:pt idx="19">
                  <c:v>9466117233688.791</c:v>
                </c:pt>
                <c:pt idx="20">
                  <c:v>9538064869506.5742</c:v>
                </c:pt>
                <c:pt idx="21">
                  <c:v>9536440172558.418</c:v>
                </c:pt>
                <c:pt idx="22">
                  <c:v>9534815475610.2656</c:v>
                </c:pt>
                <c:pt idx="23">
                  <c:v>9533190778662.1133</c:v>
                </c:pt>
                <c:pt idx="24">
                  <c:v>9531566081713.9609</c:v>
                </c:pt>
                <c:pt idx="25">
                  <c:v>9529941384765.8086</c:v>
                </c:pt>
                <c:pt idx="26">
                  <c:v>9528316687817.6523</c:v>
                </c:pt>
                <c:pt idx="27">
                  <c:v>9526691990869.5</c:v>
                </c:pt>
                <c:pt idx="28">
                  <c:v>9525067293921.3496</c:v>
                </c:pt>
                <c:pt idx="29">
                  <c:v>9523442596973.1953</c:v>
                </c:pt>
                <c:pt idx="30">
                  <c:v>9521817900025.0469</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3693568945324.0771</c:v>
                </c:pt>
                <c:pt idx="1">
                  <c:v>3864591459036.105</c:v>
                </c:pt>
                <c:pt idx="2">
                  <c:v>4035613972748.146</c:v>
                </c:pt>
                <c:pt idx="3">
                  <c:v>4206636486460.1802</c:v>
                </c:pt>
                <c:pt idx="4">
                  <c:v>4365548592988.7949</c:v>
                </c:pt>
                <c:pt idx="5">
                  <c:v>4524460699517.4102</c:v>
                </c:pt>
                <c:pt idx="6">
                  <c:v>4683372806046.0254</c:v>
                </c:pt>
                <c:pt idx="7">
                  <c:v>4842284912574.6396</c:v>
                </c:pt>
                <c:pt idx="8">
                  <c:v>5001197019103.2539</c:v>
                </c:pt>
                <c:pt idx="9">
                  <c:v>5160109125631.8691</c:v>
                </c:pt>
                <c:pt idx="10">
                  <c:v>5319021232160.4844</c:v>
                </c:pt>
                <c:pt idx="11">
                  <c:v>5369551411988.9082</c:v>
                </c:pt>
                <c:pt idx="12">
                  <c:v>5420081591817.3311</c:v>
                </c:pt>
                <c:pt idx="13">
                  <c:v>5470611771645.7539</c:v>
                </c:pt>
                <c:pt idx="14">
                  <c:v>5521141951474.1777</c:v>
                </c:pt>
                <c:pt idx="15">
                  <c:v>5571672131302.6006</c:v>
                </c:pt>
                <c:pt idx="16">
                  <c:v>5622202311131.0244</c:v>
                </c:pt>
                <c:pt idx="17">
                  <c:v>5672732490959.4473</c:v>
                </c:pt>
                <c:pt idx="18">
                  <c:v>5723262670787.8711</c:v>
                </c:pt>
                <c:pt idx="19">
                  <c:v>5773792850616.2939</c:v>
                </c:pt>
                <c:pt idx="20">
                  <c:v>5824323030444.7168</c:v>
                </c:pt>
                <c:pt idx="21">
                  <c:v>5833181979784.1211</c:v>
                </c:pt>
                <c:pt idx="22">
                  <c:v>5842040929123.5254</c:v>
                </c:pt>
                <c:pt idx="23">
                  <c:v>5850899878462.9277</c:v>
                </c:pt>
                <c:pt idx="24">
                  <c:v>5859758827802.332</c:v>
                </c:pt>
                <c:pt idx="25">
                  <c:v>5868617777141.7363</c:v>
                </c:pt>
                <c:pt idx="26">
                  <c:v>5877476726481.1406</c:v>
                </c:pt>
                <c:pt idx="27">
                  <c:v>5886335675820.5439</c:v>
                </c:pt>
                <c:pt idx="28">
                  <c:v>5895194625159.9482</c:v>
                </c:pt>
                <c:pt idx="29">
                  <c:v>5904053574499.3525</c:v>
                </c:pt>
                <c:pt idx="30">
                  <c:v>5912912523838.7568</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1188071693992.3728</c:v>
                </c:pt>
                <c:pt idx="1">
                  <c:v>1139558890429.646</c:v>
                </c:pt>
                <c:pt idx="2">
                  <c:v>1091046086866.9187</c:v>
                </c:pt>
                <c:pt idx="3">
                  <c:v>1042533283304.1919</c:v>
                </c:pt>
                <c:pt idx="4">
                  <c:v>1036390021975.9973</c:v>
                </c:pt>
                <c:pt idx="5">
                  <c:v>1030246760647.8027</c:v>
                </c:pt>
                <c:pt idx="6">
                  <c:v>1024103499319.6082</c:v>
                </c:pt>
                <c:pt idx="7">
                  <c:v>1017960237991.4136</c:v>
                </c:pt>
                <c:pt idx="8">
                  <c:v>1011816976663.2191</c:v>
                </c:pt>
                <c:pt idx="9">
                  <c:v>1005673715335.0244</c:v>
                </c:pt>
                <c:pt idx="10">
                  <c:v>999530454006.83008</c:v>
                </c:pt>
                <c:pt idx="11">
                  <c:v>998302236568.21704</c:v>
                </c:pt>
                <c:pt idx="12">
                  <c:v>997074019129.60388</c:v>
                </c:pt>
                <c:pt idx="13">
                  <c:v>995845801690.99072</c:v>
                </c:pt>
                <c:pt idx="14">
                  <c:v>994617584252.37769</c:v>
                </c:pt>
                <c:pt idx="15">
                  <c:v>993389366813.76465</c:v>
                </c:pt>
                <c:pt idx="16">
                  <c:v>992161149375.15161</c:v>
                </c:pt>
                <c:pt idx="17">
                  <c:v>990932931936.53857</c:v>
                </c:pt>
                <c:pt idx="18">
                  <c:v>989704714497.92554</c:v>
                </c:pt>
                <c:pt idx="19">
                  <c:v>988476497059.31238</c:v>
                </c:pt>
                <c:pt idx="20">
                  <c:v>987248279620.69922</c:v>
                </c:pt>
                <c:pt idx="21">
                  <c:v>978845183848.28711</c:v>
                </c:pt>
                <c:pt idx="22">
                  <c:v>970442088075.87524</c:v>
                </c:pt>
                <c:pt idx="23">
                  <c:v>962038992303.46313</c:v>
                </c:pt>
                <c:pt idx="24">
                  <c:v>953635896531.05103</c:v>
                </c:pt>
                <c:pt idx="25">
                  <c:v>945232800758.63916</c:v>
                </c:pt>
                <c:pt idx="26">
                  <c:v>936829704986.22705</c:v>
                </c:pt>
                <c:pt idx="27">
                  <c:v>928426609213.81494</c:v>
                </c:pt>
                <c:pt idx="28">
                  <c:v>920023513441.40308</c:v>
                </c:pt>
                <c:pt idx="29">
                  <c:v>911620417668.99084</c:v>
                </c:pt>
                <c:pt idx="30">
                  <c:v>903217321896.57886</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1</c:v>
                </c:pt>
                <c:pt idx="3">
                  <c:v>2</c:v>
                </c:pt>
                <c:pt idx="4">
                  <c:v>3</c:v>
                </c:pt>
                <c:pt idx="5">
                  <c:v>4</c:v>
                </c:pt>
                <c:pt idx="6">
                  <c:v>5</c:v>
                </c:pt>
                <c:pt idx="7">
                  <c:v>6</c:v>
                </c:pt>
                <c:pt idx="8">
                  <c:v>7</c:v>
                </c:pt>
                <c:pt idx="9">
                  <c:v>8</c:v>
                </c:pt>
                <c:pt idx="10">
                  <c:v>9</c:v>
                </c:pt>
                <c:pt idx="11">
                  <c:v>10</c:v>
                </c:pt>
                <c:pt idx="12">
                  <c:v>11</c:v>
                </c:pt>
                <c:pt idx="13">
                  <c:v>12</c:v>
                </c:pt>
                <c:pt idx="14">
                  <c:v>13</c:v>
                </c:pt>
                <c:pt idx="15">
                  <c:v>14</c:v>
                </c:pt>
                <c:pt idx="16">
                  <c:v>15</c:v>
                </c:pt>
                <c:pt idx="17">
                  <c:v>16</c:v>
                </c:pt>
                <c:pt idx="18">
                  <c:v>17</c:v>
                </c:pt>
                <c:pt idx="19">
                  <c:v>18</c:v>
                </c:pt>
                <c:pt idx="20">
                  <c:v>19</c:v>
                </c:pt>
                <c:pt idx="21">
                  <c:v>20</c:v>
                </c:pt>
                <c:pt idx="22">
                  <c:v>21</c:v>
                </c:pt>
                <c:pt idx="23">
                  <c:v>22</c:v>
                </c:pt>
                <c:pt idx="24">
                  <c:v>23</c:v>
                </c:pt>
                <c:pt idx="25">
                  <c:v>24</c:v>
                </c:pt>
                <c:pt idx="26">
                  <c:v>25</c:v>
                </c:pt>
                <c:pt idx="27">
                  <c:v>26</c:v>
                </c:pt>
                <c:pt idx="28">
                  <c:v>27</c:v>
                </c:pt>
                <c:pt idx="29">
                  <c:v>28</c:v>
                </c:pt>
                <c:pt idx="30">
                  <c:v>29</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696556262805.27344</c:v>
                </c:pt>
                <c:pt idx="1">
                  <c:v>697252819068.07849</c:v>
                </c:pt>
                <c:pt idx="2">
                  <c:v>697950071887.14648</c:v>
                </c:pt>
                <c:pt idx="3">
                  <c:v>698648021959.03369</c:v>
                </c:pt>
                <c:pt idx="4">
                  <c:v>699346669980.99268</c:v>
                </c:pt>
                <c:pt idx="5">
                  <c:v>700046016650.97363</c:v>
                </c:pt>
                <c:pt idx="6">
                  <c:v>700746062667.62451</c:v>
                </c:pt>
                <c:pt idx="7">
                  <c:v>701446808730.29199</c:v>
                </c:pt>
                <c:pt idx="8">
                  <c:v>702148255539.02234</c:v>
                </c:pt>
                <c:pt idx="9">
                  <c:v>702850403794.56128</c:v>
                </c:pt>
                <c:pt idx="10">
                  <c:v>703553254198.35571</c:v>
                </c:pt>
                <c:pt idx="11">
                  <c:v>704256807452.55396</c:v>
                </c:pt>
                <c:pt idx="12">
                  <c:v>704961064260.00647</c:v>
                </c:pt>
                <c:pt idx="13">
                  <c:v>705666025324.26636</c:v>
                </c:pt>
                <c:pt idx="14">
                  <c:v>706371691349.59058</c:v>
                </c:pt>
                <c:pt idx="15">
                  <c:v>707078063040.94006</c:v>
                </c:pt>
                <c:pt idx="16">
                  <c:v>707785141103.98096</c:v>
                </c:pt>
                <c:pt idx="17">
                  <c:v>708492926245.08472</c:v>
                </c:pt>
                <c:pt idx="18">
                  <c:v>709201419171.32971</c:v>
                </c:pt>
                <c:pt idx="19">
                  <c:v>709910620590.50098</c:v>
                </c:pt>
                <c:pt idx="20">
                  <c:v>710620531211.09131</c:v>
                </c:pt>
                <c:pt idx="21">
                  <c:v>707067428555.03589</c:v>
                </c:pt>
                <c:pt idx="22">
                  <c:v>703532091412.26074</c:v>
                </c:pt>
                <c:pt idx="23">
                  <c:v>700014430955.19946</c:v>
                </c:pt>
                <c:pt idx="24">
                  <c:v>696514358800.42334</c:v>
                </c:pt>
                <c:pt idx="25">
                  <c:v>693031787006.42126</c:v>
                </c:pt>
                <c:pt idx="26">
                  <c:v>689566628071.38916</c:v>
                </c:pt>
                <c:pt idx="27">
                  <c:v>686118794931.03223</c:v>
                </c:pt>
                <c:pt idx="28">
                  <c:v>682688200956.37695</c:v>
                </c:pt>
                <c:pt idx="29">
                  <c:v>679274759951.59521</c:v>
                </c:pt>
                <c:pt idx="30">
                  <c:v>675878386151.83716</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2863994577862.7012</c:v>
                </c:pt>
                <c:pt idx="1">
                  <c:v>2651416358697.2275</c:v>
                </c:pt>
                <c:pt idx="2">
                  <c:v>2438838139531.7544</c:v>
                </c:pt>
                <c:pt idx="3">
                  <c:v>2226259920366.2808</c:v>
                </c:pt>
                <c:pt idx="4">
                  <c:v>2186533029622.0669</c:v>
                </c:pt>
                <c:pt idx="5">
                  <c:v>2146806138877.853</c:v>
                </c:pt>
                <c:pt idx="6">
                  <c:v>2107079248133.6392</c:v>
                </c:pt>
                <c:pt idx="7">
                  <c:v>2067352357389.4253</c:v>
                </c:pt>
                <c:pt idx="8">
                  <c:v>2027625466645.2114</c:v>
                </c:pt>
                <c:pt idx="9">
                  <c:v>1987898575900.9976</c:v>
                </c:pt>
                <c:pt idx="10">
                  <c:v>1948171685156.7837</c:v>
                </c:pt>
                <c:pt idx="11">
                  <c:v>1943048036998.2227</c:v>
                </c:pt>
                <c:pt idx="12">
                  <c:v>1937924388839.6611</c:v>
                </c:pt>
                <c:pt idx="13">
                  <c:v>1932800740681.1001</c:v>
                </c:pt>
                <c:pt idx="14">
                  <c:v>1927677092522.5388</c:v>
                </c:pt>
                <c:pt idx="15">
                  <c:v>1922553444363.9773</c:v>
                </c:pt>
                <c:pt idx="16">
                  <c:v>1917429796205.4163</c:v>
                </c:pt>
                <c:pt idx="17">
                  <c:v>1912306148046.855</c:v>
                </c:pt>
                <c:pt idx="18">
                  <c:v>1907182499888.2939</c:v>
                </c:pt>
                <c:pt idx="19">
                  <c:v>1902058851729.7327</c:v>
                </c:pt>
                <c:pt idx="20">
                  <c:v>1896935203571.1711</c:v>
                </c:pt>
                <c:pt idx="21">
                  <c:v>1877895964673.6685</c:v>
                </c:pt>
                <c:pt idx="22">
                  <c:v>1858856725776.1663</c:v>
                </c:pt>
                <c:pt idx="23">
                  <c:v>1839817486878.6638</c:v>
                </c:pt>
                <c:pt idx="24">
                  <c:v>1820778247981.1609</c:v>
                </c:pt>
                <c:pt idx="25">
                  <c:v>1801739009083.6584</c:v>
                </c:pt>
                <c:pt idx="26">
                  <c:v>1782699770186.156</c:v>
                </c:pt>
                <c:pt idx="27">
                  <c:v>1763660531288.6533</c:v>
                </c:pt>
                <c:pt idx="28">
                  <c:v>1744621292391.1509</c:v>
                </c:pt>
                <c:pt idx="29">
                  <c:v>1725582053493.6482</c:v>
                </c:pt>
                <c:pt idx="30">
                  <c:v>1706542814596.1458</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134.08496154127255</c:v>
                </c:pt>
                <c:pt idx="1">
                  <c:v>134.18099180921223</c:v>
                </c:pt>
                <c:pt idx="2">
                  <c:v>134.27709085304039</c:v>
                </c:pt>
                <c:pt idx="3">
                  <c:v>134.37325872201359</c:v>
                </c:pt>
                <c:pt idx="4">
                  <c:v>134.46949546542371</c:v>
                </c:pt>
                <c:pt idx="5">
                  <c:v>134.5658011325979</c:v>
                </c:pt>
                <c:pt idx="6">
                  <c:v>134.66217577289865</c:v>
                </c:pt>
                <c:pt idx="7">
                  <c:v>134.75861943572383</c:v>
                </c:pt>
                <c:pt idx="8">
                  <c:v>134.85513217050664</c:v>
                </c:pt>
                <c:pt idx="9">
                  <c:v>134.95171402671568</c:v>
                </c:pt>
                <c:pt idx="10">
                  <c:v>135.04836505385504</c:v>
                </c:pt>
                <c:pt idx="11">
                  <c:v>135.14508530146421</c:v>
                </c:pt>
                <c:pt idx="12">
                  <c:v>135.24187481911818</c:v>
                </c:pt>
                <c:pt idx="13">
                  <c:v>135.33873365642745</c:v>
                </c:pt>
                <c:pt idx="14">
                  <c:v>135.43566186303804</c:v>
                </c:pt>
                <c:pt idx="15">
                  <c:v>135.53265948863151</c:v>
                </c:pt>
                <c:pt idx="16">
                  <c:v>135.62972658292503</c:v>
                </c:pt>
                <c:pt idx="17">
                  <c:v>135.72686319567137</c:v>
                </c:pt>
                <c:pt idx="18">
                  <c:v>135.82406937665894</c:v>
                </c:pt>
                <c:pt idx="19">
                  <c:v>135.92134517571179</c:v>
                </c:pt>
                <c:pt idx="20">
                  <c:v>136.01869064268968</c:v>
                </c:pt>
                <c:pt idx="21">
                  <c:v>136.11610582748801</c:v>
                </c:pt>
                <c:pt idx="22">
                  <c:v>136.213590780038</c:v>
                </c:pt>
                <c:pt idx="23">
                  <c:v>136.31114555030661</c:v>
                </c:pt>
                <c:pt idx="24">
                  <c:v>136.40877018829653</c:v>
                </c:pt>
                <c:pt idx="25">
                  <c:v>136.50646474404633</c:v>
                </c:pt>
                <c:pt idx="26">
                  <c:v>136.60422926763039</c:v>
                </c:pt>
                <c:pt idx="27">
                  <c:v>136.70206380915894</c:v>
                </c:pt>
                <c:pt idx="28">
                  <c:v>136.79996841877812</c:v>
                </c:pt>
                <c:pt idx="29">
                  <c:v>136.89794314666997</c:v>
                </c:pt>
                <c:pt idx="30">
                  <c:v>136.99598804305248</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253.22822965418351</c:v>
                </c:pt>
                <c:pt idx="1">
                  <c:v>253.40958910317806</c:v>
                </c:pt>
                <c:pt idx="2">
                  <c:v>253.59107843994141</c:v>
                </c:pt>
                <c:pt idx="3">
                  <c:v>253.77269775749781</c:v>
                </c:pt>
                <c:pt idx="4">
                  <c:v>253.95444714893816</c:v>
                </c:pt>
                <c:pt idx="5">
                  <c:v>254.13632670742004</c:v>
                </c:pt>
                <c:pt idx="6">
                  <c:v>254.31833652616774</c:v>
                </c:pt>
                <c:pt idx="7">
                  <c:v>254.50047669847234</c:v>
                </c:pt>
                <c:pt idx="8">
                  <c:v>254.68274731769171</c:v>
                </c:pt>
                <c:pt idx="9">
                  <c:v>254.86514847725056</c:v>
                </c:pt>
                <c:pt idx="10">
                  <c:v>255.04768027064057</c:v>
                </c:pt>
                <c:pt idx="11">
                  <c:v>255.23034279142033</c:v>
                </c:pt>
                <c:pt idx="12">
                  <c:v>255.41313613321543</c:v>
                </c:pt>
                <c:pt idx="13">
                  <c:v>255.59606038971856</c:v>
                </c:pt>
                <c:pt idx="14">
                  <c:v>255.77911565468946</c:v>
                </c:pt>
                <c:pt idx="15">
                  <c:v>255.96230202195508</c:v>
                </c:pt>
                <c:pt idx="16">
                  <c:v>256.14561958540952</c:v>
                </c:pt>
                <c:pt idx="17">
                  <c:v>256.32906843901412</c:v>
                </c:pt>
                <c:pt idx="18">
                  <c:v>256.51264867679754</c:v>
                </c:pt>
                <c:pt idx="19">
                  <c:v>256.69636039285581</c:v>
                </c:pt>
                <c:pt idx="20">
                  <c:v>256.88020368135227</c:v>
                </c:pt>
                <c:pt idx="21">
                  <c:v>257.06417863651774</c:v>
                </c:pt>
                <c:pt idx="22">
                  <c:v>257.24828535265056</c:v>
                </c:pt>
                <c:pt idx="23">
                  <c:v>257.43252392411659</c:v>
                </c:pt>
                <c:pt idx="24">
                  <c:v>257.6168944453492</c:v>
                </c:pt>
                <c:pt idx="25">
                  <c:v>257.80139701084954</c:v>
                </c:pt>
                <c:pt idx="26">
                  <c:v>257.9860317151863</c:v>
                </c:pt>
                <c:pt idx="27">
                  <c:v>258.17079865299593</c:v>
                </c:pt>
                <c:pt idx="28">
                  <c:v>258.35569791898274</c:v>
                </c:pt>
                <c:pt idx="29">
                  <c:v>258.54072960791876</c:v>
                </c:pt>
                <c:pt idx="30">
                  <c:v>258.725893814644</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8.7482609303286445</c:v>
                </c:pt>
                <c:pt idx="1">
                  <c:v>8.7545263446710813</c:v>
                </c:pt>
                <c:pt idx="2">
                  <c:v>8.7607962462387157</c:v>
                </c:pt>
                <c:pt idx="3">
                  <c:v>8.7670706382452526</c:v>
                </c:pt>
                <c:pt idx="4">
                  <c:v>8.7733495239066972</c:v>
                </c:pt>
                <c:pt idx="5">
                  <c:v>8.7796329064413587</c:v>
                </c:pt>
                <c:pt idx="6">
                  <c:v>8.7859207890698521</c:v>
                </c:pt>
                <c:pt idx="7">
                  <c:v>8.7922131750150978</c:v>
                </c:pt>
                <c:pt idx="8">
                  <c:v>8.7985100675023258</c:v>
                </c:pt>
                <c:pt idx="9">
                  <c:v>8.8048114697590751</c:v>
                </c:pt>
                <c:pt idx="10">
                  <c:v>8.8111173850151943</c:v>
                </c:pt>
                <c:pt idx="11">
                  <c:v>8.8174278165028497</c:v>
                </c:pt>
                <c:pt idx="12">
                  <c:v>8.8237427674565172</c:v>
                </c:pt>
                <c:pt idx="13">
                  <c:v>8.8300622411129925</c:v>
                </c:pt>
                <c:pt idx="14">
                  <c:v>8.8363862407113896</c:v>
                </c:pt>
                <c:pt idx="15">
                  <c:v>8.8427147694931421</c:v>
                </c:pt>
                <c:pt idx="16">
                  <c:v>8.849047830702002</c:v>
                </c:pt>
                <c:pt idx="17">
                  <c:v>8.85538542758405</c:v>
                </c:pt>
                <c:pt idx="18">
                  <c:v>8.8617275633876869</c:v>
                </c:pt>
                <c:pt idx="19">
                  <c:v>8.8680742413636402</c:v>
                </c:pt>
                <c:pt idx="20">
                  <c:v>8.8744254647649683</c:v>
                </c:pt>
                <c:pt idx="21">
                  <c:v>8.8807812368470582</c:v>
                </c:pt>
                <c:pt idx="22">
                  <c:v>8.8871415608676276</c:v>
                </c:pt>
                <c:pt idx="23">
                  <c:v>8.8935064400867283</c:v>
                </c:pt>
                <c:pt idx="24">
                  <c:v>8.8998758777667462</c:v>
                </c:pt>
                <c:pt idx="25">
                  <c:v>8.9062498771724048</c:v>
                </c:pt>
                <c:pt idx="26">
                  <c:v>8.9126284415707655</c:v>
                </c:pt>
                <c:pt idx="27">
                  <c:v>8.9190115742312273</c:v>
                </c:pt>
                <c:pt idx="28">
                  <c:v>8.9253992784255338</c:v>
                </c:pt>
                <c:pt idx="29">
                  <c:v>8.9317915574277702</c:v>
                </c:pt>
                <c:pt idx="30">
                  <c:v>8.9381884145143662</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255.65896927895682</c:v>
                </c:pt>
                <c:pt idx="1">
                  <c:v>255.84206959862604</c:v>
                </c:pt>
                <c:pt idx="2">
                  <c:v>256.02530105285769</c:v>
                </c:pt>
                <c:pt idx="3">
                  <c:v>256.20866373556896</c:v>
                </c:pt>
                <c:pt idx="4">
                  <c:v>256.39215774074432</c:v>
                </c:pt>
                <c:pt idx="5">
                  <c:v>256.57578316243564</c:v>
                </c:pt>
                <c:pt idx="6">
                  <c:v>256.75954009476203</c:v>
                </c:pt>
                <c:pt idx="7">
                  <c:v>256.94342863191002</c:v>
                </c:pt>
                <c:pt idx="8">
                  <c:v>257.12744886813368</c:v>
                </c:pt>
                <c:pt idx="9">
                  <c:v>257.31160089775449</c:v>
                </c:pt>
                <c:pt idx="10">
                  <c:v>257.49588481516156</c:v>
                </c:pt>
                <c:pt idx="11">
                  <c:v>257.68030071481155</c:v>
                </c:pt>
                <c:pt idx="12">
                  <c:v>257.86484869122876</c:v>
                </c:pt>
                <c:pt idx="13">
                  <c:v>258.04952883900523</c:v>
                </c:pt>
                <c:pt idx="14">
                  <c:v>258.23434125280073</c:v>
                </c:pt>
                <c:pt idx="15">
                  <c:v>258.41928602734282</c:v>
                </c:pt>
                <c:pt idx="16">
                  <c:v>258.60436325742688</c:v>
                </c:pt>
                <c:pt idx="17">
                  <c:v>258.78957303791623</c:v>
                </c:pt>
                <c:pt idx="18">
                  <c:v>258.97491546374209</c:v>
                </c:pt>
                <c:pt idx="19">
                  <c:v>259.1603906299037</c:v>
                </c:pt>
                <c:pt idx="20">
                  <c:v>259.34599863146832</c:v>
                </c:pt>
                <c:pt idx="21">
                  <c:v>259.53173956357125</c:v>
                </c:pt>
                <c:pt idx="22">
                  <c:v>259.71761352141601</c:v>
                </c:pt>
                <c:pt idx="23">
                  <c:v>259.90362060027428</c:v>
                </c:pt>
                <c:pt idx="24">
                  <c:v>260.08976089548594</c:v>
                </c:pt>
                <c:pt idx="25">
                  <c:v>260.2760345024592</c:v>
                </c:pt>
                <c:pt idx="26">
                  <c:v>260.46244151667054</c:v>
                </c:pt>
                <c:pt idx="27">
                  <c:v>260.64898203366482</c:v>
                </c:pt>
                <c:pt idx="28">
                  <c:v>260.83565614905541</c:v>
                </c:pt>
                <c:pt idx="29">
                  <c:v>261.0224639585241</c:v>
                </c:pt>
                <c:pt idx="30">
                  <c:v>261.20940555782119</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1392.7632270668405</c:v>
                </c:pt>
                <c:pt idx="1">
                  <c:v>1410.1165581901132</c:v>
                </c:pt>
                <c:pt idx="2">
                  <c:v>1427.6861056057332</c:v>
                </c:pt>
                <c:pt idx="3">
                  <c:v>1445.4745632912857</c:v>
                </c:pt>
                <c:pt idx="4">
                  <c:v>1463.4846587903521</c:v>
                </c:pt>
                <c:pt idx="5">
                  <c:v>1481.7191536307303</c:v>
                </c:pt>
                <c:pt idx="6">
                  <c:v>1500.1808437478658</c:v>
                </c:pt>
                <c:pt idx="7">
                  <c:v>1518.8725599135582</c:v>
                </c:pt>
                <c:pt idx="8">
                  <c:v>1537.797168170011</c:v>
                </c:pt>
                <c:pt idx="9">
                  <c:v>1556.9575702692866</c:v>
                </c:pt>
                <c:pt idx="10">
                  <c:v>1576.3567041182396</c:v>
                </c:pt>
                <c:pt idx="11">
                  <c:v>1595.9975442289915</c:v>
                </c:pt>
                <c:pt idx="12">
                  <c:v>1615.8831021750204</c:v>
                </c:pt>
                <c:pt idx="13">
                  <c:v>1636.0164270529312</c:v>
                </c:pt>
                <c:pt idx="14">
                  <c:v>1656.4006059499811</c:v>
                </c:pt>
                <c:pt idx="15">
                  <c:v>1677.0387644174291</c:v>
                </c:pt>
                <c:pt idx="16">
                  <c:v>1697.9340669497835</c:v>
                </c:pt>
                <c:pt idx="17">
                  <c:v>1719.0897174700215</c:v>
                </c:pt>
                <c:pt idx="18">
                  <c:v>1740.5089598208529</c:v>
                </c:pt>
                <c:pt idx="19">
                  <c:v>1762.1950782621066</c:v>
                </c:pt>
                <c:pt idx="20">
                  <c:v>1784.1513979743129</c:v>
                </c:pt>
                <c:pt idx="21">
                  <c:v>1806.381285568561</c:v>
                </c:pt>
                <c:pt idx="22">
                  <c:v>1828.8881496027088</c:v>
                </c:pt>
                <c:pt idx="23">
                  <c:v>1851.6754411040247</c:v>
                </c:pt>
                <c:pt idx="24">
                  <c:v>1874.746654098341</c:v>
                </c:pt>
                <c:pt idx="25">
                  <c:v>1898.1053261458007</c:v>
                </c:pt>
                <c:pt idx="26">
                  <c:v>1921.7550388832803</c:v>
                </c:pt>
                <c:pt idx="27">
                  <c:v>1945.6994185735684</c:v>
                </c:pt>
                <c:pt idx="28">
                  <c:v>1969.9421366613904</c:v>
                </c:pt>
                <c:pt idx="29">
                  <c:v>1994.4869103363576</c:v>
                </c:pt>
                <c:pt idx="30">
                  <c:v>2019.3375031029334</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994.37868062337077</c:v>
                </c:pt>
                <c:pt idx="1">
                  <c:v>1006.7682829415775</c:v>
                </c:pt>
                <c:pt idx="2">
                  <c:v>1019.3122552685087</c:v>
                </c:pt>
                <c:pt idx="3">
                  <c:v>1032.0125209992002</c:v>
                </c:pt>
                <c:pt idx="4">
                  <c:v>1044.8710274935013</c:v>
                </c:pt>
                <c:pt idx="5">
                  <c:v>1057.8897463746673</c:v>
                </c:pt>
                <c:pt idx="6">
                  <c:v>1071.070673831674</c:v>
                </c:pt>
                <c:pt idx="7">
                  <c:v>1084.4158309252966</c:v>
                </c:pt>
                <c:pt idx="8">
                  <c:v>1097.9272638980042</c:v>
                </c:pt>
                <c:pt idx="9">
                  <c:v>1111.6070444877143</c:v>
                </c:pt>
                <c:pt idx="10">
                  <c:v>1125.457270245457</c:v>
                </c:pt>
                <c:pt idx="11">
                  <c:v>1139.4800648569972</c:v>
                </c:pt>
                <c:pt idx="12">
                  <c:v>1153.6775784684639</c:v>
                </c:pt>
                <c:pt idx="13">
                  <c:v>1168.0519880160373</c:v>
                </c:pt>
                <c:pt idx="14">
                  <c:v>1182.6054975597428</c:v>
                </c:pt>
                <c:pt idx="15">
                  <c:v>1197.3403386214045</c:v>
                </c:pt>
                <c:pt idx="16">
                  <c:v>1212.2587705268095</c:v>
                </c:pt>
                <c:pt idx="17">
                  <c:v>1227.3630807521351</c:v>
                </c:pt>
                <c:pt idx="18">
                  <c:v>1242.6555852746931</c:v>
                </c:pt>
                <c:pt idx="19">
                  <c:v>1258.1386289280426</c:v>
                </c:pt>
                <c:pt idx="20">
                  <c:v>1273.8145857615302</c:v>
                </c:pt>
                <c:pt idx="21">
                  <c:v>1289.6858594043067</c:v>
                </c:pt>
                <c:pt idx="22">
                  <c:v>1305.7548834338818</c:v>
                </c:pt>
                <c:pt idx="23">
                  <c:v>1322.0241217492692</c:v>
                </c:pt>
                <c:pt idx="24">
                  <c:v>1338.4960689487825</c:v>
                </c:pt>
                <c:pt idx="25">
                  <c:v>1355.1732507125371</c:v>
                </c:pt>
                <c:pt idx="26">
                  <c:v>1372.058224189718</c:v>
                </c:pt>
                <c:pt idx="27">
                  <c:v>1389.1535783906736</c:v>
                </c:pt>
                <c:pt idx="28">
                  <c:v>1406.4619345838944</c:v>
                </c:pt>
                <c:pt idx="29">
                  <c:v>1423.9859466979376</c:v>
                </c:pt>
                <c:pt idx="30">
                  <c:v>1441.7283017283598</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6.2017328380374526</c:v>
                </c:pt>
                <c:pt idx="1">
                  <c:v>6.1994665045764146</c:v>
                </c:pt>
                <c:pt idx="2">
                  <c:v>6.4436444026417501</c:v>
                </c:pt>
                <c:pt idx="3">
                  <c:v>6.4412896661024446</c:v>
                </c:pt>
                <c:pt idx="4">
                  <c:v>6.4389357900675099</c:v>
                </c:pt>
                <c:pt idx="5">
                  <c:v>6.4365827742224866</c:v>
                </c:pt>
                <c:pt idx="6">
                  <c:v>6.4342306182530304</c:v>
                </c:pt>
                <c:pt idx="7">
                  <c:v>6.4318793218449128</c:v>
                </c:pt>
                <c:pt idx="8">
                  <c:v>6.4295288846840197</c:v>
                </c:pt>
                <c:pt idx="9">
                  <c:v>6.4271793064563516</c:v>
                </c:pt>
                <c:pt idx="10">
                  <c:v>6.4248305868480236</c:v>
                </c:pt>
                <c:pt idx="11">
                  <c:v>6.4224827255452652</c:v>
                </c:pt>
                <c:pt idx="12">
                  <c:v>6.4201357222344217</c:v>
                </c:pt>
                <c:pt idx="13">
                  <c:v>6.4177895766019519</c:v>
                </c:pt>
                <c:pt idx="14">
                  <c:v>6.41544428833443</c:v>
                </c:pt>
                <c:pt idx="15">
                  <c:v>6.4130998571185449</c:v>
                </c:pt>
                <c:pt idx="16">
                  <c:v>6.4107562826410982</c:v>
                </c:pt>
                <c:pt idx="17">
                  <c:v>6.4084135645890088</c:v>
                </c:pt>
                <c:pt idx="18">
                  <c:v>6.4060717026493075</c:v>
                </c:pt>
                <c:pt idx="19">
                  <c:v>6.4037306965091405</c:v>
                </c:pt>
                <c:pt idx="20">
                  <c:v>6.4013905458557678</c:v>
                </c:pt>
                <c:pt idx="21">
                  <c:v>6.3990512503765649</c:v>
                </c:pt>
                <c:pt idx="22">
                  <c:v>6.3967128097590207</c:v>
                </c:pt>
                <c:pt idx="23">
                  <c:v>6.3943752236907381</c:v>
                </c:pt>
                <c:pt idx="24">
                  <c:v>6.3920384918594344</c:v>
                </c:pt>
                <c:pt idx="25">
                  <c:v>6.3897026139529416</c:v>
                </c:pt>
                <c:pt idx="26">
                  <c:v>6.3873675896592044</c:v>
                </c:pt>
                <c:pt idx="27">
                  <c:v>6.3850334186662829</c:v>
                </c:pt>
                <c:pt idx="28">
                  <c:v>6.3827001006623512</c:v>
                </c:pt>
                <c:pt idx="29">
                  <c:v>6.3803676353356957</c:v>
                </c:pt>
                <c:pt idx="30">
                  <c:v>6.3780360223747188</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2.3131397301367498</c:v>
                </c:pt>
                <c:pt idx="1">
                  <c:v>2.3094450931547237</c:v>
                </c:pt>
                <c:pt idx="2">
                  <c:v>2.3057563573909641</c:v>
                </c:pt>
                <c:pt idx="3">
                  <c:v>2.3020735134198156</c:v>
                </c:pt>
                <c:pt idx="4">
                  <c:v>2.2983965518306766</c:v>
                </c:pt>
                <c:pt idx="5">
                  <c:v>2.2947254632279779</c:v>
                </c:pt>
                <c:pt idx="6">
                  <c:v>2.291060238231156</c:v>
                </c:pt>
                <c:pt idx="7">
                  <c:v>2.2874008674746311</c:v>
                </c:pt>
                <c:pt idx="8">
                  <c:v>2.283747341607782</c:v>
                </c:pt>
                <c:pt idx="9">
                  <c:v>2.2800996512949236</c:v>
                </c:pt>
                <c:pt idx="10">
                  <c:v>2.2764577872152811</c:v>
                </c:pt>
                <c:pt idx="11">
                  <c:v>2.2728217400629678</c:v>
                </c:pt>
                <c:pt idx="12">
                  <c:v>2.2691915005469601</c:v>
                </c:pt>
                <c:pt idx="13">
                  <c:v>2.2655670593910751</c:v>
                </c:pt>
                <c:pt idx="14">
                  <c:v>2.261948407333946</c:v>
                </c:pt>
                <c:pt idx="15">
                  <c:v>2.2583355351289982</c:v>
                </c:pt>
                <c:pt idx="16">
                  <c:v>2.2547284335444266</c:v>
                </c:pt>
                <c:pt idx="17">
                  <c:v>2.2511270933631713</c:v>
                </c:pt>
                <c:pt idx="18">
                  <c:v>2.2475315053828946</c:v>
                </c:pt>
                <c:pt idx="19">
                  <c:v>2.2439416604159561</c:v>
                </c:pt>
                <c:pt idx="20">
                  <c:v>2.2403575492893912</c:v>
                </c:pt>
                <c:pt idx="21">
                  <c:v>2.2367791628448868</c:v>
                </c:pt>
                <c:pt idx="22">
                  <c:v>2.2332064919387569</c:v>
                </c:pt>
                <c:pt idx="23">
                  <c:v>2.2296395274419214</c:v>
                </c:pt>
                <c:pt idx="24">
                  <c:v>2.2260782602398801</c:v>
                </c:pt>
                <c:pt idx="25">
                  <c:v>2.2225226812326921</c:v>
                </c:pt>
                <c:pt idx="26">
                  <c:v>2.2189727813349505</c:v>
                </c:pt>
                <c:pt idx="27">
                  <c:v>2.2154285514757603</c:v>
                </c:pt>
                <c:pt idx="28">
                  <c:v>2.2118899825987151</c:v>
                </c:pt>
                <c:pt idx="29">
                  <c:v>2.2083570656618732</c:v>
                </c:pt>
                <c:pt idx="30">
                  <c:v>2.2048297916377351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1.6055911068008029</c:v>
                </c:pt>
                <c:pt idx="1">
                  <c:v>1.6030265940721022</c:v>
                </c:pt>
                <c:pt idx="2">
                  <c:v>1.6004661774831399</c:v>
                </c:pt>
                <c:pt idx="3">
                  <c:v>1.5979098504914013</c:v>
                </c:pt>
                <c:pt idx="4">
                  <c:v>1.5953576065648227</c:v>
                </c:pt>
                <c:pt idx="5">
                  <c:v>1.5928094391817729</c:v>
                </c:pt>
                <c:pt idx="6">
                  <c:v>1.5902653418310377</c:v>
                </c:pt>
                <c:pt idx="7">
                  <c:v>1.5877253080118028</c:v>
                </c:pt>
                <c:pt idx="8">
                  <c:v>1.5851893312336371</c:v>
                </c:pt>
                <c:pt idx="9">
                  <c:v>1.5826574050164766</c:v>
                </c:pt>
                <c:pt idx="10">
                  <c:v>1.5801295228906069</c:v>
                </c:pt>
                <c:pt idx="11">
                  <c:v>1.5776056783966481</c:v>
                </c:pt>
                <c:pt idx="12">
                  <c:v>1.5750858650855368</c:v>
                </c:pt>
                <c:pt idx="13">
                  <c:v>1.5725700765185109</c:v>
                </c:pt>
                <c:pt idx="14">
                  <c:v>1.5700583062670919</c:v>
                </c:pt>
                <c:pt idx="15">
                  <c:v>1.5675505479130694</c:v>
                </c:pt>
                <c:pt idx="16">
                  <c:v>1.5650467950484845</c:v>
                </c:pt>
                <c:pt idx="17">
                  <c:v>1.5625470412756133</c:v>
                </c:pt>
                <c:pt idx="18">
                  <c:v>1.5600512802069506</c:v>
                </c:pt>
                <c:pt idx="19">
                  <c:v>1.5575595054651934</c:v>
                </c:pt>
                <c:pt idx="20">
                  <c:v>1.555071710683225</c:v>
                </c:pt>
                <c:pt idx="21">
                  <c:v>1.5525878895040983</c:v>
                </c:pt>
                <c:pt idx="22">
                  <c:v>1.5501080355810202</c:v>
                </c:pt>
                <c:pt idx="23">
                  <c:v>1.5476321425773343</c:v>
                </c:pt>
                <c:pt idx="24">
                  <c:v>1.5451602041665058</c:v>
                </c:pt>
                <c:pt idx="25">
                  <c:v>1.5426922140321047</c:v>
                </c:pt>
                <c:pt idx="26">
                  <c:v>1.5402281658677899</c:v>
                </c:pt>
                <c:pt idx="27">
                  <c:v>1.5377680533772933</c:v>
                </c:pt>
                <c:pt idx="28">
                  <c:v>1.5353118702744031</c:v>
                </c:pt>
                <c:pt idx="29">
                  <c:v>1.5328596102829479</c:v>
                </c:pt>
                <c:pt idx="30">
                  <c:v>1.5304112671367816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284.38467221895331</c:v>
                </c:pt>
                <c:pt idx="1">
                  <c:v>286.51283001150784</c:v>
                </c:pt>
                <c:pt idx="2">
                  <c:v>288.65691361171815</c:v>
                </c:pt>
                <c:pt idx="3">
                  <c:v>290.81704219841129</c:v>
                </c:pt>
                <c:pt idx="4">
                  <c:v>292.9933358422744</c:v>
                </c:pt>
                <c:pt idx="5">
                  <c:v>295.18591551252894</c:v>
                </c:pt>
                <c:pt idx="6">
                  <c:v>297.39490308365464</c:v>
                </c:pt>
                <c:pt idx="7">
                  <c:v>299.62042134216398</c:v>
                </c:pt>
                <c:pt idx="8">
                  <c:v>301.8625939934272</c:v>
                </c:pt>
                <c:pt idx="9">
                  <c:v>304.12154566854849</c:v>
                </c:pt>
                <c:pt idx="10">
                  <c:v>306.3974019312937</c:v>
                </c:pt>
                <c:pt idx="11">
                  <c:v>308.69028928506958</c:v>
                </c:pt>
                <c:pt idx="12">
                  <c:v>311.0003351799557</c:v>
                </c:pt>
                <c:pt idx="13">
                  <c:v>313.32766801978863</c:v>
                </c:pt>
                <c:pt idx="14">
                  <c:v>315.67241716929925</c:v>
                </c:pt>
                <c:pt idx="15">
                  <c:v>318.03471296130357</c:v>
                </c:pt>
                <c:pt idx="16">
                  <c:v>320.41468670394721</c:v>
                </c:pt>
                <c:pt idx="17">
                  <c:v>322.81247068800423</c:v>
                </c:pt>
                <c:pt idx="18">
                  <c:v>325.22819819423046</c:v>
                </c:pt>
                <c:pt idx="19">
                  <c:v>327.66200350077185</c:v>
                </c:pt>
                <c:pt idx="20">
                  <c:v>330.11402189062835</c:v>
                </c:pt>
                <c:pt idx="21">
                  <c:v>332.58438965917372</c:v>
                </c:pt>
                <c:pt idx="22">
                  <c:v>335.07324412173142</c:v>
                </c:pt>
                <c:pt idx="23">
                  <c:v>337.58072362120726</c:v>
                </c:pt>
                <c:pt idx="24">
                  <c:v>340.10696753577918</c:v>
                </c:pt>
                <c:pt idx="25">
                  <c:v>342.65211628664463</c:v>
                </c:pt>
                <c:pt idx="26">
                  <c:v>345.21631134582589</c:v>
                </c:pt>
                <c:pt idx="27">
                  <c:v>347.79969524403367</c:v>
                </c:pt>
                <c:pt idx="28">
                  <c:v>350.40241157858986</c:v>
                </c:pt>
                <c:pt idx="29">
                  <c:v>353.02460502140923</c:v>
                </c:pt>
                <c:pt idx="30">
                  <c:v>355.66642132704106</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57.973734832513905</c:v>
                </c:pt>
                <c:pt idx="1">
                  <c:v>58.40757416212557</c:v>
                </c:pt>
                <c:pt idx="2">
                  <c:v>58.844660075116096</c:v>
                </c:pt>
                <c:pt idx="3">
                  <c:v>59.285016866893756</c:v>
                </c:pt>
                <c:pt idx="4">
                  <c:v>59.728669014678523</c:v>
                </c:pt>
                <c:pt idx="5">
                  <c:v>60.175641178862641</c:v>
                </c:pt>
                <c:pt idx="6">
                  <c:v>60.625958204381377</c:v>
                </c:pt>
                <c:pt idx="7">
                  <c:v>61.079645122094021</c:v>
                </c:pt>
                <c:pt idx="8">
                  <c:v>61.536727150175231</c:v>
                </c:pt>
                <c:pt idx="9">
                  <c:v>61.997229695516765</c:v>
                </c:pt>
                <c:pt idx="10">
                  <c:v>62.461178355139751</c:v>
                </c:pt>
                <c:pt idx="11">
                  <c:v>62.928598917617478</c:v>
                </c:pt>
                <c:pt idx="12">
                  <c:v>63.39951736450886</c:v>
                </c:pt>
                <c:pt idx="13">
                  <c:v>63.873959871802619</c:v>
                </c:pt>
                <c:pt idx="14">
                  <c:v>64.351952811372271</c:v>
                </c:pt>
                <c:pt idx="15">
                  <c:v>64.833522752442022</c:v>
                </c:pt>
                <c:pt idx="16">
                  <c:v>65.318696463063603</c:v>
                </c:pt>
                <c:pt idx="17">
                  <c:v>65.807500911604151</c:v>
                </c:pt>
                <c:pt idx="18">
                  <c:v>66.299963268245307</c:v>
                </c:pt>
                <c:pt idx="19">
                  <c:v>66.796110906493411</c:v>
                </c:pt>
                <c:pt idx="20">
                  <c:v>67.295971404701078</c:v>
                </c:pt>
                <c:pt idx="21">
                  <c:v>67.799572547600135</c:v>
                </c:pt>
                <c:pt idx="22">
                  <c:v>68.306942327846059</c:v>
                </c:pt>
                <c:pt idx="23">
                  <c:v>68.818108947573918</c:v>
                </c:pt>
                <c:pt idx="24">
                  <c:v>69.333100819965992</c:v>
                </c:pt>
                <c:pt idx="25">
                  <c:v>69.851946570831132</c:v>
                </c:pt>
                <c:pt idx="26">
                  <c:v>70.374675040195896</c:v>
                </c:pt>
                <c:pt idx="27">
                  <c:v>70.901315283907678</c:v>
                </c:pt>
                <c:pt idx="28">
                  <c:v>71.431896575249709</c:v>
                </c:pt>
                <c:pt idx="29">
                  <c:v>71.966448406568247</c:v>
                </c:pt>
                <c:pt idx="30">
                  <c:v>72.505000490911925</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2.5461437595360836</c:v>
                </c:pt>
                <c:pt idx="1">
                  <c:v>2.5651975138771363</c:v>
                </c:pt>
                <c:pt idx="2">
                  <c:v>2.5843938546503691</c:v>
                </c:pt>
                <c:pt idx="3">
                  <c:v>2.6037338488838473</c:v>
                </c:pt>
                <c:pt idx="4">
                  <c:v>2.6232185715906109</c:v>
                </c:pt>
                <c:pt idx="5">
                  <c:v>2.6428491058284269</c:v>
                </c:pt>
                <c:pt idx="6">
                  <c:v>2.6626265427599933</c:v>
                </c:pt>
                <c:pt idx="7">
                  <c:v>2.6825519817135892</c:v>
                </c:pt>
                <c:pt idx="8">
                  <c:v>2.7026265302441828</c:v>
                </c:pt>
                <c:pt idx="9">
                  <c:v>2.7228513041949935</c:v>
                </c:pt>
                <c:pt idx="10">
                  <c:v>2.7432274277595168</c:v>
                </c:pt>
                <c:pt idx="11">
                  <c:v>2.7637560335440114</c:v>
                </c:pt>
                <c:pt idx="12">
                  <c:v>2.7844382626304576</c:v>
                </c:pt>
                <c:pt idx="13">
                  <c:v>2.805275264639981</c:v>
                </c:pt>
                <c:pt idx="14">
                  <c:v>2.8262681977967565</c:v>
                </c:pt>
                <c:pt idx="15">
                  <c:v>2.8474182289923875</c:v>
                </c:pt>
                <c:pt idx="16">
                  <c:v>2.8687265338507673</c:v>
                </c:pt>
                <c:pt idx="17">
                  <c:v>2.8901942967934269</c:v>
                </c:pt>
                <c:pt idx="18">
                  <c:v>2.9118227111053696</c:v>
                </c:pt>
                <c:pt idx="19">
                  <c:v>2.9336129790014009</c:v>
                </c:pt>
                <c:pt idx="20">
                  <c:v>2.9555663116929538</c:v>
                </c:pt>
                <c:pt idx="21">
                  <c:v>2.9776839294554125</c:v>
                </c:pt>
                <c:pt idx="22">
                  <c:v>2.9999670616959428</c:v>
                </c:pt>
                <c:pt idx="23">
                  <c:v>3.0224169470218283</c:v>
                </c:pt>
                <c:pt idx="24">
                  <c:v>3.0450348333093178</c:v>
                </c:pt>
                <c:pt idx="25">
                  <c:v>3.0678219777729892</c:v>
                </c:pt>
                <c:pt idx="26">
                  <c:v>3.0907796470356312</c:v>
                </c:pt>
                <c:pt idx="27">
                  <c:v>3.1139091171986486</c:v>
                </c:pt>
                <c:pt idx="28">
                  <c:v>3.1372116739129945</c:v>
                </c:pt>
                <c:pt idx="29">
                  <c:v>3.1606886124506333</c:v>
                </c:pt>
                <c:pt idx="30">
                  <c:v>3.1843412377765379</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10.380432250416341</c:v>
                </c:pt>
                <c:pt idx="1">
                  <c:v>10.458112941191402</c:v>
                </c:pt>
                <c:pt idx="2">
                  <c:v>10.536374945882274</c:v>
                </c:pt>
                <c:pt idx="3">
                  <c:v>10.615222614680301</c:v>
                </c:pt>
                <c:pt idx="4">
                  <c:v>10.694660330330951</c:v>
                </c:pt>
                <c:pt idx="5">
                  <c:v>10.774692508377433</c:v>
                </c:pt>
                <c:pt idx="6">
                  <c:v>10.855323597406125</c:v>
                </c:pt>
                <c:pt idx="7">
                  <c:v>10.936558079293862</c:v>
                </c:pt>
                <c:pt idx="8">
                  <c:v>11.018400469457051</c:v>
                </c:pt>
                <c:pt idx="9">
                  <c:v>11.100855317102663</c:v>
                </c:pt>
                <c:pt idx="10">
                  <c:v>11.183927205481103</c:v>
                </c:pt>
                <c:pt idx="11">
                  <c:v>11.267620752140967</c:v>
                </c:pt>
                <c:pt idx="12">
                  <c:v>11.351940609185709</c:v>
                </c:pt>
                <c:pt idx="13">
                  <c:v>11.436891463532227</c:v>
                </c:pt>
                <c:pt idx="14">
                  <c:v>11.522478037171389</c:v>
                </c:pt>
                <c:pt idx="15">
                  <c:v>11.608705087430501</c:v>
                </c:pt>
                <c:pt idx="16">
                  <c:v>11.695577407237742</c:v>
                </c:pt>
                <c:pt idx="17">
                  <c:v>11.783099825388584</c:v>
                </c:pt>
                <c:pt idx="18">
                  <c:v>11.871277206814197</c:v>
                </c:pt>
                <c:pt idx="19">
                  <c:v>11.960114452851863</c:v>
                </c:pt>
                <c:pt idx="20">
                  <c:v>12.049616501517425</c:v>
                </c:pt>
                <c:pt idx="21">
                  <c:v>12.139788327779756</c:v>
                </c:pt>
                <c:pt idx="22">
                  <c:v>12.230634943837304</c:v>
                </c:pt>
                <c:pt idx="23">
                  <c:v>12.322161399396684</c:v>
                </c:pt>
                <c:pt idx="24">
                  <c:v>12.414372781953373</c:v>
                </c:pt>
                <c:pt idx="25">
                  <c:v>12.507274217074496</c:v>
                </c:pt>
                <c:pt idx="26">
                  <c:v>12.600870868683728</c:v>
                </c:pt>
                <c:pt idx="27">
                  <c:v>12.695167939348337</c:v>
                </c:pt>
                <c:pt idx="28">
                  <c:v>12.790170670568363</c:v>
                </c:pt>
                <c:pt idx="29">
                  <c:v>12.885884343067968</c:v>
                </c:pt>
                <c:pt idx="30">
                  <c:v>12.982314277088964</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4.9035093295138818E-2</c:v>
                </c:pt>
                <c:pt idx="1">
                  <c:v>4.9070211723734034E-2</c:v>
                </c:pt>
                <c:pt idx="2">
                  <c:v>4.9105355303785972E-2</c:v>
                </c:pt>
                <c:pt idx="3">
                  <c:v>4.9140524053307849E-2</c:v>
                </c:pt>
                <c:pt idx="4">
                  <c:v>4.917571799032578E-2</c:v>
                </c:pt>
                <c:pt idx="5">
                  <c:v>4.9210937132878795E-2</c:v>
                </c:pt>
                <c:pt idx="6">
                  <c:v>4.9246181499018833E-2</c:v>
                </c:pt>
                <c:pt idx="7">
                  <c:v>4.9281451106810766E-2</c:v>
                </c:pt>
                <c:pt idx="8">
                  <c:v>4.9316745974332409E-2</c:v>
                </c:pt>
                <c:pt idx="9">
                  <c:v>4.9352066119674513E-2</c:v>
                </c:pt>
                <c:pt idx="10">
                  <c:v>4.93874115609408E-2</c:v>
                </c:pt>
                <c:pt idx="11">
                  <c:v>4.942278231624795E-2</c:v>
                </c:pt>
                <c:pt idx="12">
                  <c:v>4.9458178403725614E-2</c:v>
                </c:pt>
                <c:pt idx="13">
                  <c:v>4.9493599841516432E-2</c:v>
                </c:pt>
                <c:pt idx="14">
                  <c:v>4.9529046647776041E-2</c:v>
                </c:pt>
                <c:pt idx="15">
                  <c:v>4.9564518840673075E-2</c:v>
                </c:pt>
                <c:pt idx="16">
                  <c:v>4.9600016438389176E-2</c:v>
                </c:pt>
                <c:pt idx="17">
                  <c:v>4.963553945911902E-2</c:v>
                </c:pt>
                <c:pt idx="18">
                  <c:v>4.9671087921070306E-2</c:v>
                </c:pt>
                <c:pt idx="19">
                  <c:v>4.9706661842463779E-2</c:v>
                </c:pt>
                <c:pt idx="20">
                  <c:v>4.9742261241533227E-2</c:v>
                </c:pt>
                <c:pt idx="21">
                  <c:v>4.9777886136525493E-2</c:v>
                </c:pt>
                <c:pt idx="22">
                  <c:v>4.9813536545700504E-2</c:v>
                </c:pt>
                <c:pt idx="23">
                  <c:v>4.9849212487331249E-2</c:v>
                </c:pt>
                <c:pt idx="24">
                  <c:v>4.9884913979703807E-2</c:v>
                </c:pt>
                <c:pt idx="25">
                  <c:v>4.9920641041117361E-2</c:v>
                </c:pt>
                <c:pt idx="26">
                  <c:v>4.9956393689884193E-2</c:v>
                </c:pt>
                <c:pt idx="27">
                  <c:v>4.99921719443297E-2</c:v>
                </c:pt>
                <c:pt idx="28">
                  <c:v>5.0027975822792406E-2</c:v>
                </c:pt>
                <c:pt idx="29">
                  <c:v>5.0063805343623972E-2</c:v>
                </c:pt>
                <c:pt idx="30">
                  <c:v>5.0099660525189195E-2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155820371270.97037</c:v>
                </c:pt>
                <c:pt idx="1">
                  <c:v>144249894613.67731</c:v>
                </c:pt>
                <c:pt idx="2">
                  <c:v>132679417956.38428</c:v>
                </c:pt>
                <c:pt idx="3">
                  <c:v>121108941299.09125</c:v>
                </c:pt>
                <c:pt idx="4">
                  <c:v>118946281633.03604</c:v>
                </c:pt>
                <c:pt idx="5">
                  <c:v>116783621966.98083</c:v>
                </c:pt>
                <c:pt idx="6">
                  <c:v>114620962300.92564</c:v>
                </c:pt>
                <c:pt idx="7">
                  <c:v>112458302634.87044</c:v>
                </c:pt>
                <c:pt idx="8">
                  <c:v>110295642968.81525</c:v>
                </c:pt>
                <c:pt idx="9">
                  <c:v>108132983302.76004</c:v>
                </c:pt>
                <c:pt idx="10">
                  <c:v>105970323636.70483</c:v>
                </c:pt>
                <c:pt idx="11">
                  <c:v>105691454363.97667</c:v>
                </c:pt>
                <c:pt idx="12">
                  <c:v>105412585091.24849</c:v>
                </c:pt>
                <c:pt idx="13">
                  <c:v>105133715818.52032</c:v>
                </c:pt>
                <c:pt idx="14">
                  <c:v>104854846545.79214</c:v>
                </c:pt>
                <c:pt idx="15">
                  <c:v>104575977273.064</c:v>
                </c:pt>
                <c:pt idx="16">
                  <c:v>104297108000.33582</c:v>
                </c:pt>
                <c:pt idx="17">
                  <c:v>104018238727.60765</c:v>
                </c:pt>
                <c:pt idx="18">
                  <c:v>103739369454.87947</c:v>
                </c:pt>
                <c:pt idx="19">
                  <c:v>103460500182.15129</c:v>
                </c:pt>
                <c:pt idx="20">
                  <c:v>103181630909.42313</c:v>
                </c:pt>
                <c:pt idx="21">
                  <c:v>102145830753.57564</c:v>
                </c:pt>
                <c:pt idx="22">
                  <c:v>101110030597.72815</c:v>
                </c:pt>
                <c:pt idx="23">
                  <c:v>100074230441.88065</c:v>
                </c:pt>
                <c:pt idx="24">
                  <c:v>99038430286.033157</c:v>
                </c:pt>
                <c:pt idx="25">
                  <c:v>98002630130.185684</c:v>
                </c:pt>
                <c:pt idx="26">
                  <c:v>96966829974.338181</c:v>
                </c:pt>
                <c:pt idx="27">
                  <c:v>95931029818.490692</c:v>
                </c:pt>
                <c:pt idx="28">
                  <c:v>94895229662.643204</c:v>
                </c:pt>
                <c:pt idx="29">
                  <c:v>93859429506.7957</c:v>
                </c:pt>
                <c:pt idx="30">
                  <c:v>92823629350.948212</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20440738165.451866</c:v>
                </c:pt>
                <c:pt idx="1">
                  <c:v>18922906563.126183</c:v>
                </c:pt>
                <c:pt idx="2">
                  <c:v>17405074960.800499</c:v>
                </c:pt>
                <c:pt idx="3">
                  <c:v>15887243358.474817</c:v>
                </c:pt>
                <c:pt idx="4">
                  <c:v>15603542584.216337</c:v>
                </c:pt>
                <c:pt idx="5">
                  <c:v>15319841809.957857</c:v>
                </c:pt>
                <c:pt idx="6">
                  <c:v>15036141035.699379</c:v>
                </c:pt>
                <c:pt idx="7">
                  <c:v>14752440261.440901</c:v>
                </c:pt>
                <c:pt idx="8">
                  <c:v>14468739487.182423</c:v>
                </c:pt>
                <c:pt idx="9">
                  <c:v>14185038712.923943</c:v>
                </c:pt>
                <c:pt idx="10">
                  <c:v>13901337938.665462</c:v>
                </c:pt>
                <c:pt idx="11">
                  <c:v>13864755470.405819</c:v>
                </c:pt>
                <c:pt idx="12">
                  <c:v>13828173002.146172</c:v>
                </c:pt>
                <c:pt idx="13">
                  <c:v>13791590533.886526</c:v>
                </c:pt>
                <c:pt idx="14">
                  <c:v>13755008065.626879</c:v>
                </c:pt>
                <c:pt idx="15">
                  <c:v>13718425597.367235</c:v>
                </c:pt>
                <c:pt idx="16">
                  <c:v>13681843129.107588</c:v>
                </c:pt>
                <c:pt idx="17">
                  <c:v>13645260660.847942</c:v>
                </c:pt>
                <c:pt idx="18">
                  <c:v>13608678192.588297</c:v>
                </c:pt>
                <c:pt idx="19">
                  <c:v>13572095724.32865</c:v>
                </c:pt>
                <c:pt idx="20">
                  <c:v>13535513256.069004</c:v>
                </c:pt>
                <c:pt idx="21">
                  <c:v>13399635516.81889</c:v>
                </c:pt>
                <c:pt idx="22">
                  <c:v>13263757777.568777</c:v>
                </c:pt>
                <c:pt idx="23">
                  <c:v>13127880038.318663</c:v>
                </c:pt>
                <c:pt idx="24">
                  <c:v>12992002299.068548</c:v>
                </c:pt>
                <c:pt idx="25">
                  <c:v>12856124559.818438</c:v>
                </c:pt>
                <c:pt idx="26">
                  <c:v>12720246820.568323</c:v>
                </c:pt>
                <c:pt idx="27">
                  <c:v>12584369081.318209</c:v>
                </c:pt>
                <c:pt idx="28">
                  <c:v>12448491342.068096</c:v>
                </c:pt>
                <c:pt idx="29">
                  <c:v>12312613602.817982</c:v>
                </c:pt>
                <c:pt idx="30">
                  <c:v>12176735863.567867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90963471649.330444</c:v>
                </c:pt>
                <c:pt idx="1">
                  <c:v>84208958636.685623</c:v>
                </c:pt>
                <c:pt idx="2">
                  <c:v>77454445624.040817</c:v>
                </c:pt>
                <c:pt idx="3">
                  <c:v>70699932611.396011</c:v>
                </c:pt>
                <c:pt idx="4">
                  <c:v>69437433814.763931</c:v>
                </c:pt>
                <c:pt idx="5">
                  <c:v>68174935018.131859</c:v>
                </c:pt>
                <c:pt idx="6">
                  <c:v>66912436221.499794</c:v>
                </c:pt>
                <c:pt idx="7">
                  <c:v>65649937424.867722</c:v>
                </c:pt>
                <c:pt idx="8">
                  <c:v>64387438628.235657</c:v>
                </c:pt>
                <c:pt idx="9">
                  <c:v>63124939831.603577</c:v>
                </c:pt>
                <c:pt idx="10">
                  <c:v>61862441034.971504</c:v>
                </c:pt>
                <c:pt idx="11">
                  <c:v>61699645137.511055</c:v>
                </c:pt>
                <c:pt idx="12">
                  <c:v>61536849240.050606</c:v>
                </c:pt>
                <c:pt idx="13">
                  <c:v>61374053342.590157</c:v>
                </c:pt>
                <c:pt idx="14">
                  <c:v>61211257445.1297</c:v>
                </c:pt>
                <c:pt idx="15">
                  <c:v>61048461547.669258</c:v>
                </c:pt>
                <c:pt idx="16">
                  <c:v>60885665650.208801</c:v>
                </c:pt>
                <c:pt idx="17">
                  <c:v>60722869752.748352</c:v>
                </c:pt>
                <c:pt idx="18">
                  <c:v>60560073855.287895</c:v>
                </c:pt>
                <c:pt idx="19">
                  <c:v>60397277957.827438</c:v>
                </c:pt>
                <c:pt idx="20">
                  <c:v>60234482060.366997</c:v>
                </c:pt>
                <c:pt idx="21">
                  <c:v>59629811584.08532</c:v>
                </c:pt>
                <c:pt idx="22">
                  <c:v>59025141107.803642</c:v>
                </c:pt>
                <c:pt idx="23">
                  <c:v>58420470631.521957</c:v>
                </c:pt>
                <c:pt idx="24">
                  <c:v>57815800155.24028</c:v>
                </c:pt>
                <c:pt idx="25">
                  <c:v>57211129678.958618</c:v>
                </c:pt>
                <c:pt idx="26">
                  <c:v>56606459202.676941</c:v>
                </c:pt>
                <c:pt idx="27">
                  <c:v>56001788726.395256</c:v>
                </c:pt>
                <c:pt idx="28">
                  <c:v>55397118250.113579</c:v>
                </c:pt>
                <c:pt idx="29">
                  <c:v>54792447773.831902</c:v>
                </c:pt>
                <c:pt idx="30">
                  <c:v>54187777297.550224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70745390814.605148</c:v>
                </c:pt>
                <c:pt idx="1">
                  <c:v>65492175934.196487</c:v>
                </c:pt>
                <c:pt idx="2">
                  <c:v>60238961053.787834</c:v>
                </c:pt>
                <c:pt idx="3">
                  <c:v>54985746173.379189</c:v>
                </c:pt>
                <c:pt idx="4">
                  <c:v>54003857848.854561</c:v>
                </c:pt>
                <c:pt idx="5">
                  <c:v>53021969524.329926</c:v>
                </c:pt>
                <c:pt idx="6">
                  <c:v>52040081199.805305</c:v>
                </c:pt>
                <c:pt idx="7">
                  <c:v>51058192875.28067</c:v>
                </c:pt>
                <c:pt idx="8">
                  <c:v>50076304550.75605</c:v>
                </c:pt>
                <c:pt idx="9">
                  <c:v>49094416226.231422</c:v>
                </c:pt>
                <c:pt idx="10">
                  <c:v>48112527901.706787</c:v>
                </c:pt>
                <c:pt idx="11">
                  <c:v>47985915986.175987</c:v>
                </c:pt>
                <c:pt idx="12">
                  <c:v>47859304070.645172</c:v>
                </c:pt>
                <c:pt idx="13">
                  <c:v>47732692155.114372</c:v>
                </c:pt>
                <c:pt idx="14">
                  <c:v>47606080239.583557</c:v>
                </c:pt>
                <c:pt idx="15">
                  <c:v>47479468324.052757</c:v>
                </c:pt>
                <c:pt idx="16">
                  <c:v>47352856408.521942</c:v>
                </c:pt>
                <c:pt idx="17">
                  <c:v>47226244492.991142</c:v>
                </c:pt>
                <c:pt idx="18">
                  <c:v>47099632577.460335</c:v>
                </c:pt>
                <c:pt idx="19">
                  <c:v>46973020661.92952</c:v>
                </c:pt>
                <c:pt idx="20">
                  <c:v>46846408746.39872</c:v>
                </c:pt>
                <c:pt idx="21">
                  <c:v>46376135917.284286</c:v>
                </c:pt>
                <c:pt idx="22">
                  <c:v>45905863088.169861</c:v>
                </c:pt>
                <c:pt idx="23">
                  <c:v>45435590259.055435</c:v>
                </c:pt>
                <c:pt idx="24">
                  <c:v>44965317429.941002</c:v>
                </c:pt>
                <c:pt idx="25">
                  <c:v>44495044600.826584</c:v>
                </c:pt>
                <c:pt idx="26">
                  <c:v>44024771771.712151</c:v>
                </c:pt>
                <c:pt idx="27">
                  <c:v>43554498942.597725</c:v>
                </c:pt>
                <c:pt idx="28">
                  <c:v>43084226113.483299</c:v>
                </c:pt>
                <c:pt idx="29">
                  <c:v>42613953284.368866</c:v>
                </c:pt>
                <c:pt idx="30">
                  <c:v>42143680455.25444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4985933798.7700138</c:v>
                </c:pt>
                <c:pt idx="1">
                  <c:v>4615702164.9796219</c:v>
                </c:pt>
                <c:pt idx="2">
                  <c:v>4245470531.189229</c:v>
                </c:pt>
                <c:pt idx="3">
                  <c:v>3875238897.3988371</c:v>
                </c:pt>
                <c:pt idx="4">
                  <c:v>3806038202.8024292</c:v>
                </c:pt>
                <c:pt idx="5">
                  <c:v>3736837508.2060213</c:v>
                </c:pt>
                <c:pt idx="6">
                  <c:v>3667636813.6096139</c:v>
                </c:pt>
                <c:pt idx="7">
                  <c:v>3598436119.0132055</c:v>
                </c:pt>
                <c:pt idx="8">
                  <c:v>3529235424.4167981</c:v>
                </c:pt>
                <c:pt idx="9">
                  <c:v>3460034729.8203902</c:v>
                </c:pt>
                <c:pt idx="10">
                  <c:v>3390834035.2239823</c:v>
                </c:pt>
                <c:pt idx="11">
                  <c:v>3381910787.762867</c:v>
                </c:pt>
                <c:pt idx="12">
                  <c:v>3372987540.3017507</c:v>
                </c:pt>
                <c:pt idx="13">
                  <c:v>3364064292.8406353</c:v>
                </c:pt>
                <c:pt idx="14">
                  <c:v>3355141045.3795195</c:v>
                </c:pt>
                <c:pt idx="15">
                  <c:v>3346217797.9184041</c:v>
                </c:pt>
                <c:pt idx="16">
                  <c:v>3337294550.4572878</c:v>
                </c:pt>
                <c:pt idx="17">
                  <c:v>3328371302.9961724</c:v>
                </c:pt>
                <c:pt idx="18">
                  <c:v>3319448055.5350566</c:v>
                </c:pt>
                <c:pt idx="19">
                  <c:v>3310524808.0739403</c:v>
                </c:pt>
                <c:pt idx="20">
                  <c:v>3301601560.6128249</c:v>
                </c:pt>
                <c:pt idx="21">
                  <c:v>3268458070.0429664</c:v>
                </c:pt>
                <c:pt idx="22">
                  <c:v>3235314579.4731078</c:v>
                </c:pt>
                <c:pt idx="23">
                  <c:v>3202171088.9032493</c:v>
                </c:pt>
                <c:pt idx="24">
                  <c:v>3169027598.3333907</c:v>
                </c:pt>
                <c:pt idx="25">
                  <c:v>3135884107.7635326</c:v>
                </c:pt>
                <c:pt idx="26">
                  <c:v>3102740617.1936741</c:v>
                </c:pt>
                <c:pt idx="27">
                  <c:v>3069597126.6238155</c:v>
                </c:pt>
                <c:pt idx="28">
                  <c:v>3036453636.053957</c:v>
                </c:pt>
                <c:pt idx="29">
                  <c:v>3003310145.4840984</c:v>
                </c:pt>
                <c:pt idx="30">
                  <c:v>2970166654.9142399</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72415320795.054443</c:v>
                </c:pt>
                <c:pt idx="1">
                  <c:v>67038104888.974358</c:v>
                </c:pt>
                <c:pt idx="2">
                  <c:v>61660888982.894279</c:v>
                </c:pt>
                <c:pt idx="3">
                  <c:v>56283673076.814217</c:v>
                </c:pt>
                <c:pt idx="4">
                  <c:v>55278607486.156815</c:v>
                </c:pt>
                <c:pt idx="5">
                  <c:v>54273541895.499413</c:v>
                </c:pt>
                <c:pt idx="6">
                  <c:v>53268476304.842026</c:v>
                </c:pt>
                <c:pt idx="7">
                  <c:v>52263410714.184624</c:v>
                </c:pt>
                <c:pt idx="8">
                  <c:v>51258345123.527229</c:v>
                </c:pt>
                <c:pt idx="9">
                  <c:v>50253279532.869835</c:v>
                </c:pt>
                <c:pt idx="10">
                  <c:v>49248213942.212433</c:v>
                </c:pt>
                <c:pt idx="11">
                  <c:v>49118613379.206612</c:v>
                </c:pt>
                <c:pt idx="12">
                  <c:v>48989012816.20079</c:v>
                </c:pt>
                <c:pt idx="13">
                  <c:v>48859412253.194969</c:v>
                </c:pt>
                <c:pt idx="14">
                  <c:v>48729811690.189148</c:v>
                </c:pt>
                <c:pt idx="15">
                  <c:v>48600211127.183327</c:v>
                </c:pt>
                <c:pt idx="16">
                  <c:v>48470610564.177498</c:v>
                </c:pt>
                <c:pt idx="17">
                  <c:v>48341010001.171684</c:v>
                </c:pt>
                <c:pt idx="18">
                  <c:v>48211409438.165855</c:v>
                </c:pt>
                <c:pt idx="19">
                  <c:v>48081808875.160034</c:v>
                </c:pt>
                <c:pt idx="20">
                  <c:v>47952208312.154213</c:v>
                </c:pt>
                <c:pt idx="21">
                  <c:v>47470834792.418304</c:v>
                </c:pt>
                <c:pt idx="22">
                  <c:v>46989461272.682388</c:v>
                </c:pt>
                <c:pt idx="23">
                  <c:v>46508087752.94648</c:v>
                </c:pt>
                <c:pt idx="24">
                  <c:v>46026714233.210564</c:v>
                </c:pt>
                <c:pt idx="25">
                  <c:v>45545340713.474663</c:v>
                </c:pt>
                <c:pt idx="26">
                  <c:v>45063967193.738747</c:v>
                </c:pt>
                <c:pt idx="27">
                  <c:v>44582593674.002838</c:v>
                </c:pt>
                <c:pt idx="28">
                  <c:v>44101220154.266922</c:v>
                </c:pt>
                <c:pt idx="29">
                  <c:v>43619846634.531013</c:v>
                </c:pt>
                <c:pt idx="30">
                  <c:v>43138473114.795097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211901194138225.97</c:v>
                </c:pt>
                <c:pt idx="1">
                  <c:v>216005137295310.34</c:v>
                </c:pt>
                <c:pt idx="2">
                  <c:v>220109080452394.69</c:v>
                </c:pt>
                <c:pt idx="3">
                  <c:v>224213023609478.84</c:v>
                </c:pt>
                <c:pt idx="4">
                  <c:v>228186952564386.81</c:v>
                </c:pt>
                <c:pt idx="5">
                  <c:v>232160881519294.56</c:v>
                </c:pt>
                <c:pt idx="6">
                  <c:v>236134810474204.09</c:v>
                </c:pt>
                <c:pt idx="7">
                  <c:v>240108739429111.88</c:v>
                </c:pt>
                <c:pt idx="8">
                  <c:v>244082668384019.59</c:v>
                </c:pt>
                <c:pt idx="9">
                  <c:v>248056597338929.09</c:v>
                </c:pt>
                <c:pt idx="10">
                  <c:v>252030526293837.72</c:v>
                </c:pt>
                <c:pt idx="11">
                  <c:v>254389415392817.19</c:v>
                </c:pt>
                <c:pt idx="12">
                  <c:v>256748304491796.63</c:v>
                </c:pt>
                <c:pt idx="13">
                  <c:v>259107193590776.97</c:v>
                </c:pt>
                <c:pt idx="14">
                  <c:v>261466082689756.41</c:v>
                </c:pt>
                <c:pt idx="15">
                  <c:v>263824971788736.72</c:v>
                </c:pt>
                <c:pt idx="16">
                  <c:v>266183860887716.19</c:v>
                </c:pt>
                <c:pt idx="17">
                  <c:v>268542749986696.5</c:v>
                </c:pt>
                <c:pt idx="18">
                  <c:v>270901639085675.94</c:v>
                </c:pt>
                <c:pt idx="19">
                  <c:v>273260528184656.31</c:v>
                </c:pt>
                <c:pt idx="20">
                  <c:v>275619417283636.63</c:v>
                </c:pt>
                <c:pt idx="21">
                  <c:v>276365901175718.84</c:v>
                </c:pt>
                <c:pt idx="22">
                  <c:v>277112385067801.13</c:v>
                </c:pt>
                <c:pt idx="23">
                  <c:v>277858868959883.34</c:v>
                </c:pt>
                <c:pt idx="24">
                  <c:v>278605352851965.59</c:v>
                </c:pt>
                <c:pt idx="25">
                  <c:v>279351836744047.84</c:v>
                </c:pt>
                <c:pt idx="26">
                  <c:v>280098320636130.09</c:v>
                </c:pt>
                <c:pt idx="27">
                  <c:v>280844804528212.31</c:v>
                </c:pt>
                <c:pt idx="28">
                  <c:v>281591288420294.56</c:v>
                </c:pt>
                <c:pt idx="29">
                  <c:v>282337772312376.81</c:v>
                </c:pt>
                <c:pt idx="30">
                  <c:v>283084256204459.06</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109734546964438.45</c:v>
                </c:pt>
                <c:pt idx="1">
                  <c:v>111859803242214.28</c:v>
                </c:pt>
                <c:pt idx="2">
                  <c:v>113985059519990.11</c:v>
                </c:pt>
                <c:pt idx="3">
                  <c:v>116110315797765.84</c:v>
                </c:pt>
                <c:pt idx="4">
                  <c:v>118168243292271.75</c:v>
                </c:pt>
                <c:pt idx="5">
                  <c:v>120226170786777.55</c:v>
                </c:pt>
                <c:pt idx="6">
                  <c:v>122284098281284.27</c:v>
                </c:pt>
                <c:pt idx="7">
                  <c:v>124342025775790.08</c:v>
                </c:pt>
                <c:pt idx="8">
                  <c:v>126399953270295.86</c:v>
                </c:pt>
                <c:pt idx="9">
                  <c:v>128457880764802.58</c:v>
                </c:pt>
                <c:pt idx="10">
                  <c:v>130515808259308.83</c:v>
                </c:pt>
                <c:pt idx="11">
                  <c:v>131737375828423.19</c:v>
                </c:pt>
                <c:pt idx="12">
                  <c:v>132958943397537.55</c:v>
                </c:pt>
                <c:pt idx="13">
                  <c:v>134180510966652.36</c:v>
                </c:pt>
                <c:pt idx="14">
                  <c:v>135402078535766.72</c:v>
                </c:pt>
                <c:pt idx="15">
                  <c:v>136623646104881.53</c:v>
                </c:pt>
                <c:pt idx="16">
                  <c:v>137845213673995.89</c:v>
                </c:pt>
                <c:pt idx="17">
                  <c:v>139066781243110.69</c:v>
                </c:pt>
                <c:pt idx="18">
                  <c:v>140288348812225.05</c:v>
                </c:pt>
                <c:pt idx="19">
                  <c:v>141509916381339.88</c:v>
                </c:pt>
                <c:pt idx="20">
                  <c:v>142731483950454.69</c:v>
                </c:pt>
                <c:pt idx="21">
                  <c:v>143118055965997.28</c:v>
                </c:pt>
                <c:pt idx="22">
                  <c:v>143504627981539.88</c:v>
                </c:pt>
                <c:pt idx="23">
                  <c:v>143891199997082.47</c:v>
                </c:pt>
                <c:pt idx="24">
                  <c:v>144277772012625.03</c:v>
                </c:pt>
                <c:pt idx="25">
                  <c:v>144664344028167.66</c:v>
                </c:pt>
                <c:pt idx="26">
                  <c:v>145050916043710.22</c:v>
                </c:pt>
                <c:pt idx="27">
                  <c:v>145437488059252.81</c:v>
                </c:pt>
                <c:pt idx="28">
                  <c:v>145824060074795.41</c:v>
                </c:pt>
                <c:pt idx="29">
                  <c:v>146210632090338</c:v>
                </c:pt>
                <c:pt idx="30">
                  <c:v>146597204105880.59</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904817857746.82715</c:v>
                </c:pt>
                <c:pt idx="1">
                  <c:v>837630404548.19653</c:v>
                </c:pt>
                <c:pt idx="2">
                  <c:v>770442951349.56604</c:v>
                </c:pt>
                <c:pt idx="3">
                  <c:v>703255498150.93555</c:v>
                </c:pt>
                <c:pt idx="4">
                  <c:v>690697364255.38306</c:v>
                </c:pt>
                <c:pt idx="5">
                  <c:v>678139230359.83057</c:v>
                </c:pt>
                <c:pt idx="6">
                  <c:v>665581096464.2782</c:v>
                </c:pt>
                <c:pt idx="7">
                  <c:v>653022962568.72583</c:v>
                </c:pt>
                <c:pt idx="8">
                  <c:v>640464828673.17346</c:v>
                </c:pt>
                <c:pt idx="9">
                  <c:v>627906694777.62097</c:v>
                </c:pt>
                <c:pt idx="10">
                  <c:v>615348560882.06848</c:v>
                </c:pt>
                <c:pt idx="11">
                  <c:v>613729222563.95789</c:v>
                </c:pt>
                <c:pt idx="12">
                  <c:v>612109884245.84705</c:v>
                </c:pt>
                <c:pt idx="13">
                  <c:v>610490545927.73645</c:v>
                </c:pt>
                <c:pt idx="14">
                  <c:v>608871207609.62573</c:v>
                </c:pt>
                <c:pt idx="15">
                  <c:v>607251869291.51501</c:v>
                </c:pt>
                <c:pt idx="16">
                  <c:v>605632530973.4043</c:v>
                </c:pt>
                <c:pt idx="17">
                  <c:v>604013192655.29358</c:v>
                </c:pt>
                <c:pt idx="18">
                  <c:v>602393854337.18286</c:v>
                </c:pt>
                <c:pt idx="19">
                  <c:v>600774516019.07214</c:v>
                </c:pt>
                <c:pt idx="20">
                  <c:v>599155177700.96143</c:v>
                </c:pt>
                <c:pt idx="21">
                  <c:v>593140492519.40747</c:v>
                </c:pt>
                <c:pt idx="22">
                  <c:v>587125807337.85339</c:v>
                </c:pt>
                <c:pt idx="23">
                  <c:v>581111122156.29932</c:v>
                </c:pt>
                <c:pt idx="24">
                  <c:v>575096436974.74524</c:v>
                </c:pt>
                <c:pt idx="25">
                  <c:v>569081751793.19128</c:v>
                </c:pt>
                <c:pt idx="26">
                  <c:v>563067066611.63721</c:v>
                </c:pt>
                <c:pt idx="27">
                  <c:v>557052381430.08313</c:v>
                </c:pt>
                <c:pt idx="28">
                  <c:v>551037696248.52905</c:v>
                </c:pt>
                <c:pt idx="29">
                  <c:v>545023011066.97498</c:v>
                </c:pt>
                <c:pt idx="30">
                  <c:v>539008325885.4209</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144709278822.97186</c:v>
                </c:pt>
                <c:pt idx="1">
                  <c:v>133963858830.33679</c:v>
                </c:pt>
                <c:pt idx="2">
                  <c:v>123218438837.70171</c:v>
                </c:pt>
                <c:pt idx="3">
                  <c:v>112473018845.06664</c:v>
                </c:pt>
                <c:pt idx="4">
                  <c:v>110464572079.97615</c:v>
                </c:pt>
                <c:pt idx="5">
                  <c:v>108456125314.88567</c:v>
                </c:pt>
                <c:pt idx="6">
                  <c:v>106447678549.79521</c:v>
                </c:pt>
                <c:pt idx="7">
                  <c:v>104439231784.70473</c:v>
                </c:pt>
                <c:pt idx="8">
                  <c:v>102430785019.61426</c:v>
                </c:pt>
                <c:pt idx="9">
                  <c:v>100422338254.52377</c:v>
                </c:pt>
                <c:pt idx="10">
                  <c:v>98413891489.433289</c:v>
                </c:pt>
                <c:pt idx="11">
                  <c:v>98154907564.461105</c:v>
                </c:pt>
                <c:pt idx="12">
                  <c:v>97895923639.488907</c:v>
                </c:pt>
                <c:pt idx="13">
                  <c:v>97636939714.516724</c:v>
                </c:pt>
                <c:pt idx="14">
                  <c:v>97377955789.544525</c:v>
                </c:pt>
                <c:pt idx="15">
                  <c:v>97118971864.572342</c:v>
                </c:pt>
                <c:pt idx="16">
                  <c:v>96859987939.600143</c:v>
                </c:pt>
                <c:pt idx="17">
                  <c:v>96601004014.62796</c:v>
                </c:pt>
                <c:pt idx="18">
                  <c:v>96342020089.655762</c:v>
                </c:pt>
                <c:pt idx="19">
                  <c:v>96083036164.683563</c:v>
                </c:pt>
                <c:pt idx="20">
                  <c:v>95824052239.711365</c:v>
                </c:pt>
                <c:pt idx="21">
                  <c:v>94862111946.957504</c:v>
                </c:pt>
                <c:pt idx="22">
                  <c:v>93900171654.203644</c:v>
                </c:pt>
                <c:pt idx="23">
                  <c:v>92938231361.449783</c:v>
                </c:pt>
                <c:pt idx="24">
                  <c:v>91976291068.695923</c:v>
                </c:pt>
                <c:pt idx="25">
                  <c:v>91014350775.942078</c:v>
                </c:pt>
                <c:pt idx="26">
                  <c:v>90052410483.188217</c:v>
                </c:pt>
                <c:pt idx="27">
                  <c:v>89090470190.434357</c:v>
                </c:pt>
                <c:pt idx="28">
                  <c:v>88128529897.680496</c:v>
                </c:pt>
                <c:pt idx="29">
                  <c:v>87166589604.926636</c:v>
                </c:pt>
                <c:pt idx="30">
                  <c:v>86204649312.172775</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1583645014.1474566</c:v>
                </c:pt>
                <c:pt idx="1">
                  <c:v>1234993210.3201342</c:v>
                </c:pt>
                <c:pt idx="2">
                  <c:v>886341406.4928118</c:v>
                </c:pt>
                <c:pt idx="3">
                  <c:v>537689602.6654892</c:v>
                </c:pt>
                <c:pt idx="4">
                  <c:v>520472940.51117557</c:v>
                </c:pt>
                <c:pt idx="5">
                  <c:v>503256278.35686189</c:v>
                </c:pt>
                <c:pt idx="6">
                  <c:v>486039616.20254815</c:v>
                </c:pt>
                <c:pt idx="7">
                  <c:v>468822954.04823446</c:v>
                </c:pt>
                <c:pt idx="8">
                  <c:v>451606291.89392078</c:v>
                </c:pt>
                <c:pt idx="9">
                  <c:v>434389629.7396071</c:v>
                </c:pt>
                <c:pt idx="10">
                  <c:v>417172967.58529341</c:v>
                </c:pt>
                <c:pt idx="11">
                  <c:v>416245916.54621518</c:v>
                </c:pt>
                <c:pt idx="12">
                  <c:v>415318865.50713676</c:v>
                </c:pt>
                <c:pt idx="13">
                  <c:v>414391814.46805835</c:v>
                </c:pt>
                <c:pt idx="14">
                  <c:v>413464763.42897987</c:v>
                </c:pt>
                <c:pt idx="15">
                  <c:v>412537712.38990146</c:v>
                </c:pt>
                <c:pt idx="16">
                  <c:v>411610661.35082304</c:v>
                </c:pt>
                <c:pt idx="17">
                  <c:v>410683610.31174463</c:v>
                </c:pt>
                <c:pt idx="18">
                  <c:v>409756559.27266616</c:v>
                </c:pt>
                <c:pt idx="19">
                  <c:v>408829508.23358774</c:v>
                </c:pt>
                <c:pt idx="20">
                  <c:v>407902457.19450909</c:v>
                </c:pt>
                <c:pt idx="21">
                  <c:v>405121304.07727379</c:v>
                </c:pt>
                <c:pt idx="22">
                  <c:v>402340150.96003848</c:v>
                </c:pt>
                <c:pt idx="23">
                  <c:v>399558997.84280324</c:v>
                </c:pt>
                <c:pt idx="24">
                  <c:v>396777844.72556794</c:v>
                </c:pt>
                <c:pt idx="25">
                  <c:v>393996691.60833263</c:v>
                </c:pt>
                <c:pt idx="26">
                  <c:v>391215538.49109733</c:v>
                </c:pt>
                <c:pt idx="27">
                  <c:v>388434385.37386209</c:v>
                </c:pt>
                <c:pt idx="28">
                  <c:v>385653232.25662678</c:v>
                </c:pt>
                <c:pt idx="29">
                  <c:v>382872079.13939148</c:v>
                </c:pt>
                <c:pt idx="30">
                  <c:v>380090926.02215618</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1105240993139.105</c:v>
                </c:pt>
                <c:pt idx="1">
                  <c:v>1055477814876.5863</c:v>
                </c:pt>
                <c:pt idx="2">
                  <c:v>1005714636614.0677</c:v>
                </c:pt>
                <c:pt idx="3">
                  <c:v>955951458351.54907</c:v>
                </c:pt>
                <c:pt idx="4">
                  <c:v>1009573493732.9706</c:v>
                </c:pt>
                <c:pt idx="5">
                  <c:v>1063195529114.3921</c:v>
                </c:pt>
                <c:pt idx="6">
                  <c:v>1116817564495.8137</c:v>
                </c:pt>
                <c:pt idx="7">
                  <c:v>1170439599877.2351</c:v>
                </c:pt>
                <c:pt idx="8">
                  <c:v>1224061635258.6567</c:v>
                </c:pt>
                <c:pt idx="9">
                  <c:v>1277683670640.0781</c:v>
                </c:pt>
                <c:pt idx="10">
                  <c:v>1331305706021.4998</c:v>
                </c:pt>
                <c:pt idx="11">
                  <c:v>1313554963274.5464</c:v>
                </c:pt>
                <c:pt idx="12">
                  <c:v>1295804220527.593</c:v>
                </c:pt>
                <c:pt idx="13">
                  <c:v>1278053477780.6396</c:v>
                </c:pt>
                <c:pt idx="14">
                  <c:v>1260302735033.6863</c:v>
                </c:pt>
                <c:pt idx="15">
                  <c:v>1242551992286.7329</c:v>
                </c:pt>
                <c:pt idx="16">
                  <c:v>1224801249539.7798</c:v>
                </c:pt>
                <c:pt idx="17">
                  <c:v>1207050506792.8264</c:v>
                </c:pt>
                <c:pt idx="18">
                  <c:v>1189299764045.873</c:v>
                </c:pt>
                <c:pt idx="19">
                  <c:v>1171549021298.9197</c:v>
                </c:pt>
                <c:pt idx="20">
                  <c:v>1153798278551.9666</c:v>
                </c:pt>
                <c:pt idx="21">
                  <c:v>1122549575174.5173</c:v>
                </c:pt>
                <c:pt idx="22">
                  <c:v>1091300871797.0681</c:v>
                </c:pt>
                <c:pt idx="23">
                  <c:v>1060052168419.6191</c:v>
                </c:pt>
                <c:pt idx="24">
                  <c:v>1028803465042.1702</c:v>
                </c:pt>
                <c:pt idx="25">
                  <c:v>997554761664.72107</c:v>
                </c:pt>
                <c:pt idx="26">
                  <c:v>966306058287.27185</c:v>
                </c:pt>
                <c:pt idx="27">
                  <c:v>935057354909.82288</c:v>
                </c:pt>
                <c:pt idx="28">
                  <c:v>903808651532.37378</c:v>
                </c:pt>
                <c:pt idx="29">
                  <c:v>872559948154.92456</c:v>
                </c:pt>
                <c:pt idx="30">
                  <c:v>841311244777.47559</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9394548441682.3906</c:v>
                </c:pt>
                <c:pt idx="1">
                  <c:v>8971561426450.9844</c:v>
                </c:pt>
                <c:pt idx="2">
                  <c:v>8548574411219.5752</c:v>
                </c:pt>
                <c:pt idx="3">
                  <c:v>8125587395988.167</c:v>
                </c:pt>
                <c:pt idx="4">
                  <c:v>8581374696730.249</c:v>
                </c:pt>
                <c:pt idx="5">
                  <c:v>9037161997472.334</c:v>
                </c:pt>
                <c:pt idx="6">
                  <c:v>9492949298214.416</c:v>
                </c:pt>
                <c:pt idx="7">
                  <c:v>9948736598956.5</c:v>
                </c:pt>
                <c:pt idx="8">
                  <c:v>10404523899698.582</c:v>
                </c:pt>
                <c:pt idx="9">
                  <c:v>10860311200440.664</c:v>
                </c:pt>
                <c:pt idx="10">
                  <c:v>11316098501182.746</c:v>
                </c:pt>
                <c:pt idx="11">
                  <c:v>11165217187833.643</c:v>
                </c:pt>
                <c:pt idx="12">
                  <c:v>11014335874484.539</c:v>
                </c:pt>
                <c:pt idx="13">
                  <c:v>10863454561135.436</c:v>
                </c:pt>
                <c:pt idx="14">
                  <c:v>10712573247786.334</c:v>
                </c:pt>
                <c:pt idx="15">
                  <c:v>10561691934437.23</c:v>
                </c:pt>
                <c:pt idx="16">
                  <c:v>10410810621088.127</c:v>
                </c:pt>
                <c:pt idx="17">
                  <c:v>10259929307739.023</c:v>
                </c:pt>
                <c:pt idx="18">
                  <c:v>10109047994389.92</c:v>
                </c:pt>
                <c:pt idx="19">
                  <c:v>9958166681040.8164</c:v>
                </c:pt>
                <c:pt idx="20">
                  <c:v>9807285367691.7148</c:v>
                </c:pt>
                <c:pt idx="21">
                  <c:v>9541671388983.3965</c:v>
                </c:pt>
                <c:pt idx="22">
                  <c:v>9276057410275.0801</c:v>
                </c:pt>
                <c:pt idx="23">
                  <c:v>9010443431566.7637</c:v>
                </c:pt>
                <c:pt idx="24">
                  <c:v>8744829452858.4443</c:v>
                </c:pt>
                <c:pt idx="25">
                  <c:v>8479215474150.1279</c:v>
                </c:pt>
                <c:pt idx="26">
                  <c:v>8213601495441.8105</c:v>
                </c:pt>
                <c:pt idx="27">
                  <c:v>7947987516733.4941</c:v>
                </c:pt>
                <c:pt idx="28">
                  <c:v>7682373538025.1758</c:v>
                </c:pt>
                <c:pt idx="29">
                  <c:v>7416759559316.8594</c:v>
                </c:pt>
                <c:pt idx="30">
                  <c:v>7151145580608.541</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47316732927.01136</c:v>
                </c:pt>
                <c:pt idx="1">
                  <c:v>49682569573.361931</c:v>
                </c:pt>
                <c:pt idx="2">
                  <c:v>52048406219.712494</c:v>
                </c:pt>
                <c:pt idx="3">
                  <c:v>54414242866.063072</c:v>
                </c:pt>
                <c:pt idx="4">
                  <c:v>56838992875.822105</c:v>
                </c:pt>
                <c:pt idx="5">
                  <c:v>59263742885.581139</c:v>
                </c:pt>
                <c:pt idx="6">
                  <c:v>61688492895.340172</c:v>
                </c:pt>
                <c:pt idx="7">
                  <c:v>64113242905.099213</c:v>
                </c:pt>
                <c:pt idx="8">
                  <c:v>66537992914.858246</c:v>
                </c:pt>
                <c:pt idx="9">
                  <c:v>68962742924.617279</c:v>
                </c:pt>
                <c:pt idx="10">
                  <c:v>71387492934.376312</c:v>
                </c:pt>
                <c:pt idx="11">
                  <c:v>72136312790.331314</c:v>
                </c:pt>
                <c:pt idx="12">
                  <c:v>72885132646.286301</c:v>
                </c:pt>
                <c:pt idx="13">
                  <c:v>73633952502.241318</c:v>
                </c:pt>
                <c:pt idx="14">
                  <c:v>74382772358.196304</c:v>
                </c:pt>
                <c:pt idx="15">
                  <c:v>75131592214.151306</c:v>
                </c:pt>
                <c:pt idx="16">
                  <c:v>75880412070.106293</c:v>
                </c:pt>
                <c:pt idx="17">
                  <c:v>76629231926.061279</c:v>
                </c:pt>
                <c:pt idx="18">
                  <c:v>77378051782.016296</c:v>
                </c:pt>
                <c:pt idx="19">
                  <c:v>78126871637.971298</c:v>
                </c:pt>
                <c:pt idx="20">
                  <c:v>78875691493.926285</c:v>
                </c:pt>
                <c:pt idx="21">
                  <c:v>79092017230.091064</c:v>
                </c:pt>
                <c:pt idx="22">
                  <c:v>79308342966.255844</c:v>
                </c:pt>
                <c:pt idx="23">
                  <c:v>79524668702.420609</c:v>
                </c:pt>
                <c:pt idx="24">
                  <c:v>79740994438.585388</c:v>
                </c:pt>
                <c:pt idx="25">
                  <c:v>79957320174.750168</c:v>
                </c:pt>
                <c:pt idx="26">
                  <c:v>80173645910.914948</c:v>
                </c:pt>
                <c:pt idx="27">
                  <c:v>80389971647.079712</c:v>
                </c:pt>
                <c:pt idx="28">
                  <c:v>80606297383.244492</c:v>
                </c:pt>
                <c:pt idx="29">
                  <c:v>80822623119.409271</c:v>
                </c:pt>
                <c:pt idx="30">
                  <c:v>81038948855.574051</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1040968124394.2502</c:v>
                </c:pt>
                <c:pt idx="1">
                  <c:v>1093016530613.9628</c:v>
                </c:pt>
                <c:pt idx="2">
                  <c:v>1145064936833.6753</c:v>
                </c:pt>
                <c:pt idx="3">
                  <c:v>1197113343053.3877</c:v>
                </c:pt>
                <c:pt idx="4">
                  <c:v>1250457843268.0867</c:v>
                </c:pt>
                <c:pt idx="5">
                  <c:v>1303802343482.7854</c:v>
                </c:pt>
                <c:pt idx="6">
                  <c:v>1357146843697.4841</c:v>
                </c:pt>
                <c:pt idx="7">
                  <c:v>1410491343912.1831</c:v>
                </c:pt>
                <c:pt idx="8">
                  <c:v>1463835844126.8818</c:v>
                </c:pt>
                <c:pt idx="9">
                  <c:v>1517180344341.5806</c:v>
                </c:pt>
                <c:pt idx="10">
                  <c:v>1570524844556.2793</c:v>
                </c:pt>
                <c:pt idx="11">
                  <c:v>1586998881387.2893</c:v>
                </c:pt>
                <c:pt idx="12">
                  <c:v>1603472918218.2993</c:v>
                </c:pt>
                <c:pt idx="13">
                  <c:v>1619946955049.3091</c:v>
                </c:pt>
                <c:pt idx="14">
                  <c:v>1636420991880.3191</c:v>
                </c:pt>
                <c:pt idx="15">
                  <c:v>1652895028711.3291</c:v>
                </c:pt>
                <c:pt idx="16">
                  <c:v>1669369065542.3389</c:v>
                </c:pt>
                <c:pt idx="17">
                  <c:v>1685843102373.3489</c:v>
                </c:pt>
                <c:pt idx="18">
                  <c:v>1702317139204.3589</c:v>
                </c:pt>
                <c:pt idx="19">
                  <c:v>1718791176035.3687</c:v>
                </c:pt>
                <c:pt idx="20">
                  <c:v>1735265212866.3787</c:v>
                </c:pt>
                <c:pt idx="21">
                  <c:v>1740024379062.0034</c:v>
                </c:pt>
                <c:pt idx="22">
                  <c:v>1744783545257.6287</c:v>
                </c:pt>
                <c:pt idx="23">
                  <c:v>1749542711453.2539</c:v>
                </c:pt>
                <c:pt idx="24">
                  <c:v>1754301877648.8787</c:v>
                </c:pt>
                <c:pt idx="25">
                  <c:v>1759061043844.5039</c:v>
                </c:pt>
                <c:pt idx="26">
                  <c:v>1763820210040.1292</c:v>
                </c:pt>
                <c:pt idx="27">
                  <c:v>1768579376235.7542</c:v>
                </c:pt>
                <c:pt idx="28">
                  <c:v>1773338542431.3792</c:v>
                </c:pt>
                <c:pt idx="29">
                  <c:v>1778097708627.0044</c:v>
                </c:pt>
                <c:pt idx="30">
                  <c:v>1782856874822.6294</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315444886180.07581</c:v>
                </c:pt>
                <c:pt idx="1">
                  <c:v>331217130489.07953</c:v>
                </c:pt>
                <c:pt idx="2">
                  <c:v>346989374798.08337</c:v>
                </c:pt>
                <c:pt idx="3">
                  <c:v>362761619107.08716</c:v>
                </c:pt>
                <c:pt idx="4">
                  <c:v>378926619172.14734</c:v>
                </c:pt>
                <c:pt idx="5">
                  <c:v>395091619237.20764</c:v>
                </c:pt>
                <c:pt idx="6">
                  <c:v>411256619302.26782</c:v>
                </c:pt>
                <c:pt idx="7">
                  <c:v>427421619367.32813</c:v>
                </c:pt>
                <c:pt idx="8">
                  <c:v>443586619432.38837</c:v>
                </c:pt>
                <c:pt idx="9">
                  <c:v>459751619497.44855</c:v>
                </c:pt>
                <c:pt idx="10">
                  <c:v>475916619562.50885</c:v>
                </c:pt>
                <c:pt idx="11">
                  <c:v>480908751935.54211</c:v>
                </c:pt>
                <c:pt idx="12">
                  <c:v>485900884308.57544</c:v>
                </c:pt>
                <c:pt idx="13">
                  <c:v>490893016681.6087</c:v>
                </c:pt>
                <c:pt idx="14">
                  <c:v>495885149054.64203</c:v>
                </c:pt>
                <c:pt idx="15">
                  <c:v>500877281427.67535</c:v>
                </c:pt>
                <c:pt idx="16">
                  <c:v>505869413800.70868</c:v>
                </c:pt>
                <c:pt idx="17">
                  <c:v>510861546173.742</c:v>
                </c:pt>
                <c:pt idx="18">
                  <c:v>515853678546.77533</c:v>
                </c:pt>
                <c:pt idx="19">
                  <c:v>520845810919.80859</c:v>
                </c:pt>
                <c:pt idx="20">
                  <c:v>525837943292.84192</c:v>
                </c:pt>
                <c:pt idx="21">
                  <c:v>527280114867.27374</c:v>
                </c:pt>
                <c:pt idx="22">
                  <c:v>528722286441.70563</c:v>
                </c:pt>
                <c:pt idx="23">
                  <c:v>530164458016.13739</c:v>
                </c:pt>
                <c:pt idx="24">
                  <c:v>531606629590.56927</c:v>
                </c:pt>
                <c:pt idx="25">
                  <c:v>533048801165.00116</c:v>
                </c:pt>
                <c:pt idx="26">
                  <c:v>534490972739.43298</c:v>
                </c:pt>
                <c:pt idx="27">
                  <c:v>535933144313.86487</c:v>
                </c:pt>
                <c:pt idx="28">
                  <c:v>537375315888.29663</c:v>
                </c:pt>
                <c:pt idx="29">
                  <c:v>538817487462.72852</c:v>
                </c:pt>
                <c:pt idx="30">
                  <c:v>540259659037.1604</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1719174629681.4128</c:v>
                </c:pt>
                <c:pt idx="1">
                  <c:v>1805133361165.4836</c:v>
                </c:pt>
                <c:pt idx="2">
                  <c:v>1891092092649.5542</c:v>
                </c:pt>
                <c:pt idx="3">
                  <c:v>1977050824133.625</c:v>
                </c:pt>
                <c:pt idx="4">
                  <c:v>2065150074488.2034</c:v>
                </c:pt>
                <c:pt idx="5">
                  <c:v>2153249324842.7817</c:v>
                </c:pt>
                <c:pt idx="6">
                  <c:v>2241348575197.3599</c:v>
                </c:pt>
                <c:pt idx="7">
                  <c:v>2329447825551.938</c:v>
                </c:pt>
                <c:pt idx="8">
                  <c:v>2417547075906.5166</c:v>
                </c:pt>
                <c:pt idx="9">
                  <c:v>2505646326261.0947</c:v>
                </c:pt>
                <c:pt idx="10">
                  <c:v>2593745576615.6733</c:v>
                </c:pt>
                <c:pt idx="11">
                  <c:v>2620952698048.7046</c:v>
                </c:pt>
                <c:pt idx="12">
                  <c:v>2648159819481.7363</c:v>
                </c:pt>
                <c:pt idx="13">
                  <c:v>2675366940914.7676</c:v>
                </c:pt>
                <c:pt idx="14">
                  <c:v>2702574062347.7988</c:v>
                </c:pt>
                <c:pt idx="15">
                  <c:v>2729781183780.8311</c:v>
                </c:pt>
                <c:pt idx="16">
                  <c:v>2756988305213.8623</c:v>
                </c:pt>
                <c:pt idx="17">
                  <c:v>2784195426646.894</c:v>
                </c:pt>
                <c:pt idx="18">
                  <c:v>2811402548079.9253</c:v>
                </c:pt>
                <c:pt idx="19">
                  <c:v>2838609669512.9565</c:v>
                </c:pt>
                <c:pt idx="20">
                  <c:v>2865816790945.9883</c:v>
                </c:pt>
                <c:pt idx="21">
                  <c:v>2873676626026.6421</c:v>
                </c:pt>
                <c:pt idx="22">
                  <c:v>2881536461107.2954</c:v>
                </c:pt>
                <c:pt idx="23">
                  <c:v>2889396296187.9492</c:v>
                </c:pt>
                <c:pt idx="24">
                  <c:v>2897256131268.6025</c:v>
                </c:pt>
                <c:pt idx="25">
                  <c:v>2905115966349.2563</c:v>
                </c:pt>
                <c:pt idx="26">
                  <c:v>2912975801429.9097</c:v>
                </c:pt>
                <c:pt idx="27">
                  <c:v>2920835636510.5635</c:v>
                </c:pt>
                <c:pt idx="28">
                  <c:v>2928695471591.2168</c:v>
                </c:pt>
                <c:pt idx="29">
                  <c:v>2936555306671.8706</c:v>
                </c:pt>
                <c:pt idx="30">
                  <c:v>2944415141752.5239</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617448658223.5979</c:v>
                </c:pt>
                <c:pt idx="1">
                  <c:v>571599869462.6637</c:v>
                </c:pt>
                <c:pt idx="2">
                  <c:v>525751080701.72961</c:v>
                </c:pt>
                <c:pt idx="3">
                  <c:v>479902291940.79553</c:v>
                </c:pt>
                <c:pt idx="4">
                  <c:v>471332608156.13843</c:v>
                </c:pt>
                <c:pt idx="5">
                  <c:v>462762924371.48138</c:v>
                </c:pt>
                <c:pt idx="6">
                  <c:v>454193240586.82434</c:v>
                </c:pt>
                <c:pt idx="7">
                  <c:v>445623556802.16724</c:v>
                </c:pt>
                <c:pt idx="8">
                  <c:v>437053873017.51025</c:v>
                </c:pt>
                <c:pt idx="9">
                  <c:v>428484189232.85315</c:v>
                </c:pt>
                <c:pt idx="10">
                  <c:v>419914505448.19604</c:v>
                </c:pt>
                <c:pt idx="11">
                  <c:v>418809467275.96399</c:v>
                </c:pt>
                <c:pt idx="12">
                  <c:v>417704429103.73187</c:v>
                </c:pt>
                <c:pt idx="13">
                  <c:v>416599390931.49982</c:v>
                </c:pt>
                <c:pt idx="14">
                  <c:v>415494352759.2677</c:v>
                </c:pt>
                <c:pt idx="15">
                  <c:v>414389314587.03564</c:v>
                </c:pt>
                <c:pt idx="16">
                  <c:v>413284276414.80353</c:v>
                </c:pt>
                <c:pt idx="17">
                  <c:v>412179238242.57141</c:v>
                </c:pt>
                <c:pt idx="18">
                  <c:v>411074200070.33929</c:v>
                </c:pt>
                <c:pt idx="19">
                  <c:v>409969161898.10718</c:v>
                </c:pt>
                <c:pt idx="20">
                  <c:v>408864123725.87512</c:v>
                </c:pt>
                <c:pt idx="21">
                  <c:v>404759696229.01306</c:v>
                </c:pt>
                <c:pt idx="22">
                  <c:v>400655268732.151</c:v>
                </c:pt>
                <c:pt idx="23">
                  <c:v>396550841235.28888</c:v>
                </c:pt>
                <c:pt idx="24">
                  <c:v>392446413738.42682</c:v>
                </c:pt>
                <c:pt idx="25">
                  <c:v>388341986241.56482</c:v>
                </c:pt>
                <c:pt idx="26">
                  <c:v>384237558744.70276</c:v>
                </c:pt>
                <c:pt idx="27">
                  <c:v>380133131247.84064</c:v>
                </c:pt>
                <c:pt idx="28">
                  <c:v>376028703750.97858</c:v>
                </c:pt>
                <c:pt idx="29">
                  <c:v>371924276254.11652</c:v>
                </c:pt>
                <c:pt idx="30">
                  <c:v>367819848757.25446</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74331764248.808136</c:v>
                </c:pt>
                <c:pt idx="1">
                  <c:v>68812242403.74324</c:v>
                </c:pt>
                <c:pt idx="2">
                  <c:v>63292720558.678337</c:v>
                </c:pt>
                <c:pt idx="3">
                  <c:v>57773198713.613441</c:v>
                </c:pt>
                <c:pt idx="4">
                  <c:v>56741534450.870338</c:v>
                </c:pt>
                <c:pt idx="5">
                  <c:v>55709870188.127243</c:v>
                </c:pt>
                <c:pt idx="6">
                  <c:v>54678205925.384148</c:v>
                </c:pt>
                <c:pt idx="7">
                  <c:v>53646541662.641052</c:v>
                </c:pt>
                <c:pt idx="8">
                  <c:v>52614877399.897957</c:v>
                </c:pt>
                <c:pt idx="9">
                  <c:v>51583213137.154854</c:v>
                </c:pt>
                <c:pt idx="10">
                  <c:v>50551548874.411758</c:v>
                </c:pt>
                <c:pt idx="11">
                  <c:v>50418518482.636993</c:v>
                </c:pt>
                <c:pt idx="12">
                  <c:v>50285488090.862221</c:v>
                </c:pt>
                <c:pt idx="13">
                  <c:v>50152457699.087456</c:v>
                </c:pt>
                <c:pt idx="14">
                  <c:v>50019427307.312683</c:v>
                </c:pt>
                <c:pt idx="15">
                  <c:v>49886396915.537926</c:v>
                </c:pt>
                <c:pt idx="16">
                  <c:v>49753366523.763153</c:v>
                </c:pt>
                <c:pt idx="17">
                  <c:v>49620336131.988388</c:v>
                </c:pt>
                <c:pt idx="18">
                  <c:v>49487305740.213615</c:v>
                </c:pt>
                <c:pt idx="19">
                  <c:v>49354275348.438843</c:v>
                </c:pt>
                <c:pt idx="20">
                  <c:v>49221244956.664085</c:v>
                </c:pt>
                <c:pt idx="21">
                  <c:v>48727132072.92923</c:v>
                </c:pt>
                <c:pt idx="22">
                  <c:v>48233019189.194374</c:v>
                </c:pt>
                <c:pt idx="23">
                  <c:v>47738906305.459526</c:v>
                </c:pt>
                <c:pt idx="24">
                  <c:v>47244793421.72467</c:v>
                </c:pt>
                <c:pt idx="25">
                  <c:v>46750680537.989822</c:v>
                </c:pt>
                <c:pt idx="26">
                  <c:v>46256567654.254974</c:v>
                </c:pt>
                <c:pt idx="27">
                  <c:v>45762454770.520119</c:v>
                </c:pt>
                <c:pt idx="28">
                  <c:v>45268341886.785263</c:v>
                </c:pt>
                <c:pt idx="29">
                  <c:v>44774229003.050415</c:v>
                </c:pt>
                <c:pt idx="30">
                  <c:v>44280116119.315559</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23363115631.238117</c:v>
                </c:pt>
                <c:pt idx="1">
                  <c:v>21628282233.987442</c:v>
                </c:pt>
                <c:pt idx="2">
                  <c:v>19893448836.736771</c:v>
                </c:pt>
                <c:pt idx="3">
                  <c:v>18158615439.486095</c:v>
                </c:pt>
                <c:pt idx="4">
                  <c:v>17834354449.495274</c:v>
                </c:pt>
                <c:pt idx="5">
                  <c:v>17510093459.504452</c:v>
                </c:pt>
                <c:pt idx="6">
                  <c:v>17185832469.51363</c:v>
                </c:pt>
                <c:pt idx="7">
                  <c:v>16861571479.522802</c:v>
                </c:pt>
                <c:pt idx="8">
                  <c:v>16537310489.531979</c:v>
                </c:pt>
                <c:pt idx="9">
                  <c:v>16213049499.541157</c:v>
                </c:pt>
                <c:pt idx="10">
                  <c:v>15888788509.550333</c:v>
                </c:pt>
                <c:pt idx="11">
                  <c:v>15846975908.209412</c:v>
                </c:pt>
                <c:pt idx="12">
                  <c:v>15805163306.868488</c:v>
                </c:pt>
                <c:pt idx="13">
                  <c:v>15763350705.527567</c:v>
                </c:pt>
                <c:pt idx="14">
                  <c:v>15721538104.186647</c:v>
                </c:pt>
                <c:pt idx="15">
                  <c:v>15679725502.845726</c:v>
                </c:pt>
                <c:pt idx="16">
                  <c:v>15637912901.504803</c:v>
                </c:pt>
                <c:pt idx="17">
                  <c:v>15596100300.163881</c:v>
                </c:pt>
                <c:pt idx="18">
                  <c:v>15554287698.82296</c:v>
                </c:pt>
                <c:pt idx="19">
                  <c:v>15512475097.482037</c:v>
                </c:pt>
                <c:pt idx="20">
                  <c:v>15470662496.141115</c:v>
                </c:pt>
                <c:pt idx="21">
                  <c:v>15315358548.303404</c:v>
                </c:pt>
                <c:pt idx="22">
                  <c:v>15160054600.465694</c:v>
                </c:pt>
                <c:pt idx="23">
                  <c:v>15004750652.627987</c:v>
                </c:pt>
                <c:pt idx="24">
                  <c:v>14849446704.790276</c:v>
                </c:pt>
                <c:pt idx="25">
                  <c:v>14694142756.952564</c:v>
                </c:pt>
                <c:pt idx="26">
                  <c:v>14538838809.114855</c:v>
                </c:pt>
                <c:pt idx="27">
                  <c:v>14383534861.277143</c:v>
                </c:pt>
                <c:pt idx="28">
                  <c:v>14228230913.439434</c:v>
                </c:pt>
                <c:pt idx="29">
                  <c:v>14072926965.601723</c:v>
                </c:pt>
                <c:pt idx="30">
                  <c:v>13917623017.764015</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8584235304.2619286</c:v>
                </c:pt>
                <c:pt idx="1">
                  <c:v>7946810984.2033491</c:v>
                </c:pt>
                <c:pt idx="2">
                  <c:v>7309386664.1447716</c:v>
                </c:pt>
                <c:pt idx="3">
                  <c:v>6671962344.086194</c:v>
                </c:pt>
                <c:pt idx="4">
                  <c:v>6552820159.370369</c:v>
                </c:pt>
                <c:pt idx="5">
                  <c:v>6433677974.6545448</c:v>
                </c:pt>
                <c:pt idx="6">
                  <c:v>6314535789.9387197</c:v>
                </c:pt>
                <c:pt idx="7">
                  <c:v>6195393605.2228937</c:v>
                </c:pt>
                <c:pt idx="8">
                  <c:v>6076251420.5070686</c:v>
                </c:pt>
                <c:pt idx="9">
                  <c:v>5957109235.7912445</c:v>
                </c:pt>
                <c:pt idx="10">
                  <c:v>5837967051.0754194</c:v>
                </c:pt>
                <c:pt idx="11">
                  <c:v>5822603979.8883781</c:v>
                </c:pt>
                <c:pt idx="12">
                  <c:v>5807240908.7013378</c:v>
                </c:pt>
                <c:pt idx="13">
                  <c:v>5791877837.5142975</c:v>
                </c:pt>
                <c:pt idx="14">
                  <c:v>5776514766.3272581</c:v>
                </c:pt>
                <c:pt idx="15">
                  <c:v>5761151695.1402168</c:v>
                </c:pt>
                <c:pt idx="16">
                  <c:v>5745788623.9531765</c:v>
                </c:pt>
                <c:pt idx="17">
                  <c:v>5730425552.7661362</c:v>
                </c:pt>
                <c:pt idx="18">
                  <c:v>5715062481.5790949</c:v>
                </c:pt>
                <c:pt idx="19">
                  <c:v>5699699410.3920546</c:v>
                </c:pt>
                <c:pt idx="20">
                  <c:v>5684336339.2050133</c:v>
                </c:pt>
                <c:pt idx="21">
                  <c:v>5627273503.3674345</c:v>
                </c:pt>
                <c:pt idx="22">
                  <c:v>5570210667.5298548</c:v>
                </c:pt>
                <c:pt idx="23">
                  <c:v>5513147831.692276</c:v>
                </c:pt>
                <c:pt idx="24">
                  <c:v>5456084995.8546972</c:v>
                </c:pt>
                <c:pt idx="25">
                  <c:v>5399022160.0171175</c:v>
                </c:pt>
                <c:pt idx="26">
                  <c:v>5341959324.1795378</c:v>
                </c:pt>
                <c:pt idx="27">
                  <c:v>5284896488.341959</c:v>
                </c:pt>
                <c:pt idx="28">
                  <c:v>5227833652.5043793</c:v>
                </c:pt>
                <c:pt idx="29">
                  <c:v>5170770816.6667995</c:v>
                </c:pt>
                <c:pt idx="30">
                  <c:v>5113707980.8292217</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97229685099.778214</c:v>
                </c:pt>
                <c:pt idx="1">
                  <c:v>90009873000.328247</c:v>
                </c:pt>
                <c:pt idx="2">
                  <c:v>82790060900.878296</c:v>
                </c:pt>
                <c:pt idx="3">
                  <c:v>75570248801.428329</c:v>
                </c:pt>
                <c:pt idx="4">
                  <c:v>74220780072.831406</c:v>
                </c:pt>
                <c:pt idx="5">
                  <c:v>72871311344.234467</c:v>
                </c:pt>
                <c:pt idx="6">
                  <c:v>71521842615.637543</c:v>
                </c:pt>
                <c:pt idx="7">
                  <c:v>70172373887.040588</c:v>
                </c:pt>
                <c:pt idx="8">
                  <c:v>68822905158.443649</c:v>
                </c:pt>
                <c:pt idx="9">
                  <c:v>67473436429.846725</c:v>
                </c:pt>
                <c:pt idx="10">
                  <c:v>66123967701.249786</c:v>
                </c:pt>
                <c:pt idx="11">
                  <c:v>65949957259.93071</c:v>
                </c:pt>
                <c:pt idx="12">
                  <c:v>65775946818.611633</c:v>
                </c:pt>
                <c:pt idx="13">
                  <c:v>65601936377.292549</c:v>
                </c:pt>
                <c:pt idx="14">
                  <c:v>65427925935.97348</c:v>
                </c:pt>
                <c:pt idx="15">
                  <c:v>65253915494.654404</c:v>
                </c:pt>
                <c:pt idx="16">
                  <c:v>65079905053.335327</c:v>
                </c:pt>
                <c:pt idx="17">
                  <c:v>64905894612.016243</c:v>
                </c:pt>
                <c:pt idx="18">
                  <c:v>64731884170.697166</c:v>
                </c:pt>
                <c:pt idx="19">
                  <c:v>64557873729.37809</c:v>
                </c:pt>
                <c:pt idx="20">
                  <c:v>64383863288.059006</c:v>
                </c:pt>
                <c:pt idx="21">
                  <c:v>63737538791.731003</c:v>
                </c:pt>
                <c:pt idx="22">
                  <c:v>63091214295.402992</c:v>
                </c:pt>
                <c:pt idx="23">
                  <c:v>62444889799.074997</c:v>
                </c:pt>
                <c:pt idx="24">
                  <c:v>61798565302.746986</c:v>
                </c:pt>
                <c:pt idx="25">
                  <c:v>61152240806.418983</c:v>
                </c:pt>
                <c:pt idx="26">
                  <c:v>60505916310.090973</c:v>
                </c:pt>
                <c:pt idx="27">
                  <c:v>59859591813.76297</c:v>
                </c:pt>
                <c:pt idx="28">
                  <c:v>59213267317.434959</c:v>
                </c:pt>
                <c:pt idx="29">
                  <c:v>58566942821.106949</c:v>
                </c:pt>
                <c:pt idx="30">
                  <c:v>57920618324.778961</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15530348818.178368</c:v>
                </c:pt>
                <c:pt idx="1">
                  <c:v>14377139279.434132</c:v>
                </c:pt>
                <c:pt idx="2">
                  <c:v>13223929740.689896</c:v>
                </c:pt>
                <c:pt idx="3">
                  <c:v>12070720201.94566</c:v>
                </c:pt>
                <c:pt idx="4">
                  <c:v>11855171626.910915</c:v>
                </c:pt>
                <c:pt idx="5">
                  <c:v>11639623051.876171</c:v>
                </c:pt>
                <c:pt idx="6">
                  <c:v>11424074476.841429</c:v>
                </c:pt>
                <c:pt idx="7">
                  <c:v>11208525901.806683</c:v>
                </c:pt>
                <c:pt idx="8">
                  <c:v>10992977326.771938</c:v>
                </c:pt>
                <c:pt idx="9">
                  <c:v>10777428751.737194</c:v>
                </c:pt>
                <c:pt idx="10">
                  <c:v>10561880176.702452</c:v>
                </c:pt>
                <c:pt idx="11">
                  <c:v>10534085755.184813</c:v>
                </c:pt>
                <c:pt idx="12">
                  <c:v>10506291333.667175</c:v>
                </c:pt>
                <c:pt idx="13">
                  <c:v>10478496912.149536</c:v>
                </c:pt>
                <c:pt idx="14">
                  <c:v>10450702490.631901</c:v>
                </c:pt>
                <c:pt idx="15">
                  <c:v>10422908069.114262</c:v>
                </c:pt>
                <c:pt idx="16">
                  <c:v>10395113647.596624</c:v>
                </c:pt>
                <c:pt idx="17">
                  <c:v>10367319226.078985</c:v>
                </c:pt>
                <c:pt idx="18">
                  <c:v>10339524804.561348</c:v>
                </c:pt>
                <c:pt idx="19">
                  <c:v>10311730383.043709</c:v>
                </c:pt>
                <c:pt idx="20">
                  <c:v>10283935961.526072</c:v>
                </c:pt>
                <c:pt idx="21">
                  <c:v>10180699538.746273</c:v>
                </c:pt>
                <c:pt idx="22">
                  <c:v>10077463115.966475</c:v>
                </c:pt>
                <c:pt idx="23">
                  <c:v>9974226693.1866779</c:v>
                </c:pt>
                <c:pt idx="24">
                  <c:v>9870990270.4068775</c:v>
                </c:pt>
                <c:pt idx="25">
                  <c:v>9767753847.627079</c:v>
                </c:pt>
                <c:pt idx="26">
                  <c:v>9664517424.8472805</c:v>
                </c:pt>
                <c:pt idx="27">
                  <c:v>9561281002.067482</c:v>
                </c:pt>
                <c:pt idx="28">
                  <c:v>9458044579.2876835</c:v>
                </c:pt>
                <c:pt idx="29">
                  <c:v>9354808156.507885</c:v>
                </c:pt>
                <c:pt idx="30">
                  <c:v>9251571733.7280884</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958221726.87685251</c:v>
                </c:pt>
                <c:pt idx="1">
                  <c:v>887068757.38444054</c:v>
                </c:pt>
                <c:pt idx="2">
                  <c:v>815915787.89202869</c:v>
                </c:pt>
                <c:pt idx="3">
                  <c:v>744762818.39961684</c:v>
                </c:pt>
                <c:pt idx="4">
                  <c:v>731463482.35676658</c:v>
                </c:pt>
                <c:pt idx="5">
                  <c:v>718164146.31391621</c:v>
                </c:pt>
                <c:pt idx="6">
                  <c:v>704864810.27106595</c:v>
                </c:pt>
                <c:pt idx="7">
                  <c:v>691565474.22821558</c:v>
                </c:pt>
                <c:pt idx="8">
                  <c:v>678266138.1853652</c:v>
                </c:pt>
                <c:pt idx="9">
                  <c:v>664966802.14251494</c:v>
                </c:pt>
                <c:pt idx="10">
                  <c:v>651667466.09966469</c:v>
                </c:pt>
                <c:pt idx="11">
                  <c:v>649952551.71519184</c:v>
                </c:pt>
                <c:pt idx="12">
                  <c:v>648237637.33071899</c:v>
                </c:pt>
                <c:pt idx="13">
                  <c:v>646522722.94624627</c:v>
                </c:pt>
                <c:pt idx="14">
                  <c:v>644807808.56177354</c:v>
                </c:pt>
                <c:pt idx="15">
                  <c:v>643092894.17730069</c:v>
                </c:pt>
                <c:pt idx="16">
                  <c:v>641377979.79282796</c:v>
                </c:pt>
                <c:pt idx="17">
                  <c:v>639663065.40835512</c:v>
                </c:pt>
                <c:pt idx="18">
                  <c:v>637948151.02388227</c:v>
                </c:pt>
                <c:pt idx="19">
                  <c:v>636233236.63940954</c:v>
                </c:pt>
                <c:pt idx="20">
                  <c:v>634518322.2549367</c:v>
                </c:pt>
                <c:pt idx="21">
                  <c:v>628148640.25546622</c:v>
                </c:pt>
                <c:pt idx="22">
                  <c:v>621778958.25599587</c:v>
                </c:pt>
                <c:pt idx="23">
                  <c:v>615409276.25652552</c:v>
                </c:pt>
                <c:pt idx="24">
                  <c:v>609039594.25705504</c:v>
                </c:pt>
                <c:pt idx="25">
                  <c:v>602669912.25758469</c:v>
                </c:pt>
                <c:pt idx="26">
                  <c:v>596300230.25811422</c:v>
                </c:pt>
                <c:pt idx="27">
                  <c:v>589930548.25864387</c:v>
                </c:pt>
                <c:pt idx="28">
                  <c:v>583560866.25917339</c:v>
                </c:pt>
                <c:pt idx="29">
                  <c:v>577191184.25970292</c:v>
                </c:pt>
                <c:pt idx="30">
                  <c:v>570821502.26023269</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21152446419.0243</c:v>
                </c:pt>
                <c:pt idx="1">
                  <c:v>19581766760.519604</c:v>
                </c:pt>
                <c:pt idx="2">
                  <c:v>18011087102.014908</c:v>
                </c:pt>
                <c:pt idx="3">
                  <c:v>16440407443.510216</c:v>
                </c:pt>
                <c:pt idx="4">
                  <c:v>16146828739.161819</c:v>
                </c:pt>
                <c:pt idx="5">
                  <c:v>15853250034.813423</c:v>
                </c:pt>
                <c:pt idx="6">
                  <c:v>15559671330.465027</c:v>
                </c:pt>
                <c:pt idx="7">
                  <c:v>15266092626.116627</c:v>
                </c:pt>
                <c:pt idx="8">
                  <c:v>14972513921.76823</c:v>
                </c:pt>
                <c:pt idx="9">
                  <c:v>14678935217.419834</c:v>
                </c:pt>
                <c:pt idx="10">
                  <c:v>14385356513.071438</c:v>
                </c:pt>
                <c:pt idx="11">
                  <c:v>14347500311.721249</c:v>
                </c:pt>
                <c:pt idx="12">
                  <c:v>14309644110.371061</c:v>
                </c:pt>
                <c:pt idx="13">
                  <c:v>14271787909.020872</c:v>
                </c:pt>
                <c:pt idx="14">
                  <c:v>14233931707.670687</c:v>
                </c:pt>
                <c:pt idx="15">
                  <c:v>14196075506.320499</c:v>
                </c:pt>
                <c:pt idx="16">
                  <c:v>14158219304.97031</c:v>
                </c:pt>
                <c:pt idx="17">
                  <c:v>14120363103.620123</c:v>
                </c:pt>
                <c:pt idx="18">
                  <c:v>14082506902.269934</c:v>
                </c:pt>
                <c:pt idx="19">
                  <c:v>14044650700.919746</c:v>
                </c:pt>
                <c:pt idx="20">
                  <c:v>14006794499.569557</c:v>
                </c:pt>
                <c:pt idx="21">
                  <c:v>13866185751.697432</c:v>
                </c:pt>
                <c:pt idx="22">
                  <c:v>13725577003.825304</c:v>
                </c:pt>
                <c:pt idx="23">
                  <c:v>13584968255.953178</c:v>
                </c:pt>
                <c:pt idx="24">
                  <c:v>13444359508.081051</c:v>
                </c:pt>
                <c:pt idx="25">
                  <c:v>13303750760.208925</c:v>
                </c:pt>
                <c:pt idx="26">
                  <c:v>13163142012.336798</c:v>
                </c:pt>
                <c:pt idx="27">
                  <c:v>13022533264.46467</c:v>
                </c:pt>
                <c:pt idx="28">
                  <c:v>12881924516.592543</c:v>
                </c:pt>
                <c:pt idx="29">
                  <c:v>12741315768.720415</c:v>
                </c:pt>
                <c:pt idx="30">
                  <c:v>12600707020.848291</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987278163103541.5</c:v>
                </c:pt>
                <c:pt idx="1">
                  <c:v>1006399024966002.9</c:v>
                </c:pt>
                <c:pt idx="2">
                  <c:v>1025519886828464.1</c:v>
                </c:pt>
                <c:pt idx="3">
                  <c:v>1044640748690924.4</c:v>
                </c:pt>
                <c:pt idx="4">
                  <c:v>1063155855672087.8</c:v>
                </c:pt>
                <c:pt idx="5">
                  <c:v>1081670962653250</c:v>
                </c:pt>
                <c:pt idx="6">
                  <c:v>1100186069634420.6</c:v>
                </c:pt>
                <c:pt idx="7">
                  <c:v>1118701176615582.8</c:v>
                </c:pt>
                <c:pt idx="8">
                  <c:v>1137216283596745.3</c:v>
                </c:pt>
                <c:pt idx="9">
                  <c:v>1155731390577915.8</c:v>
                </c:pt>
                <c:pt idx="10">
                  <c:v>1174246497559082.3</c:v>
                </c:pt>
                <c:pt idx="11">
                  <c:v>1185236901393645.8</c:v>
                </c:pt>
                <c:pt idx="12">
                  <c:v>1196227305228209.5</c:v>
                </c:pt>
                <c:pt idx="13">
                  <c:v>1207217709062777.5</c:v>
                </c:pt>
                <c:pt idx="14">
                  <c:v>1218208112897341.3</c:v>
                </c:pt>
                <c:pt idx="15">
                  <c:v>1229198516731909</c:v>
                </c:pt>
                <c:pt idx="16">
                  <c:v>1240188920566472.8</c:v>
                </c:pt>
                <c:pt idx="17">
                  <c:v>1251179324401040.8</c:v>
                </c:pt>
                <c:pt idx="18">
                  <c:v>1262169728235604.5</c:v>
                </c:pt>
                <c:pt idx="19">
                  <c:v>1273160132070172.3</c:v>
                </c:pt>
                <c:pt idx="20">
                  <c:v>1284150535904740.3</c:v>
                </c:pt>
                <c:pt idx="21">
                  <c:v>1287628511801754.8</c:v>
                </c:pt>
                <c:pt idx="22">
                  <c:v>1291106487698769.3</c:v>
                </c:pt>
                <c:pt idx="23">
                  <c:v>1294584463595783.5</c:v>
                </c:pt>
                <c:pt idx="24">
                  <c:v>1298062439492798.3</c:v>
                </c:pt>
                <c:pt idx="25">
                  <c:v>1301540415389812.8</c:v>
                </c:pt>
                <c:pt idx="26">
                  <c:v>1305018391286827.3</c:v>
                </c:pt>
                <c:pt idx="27">
                  <c:v>1308496367183841.5</c:v>
                </c:pt>
                <c:pt idx="28">
                  <c:v>1311974343080856.3</c:v>
                </c:pt>
                <c:pt idx="29">
                  <c:v>1315452318977870.8</c:v>
                </c:pt>
                <c:pt idx="30">
                  <c:v>1318930294874885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511269048750048.31</c:v>
                </c:pt>
                <c:pt idx="1">
                  <c:v>521170923643108.63</c:v>
                </c:pt>
                <c:pt idx="2">
                  <c:v>531072798536168.94</c:v>
                </c:pt>
                <c:pt idx="3">
                  <c:v>540974673429228.69</c:v>
                </c:pt>
                <c:pt idx="4">
                  <c:v>550562853830188.31</c:v>
                </c:pt>
                <c:pt idx="5">
                  <c:v>560151034231147.31</c:v>
                </c:pt>
                <c:pt idx="6">
                  <c:v>569739214632110.63</c:v>
                </c:pt>
                <c:pt idx="7">
                  <c:v>579327395033069.75</c:v>
                </c:pt>
                <c:pt idx="8">
                  <c:v>588915575434028.75</c:v>
                </c:pt>
                <c:pt idx="9">
                  <c:v>598503755834992.13</c:v>
                </c:pt>
                <c:pt idx="10">
                  <c:v>608091936235953.25</c:v>
                </c:pt>
                <c:pt idx="11">
                  <c:v>613783395364566.63</c:v>
                </c:pt>
                <c:pt idx="12">
                  <c:v>619474854493180</c:v>
                </c:pt>
                <c:pt idx="13">
                  <c:v>625166313621795.5</c:v>
                </c:pt>
                <c:pt idx="14">
                  <c:v>630857772750408.88</c:v>
                </c:pt>
                <c:pt idx="15">
                  <c:v>636549231879024.38</c:v>
                </c:pt>
                <c:pt idx="16">
                  <c:v>642240691007637.75</c:v>
                </c:pt>
                <c:pt idx="17">
                  <c:v>647932150136253.25</c:v>
                </c:pt>
                <c:pt idx="18">
                  <c:v>653623609264866.63</c:v>
                </c:pt>
                <c:pt idx="19">
                  <c:v>659315068393482.13</c:v>
                </c:pt>
                <c:pt idx="20">
                  <c:v>665006527522097.63</c:v>
                </c:pt>
                <c:pt idx="21">
                  <c:v>666807622183051.5</c:v>
                </c:pt>
                <c:pt idx="22">
                  <c:v>668608716844005.5</c:v>
                </c:pt>
                <c:pt idx="23">
                  <c:v>670409811504959.38</c:v>
                </c:pt>
                <c:pt idx="24">
                  <c:v>672210906165913.38</c:v>
                </c:pt>
                <c:pt idx="25">
                  <c:v>674012000826867.25</c:v>
                </c:pt>
                <c:pt idx="26">
                  <c:v>675813095487821.25</c:v>
                </c:pt>
                <c:pt idx="27">
                  <c:v>677614190148775.13</c:v>
                </c:pt>
                <c:pt idx="28">
                  <c:v>679415284809729.13</c:v>
                </c:pt>
                <c:pt idx="29">
                  <c:v>681216379470683</c:v>
                </c:pt>
                <c:pt idx="30">
                  <c:v>683017474131636.88</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2249828422.9956713</c:v>
                </c:pt>
                <c:pt idx="1">
                  <c:v>2082766908.2601101</c:v>
                </c:pt>
                <c:pt idx="2">
                  <c:v>1915705393.524549</c:v>
                </c:pt>
                <c:pt idx="3">
                  <c:v>1748643878.7889879</c:v>
                </c:pt>
                <c:pt idx="4">
                  <c:v>1717418095.2391846</c:v>
                </c:pt>
                <c:pt idx="5">
                  <c:v>1686192311.6893811</c:v>
                </c:pt>
                <c:pt idx="6">
                  <c:v>1654966528.1395779</c:v>
                </c:pt>
                <c:pt idx="7">
                  <c:v>1623740744.5897741</c:v>
                </c:pt>
                <c:pt idx="8">
                  <c:v>1592514961.0399709</c:v>
                </c:pt>
                <c:pt idx="9">
                  <c:v>1561289177.4901676</c:v>
                </c:pt>
                <c:pt idx="10">
                  <c:v>1530063393.9403641</c:v>
                </c:pt>
                <c:pt idx="11">
                  <c:v>1526036911.3247316</c:v>
                </c:pt>
                <c:pt idx="12">
                  <c:v>1522010428.7090991</c:v>
                </c:pt>
                <c:pt idx="13">
                  <c:v>1517983946.0934665</c:v>
                </c:pt>
                <c:pt idx="14">
                  <c:v>1513957463.4778342</c:v>
                </c:pt>
                <c:pt idx="15">
                  <c:v>1509930980.8622017</c:v>
                </c:pt>
                <c:pt idx="16">
                  <c:v>1505904498.2465692</c:v>
                </c:pt>
                <c:pt idx="17">
                  <c:v>1501878015.6309366</c:v>
                </c:pt>
                <c:pt idx="18">
                  <c:v>1497851533.0153041</c:v>
                </c:pt>
                <c:pt idx="19">
                  <c:v>1493825050.3996716</c:v>
                </c:pt>
                <c:pt idx="20">
                  <c:v>1489798567.784039</c:v>
                </c:pt>
                <c:pt idx="21">
                  <c:v>1474843060.9259751</c:v>
                </c:pt>
                <c:pt idx="22">
                  <c:v>1459887554.0679114</c:v>
                </c:pt>
                <c:pt idx="23">
                  <c:v>1444932047.2098479</c:v>
                </c:pt>
                <c:pt idx="24">
                  <c:v>1429976540.3517842</c:v>
                </c:pt>
                <c:pt idx="25">
                  <c:v>1415021033.4937205</c:v>
                </c:pt>
                <c:pt idx="26">
                  <c:v>1400065526.6356566</c:v>
                </c:pt>
                <c:pt idx="27">
                  <c:v>1385110019.7775929</c:v>
                </c:pt>
                <c:pt idx="28">
                  <c:v>1370154512.9195292</c:v>
                </c:pt>
                <c:pt idx="29">
                  <c:v>1355199006.0614655</c:v>
                </c:pt>
                <c:pt idx="30">
                  <c:v>1340243499.2034018</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62245253036.213577</c:v>
                </c:pt>
                <c:pt idx="1">
                  <c:v>57623217795.196381</c:v>
                </c:pt>
                <c:pt idx="2">
                  <c:v>53001182554.179192</c:v>
                </c:pt>
                <c:pt idx="3">
                  <c:v>48379147313.162003</c:v>
                </c:pt>
                <c:pt idx="4">
                  <c:v>47515233968.284111</c:v>
                </c:pt>
                <c:pt idx="5">
                  <c:v>46651320623.406219</c:v>
                </c:pt>
                <c:pt idx="6">
                  <c:v>45787407278.528328</c:v>
                </c:pt>
                <c:pt idx="7">
                  <c:v>44923493933.650421</c:v>
                </c:pt>
                <c:pt idx="8">
                  <c:v>44059580588.77253</c:v>
                </c:pt>
                <c:pt idx="9">
                  <c:v>43195667243.894638</c:v>
                </c:pt>
                <c:pt idx="10">
                  <c:v>42331753899.016747</c:v>
                </c:pt>
                <c:pt idx="11">
                  <c:v>42220354546.650909</c:v>
                </c:pt>
                <c:pt idx="12">
                  <c:v>42108955194.28508</c:v>
                </c:pt>
                <c:pt idx="13">
                  <c:v>41997555841.919243</c:v>
                </c:pt>
                <c:pt idx="14">
                  <c:v>41886156489.553421</c:v>
                </c:pt>
                <c:pt idx="15">
                  <c:v>41774757137.187584</c:v>
                </c:pt>
                <c:pt idx="16">
                  <c:v>41663357784.821747</c:v>
                </c:pt>
                <c:pt idx="17">
                  <c:v>41551958432.455917</c:v>
                </c:pt>
                <c:pt idx="18">
                  <c:v>41440559080.09008</c:v>
                </c:pt>
                <c:pt idx="19">
                  <c:v>41329159727.724251</c:v>
                </c:pt>
                <c:pt idx="20">
                  <c:v>41217760375.358414</c:v>
                </c:pt>
                <c:pt idx="21">
                  <c:v>40803991352.285316</c:v>
                </c:pt>
                <c:pt idx="22">
                  <c:v>40390222329.212219</c:v>
                </c:pt>
                <c:pt idx="23">
                  <c:v>39976453306.13913</c:v>
                </c:pt>
                <c:pt idx="24">
                  <c:v>39562684283.066032</c:v>
                </c:pt>
                <c:pt idx="25">
                  <c:v>39148915259.992935</c:v>
                </c:pt>
                <c:pt idx="26">
                  <c:v>38735146236.919838</c:v>
                </c:pt>
                <c:pt idx="27">
                  <c:v>38321377213.846741</c:v>
                </c:pt>
                <c:pt idx="28">
                  <c:v>37907608190.773643</c:v>
                </c:pt>
                <c:pt idx="29">
                  <c:v>37493839167.700546</c:v>
                </c:pt>
                <c:pt idx="30">
                  <c:v>37080070144.627457</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4549196263695.6963</c:v>
                </c:pt>
                <c:pt idx="1">
                  <c:v>3547655218112.3979</c:v>
                </c:pt>
                <c:pt idx="2">
                  <c:v>2546114172529.1001</c:v>
                </c:pt>
                <c:pt idx="3">
                  <c:v>1544573126945.8025</c:v>
                </c:pt>
                <c:pt idx="4">
                  <c:v>1495116351945.075</c:v>
                </c:pt>
                <c:pt idx="5">
                  <c:v>1445659576944.3472</c:v>
                </c:pt>
                <c:pt idx="6">
                  <c:v>1396202801943.6196</c:v>
                </c:pt>
                <c:pt idx="7">
                  <c:v>1346746026942.8918</c:v>
                </c:pt>
                <c:pt idx="8">
                  <c:v>1297289251942.1643</c:v>
                </c:pt>
                <c:pt idx="9">
                  <c:v>1247832476941.4365</c:v>
                </c:pt>
                <c:pt idx="10">
                  <c:v>1198375701940.709</c:v>
                </c:pt>
                <c:pt idx="11">
                  <c:v>1195712644825.2856</c:v>
                </c:pt>
                <c:pt idx="12">
                  <c:v>1193049587709.8621</c:v>
                </c:pt>
                <c:pt idx="13">
                  <c:v>1190386530594.4382</c:v>
                </c:pt>
                <c:pt idx="14">
                  <c:v>1187723473479.0144</c:v>
                </c:pt>
                <c:pt idx="15">
                  <c:v>1185060416363.5906</c:v>
                </c:pt>
                <c:pt idx="16">
                  <c:v>1182397359248.1667</c:v>
                </c:pt>
                <c:pt idx="17">
                  <c:v>1179734302132.7429</c:v>
                </c:pt>
                <c:pt idx="18">
                  <c:v>1177071245017.3191</c:v>
                </c:pt>
                <c:pt idx="19">
                  <c:v>1174408187901.8953</c:v>
                </c:pt>
                <c:pt idx="20">
                  <c:v>1171745130786.4709</c:v>
                </c:pt>
                <c:pt idx="21">
                  <c:v>1163755959440.1995</c:v>
                </c:pt>
                <c:pt idx="22">
                  <c:v>1155766788093.9282</c:v>
                </c:pt>
                <c:pt idx="23">
                  <c:v>1147777616747.6567</c:v>
                </c:pt>
                <c:pt idx="24">
                  <c:v>1139788445401.3853</c:v>
                </c:pt>
                <c:pt idx="25">
                  <c:v>1131799274055.114</c:v>
                </c:pt>
                <c:pt idx="26">
                  <c:v>1123810102708.8425</c:v>
                </c:pt>
                <c:pt idx="27">
                  <c:v>1115820931362.571</c:v>
                </c:pt>
                <c:pt idx="28">
                  <c:v>1107831760016.2998</c:v>
                </c:pt>
                <c:pt idx="29">
                  <c:v>1099842588670.0283</c:v>
                </c:pt>
                <c:pt idx="30">
                  <c:v>1091853417323.757</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1096321219900.2715</c:v>
                </c:pt>
                <c:pt idx="1">
                  <c:v>1046959652027.2521</c:v>
                </c:pt>
                <c:pt idx="2">
                  <c:v>997598084154.23291</c:v>
                </c:pt>
                <c:pt idx="3">
                  <c:v>948236516281.21375</c:v>
                </c:pt>
                <c:pt idx="4">
                  <c:v>1001425798625.808</c:v>
                </c:pt>
                <c:pt idx="5">
                  <c:v>1054615080970.4021</c:v>
                </c:pt>
                <c:pt idx="6">
                  <c:v>1107804363314.9963</c:v>
                </c:pt>
                <c:pt idx="7">
                  <c:v>1160993645659.5906</c:v>
                </c:pt>
                <c:pt idx="8">
                  <c:v>1214182928004.1848</c:v>
                </c:pt>
                <c:pt idx="9">
                  <c:v>1267372210348.7788</c:v>
                </c:pt>
                <c:pt idx="10">
                  <c:v>1320561492693.3733</c:v>
                </c:pt>
                <c:pt idx="11">
                  <c:v>1302954006124.1282</c:v>
                </c:pt>
                <c:pt idx="12">
                  <c:v>1285346519554.8833</c:v>
                </c:pt>
                <c:pt idx="13">
                  <c:v>1267739032985.6382</c:v>
                </c:pt>
                <c:pt idx="14">
                  <c:v>1250131546416.3933</c:v>
                </c:pt>
                <c:pt idx="15">
                  <c:v>1232524059847.1482</c:v>
                </c:pt>
                <c:pt idx="16">
                  <c:v>1214916573277.9033</c:v>
                </c:pt>
                <c:pt idx="17">
                  <c:v>1197309086708.6584</c:v>
                </c:pt>
                <c:pt idx="18">
                  <c:v>1179701600139.4133</c:v>
                </c:pt>
                <c:pt idx="19">
                  <c:v>1162094113570.1685</c:v>
                </c:pt>
                <c:pt idx="20">
                  <c:v>1144486627000.9233</c:v>
                </c:pt>
                <c:pt idx="21">
                  <c:v>1113490114186.3152</c:v>
                </c:pt>
                <c:pt idx="22">
                  <c:v>1082493601371.7067</c:v>
                </c:pt>
                <c:pt idx="23">
                  <c:v>1051497088557.0984</c:v>
                </c:pt>
                <c:pt idx="24">
                  <c:v>1020500575742.4901</c:v>
                </c:pt>
                <c:pt idx="25">
                  <c:v>989504062927.88184</c:v>
                </c:pt>
                <c:pt idx="26">
                  <c:v>958507550113.27332</c:v>
                </c:pt>
                <c:pt idx="27">
                  <c:v>927511037298.66504</c:v>
                </c:pt>
                <c:pt idx="28">
                  <c:v>896514524484.05664</c:v>
                </c:pt>
                <c:pt idx="29">
                  <c:v>865518011669.44824</c:v>
                </c:pt>
                <c:pt idx="30">
                  <c:v>834521498854.83997</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9318730369152.3066</c:v>
                </c:pt>
                <c:pt idx="1">
                  <c:v>8899157042231.6426</c:v>
                </c:pt>
                <c:pt idx="2">
                  <c:v>8479583715310.9795</c:v>
                </c:pt>
                <c:pt idx="3">
                  <c:v>8060010388390.3174</c:v>
                </c:pt>
                <c:pt idx="4">
                  <c:v>8512119288319.3672</c:v>
                </c:pt>
                <c:pt idx="5">
                  <c:v>8964228188248.418</c:v>
                </c:pt>
                <c:pt idx="6">
                  <c:v>9416337088177.4688</c:v>
                </c:pt>
                <c:pt idx="7">
                  <c:v>9868445988106.5195</c:v>
                </c:pt>
                <c:pt idx="8">
                  <c:v>10320554888035.57</c:v>
                </c:pt>
                <c:pt idx="9">
                  <c:v>10772663787964.621</c:v>
                </c:pt>
                <c:pt idx="10">
                  <c:v>11224772687893.67</c:v>
                </c:pt>
                <c:pt idx="11">
                  <c:v>11075109052055.088</c:v>
                </c:pt>
                <c:pt idx="12">
                  <c:v>10925445416216.506</c:v>
                </c:pt>
                <c:pt idx="13">
                  <c:v>10775781780377.924</c:v>
                </c:pt>
                <c:pt idx="14">
                  <c:v>10626118144539.342</c:v>
                </c:pt>
                <c:pt idx="15">
                  <c:v>10476454508700.76</c:v>
                </c:pt>
                <c:pt idx="16">
                  <c:v>10326790872862.178</c:v>
                </c:pt>
                <c:pt idx="17">
                  <c:v>10177127237023.596</c:v>
                </c:pt>
                <c:pt idx="18">
                  <c:v>10027463601185.014</c:v>
                </c:pt>
                <c:pt idx="19">
                  <c:v>9877799965346.4297</c:v>
                </c:pt>
                <c:pt idx="20">
                  <c:v>9728136329507.8477</c:v>
                </c:pt>
                <c:pt idx="21">
                  <c:v>9464665970583.6777</c:v>
                </c:pt>
                <c:pt idx="22">
                  <c:v>9201195611659.5078</c:v>
                </c:pt>
                <c:pt idx="23">
                  <c:v>8937725252735.3359</c:v>
                </c:pt>
                <c:pt idx="24">
                  <c:v>8674254893811.1641</c:v>
                </c:pt>
                <c:pt idx="25">
                  <c:v>8410784534886.9932</c:v>
                </c:pt>
                <c:pt idx="26">
                  <c:v>8147314175962.8232</c:v>
                </c:pt>
                <c:pt idx="27">
                  <c:v>7883843817038.6523</c:v>
                </c:pt>
                <c:pt idx="28">
                  <c:v>7620373458114.4814</c:v>
                </c:pt>
                <c:pt idx="29">
                  <c:v>7356903099190.3105</c:v>
                </c:pt>
                <c:pt idx="30">
                  <c:v>7093432740266.1396</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85677310282.278458</c:v>
                </c:pt>
                <c:pt idx="1">
                  <c:v>89961175796.39238</c:v>
                </c:pt>
                <c:pt idx="2">
                  <c:v>94245041310.506302</c:v>
                </c:pt>
                <c:pt idx="3">
                  <c:v>98528906824.620224</c:v>
                </c:pt>
                <c:pt idx="4">
                  <c:v>102919447888.88902</c:v>
                </c:pt>
                <c:pt idx="5">
                  <c:v>107309988953.15781</c:v>
                </c:pt>
                <c:pt idx="6">
                  <c:v>111700530017.42659</c:v>
                </c:pt>
                <c:pt idx="7">
                  <c:v>116091071081.69539</c:v>
                </c:pt>
                <c:pt idx="8">
                  <c:v>120481612145.96417</c:v>
                </c:pt>
                <c:pt idx="9">
                  <c:v>124872153210.23297</c:v>
                </c:pt>
                <c:pt idx="10">
                  <c:v>129262694274.50175</c:v>
                </c:pt>
                <c:pt idx="11">
                  <c:v>130618596661.99654</c:v>
                </c:pt>
                <c:pt idx="12">
                  <c:v>131974499049.4913</c:v>
                </c:pt>
                <c:pt idx="13">
                  <c:v>133330401436.98608</c:v>
                </c:pt>
                <c:pt idx="14">
                  <c:v>134686303824.48085</c:v>
                </c:pt>
                <c:pt idx="15">
                  <c:v>136042206211.97563</c:v>
                </c:pt>
                <c:pt idx="16">
                  <c:v>137398108599.4704</c:v>
                </c:pt>
                <c:pt idx="17">
                  <c:v>138754010986.96518</c:v>
                </c:pt>
                <c:pt idx="18">
                  <c:v>140109913374.45996</c:v>
                </c:pt>
                <c:pt idx="19">
                  <c:v>141465815761.95474</c:v>
                </c:pt>
                <c:pt idx="20">
                  <c:v>142821718149.44949</c:v>
                </c:pt>
                <c:pt idx="21">
                  <c:v>143213423283.61465</c:v>
                </c:pt>
                <c:pt idx="22">
                  <c:v>143605128417.77982</c:v>
                </c:pt>
                <c:pt idx="23">
                  <c:v>143996833551.94498</c:v>
                </c:pt>
                <c:pt idx="24">
                  <c:v>144388538686.11014</c:v>
                </c:pt>
                <c:pt idx="25">
                  <c:v>144780243820.2753</c:v>
                </c:pt>
                <c:pt idx="26">
                  <c:v>145171948954.44043</c:v>
                </c:pt>
                <c:pt idx="27">
                  <c:v>145563654088.60559</c:v>
                </c:pt>
                <c:pt idx="28">
                  <c:v>145955359222.77075</c:v>
                </c:pt>
                <c:pt idx="29">
                  <c:v>146347064356.93591</c:v>
                </c:pt>
                <c:pt idx="30">
                  <c:v>146738769491.10107</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109476563138.46693</c:v>
                </c:pt>
                <c:pt idx="1">
                  <c:v>114950391295.39029</c:v>
                </c:pt>
                <c:pt idx="2">
                  <c:v>120424219452.31361</c:v>
                </c:pt>
                <c:pt idx="3">
                  <c:v>125898047609.23697</c:v>
                </c:pt>
                <c:pt idx="4">
                  <c:v>131508183413.58041</c:v>
                </c:pt>
                <c:pt idx="5">
                  <c:v>137118319217.92387</c:v>
                </c:pt>
                <c:pt idx="6">
                  <c:v>142728455022.26733</c:v>
                </c:pt>
                <c:pt idx="7">
                  <c:v>148338590826.61081</c:v>
                </c:pt>
                <c:pt idx="8">
                  <c:v>153948726630.95425</c:v>
                </c:pt>
                <c:pt idx="9">
                  <c:v>159558862435.2977</c:v>
                </c:pt>
                <c:pt idx="10">
                  <c:v>165168998239.64114</c:v>
                </c:pt>
                <c:pt idx="11">
                  <c:v>166901540179.2178</c:v>
                </c:pt>
                <c:pt idx="12">
                  <c:v>168634082118.79446</c:v>
                </c:pt>
                <c:pt idx="13">
                  <c:v>170366624058.37112</c:v>
                </c:pt>
                <c:pt idx="14">
                  <c:v>172099165997.94775</c:v>
                </c:pt>
                <c:pt idx="15">
                  <c:v>173831707937.52444</c:v>
                </c:pt>
                <c:pt idx="16">
                  <c:v>175564249877.1011</c:v>
                </c:pt>
                <c:pt idx="17">
                  <c:v>177296791816.67776</c:v>
                </c:pt>
                <c:pt idx="18">
                  <c:v>179029333756.25439</c:v>
                </c:pt>
                <c:pt idx="19">
                  <c:v>180761875695.83105</c:v>
                </c:pt>
                <c:pt idx="20">
                  <c:v>182494417635.40771</c:v>
                </c:pt>
                <c:pt idx="21">
                  <c:v>182994929751.28543</c:v>
                </c:pt>
                <c:pt idx="22">
                  <c:v>183495441867.16312</c:v>
                </c:pt>
                <c:pt idx="23">
                  <c:v>183995953983.0408</c:v>
                </c:pt>
                <c:pt idx="24">
                  <c:v>184496466098.91852</c:v>
                </c:pt>
                <c:pt idx="25">
                  <c:v>184996978214.7962</c:v>
                </c:pt>
                <c:pt idx="26">
                  <c:v>185497490330.67392</c:v>
                </c:pt>
                <c:pt idx="27">
                  <c:v>185998002446.55164</c:v>
                </c:pt>
                <c:pt idx="28">
                  <c:v>186498514562.42932</c:v>
                </c:pt>
                <c:pt idx="29">
                  <c:v>186999026678.30701</c:v>
                </c:pt>
                <c:pt idx="30">
                  <c:v>187499538794.18472</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414106999697.6792</c:v>
                </c:pt>
                <c:pt idx="1">
                  <c:v>434812349682.56317</c:v>
                </c:pt>
                <c:pt idx="2">
                  <c:v>455517699667.44708</c:v>
                </c:pt>
                <c:pt idx="3">
                  <c:v>476223049652.33112</c:v>
                </c:pt>
                <c:pt idx="4">
                  <c:v>497443998129.63025</c:v>
                </c:pt>
                <c:pt idx="5">
                  <c:v>518664946606.92944</c:v>
                </c:pt>
                <c:pt idx="6">
                  <c:v>539885895084.22852</c:v>
                </c:pt>
                <c:pt idx="7">
                  <c:v>561106843561.52771</c:v>
                </c:pt>
                <c:pt idx="8">
                  <c:v>582327792038.82678</c:v>
                </c:pt>
                <c:pt idx="9">
                  <c:v>603548740516.12598</c:v>
                </c:pt>
                <c:pt idx="10">
                  <c:v>624769688993.42517</c:v>
                </c:pt>
                <c:pt idx="11">
                  <c:v>631323217199.6499</c:v>
                </c:pt>
                <c:pt idx="12">
                  <c:v>637876745405.87463</c:v>
                </c:pt>
                <c:pt idx="13">
                  <c:v>644430273612.09937</c:v>
                </c:pt>
                <c:pt idx="14">
                  <c:v>650983801818.3241</c:v>
                </c:pt>
                <c:pt idx="15">
                  <c:v>657537330024.54883</c:v>
                </c:pt>
                <c:pt idx="16">
                  <c:v>664090858230.77368</c:v>
                </c:pt>
                <c:pt idx="17">
                  <c:v>670644386436.99829</c:v>
                </c:pt>
                <c:pt idx="18">
                  <c:v>677197914643.22314</c:v>
                </c:pt>
                <c:pt idx="19">
                  <c:v>683751442849.44788</c:v>
                </c:pt>
                <c:pt idx="20">
                  <c:v>690304971055.67249</c:v>
                </c:pt>
                <c:pt idx="21">
                  <c:v>692198212537.47083</c:v>
                </c:pt>
                <c:pt idx="22">
                  <c:v>694091454019.26904</c:v>
                </c:pt>
                <c:pt idx="23">
                  <c:v>695984695501.06726</c:v>
                </c:pt>
                <c:pt idx="24">
                  <c:v>697877936982.8656</c:v>
                </c:pt>
                <c:pt idx="25">
                  <c:v>699771178464.66382</c:v>
                </c:pt>
                <c:pt idx="26">
                  <c:v>701664419946.46204</c:v>
                </c:pt>
                <c:pt idx="27">
                  <c:v>703557661428.26038</c:v>
                </c:pt>
                <c:pt idx="28">
                  <c:v>705450902910.05859</c:v>
                </c:pt>
                <c:pt idx="29">
                  <c:v>707344144391.85693</c:v>
                </c:pt>
                <c:pt idx="30">
                  <c:v>709237385873.65515</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1009088321102.3907</c:v>
                </c:pt>
                <c:pt idx="1">
                  <c:v>1059542737157.5104</c:v>
                </c:pt>
                <c:pt idx="2">
                  <c:v>1109997153212.6299</c:v>
                </c:pt>
                <c:pt idx="3">
                  <c:v>1160451569267.7495</c:v>
                </c:pt>
                <c:pt idx="4">
                  <c:v>1212162386246.9153</c:v>
                </c:pt>
                <c:pt idx="5">
                  <c:v>1263873203226.0811</c:v>
                </c:pt>
                <c:pt idx="6">
                  <c:v>1315584020205.2468</c:v>
                </c:pt>
                <c:pt idx="7">
                  <c:v>1367294837184.4124</c:v>
                </c:pt>
                <c:pt idx="8">
                  <c:v>1419005654163.5781</c:v>
                </c:pt>
                <c:pt idx="9">
                  <c:v>1470716471142.7439</c:v>
                </c:pt>
                <c:pt idx="10">
                  <c:v>1522427288121.9097</c:v>
                </c:pt>
                <c:pt idx="11">
                  <c:v>1538396805130.1816</c:v>
                </c:pt>
                <c:pt idx="12">
                  <c:v>1554366322138.4534</c:v>
                </c:pt>
                <c:pt idx="13">
                  <c:v>1570335839146.7251</c:v>
                </c:pt>
                <c:pt idx="14">
                  <c:v>1586305356154.9971</c:v>
                </c:pt>
                <c:pt idx="15">
                  <c:v>1602274873163.2686</c:v>
                </c:pt>
                <c:pt idx="16">
                  <c:v>1618244390171.5405</c:v>
                </c:pt>
                <c:pt idx="17">
                  <c:v>1634213907179.8123</c:v>
                </c:pt>
                <c:pt idx="18">
                  <c:v>1650183424188.084</c:v>
                </c:pt>
                <c:pt idx="19">
                  <c:v>1666152941196.356</c:v>
                </c:pt>
                <c:pt idx="20">
                  <c:v>1682122458204.6277</c:v>
                </c:pt>
                <c:pt idx="21">
                  <c:v>1686735874229.2393</c:v>
                </c:pt>
                <c:pt idx="22">
                  <c:v>1691349290253.8513</c:v>
                </c:pt>
                <c:pt idx="23">
                  <c:v>1695962706278.4631</c:v>
                </c:pt>
                <c:pt idx="24">
                  <c:v>1700576122303.075</c:v>
                </c:pt>
                <c:pt idx="25">
                  <c:v>1705189538327.6868</c:v>
                </c:pt>
                <c:pt idx="26">
                  <c:v>1709802954352.2988</c:v>
                </c:pt>
                <c:pt idx="27">
                  <c:v>1714416370376.9104</c:v>
                </c:pt>
                <c:pt idx="28">
                  <c:v>1719029786401.5225</c:v>
                </c:pt>
                <c:pt idx="29">
                  <c:v>1723643202426.1343</c:v>
                </c:pt>
                <c:pt idx="30">
                  <c:v>1728256618450.7458</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518823712264.90845</c:v>
                </c:pt>
                <c:pt idx="1">
                  <c:v>544764897878.15393</c:v>
                </c:pt>
                <c:pt idx="2">
                  <c:v>570706083491.39929</c:v>
                </c:pt>
                <c:pt idx="3">
                  <c:v>596647269104.64465</c:v>
                </c:pt>
                <c:pt idx="4">
                  <c:v>623234434438.27246</c:v>
                </c:pt>
                <c:pt idx="5">
                  <c:v>649821599771.90015</c:v>
                </c:pt>
                <c:pt idx="6">
                  <c:v>676408765105.52771</c:v>
                </c:pt>
                <c:pt idx="7">
                  <c:v>702995930439.15552</c:v>
                </c:pt>
                <c:pt idx="8">
                  <c:v>729583095772.7832</c:v>
                </c:pt>
                <c:pt idx="9">
                  <c:v>756170261106.41077</c:v>
                </c:pt>
                <c:pt idx="10">
                  <c:v>782757426440.03845</c:v>
                </c:pt>
                <c:pt idx="11">
                  <c:v>790968168675.42358</c:v>
                </c:pt>
                <c:pt idx="12">
                  <c:v>799178910910.80859</c:v>
                </c:pt>
                <c:pt idx="13">
                  <c:v>807389653146.19348</c:v>
                </c:pt>
                <c:pt idx="14">
                  <c:v>815600395381.57861</c:v>
                </c:pt>
                <c:pt idx="15">
                  <c:v>823811137616.96362</c:v>
                </c:pt>
                <c:pt idx="16">
                  <c:v>832021879852.34863</c:v>
                </c:pt>
                <c:pt idx="17">
                  <c:v>840232622087.73364</c:v>
                </c:pt>
                <c:pt idx="18">
                  <c:v>848443364323.11877</c:v>
                </c:pt>
                <c:pt idx="19">
                  <c:v>856654106558.50366</c:v>
                </c:pt>
                <c:pt idx="20">
                  <c:v>864864848793.88867</c:v>
                </c:pt>
                <c:pt idx="21">
                  <c:v>867236840995.22205</c:v>
                </c:pt>
                <c:pt idx="22">
                  <c:v>869608833196.55554</c:v>
                </c:pt>
                <c:pt idx="23">
                  <c:v>871980825397.88904</c:v>
                </c:pt>
                <c:pt idx="24">
                  <c:v>874352817599.22253</c:v>
                </c:pt>
                <c:pt idx="25">
                  <c:v>876724809800.55603</c:v>
                </c:pt>
                <c:pt idx="26">
                  <c:v>879096802001.88928</c:v>
                </c:pt>
                <c:pt idx="27">
                  <c:v>881468794203.22278</c:v>
                </c:pt>
                <c:pt idx="28">
                  <c:v>883840786404.55627</c:v>
                </c:pt>
                <c:pt idx="29">
                  <c:v>886212778605.88977</c:v>
                </c:pt>
                <c:pt idx="30">
                  <c:v>888584770807.22327</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3421253143350.4243</c:v>
                </c:pt>
                <c:pt idx="1">
                  <c:v>3167207222968.2451</c:v>
                </c:pt>
                <c:pt idx="2">
                  <c:v>2913161302586.0659</c:v>
                </c:pt>
                <c:pt idx="3">
                  <c:v>2659115382203.8867</c:v>
                </c:pt>
                <c:pt idx="4">
                  <c:v>2611631178950.2461</c:v>
                </c:pt>
                <c:pt idx="5">
                  <c:v>2564146975696.6055</c:v>
                </c:pt>
                <c:pt idx="6">
                  <c:v>2516662772442.9644</c:v>
                </c:pt>
                <c:pt idx="7">
                  <c:v>2469178569189.3232</c:v>
                </c:pt>
                <c:pt idx="8">
                  <c:v>2421694365935.6826</c:v>
                </c:pt>
                <c:pt idx="9">
                  <c:v>2374210162682.0415</c:v>
                </c:pt>
                <c:pt idx="10">
                  <c:v>2326725959428.4009</c:v>
                </c:pt>
                <c:pt idx="11">
                  <c:v>2320602996377.2734</c:v>
                </c:pt>
                <c:pt idx="12">
                  <c:v>2314480033326.146</c:v>
                </c:pt>
                <c:pt idx="13">
                  <c:v>2308357070275.0186</c:v>
                </c:pt>
                <c:pt idx="14">
                  <c:v>2302234107223.8916</c:v>
                </c:pt>
                <c:pt idx="15">
                  <c:v>2296111144172.7642</c:v>
                </c:pt>
                <c:pt idx="16">
                  <c:v>2289988181121.6367</c:v>
                </c:pt>
                <c:pt idx="17">
                  <c:v>2283865218070.5093</c:v>
                </c:pt>
                <c:pt idx="18">
                  <c:v>2277742255019.3818</c:v>
                </c:pt>
                <c:pt idx="19">
                  <c:v>2271619291968.2549</c:v>
                </c:pt>
                <c:pt idx="20">
                  <c:v>2265496328917.1274</c:v>
                </c:pt>
                <c:pt idx="21">
                  <c:v>2242753894727.2256</c:v>
                </c:pt>
                <c:pt idx="22">
                  <c:v>2220011460537.3237</c:v>
                </c:pt>
                <c:pt idx="23">
                  <c:v>2197269026347.4224</c:v>
                </c:pt>
                <c:pt idx="24">
                  <c:v>2174526592157.5208</c:v>
                </c:pt>
                <c:pt idx="25">
                  <c:v>2151784157967.6189</c:v>
                </c:pt>
                <c:pt idx="26">
                  <c:v>2129041723777.7173</c:v>
                </c:pt>
                <c:pt idx="27">
                  <c:v>2106299289587.8154</c:v>
                </c:pt>
                <c:pt idx="28">
                  <c:v>2083556855397.9138</c:v>
                </c:pt>
                <c:pt idx="29">
                  <c:v>2060814421208.012</c:v>
                </c:pt>
                <c:pt idx="30">
                  <c:v>2038071987018.1108</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80108926776.41008</c:v>
                </c:pt>
                <c:pt idx="1">
                  <c:v>74160420430.629501</c:v>
                </c:pt>
                <c:pt idx="2">
                  <c:v>68211914084.848953</c:v>
                </c:pt>
                <c:pt idx="3">
                  <c:v>62263407739.06839</c:v>
                </c:pt>
                <c:pt idx="4">
                  <c:v>61151561172.299316</c:v>
                </c:pt>
                <c:pt idx="5">
                  <c:v>60039714605.530235</c:v>
                </c:pt>
                <c:pt idx="6">
                  <c:v>58927868038.761162</c:v>
                </c:pt>
                <c:pt idx="7">
                  <c:v>57816021471.992073</c:v>
                </c:pt>
                <c:pt idx="8">
                  <c:v>56704174905.222992</c:v>
                </c:pt>
                <c:pt idx="9">
                  <c:v>55592328338.453918</c:v>
                </c:pt>
                <c:pt idx="10">
                  <c:v>54480481771.684837</c:v>
                </c:pt>
                <c:pt idx="11">
                  <c:v>54337112082.811981</c:v>
                </c:pt>
                <c:pt idx="12">
                  <c:v>54193742393.939125</c:v>
                </c:pt>
                <c:pt idx="13">
                  <c:v>54050372705.066269</c:v>
                </c:pt>
                <c:pt idx="14">
                  <c:v>53907003016.193428</c:v>
                </c:pt>
                <c:pt idx="15">
                  <c:v>53763633327.320572</c:v>
                </c:pt>
                <c:pt idx="16">
                  <c:v>53620263638.447716</c:v>
                </c:pt>
                <c:pt idx="17">
                  <c:v>53476893949.57486</c:v>
                </c:pt>
                <c:pt idx="18">
                  <c:v>53333524260.702003</c:v>
                </c:pt>
                <c:pt idx="19">
                  <c:v>53190154571.829147</c:v>
                </c:pt>
                <c:pt idx="20">
                  <c:v>53046784882.956291</c:v>
                </c:pt>
                <c:pt idx="21">
                  <c:v>52514268895.714256</c:v>
                </c:pt>
                <c:pt idx="22">
                  <c:v>51981752908.472221</c:v>
                </c:pt>
                <c:pt idx="23">
                  <c:v>51449236921.230202</c:v>
                </c:pt>
                <c:pt idx="24">
                  <c:v>50916720933.988167</c:v>
                </c:pt>
                <c:pt idx="25">
                  <c:v>50384204946.746132</c:v>
                </c:pt>
                <c:pt idx="26">
                  <c:v>49851688959.504097</c:v>
                </c:pt>
                <c:pt idx="27">
                  <c:v>49319172972.262062</c:v>
                </c:pt>
                <c:pt idx="28">
                  <c:v>48786656985.020027</c:v>
                </c:pt>
                <c:pt idx="29">
                  <c:v>48254140997.778</c:v>
                </c:pt>
                <c:pt idx="30">
                  <c:v>47721625010.535973</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iea.org/data-and-statistics/data-tables?country=KOREA&amp;energy=Balances&amp;year=2019" TargetMode="External"/><Relationship Id="rId7" Type="http://schemas.openxmlformats.org/officeDocument/2006/relationships/printerSettings" Target="../printerSettings/printerSettings1.bin"/><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 Id="rId5"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4" Type="http://schemas.openxmlformats.org/officeDocument/2006/relationships/hyperlink" Target="https://www.kesis.net/FileDownloadAction.do?file=/admin/admin_RegList.jsp/20241231/290581735604309791_01.xlsx&amp;oldFile=BAL_EXTEND_(1990-2022).xlsx"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0"/>
  <sheetViews>
    <sheetView tabSelected="1" workbookViewId="0"/>
  </sheetViews>
  <sheetFormatPr defaultColWidth="8.625" defaultRowHeight="16.5"/>
  <cols>
    <col min="2" max="2" width="43" customWidth="1"/>
    <col min="3" max="3" width="39.5" bestFit="1" customWidth="1"/>
    <col min="4" max="4" width="41.125" bestFit="1" customWidth="1"/>
    <col min="5" max="5" width="60.375" customWidth="1"/>
    <col min="6" max="6" width="61.5" bestFit="1" customWidth="1"/>
  </cols>
  <sheetData>
    <row r="1" spans="1:4">
      <c r="A1" s="1" t="s">
        <v>0</v>
      </c>
    </row>
    <row r="3" spans="1:4">
      <c r="A3" s="1" t="s">
        <v>1</v>
      </c>
      <c r="B3" s="3" t="s">
        <v>2</v>
      </c>
    </row>
    <row r="4" spans="1:4">
      <c r="B4" t="s">
        <v>3</v>
      </c>
    </row>
    <row r="5" spans="1:4">
      <c r="B5" s="2">
        <v>2024</v>
      </c>
    </row>
    <row r="6" spans="1:4">
      <c r="B6" t="s">
        <v>4</v>
      </c>
    </row>
    <row r="7" spans="1:4">
      <c r="B7" s="90" t="s">
        <v>1204</v>
      </c>
      <c r="C7" s="90"/>
    </row>
    <row r="9" spans="1:4">
      <c r="B9" s="3" t="s">
        <v>5</v>
      </c>
    </row>
    <row r="10" spans="1:4">
      <c r="B10" t="s">
        <v>3</v>
      </c>
      <c r="D10" s="23"/>
    </row>
    <row r="11" spans="1:4">
      <c r="B11" s="2">
        <v>2021</v>
      </c>
      <c r="D11" s="23"/>
    </row>
    <row r="12" spans="1:4">
      <c r="B12" t="s">
        <v>6</v>
      </c>
      <c r="D12" s="22"/>
    </row>
    <row r="13" spans="1:4">
      <c r="B13" s="90" t="s">
        <v>7</v>
      </c>
      <c r="D13" s="23"/>
    </row>
    <row r="14" spans="1:4">
      <c r="B14" s="2">
        <v>2023</v>
      </c>
      <c r="D14" s="23"/>
    </row>
    <row r="15" spans="1:4">
      <c r="B15" t="s">
        <v>6</v>
      </c>
      <c r="D15" s="23"/>
    </row>
    <row r="16" spans="1:4">
      <c r="B16" s="90" t="s">
        <v>8</v>
      </c>
      <c r="D16" s="22"/>
    </row>
    <row r="17" spans="2:4">
      <c r="B17" s="90"/>
      <c r="D17" s="22"/>
    </row>
    <row r="18" spans="2:4">
      <c r="B18" t="s">
        <v>9</v>
      </c>
      <c r="D18" s="23"/>
    </row>
    <row r="19" spans="2:4">
      <c r="B19" s="2">
        <v>2021</v>
      </c>
      <c r="D19" s="23"/>
    </row>
    <row r="20" spans="2:4">
      <c r="B20" t="s">
        <v>10</v>
      </c>
      <c r="D20" s="22"/>
    </row>
    <row r="21" spans="2:4">
      <c r="B21" s="90" t="s">
        <v>11</v>
      </c>
      <c r="D21" s="23"/>
    </row>
    <row r="22" spans="2:4">
      <c r="B22" s="2">
        <v>2022</v>
      </c>
      <c r="D22" s="23"/>
    </row>
    <row r="23" spans="2:4">
      <c r="B23" t="s">
        <v>10</v>
      </c>
      <c r="D23" s="23"/>
    </row>
    <row r="24" spans="2:4">
      <c r="B24" s="90" t="s">
        <v>11</v>
      </c>
      <c r="D24" s="23"/>
    </row>
    <row r="25" spans="2:4">
      <c r="D25" s="22"/>
    </row>
    <row r="26" spans="2:4">
      <c r="B26" t="s">
        <v>9</v>
      </c>
    </row>
    <row r="27" spans="2:4">
      <c r="B27" s="2">
        <v>2021</v>
      </c>
    </row>
    <row r="28" spans="2:4">
      <c r="B28" t="s">
        <v>12</v>
      </c>
    </row>
    <row r="29" spans="2:4">
      <c r="B29" s="90" t="s">
        <v>13</v>
      </c>
    </row>
    <row r="30" spans="2:4">
      <c r="B30" s="2">
        <v>2024</v>
      </c>
    </row>
    <row r="31" spans="2:4">
      <c r="B31" t="s">
        <v>12</v>
      </c>
    </row>
    <row r="32" spans="2:4">
      <c r="B32" s="90" t="s">
        <v>14</v>
      </c>
    </row>
    <row r="33" spans="2:6">
      <c r="B33" s="90"/>
    </row>
    <row r="34" spans="2:6">
      <c r="B34" s="90"/>
    </row>
    <row r="36" spans="2:6">
      <c r="B36" s="3" t="s">
        <v>15</v>
      </c>
    </row>
    <row r="37" spans="2:6">
      <c r="B37" t="s">
        <v>16</v>
      </c>
    </row>
    <row r="38" spans="2:6">
      <c r="B38" s="2">
        <v>2022</v>
      </c>
    </row>
    <row r="39" spans="2:6">
      <c r="B39" t="s">
        <v>17</v>
      </c>
    </row>
    <row r="40" spans="2:6">
      <c r="B40" s="90" t="s">
        <v>18</v>
      </c>
    </row>
    <row r="41" spans="2:6">
      <c r="B41" s="90"/>
    </row>
    <row r="42" spans="2:6">
      <c r="B42" s="90"/>
    </row>
    <row r="43" spans="2:6">
      <c r="B43" s="90"/>
    </row>
    <row r="45" spans="2:6">
      <c r="B45" s="1" t="s">
        <v>19</v>
      </c>
    </row>
    <row r="46" spans="2:6">
      <c r="B46" s="244" t="s">
        <v>20</v>
      </c>
      <c r="C46" s="244" t="s">
        <v>21</v>
      </c>
      <c r="D46" s="244" t="s">
        <v>22</v>
      </c>
      <c r="E46" s="244" t="s">
        <v>23</v>
      </c>
      <c r="F46" s="244" t="s">
        <v>24</v>
      </c>
    </row>
    <row r="47" spans="2:6">
      <c r="B47" s="245" t="s">
        <v>25</v>
      </c>
      <c r="C47" s="246" t="s">
        <v>26</v>
      </c>
      <c r="D47" s="247" t="s">
        <v>27</v>
      </c>
      <c r="E47" s="250"/>
      <c r="F47" s="248"/>
    </row>
    <row r="48" spans="2:6">
      <c r="B48" s="245" t="s">
        <v>28</v>
      </c>
      <c r="C48" s="247" t="s">
        <v>29</v>
      </c>
      <c r="D48" s="246" t="s">
        <v>30</v>
      </c>
      <c r="E48" s="303"/>
      <c r="F48" s="247" t="s">
        <v>31</v>
      </c>
    </row>
    <row r="49" spans="2:21">
      <c r="B49" s="245" t="s">
        <v>32</v>
      </c>
      <c r="C49" s="247" t="s">
        <v>29</v>
      </c>
      <c r="D49" s="247" t="s">
        <v>33</v>
      </c>
      <c r="E49" s="250"/>
      <c r="F49" s="254"/>
      <c r="T49" s="197"/>
      <c r="U49" s="197"/>
    </row>
    <row r="50" spans="2:21">
      <c r="B50" s="245" t="s">
        <v>34</v>
      </c>
      <c r="C50" s="246" t="s">
        <v>26</v>
      </c>
      <c r="D50" s="247" t="s">
        <v>35</v>
      </c>
      <c r="E50" s="250"/>
      <c r="F50" s="248"/>
    </row>
    <row r="51" spans="2:21">
      <c r="B51" s="245" t="s">
        <v>36</v>
      </c>
      <c r="C51" s="246" t="s">
        <v>26</v>
      </c>
      <c r="D51" s="247" t="s">
        <v>37</v>
      </c>
      <c r="E51" s="250"/>
      <c r="F51" s="248"/>
    </row>
    <row r="52" spans="2:21">
      <c r="B52" s="245" t="s">
        <v>38</v>
      </c>
      <c r="C52" s="246" t="s">
        <v>26</v>
      </c>
      <c r="D52" s="247" t="s">
        <v>39</v>
      </c>
      <c r="E52" s="250"/>
      <c r="F52" s="249"/>
    </row>
    <row r="53" spans="2:21">
      <c r="B53" s="245" t="s">
        <v>40</v>
      </c>
      <c r="C53" s="246" t="s">
        <v>26</v>
      </c>
      <c r="D53" s="247" t="s">
        <v>41</v>
      </c>
      <c r="E53" s="250"/>
      <c r="F53" s="249"/>
    </row>
    <row r="54" spans="2:21">
      <c r="B54" s="245" t="s">
        <v>42</v>
      </c>
      <c r="C54" s="246" t="s">
        <v>26</v>
      </c>
      <c r="D54" s="247" t="s">
        <v>43</v>
      </c>
      <c r="E54" s="250"/>
      <c r="F54" s="249"/>
    </row>
    <row r="55" spans="2:21" ht="49.5">
      <c r="B55" s="245" t="s">
        <v>44</v>
      </c>
      <c r="C55" s="247" t="s">
        <v>29</v>
      </c>
      <c r="D55" s="250" t="s">
        <v>45</v>
      </c>
      <c r="E55" s="250"/>
      <c r="F55" s="247" t="s">
        <v>46</v>
      </c>
    </row>
    <row r="56" spans="2:21" ht="99">
      <c r="B56" s="245" t="s">
        <v>47</v>
      </c>
      <c r="C56" s="247" t="s">
        <v>48</v>
      </c>
      <c r="D56" s="247" t="s">
        <v>49</v>
      </c>
      <c r="E56" s="250" t="s">
        <v>50</v>
      </c>
      <c r="F56" s="249"/>
    </row>
    <row r="57" spans="2:21" ht="33">
      <c r="B57" s="245" t="s">
        <v>51</v>
      </c>
      <c r="C57" s="247" t="s">
        <v>48</v>
      </c>
      <c r="D57" s="247" t="s">
        <v>49</v>
      </c>
      <c r="E57" s="250" t="s">
        <v>52</v>
      </c>
      <c r="F57" s="249"/>
    </row>
    <row r="58" spans="2:21">
      <c r="B58" s="245" t="s">
        <v>53</v>
      </c>
      <c r="C58" s="246" t="s">
        <v>26</v>
      </c>
      <c r="D58" s="247" t="s">
        <v>54</v>
      </c>
      <c r="E58" s="250" t="s">
        <v>55</v>
      </c>
      <c r="F58" s="249"/>
    </row>
    <row r="59" spans="2:21" ht="66">
      <c r="B59" s="245" t="s">
        <v>56</v>
      </c>
      <c r="C59" s="246" t="s">
        <v>26</v>
      </c>
      <c r="D59" s="247" t="s">
        <v>54</v>
      </c>
      <c r="E59" s="250" t="s">
        <v>57</v>
      </c>
      <c r="F59" s="249"/>
    </row>
    <row r="60" spans="2:21">
      <c r="B60" s="245" t="s">
        <v>58</v>
      </c>
      <c r="C60" s="247" t="s">
        <v>59</v>
      </c>
      <c r="D60" s="247" t="s">
        <v>60</v>
      </c>
      <c r="E60" s="250"/>
      <c r="F60" s="249"/>
    </row>
    <row r="61" spans="2:21">
      <c r="B61" s="245" t="s">
        <v>61</v>
      </c>
      <c r="C61" s="247" t="s">
        <v>62</v>
      </c>
      <c r="D61" s="247" t="s">
        <v>63</v>
      </c>
      <c r="E61" s="250" t="s">
        <v>64</v>
      </c>
      <c r="F61" s="249"/>
    </row>
    <row r="62" spans="2:21" ht="49.5">
      <c r="B62" s="245" t="s">
        <v>65</v>
      </c>
      <c r="C62" s="247" t="s">
        <v>62</v>
      </c>
      <c r="D62" s="247" t="s">
        <v>63</v>
      </c>
      <c r="E62" s="250" t="s">
        <v>66</v>
      </c>
      <c r="F62" s="249"/>
    </row>
    <row r="63" spans="2:21" ht="82.5">
      <c r="B63" s="245" t="s">
        <v>67</v>
      </c>
      <c r="C63" s="247" t="s">
        <v>68</v>
      </c>
      <c r="D63" s="247" t="s">
        <v>69</v>
      </c>
      <c r="E63" s="250" t="s">
        <v>70</v>
      </c>
      <c r="F63" s="249"/>
    </row>
    <row r="64" spans="2:21" ht="82.5">
      <c r="B64" s="245" t="s">
        <v>71</v>
      </c>
      <c r="C64" s="247" t="s">
        <v>68</v>
      </c>
      <c r="D64" s="247" t="s">
        <v>69</v>
      </c>
      <c r="E64" s="250" t="s">
        <v>72</v>
      </c>
      <c r="F64" s="248"/>
    </row>
    <row r="65" spans="2:6" ht="99">
      <c r="B65" s="245" t="s">
        <v>73</v>
      </c>
      <c r="C65" s="247" t="s">
        <v>68</v>
      </c>
      <c r="D65" s="247" t="s">
        <v>69</v>
      </c>
      <c r="E65" s="250" t="s">
        <v>74</v>
      </c>
      <c r="F65" s="248"/>
    </row>
    <row r="66" spans="2:6" ht="66">
      <c r="B66" s="245" t="s">
        <v>75</v>
      </c>
      <c r="C66" s="247" t="s">
        <v>68</v>
      </c>
      <c r="D66" s="247" t="s">
        <v>76</v>
      </c>
      <c r="E66" s="269" t="s">
        <v>77</v>
      </c>
      <c r="F66" s="248"/>
    </row>
    <row r="67" spans="2:6" ht="66">
      <c r="B67" s="245" t="s">
        <v>78</v>
      </c>
      <c r="C67" s="247" t="s">
        <v>68</v>
      </c>
      <c r="D67" s="247" t="s">
        <v>76</v>
      </c>
      <c r="E67" s="250" t="s">
        <v>79</v>
      </c>
      <c r="F67" s="248"/>
    </row>
    <row r="68" spans="2:6">
      <c r="B68" s="245" t="s">
        <v>80</v>
      </c>
      <c r="C68" s="246" t="s">
        <v>26</v>
      </c>
      <c r="D68" s="247" t="s">
        <v>81</v>
      </c>
      <c r="E68" s="250"/>
      <c r="F68" s="248"/>
    </row>
    <row r="69" spans="2:6" ht="49.5">
      <c r="B69" s="245" t="s">
        <v>82</v>
      </c>
      <c r="C69" s="247" t="s">
        <v>29</v>
      </c>
      <c r="D69" s="250" t="s">
        <v>83</v>
      </c>
      <c r="E69" s="250"/>
      <c r="F69" s="247" t="s">
        <v>84</v>
      </c>
    </row>
    <row r="70" spans="2:6">
      <c r="B70" s="245" t="s">
        <v>85</v>
      </c>
      <c r="C70" s="247" t="s">
        <v>86</v>
      </c>
      <c r="D70" s="247" t="s">
        <v>87</v>
      </c>
      <c r="E70" s="250"/>
      <c r="F70" s="247" t="s">
        <v>88</v>
      </c>
    </row>
    <row r="71" spans="2:6">
      <c r="B71" s="245" t="s">
        <v>89</v>
      </c>
      <c r="C71" s="246" t="s">
        <v>26</v>
      </c>
      <c r="D71" s="247" t="s">
        <v>90</v>
      </c>
      <c r="E71" s="250"/>
      <c r="F71" s="248"/>
    </row>
    <row r="73" spans="2:6">
      <c r="B73" s="1" t="s">
        <v>91</v>
      </c>
    </row>
    <row r="74" spans="2:6">
      <c r="B74" s="244" t="s">
        <v>92</v>
      </c>
      <c r="C74" s="244" t="s">
        <v>93</v>
      </c>
      <c r="D74" s="244" t="s">
        <v>24</v>
      </c>
      <c r="E74" s="244" t="s">
        <v>94</v>
      </c>
    </row>
    <row r="75" spans="2:6">
      <c r="B75" s="245" t="s">
        <v>95</v>
      </c>
      <c r="C75" s="245" t="s">
        <v>95</v>
      </c>
      <c r="D75" s="247"/>
      <c r="E75" s="247"/>
    </row>
    <row r="76" spans="2:6">
      <c r="B76" s="245" t="s">
        <v>96</v>
      </c>
      <c r="C76" s="245" t="s">
        <v>96</v>
      </c>
      <c r="D76" s="247"/>
      <c r="E76" s="247"/>
    </row>
    <row r="77" spans="2:6">
      <c r="B77" s="245" t="s">
        <v>97</v>
      </c>
      <c r="C77" s="245" t="s">
        <v>97</v>
      </c>
      <c r="D77" s="247"/>
      <c r="E77" s="247"/>
    </row>
    <row r="78" spans="2:6">
      <c r="B78" s="245" t="s">
        <v>98</v>
      </c>
      <c r="C78" s="246" t="s">
        <v>99</v>
      </c>
      <c r="D78" s="247"/>
      <c r="E78" s="247" t="s">
        <v>100</v>
      </c>
    </row>
    <row r="79" spans="2:6">
      <c r="B79" s="245" t="s">
        <v>101</v>
      </c>
      <c r="C79" s="246" t="s">
        <v>29</v>
      </c>
      <c r="D79" s="247"/>
      <c r="E79" s="247" t="s">
        <v>102</v>
      </c>
    </row>
    <row r="80" spans="2:6">
      <c r="B80" s="245" t="s">
        <v>103</v>
      </c>
      <c r="C80" s="246" t="s">
        <v>104</v>
      </c>
      <c r="D80" s="247" t="s">
        <v>105</v>
      </c>
      <c r="E80" s="247"/>
    </row>
    <row r="81" spans="2:6">
      <c r="B81" s="245" t="s">
        <v>106</v>
      </c>
      <c r="C81" s="246" t="s">
        <v>104</v>
      </c>
      <c r="D81" s="490" t="s">
        <v>107</v>
      </c>
      <c r="E81" s="247"/>
    </row>
    <row r="82" spans="2:6">
      <c r="B82" s="245" t="s">
        <v>108</v>
      </c>
      <c r="C82" s="246" t="s">
        <v>104</v>
      </c>
      <c r="D82" s="491"/>
      <c r="E82" s="247"/>
    </row>
    <row r="83" spans="2:6">
      <c r="B83" s="245" t="s">
        <v>109</v>
      </c>
      <c r="C83" s="246" t="s">
        <v>104</v>
      </c>
      <c r="D83" s="492"/>
      <c r="E83" s="247"/>
    </row>
    <row r="84" spans="2:6">
      <c r="B84" s="245" t="s">
        <v>110</v>
      </c>
      <c r="C84" s="246" t="s">
        <v>29</v>
      </c>
      <c r="D84" s="247"/>
      <c r="E84" s="247"/>
    </row>
    <row r="85" spans="2:6">
      <c r="D85" s="23"/>
    </row>
    <row r="86" spans="2:6">
      <c r="B86" s="252" t="s">
        <v>111</v>
      </c>
      <c r="C86" s="253">
        <f>39656668.31*(10^6)</f>
        <v>39656668310000</v>
      </c>
      <c r="D86" s="251" t="s">
        <v>112</v>
      </c>
    </row>
    <row r="87" spans="2:6">
      <c r="B87" s="348"/>
      <c r="C87" s="166"/>
    </row>
    <row r="89" spans="2:6">
      <c r="B89" s="1" t="s">
        <v>113</v>
      </c>
    </row>
    <row r="90" spans="2:6">
      <c r="B90" s="244" t="s">
        <v>20</v>
      </c>
      <c r="C90" s="244" t="s">
        <v>93</v>
      </c>
      <c r="D90" s="244" t="s">
        <v>22</v>
      </c>
      <c r="E90" s="244" t="s">
        <v>23</v>
      </c>
      <c r="F90" s="244" t="s">
        <v>24</v>
      </c>
    </row>
    <row r="91" spans="2:6">
      <c r="B91" s="245" t="s">
        <v>25</v>
      </c>
      <c r="C91" s="246" t="s">
        <v>114</v>
      </c>
      <c r="D91" s="247" t="s">
        <v>115</v>
      </c>
      <c r="E91" s="250"/>
      <c r="F91" s="248"/>
    </row>
    <row r="92" spans="2:6">
      <c r="B92" s="245" t="s">
        <v>28</v>
      </c>
      <c r="C92" s="450" t="s">
        <v>116</v>
      </c>
      <c r="D92" s="246" t="s">
        <v>117</v>
      </c>
      <c r="E92" s="303"/>
      <c r="F92" s="247" t="s">
        <v>118</v>
      </c>
    </row>
    <row r="93" spans="2:6">
      <c r="B93" s="245" t="s">
        <v>32</v>
      </c>
      <c r="C93" s="450" t="s">
        <v>116</v>
      </c>
      <c r="D93" s="247" t="s">
        <v>119</v>
      </c>
      <c r="E93" s="250"/>
      <c r="F93" s="254"/>
    </row>
    <row r="94" spans="2:6">
      <c r="B94" s="245" t="s">
        <v>34</v>
      </c>
      <c r="C94" s="246" t="s">
        <v>114</v>
      </c>
      <c r="D94" s="247" t="s">
        <v>120</v>
      </c>
      <c r="E94" s="250"/>
      <c r="F94" s="248"/>
    </row>
    <row r="95" spans="2:6">
      <c r="B95" s="245" t="s">
        <v>36</v>
      </c>
      <c r="C95" s="246" t="s">
        <v>114</v>
      </c>
      <c r="D95" s="247" t="s">
        <v>121</v>
      </c>
      <c r="E95" s="250"/>
      <c r="F95" s="248"/>
    </row>
    <row r="96" spans="2:6">
      <c r="B96" s="245" t="s">
        <v>38</v>
      </c>
      <c r="C96" s="246" t="s">
        <v>114</v>
      </c>
      <c r="D96" s="247" t="s">
        <v>122</v>
      </c>
      <c r="E96" s="250"/>
      <c r="F96" s="249"/>
    </row>
    <row r="97" spans="2:6">
      <c r="B97" s="245" t="s">
        <v>40</v>
      </c>
      <c r="C97" s="246" t="s">
        <v>114</v>
      </c>
      <c r="D97" s="247" t="s">
        <v>123</v>
      </c>
      <c r="E97" s="250"/>
      <c r="F97" s="249"/>
    </row>
    <row r="98" spans="2:6">
      <c r="B98" s="245" t="s">
        <v>42</v>
      </c>
      <c r="C98" s="246" t="s">
        <v>114</v>
      </c>
      <c r="D98" s="247" t="s">
        <v>124</v>
      </c>
      <c r="E98" s="250"/>
      <c r="F98" s="249"/>
    </row>
    <row r="99" spans="2:6" ht="33">
      <c r="B99" s="245" t="s">
        <v>44</v>
      </c>
      <c r="C99" s="450" t="s">
        <v>116</v>
      </c>
      <c r="D99" s="250" t="s">
        <v>125</v>
      </c>
      <c r="E99" s="250"/>
      <c r="F99" s="247" t="s">
        <v>126</v>
      </c>
    </row>
    <row r="100" spans="2:6" ht="49.5">
      <c r="B100" s="245" t="s">
        <v>47</v>
      </c>
      <c r="C100" s="247" t="s">
        <v>127</v>
      </c>
      <c r="D100" s="247" t="s">
        <v>128</v>
      </c>
      <c r="E100" s="250" t="s">
        <v>129</v>
      </c>
      <c r="F100" s="249"/>
    </row>
    <row r="101" spans="2:6">
      <c r="B101" s="245" t="s">
        <v>51</v>
      </c>
      <c r="C101" s="247" t="s">
        <v>127</v>
      </c>
      <c r="D101" s="247" t="s">
        <v>128</v>
      </c>
      <c r="E101" s="250" t="s">
        <v>130</v>
      </c>
      <c r="F101" s="249"/>
    </row>
    <row r="102" spans="2:6">
      <c r="B102" s="245" t="s">
        <v>53</v>
      </c>
      <c r="C102" s="246" t="s">
        <v>114</v>
      </c>
      <c r="D102" s="247" t="s">
        <v>131</v>
      </c>
      <c r="E102" s="250" t="s">
        <v>132</v>
      </c>
      <c r="F102" s="249"/>
    </row>
    <row r="103" spans="2:6" ht="33">
      <c r="B103" s="245" t="s">
        <v>56</v>
      </c>
      <c r="C103" s="246" t="s">
        <v>114</v>
      </c>
      <c r="D103" s="247" t="s">
        <v>131</v>
      </c>
      <c r="E103" s="250" t="s">
        <v>133</v>
      </c>
      <c r="F103" s="249"/>
    </row>
    <row r="104" spans="2:6">
      <c r="B104" s="245" t="s">
        <v>1050</v>
      </c>
      <c r="C104" s="247" t="s">
        <v>134</v>
      </c>
      <c r="D104" s="247" t="s">
        <v>135</v>
      </c>
      <c r="E104" s="250"/>
      <c r="F104" s="249"/>
    </row>
    <row r="105" spans="2:6">
      <c r="B105" s="245" t="s">
        <v>61</v>
      </c>
      <c r="C105" s="247" t="s">
        <v>136</v>
      </c>
      <c r="D105" s="247" t="s">
        <v>137</v>
      </c>
      <c r="E105" s="250" t="s">
        <v>138</v>
      </c>
      <c r="F105" s="249"/>
    </row>
    <row r="106" spans="2:6" ht="33">
      <c r="B106" s="245" t="s">
        <v>65</v>
      </c>
      <c r="C106" s="247" t="s">
        <v>136</v>
      </c>
      <c r="D106" s="247" t="s">
        <v>137</v>
      </c>
      <c r="E106" s="250" t="s">
        <v>139</v>
      </c>
      <c r="F106" s="249"/>
    </row>
    <row r="107" spans="2:6" ht="33">
      <c r="B107" s="245" t="s">
        <v>67</v>
      </c>
      <c r="C107" s="247" t="s">
        <v>140</v>
      </c>
      <c r="D107" s="247" t="s">
        <v>141</v>
      </c>
      <c r="E107" s="250" t="s">
        <v>142</v>
      </c>
      <c r="F107" s="249"/>
    </row>
    <row r="108" spans="2:6" ht="49.5">
      <c r="B108" s="245" t="s">
        <v>71</v>
      </c>
      <c r="C108" s="247" t="s">
        <v>140</v>
      </c>
      <c r="D108" s="247" t="s">
        <v>141</v>
      </c>
      <c r="E108" s="250" t="s">
        <v>143</v>
      </c>
      <c r="F108" s="248"/>
    </row>
    <row r="109" spans="2:6" ht="49.5">
      <c r="B109" s="245" t="s">
        <v>73</v>
      </c>
      <c r="C109" s="247" t="s">
        <v>140</v>
      </c>
      <c r="D109" s="247" t="s">
        <v>141</v>
      </c>
      <c r="E109" s="250" t="s">
        <v>144</v>
      </c>
      <c r="F109" s="248"/>
    </row>
    <row r="110" spans="2:6" ht="33">
      <c r="B110" s="245" t="s">
        <v>75</v>
      </c>
      <c r="C110" s="247" t="s">
        <v>140</v>
      </c>
      <c r="D110" s="247" t="s">
        <v>145</v>
      </c>
      <c r="E110" s="269" t="s">
        <v>146</v>
      </c>
      <c r="F110" s="248"/>
    </row>
    <row r="111" spans="2:6" ht="33">
      <c r="B111" s="245" t="s">
        <v>78</v>
      </c>
      <c r="C111" s="247" t="s">
        <v>140</v>
      </c>
      <c r="D111" s="247" t="s">
        <v>145</v>
      </c>
      <c r="E111" s="250" t="s">
        <v>147</v>
      </c>
      <c r="F111" s="248"/>
    </row>
    <row r="112" spans="2:6">
      <c r="B112" s="245" t="s">
        <v>80</v>
      </c>
      <c r="C112" s="246" t="s">
        <v>114</v>
      </c>
      <c r="D112" s="247" t="s">
        <v>148</v>
      </c>
      <c r="E112" s="250"/>
      <c r="F112" s="248"/>
    </row>
    <row r="113" spans="1:6" ht="33">
      <c r="B113" s="245" t="s">
        <v>82</v>
      </c>
      <c r="C113" s="450" t="s">
        <v>116</v>
      </c>
      <c r="D113" s="250" t="s">
        <v>149</v>
      </c>
      <c r="E113" s="250"/>
      <c r="F113" s="247" t="s">
        <v>150</v>
      </c>
    </row>
    <row r="114" spans="1:6">
      <c r="B114" s="245" t="s">
        <v>85</v>
      </c>
      <c r="C114" s="450" t="s">
        <v>151</v>
      </c>
      <c r="D114" s="247" t="s">
        <v>152</v>
      </c>
      <c r="E114" s="250"/>
      <c r="F114" s="247" t="s">
        <v>153</v>
      </c>
    </row>
    <row r="115" spans="1:6">
      <c r="B115" s="245" t="s">
        <v>89</v>
      </c>
      <c r="C115" s="246" t="s">
        <v>114</v>
      </c>
      <c r="D115" s="247" t="s">
        <v>154</v>
      </c>
      <c r="E115" s="250"/>
      <c r="F115" s="248"/>
    </row>
    <row r="116" spans="1:6" ht="17.100000000000001" customHeight="1"/>
    <row r="117" spans="1:6">
      <c r="A117" s="1" t="s">
        <v>155</v>
      </c>
    </row>
    <row r="118" spans="1:6">
      <c r="A118" t="s">
        <v>156</v>
      </c>
    </row>
    <row r="119" spans="1:6">
      <c r="A119" t="s">
        <v>157</v>
      </c>
    </row>
    <row r="120" spans="1:6">
      <c r="A120" t="s">
        <v>158</v>
      </c>
    </row>
  </sheetData>
  <mergeCells count="1">
    <mergeCell ref="D81:D83"/>
  </mergeCells>
  <phoneticPr fontId="35" type="noConversion"/>
  <hyperlinks>
    <hyperlink ref="B13" r:id="rId1" xr:uid="{18408D58-FD73-49D0-9BE6-AA9D6826B505}"/>
    <hyperlink ref="B21" r:id="rId2" xr:uid="{717372BC-744E-4FB7-B54D-67E3B2DD82BA}"/>
    <hyperlink ref="B40" r:id="rId3" display="https://www.iea.org/data-and-statistics/data-tables?country=KOREA&amp;energy=Balances&amp;year=2019" xr:uid="{8B797CED-EB87-4287-950E-2DC675CB863E}"/>
    <hyperlink ref="B16" r:id="rId4" xr:uid="{9F8F6A8A-F842-478D-9422-3072A58CB803}"/>
    <hyperlink ref="B24" r:id="rId5" xr:uid="{63D07754-A995-4B0C-B2D3-255A0E532AC3}"/>
    <hyperlink ref="B29" r:id="rId6" xr:uid="{84A1DB2B-2FD5-43AE-8FBF-E7524910F699}"/>
  </hyperlinks>
  <pageMargins left="0.7" right="0.7" top="0.75" bottom="0.75" header="0.3" footer="0.3"/>
  <pageSetup orientation="portrait" horizontalDpi="1200" verticalDpi="1200" r:id="rId7"/>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workbookViewId="0"/>
  </sheetViews>
  <sheetFormatPr defaultColWidth="9.125" defaultRowHeight="16.5"/>
  <cols>
    <col min="1" max="1" width="9.125" style="255"/>
    <col min="2" max="2" width="17.375" style="255" customWidth="1"/>
    <col min="3" max="4" width="9.5" style="255" customWidth="1"/>
    <col min="5" max="5" width="9.5" style="255" customWidth="1" collapsed="1"/>
    <col min="6" max="10" width="9.5" style="255" customWidth="1"/>
    <col min="11" max="11" width="9.5" style="256" customWidth="1"/>
    <col min="12" max="16" width="9.5" style="255" customWidth="1"/>
    <col min="17" max="16384" width="9.125" style="255"/>
  </cols>
  <sheetData>
    <row r="1" spans="1:13" ht="30" customHeight="1">
      <c r="B1" s="498" t="s">
        <v>1060</v>
      </c>
      <c r="C1" s="498"/>
      <c r="D1" s="498"/>
      <c r="E1" s="498"/>
      <c r="F1" s="498"/>
      <c r="G1" s="498"/>
      <c r="H1" s="498"/>
      <c r="I1" s="498"/>
      <c r="J1" s="498"/>
      <c r="K1" s="498"/>
      <c r="L1" s="498"/>
      <c r="M1" s="498"/>
    </row>
    <row r="2" spans="1:13">
      <c r="B2" s="499" t="s">
        <v>159</v>
      </c>
      <c r="C2" s="499"/>
      <c r="D2" s="499"/>
      <c r="E2" s="499"/>
      <c r="F2" s="499"/>
      <c r="G2" s="499"/>
      <c r="H2" s="499"/>
      <c r="I2" s="499"/>
      <c r="J2" s="499"/>
      <c r="K2" s="499"/>
      <c r="L2" s="499"/>
      <c r="M2" s="499"/>
    </row>
    <row r="3" spans="1:13" ht="15" customHeight="1">
      <c r="B3" s="31"/>
      <c r="C3" s="32"/>
      <c r="D3" s="32"/>
      <c r="E3" s="32"/>
      <c r="F3" s="32"/>
      <c r="G3" s="32"/>
      <c r="H3" s="32"/>
      <c r="I3" s="495" t="s">
        <v>160</v>
      </c>
      <c r="J3" s="495"/>
      <c r="K3" s="33"/>
      <c r="L3" s="495" t="s">
        <v>161</v>
      </c>
      <c r="M3" s="495"/>
    </row>
    <row r="4" spans="1:13" ht="15" customHeight="1">
      <c r="B4" s="31"/>
      <c r="C4" s="34">
        <v>2000</v>
      </c>
      <c r="D4" s="34">
        <v>2018</v>
      </c>
      <c r="E4" s="34">
        <v>2025</v>
      </c>
      <c r="F4" s="34">
        <v>2030</v>
      </c>
      <c r="G4" s="34">
        <v>2035</v>
      </c>
      <c r="H4" s="34">
        <v>2040</v>
      </c>
      <c r="I4" s="35">
        <v>2018</v>
      </c>
      <c r="J4" s="35">
        <v>2040</v>
      </c>
      <c r="K4" s="36"/>
      <c r="L4" s="35" t="s">
        <v>162</v>
      </c>
      <c r="M4" s="35" t="s">
        <v>163</v>
      </c>
    </row>
    <row r="5" spans="1:13" ht="13.5" customHeight="1">
      <c r="A5" s="454" t="s">
        <v>447</v>
      </c>
      <c r="B5" s="37" t="s">
        <v>164</v>
      </c>
      <c r="C5" s="38">
        <v>84.236999999999995</v>
      </c>
      <c r="D5" s="38">
        <v>145.02000000000001</v>
      </c>
      <c r="E5" s="39">
        <v>165.53299999999999</v>
      </c>
      <c r="F5" s="39">
        <v>174.054</v>
      </c>
      <c r="G5" s="39">
        <v>178.96</v>
      </c>
      <c r="H5" s="39">
        <v>182.27799999999999</v>
      </c>
      <c r="I5" s="61">
        <v>99.990000000000009</v>
      </c>
      <c r="J5" s="61">
        <v>100.00999999999999</v>
      </c>
      <c r="K5" s="80"/>
      <c r="L5" s="63">
        <v>3.06</v>
      </c>
      <c r="M5" s="63">
        <v>1.04</v>
      </c>
    </row>
    <row r="6" spans="1:13" ht="13.5" customHeight="1">
      <c r="A6" s="454" t="s">
        <v>1013</v>
      </c>
      <c r="B6" s="42" t="s">
        <v>165</v>
      </c>
      <c r="C6" s="81">
        <v>19.125</v>
      </c>
      <c r="D6" s="81">
        <v>31.992000000000001</v>
      </c>
      <c r="E6" s="45">
        <v>37.764000000000003</v>
      </c>
      <c r="F6" s="45">
        <v>39.494</v>
      </c>
      <c r="G6" s="45">
        <v>39.628999999999998</v>
      </c>
      <c r="H6" s="45">
        <v>38.875</v>
      </c>
      <c r="I6" s="45">
        <v>22.06</v>
      </c>
      <c r="J6" s="45">
        <v>21.33</v>
      </c>
      <c r="K6" s="45"/>
      <c r="L6" s="47">
        <v>2.9</v>
      </c>
      <c r="M6" s="47">
        <v>0.89</v>
      </c>
    </row>
    <row r="7" spans="1:13" ht="13.5" customHeight="1">
      <c r="A7" s="454" t="s">
        <v>1053</v>
      </c>
      <c r="B7" s="42" t="s">
        <v>166</v>
      </c>
      <c r="C7" s="81">
        <v>48.521999999999998</v>
      </c>
      <c r="D7" s="81">
        <v>69.293999999999997</v>
      </c>
      <c r="E7" s="45">
        <v>76.963999999999999</v>
      </c>
      <c r="F7" s="45">
        <v>79.251000000000005</v>
      </c>
      <c r="G7" s="45">
        <v>80.3</v>
      </c>
      <c r="H7" s="45">
        <v>80.805999999999997</v>
      </c>
      <c r="I7" s="45">
        <v>47.78</v>
      </c>
      <c r="J7" s="45">
        <v>44.33</v>
      </c>
      <c r="K7" s="46"/>
      <c r="L7" s="47">
        <v>2</v>
      </c>
      <c r="M7" s="47">
        <v>0.7</v>
      </c>
    </row>
    <row r="8" spans="1:13" ht="13.5" customHeight="1">
      <c r="A8" s="454" t="s">
        <v>316</v>
      </c>
      <c r="B8" s="42" t="s">
        <v>167</v>
      </c>
      <c r="C8" s="81">
        <v>3.3079999999999998</v>
      </c>
      <c r="D8" s="81">
        <v>9.9039999999999999</v>
      </c>
      <c r="E8" s="45">
        <v>11.444000000000001</v>
      </c>
      <c r="F8" s="45">
        <v>12.468</v>
      </c>
      <c r="G8" s="45">
        <v>13.208</v>
      </c>
      <c r="H8" s="45">
        <v>13.795999999999999</v>
      </c>
      <c r="I8" s="45">
        <v>6.83</v>
      </c>
      <c r="J8" s="45">
        <v>7.57</v>
      </c>
      <c r="K8" s="46"/>
      <c r="L8" s="47">
        <v>6.28</v>
      </c>
      <c r="M8" s="47">
        <v>1.52</v>
      </c>
    </row>
    <row r="9" spans="1:13" ht="13.5" customHeight="1">
      <c r="A9" s="454" t="s">
        <v>355</v>
      </c>
      <c r="B9" s="42" t="s">
        <v>168</v>
      </c>
      <c r="C9" s="81">
        <v>11.374000000000001</v>
      </c>
      <c r="D9" s="81">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454" t="s">
        <v>1054</v>
      </c>
      <c r="B10" s="42" t="s">
        <v>169</v>
      </c>
      <c r="C10" s="81">
        <v>0</v>
      </c>
      <c r="D10" s="81">
        <v>0</v>
      </c>
      <c r="E10" s="45">
        <v>0</v>
      </c>
      <c r="F10" s="45">
        <v>0</v>
      </c>
      <c r="G10" s="45">
        <v>0</v>
      </c>
      <c r="H10" s="45">
        <v>0</v>
      </c>
      <c r="I10" s="45">
        <v>0</v>
      </c>
      <c r="J10" s="45">
        <v>0</v>
      </c>
      <c r="K10" s="46"/>
      <c r="L10" s="47" t="s">
        <v>170</v>
      </c>
      <c r="M10" s="47" t="s">
        <v>170</v>
      </c>
    </row>
    <row r="11" spans="1:13" ht="13.5" customHeight="1">
      <c r="A11" s="454" t="s">
        <v>1055</v>
      </c>
      <c r="B11" s="42" t="s">
        <v>171</v>
      </c>
      <c r="C11" s="81">
        <v>1.9079999999999999</v>
      </c>
      <c r="D11" s="81">
        <v>9.4320000000000004</v>
      </c>
      <c r="E11" s="45">
        <v>11.618</v>
      </c>
      <c r="F11" s="45">
        <v>13.179</v>
      </c>
      <c r="G11" s="45">
        <v>14.574</v>
      </c>
      <c r="H11" s="45">
        <v>15.999000000000001</v>
      </c>
      <c r="I11" s="45">
        <v>6.5</v>
      </c>
      <c r="J11" s="45">
        <v>8.7799999999999994</v>
      </c>
      <c r="K11" s="46"/>
      <c r="L11" s="47">
        <v>9.2899999999999991</v>
      </c>
      <c r="M11" s="47">
        <v>2.4300000000000002</v>
      </c>
    </row>
    <row r="12" spans="1:13" s="256" customFormat="1" ht="3" customHeight="1">
      <c r="A12" s="455"/>
      <c r="B12" s="82"/>
      <c r="C12" s="83"/>
      <c r="D12" s="83"/>
      <c r="E12" s="84"/>
      <c r="F12" s="84"/>
      <c r="G12" s="84"/>
      <c r="H12" s="84"/>
      <c r="I12" s="85"/>
      <c r="J12" s="85"/>
      <c r="K12" s="85"/>
      <c r="L12" s="85"/>
      <c r="M12" s="85"/>
    </row>
    <row r="13" spans="1:13" ht="13.5" customHeight="1">
      <c r="A13" s="454" t="s">
        <v>1056</v>
      </c>
      <c r="B13" s="37" t="s">
        <v>172</v>
      </c>
      <c r="C13" s="38">
        <v>30.945</v>
      </c>
      <c r="D13" s="38">
        <v>42.96</v>
      </c>
      <c r="E13" s="39">
        <v>45.814</v>
      </c>
      <c r="F13" s="39">
        <v>46.411999999999999</v>
      </c>
      <c r="G13" s="39">
        <v>45.834000000000003</v>
      </c>
      <c r="H13" s="39">
        <v>44.567999999999998</v>
      </c>
      <c r="I13" s="61">
        <v>99.990000000000009</v>
      </c>
      <c r="J13" s="61">
        <v>100</v>
      </c>
      <c r="K13" s="80"/>
      <c r="L13" s="63">
        <v>1.84</v>
      </c>
      <c r="M13" s="63">
        <v>0.17</v>
      </c>
    </row>
    <row r="14" spans="1:13" ht="13.5" customHeight="1">
      <c r="A14" s="454" t="s">
        <v>1013</v>
      </c>
      <c r="B14" s="42" t="s">
        <v>165</v>
      </c>
      <c r="C14" s="81">
        <v>0</v>
      </c>
      <c r="D14" s="81">
        <v>0</v>
      </c>
      <c r="E14" s="45">
        <v>0</v>
      </c>
      <c r="F14" s="45">
        <v>0</v>
      </c>
      <c r="G14" s="45">
        <v>0</v>
      </c>
      <c r="H14" s="45">
        <v>0</v>
      </c>
      <c r="I14" s="45">
        <v>0</v>
      </c>
      <c r="J14" s="45">
        <v>0</v>
      </c>
      <c r="K14" s="46"/>
      <c r="L14" s="47" t="s">
        <v>170</v>
      </c>
      <c r="M14" s="47" t="s">
        <v>170</v>
      </c>
    </row>
    <row r="15" spans="1:13" ht="13.5" customHeight="1">
      <c r="A15" s="454" t="s">
        <v>1053</v>
      </c>
      <c r="B15" s="42" t="s">
        <v>166</v>
      </c>
      <c r="C15" s="81">
        <v>30.77</v>
      </c>
      <c r="D15" s="81">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454" t="s">
        <v>316</v>
      </c>
      <c r="B16" s="42" t="s">
        <v>167</v>
      </c>
      <c r="C16" s="81">
        <v>0</v>
      </c>
      <c r="D16" s="81">
        <v>1.2390000000000001</v>
      </c>
      <c r="E16" s="45">
        <v>1.452</v>
      </c>
      <c r="F16" s="45">
        <v>1.526</v>
      </c>
      <c r="G16" s="45">
        <v>1.4370000000000001</v>
      </c>
      <c r="H16" s="45">
        <v>1.3149999999999999</v>
      </c>
      <c r="I16" s="45">
        <v>2.88</v>
      </c>
      <c r="J16" s="45">
        <v>2.95</v>
      </c>
      <c r="K16" s="46"/>
      <c r="L16" s="47" t="s">
        <v>170</v>
      </c>
      <c r="M16" s="47">
        <v>0.27</v>
      </c>
    </row>
    <row r="17" spans="1:13" ht="13.5" customHeight="1">
      <c r="A17" s="454" t="s">
        <v>355</v>
      </c>
      <c r="B17" s="42" t="s">
        <v>168</v>
      </c>
      <c r="C17" s="81">
        <v>0.17499999999999999</v>
      </c>
      <c r="D17" s="81">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454" t="s">
        <v>1054</v>
      </c>
      <c r="B18" s="42" t="s">
        <v>169</v>
      </c>
      <c r="C18" s="81">
        <v>0</v>
      </c>
      <c r="D18" s="81">
        <v>0</v>
      </c>
      <c r="E18" s="45">
        <v>0</v>
      </c>
      <c r="F18" s="45">
        <v>0</v>
      </c>
      <c r="G18" s="45">
        <v>0</v>
      </c>
      <c r="H18" s="45">
        <v>0</v>
      </c>
      <c r="I18" s="45">
        <v>0</v>
      </c>
      <c r="J18" s="45">
        <v>0</v>
      </c>
      <c r="K18" s="46"/>
      <c r="L18" s="47" t="s">
        <v>170</v>
      </c>
      <c r="M18" s="47" t="s">
        <v>170</v>
      </c>
    </row>
    <row r="19" spans="1:13" ht="13.5" customHeight="1">
      <c r="A19" s="454" t="s">
        <v>1055</v>
      </c>
      <c r="B19" s="42" t="s">
        <v>171</v>
      </c>
      <c r="C19" s="81">
        <v>0</v>
      </c>
      <c r="D19" s="81">
        <v>0.68400000000000005</v>
      </c>
      <c r="E19" s="45">
        <v>0.64400000000000002</v>
      </c>
      <c r="F19" s="45">
        <v>0.625</v>
      </c>
      <c r="G19" s="45">
        <v>0.59499999999999997</v>
      </c>
      <c r="H19" s="45">
        <v>0.56599999999999995</v>
      </c>
      <c r="I19" s="45">
        <v>1.59</v>
      </c>
      <c r="J19" s="45">
        <v>1.27</v>
      </c>
      <c r="K19" s="46"/>
      <c r="L19" s="47" t="s">
        <v>170</v>
      </c>
      <c r="M19" s="47">
        <v>-0.86</v>
      </c>
    </row>
    <row r="20" spans="1:13" s="256" customFormat="1" ht="3" customHeight="1">
      <c r="A20" s="455"/>
      <c r="B20" s="82"/>
      <c r="C20" s="83"/>
      <c r="D20" s="83"/>
      <c r="E20" s="84"/>
      <c r="F20" s="84"/>
      <c r="G20" s="84"/>
      <c r="H20" s="84"/>
      <c r="I20" s="85"/>
      <c r="J20" s="85"/>
      <c r="K20" s="85"/>
      <c r="L20" s="85"/>
      <c r="M20" s="85"/>
    </row>
    <row r="21" spans="1:13" ht="13.5" customHeight="1">
      <c r="A21" s="454" t="s">
        <v>1057</v>
      </c>
      <c r="B21" s="37" t="s">
        <v>173</v>
      </c>
      <c r="C21" s="38">
        <v>21.16</v>
      </c>
      <c r="D21" s="38">
        <v>23.187999999999999</v>
      </c>
      <c r="E21" s="39">
        <v>21.98</v>
      </c>
      <c r="F21" s="39">
        <v>21.879000000000001</v>
      </c>
      <c r="G21" s="39">
        <v>21.817</v>
      </c>
      <c r="H21" s="39">
        <v>21.684000000000001</v>
      </c>
      <c r="I21" s="61">
        <v>100.01</v>
      </c>
      <c r="J21" s="61">
        <v>100</v>
      </c>
      <c r="K21" s="80"/>
      <c r="L21" s="63">
        <v>0.51</v>
      </c>
      <c r="M21" s="63">
        <v>-0.3</v>
      </c>
    </row>
    <row r="22" spans="1:13" ht="13.5" customHeight="1">
      <c r="A22" s="454" t="s">
        <v>1013</v>
      </c>
      <c r="B22" s="42" t="s">
        <v>165</v>
      </c>
      <c r="C22" s="81">
        <v>0.53600000000000003</v>
      </c>
      <c r="D22" s="81">
        <v>0.318</v>
      </c>
      <c r="E22" s="45">
        <v>0.18</v>
      </c>
      <c r="F22" s="45">
        <v>0.114</v>
      </c>
      <c r="G22" s="45">
        <v>7.0000000000000007E-2</v>
      </c>
      <c r="H22" s="45">
        <v>4.2999999999999997E-2</v>
      </c>
      <c r="I22" s="45">
        <v>1.37</v>
      </c>
      <c r="J22" s="45">
        <v>0.2</v>
      </c>
      <c r="K22" s="46"/>
      <c r="L22" s="47">
        <v>-2.86</v>
      </c>
      <c r="M22" s="47">
        <v>-8.7200000000000006</v>
      </c>
    </row>
    <row r="23" spans="1:13" ht="13.5" customHeight="1">
      <c r="A23" s="454" t="s">
        <v>1053</v>
      </c>
      <c r="B23" s="42" t="s">
        <v>166</v>
      </c>
      <c r="C23" s="81">
        <v>8.8810000000000002</v>
      </c>
      <c r="D23" s="81">
        <v>3.3660000000000001</v>
      </c>
      <c r="E23" s="45">
        <v>2.2370000000000001</v>
      </c>
      <c r="F23" s="45">
        <v>1.6990000000000001</v>
      </c>
      <c r="G23" s="45">
        <v>1.31</v>
      </c>
      <c r="H23" s="45">
        <v>1.016</v>
      </c>
      <c r="I23" s="45">
        <v>14.52</v>
      </c>
      <c r="J23" s="45">
        <v>4.68</v>
      </c>
      <c r="K23" s="46"/>
      <c r="L23" s="47">
        <v>-5.25</v>
      </c>
      <c r="M23" s="47">
        <v>-5.3</v>
      </c>
    </row>
    <row r="24" spans="1:13" ht="13.5" customHeight="1">
      <c r="A24" s="454" t="s">
        <v>316</v>
      </c>
      <c r="B24" s="42" t="s">
        <v>167</v>
      </c>
      <c r="C24" s="81">
        <v>7.3529999999999998</v>
      </c>
      <c r="D24" s="81">
        <v>10.9</v>
      </c>
      <c r="E24" s="45">
        <v>10.433</v>
      </c>
      <c r="F24" s="45">
        <v>10.444000000000001</v>
      </c>
      <c r="G24" s="45">
        <v>10.455</v>
      </c>
      <c r="H24" s="45">
        <v>10.427</v>
      </c>
      <c r="I24" s="45">
        <v>47.01</v>
      </c>
      <c r="J24" s="45">
        <v>48.09</v>
      </c>
      <c r="K24" s="46"/>
      <c r="L24" s="47">
        <v>2.21</v>
      </c>
      <c r="M24" s="47">
        <v>-0.2</v>
      </c>
    </row>
    <row r="25" spans="1:13" ht="13.5" customHeight="1">
      <c r="A25" s="454" t="s">
        <v>355</v>
      </c>
      <c r="B25" s="42" t="s">
        <v>168</v>
      </c>
      <c r="C25" s="81">
        <v>3.1909999999999998</v>
      </c>
      <c r="D25" s="81">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454" t="s">
        <v>1054</v>
      </c>
      <c r="B26" s="42" t="s">
        <v>169</v>
      </c>
      <c r="C26" s="81">
        <v>1.0840000000000001</v>
      </c>
      <c r="D26" s="81">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454" t="s">
        <v>1055</v>
      </c>
      <c r="B27" s="42" t="s">
        <v>171</v>
      </c>
      <c r="C27" s="81">
        <v>0.115</v>
      </c>
      <c r="D27" s="81">
        <v>0.27500000000000002</v>
      </c>
      <c r="E27" s="45">
        <v>0.48799999999999999</v>
      </c>
      <c r="F27" s="45">
        <v>0.63700000000000001</v>
      </c>
      <c r="G27" s="45">
        <v>0.753</v>
      </c>
      <c r="H27" s="45">
        <v>0.82599999999999996</v>
      </c>
      <c r="I27" s="45">
        <v>1.19</v>
      </c>
      <c r="J27" s="45">
        <v>3.81</v>
      </c>
      <c r="K27" s="46"/>
      <c r="L27" s="47">
        <v>4.96</v>
      </c>
      <c r="M27" s="47">
        <v>5.12</v>
      </c>
    </row>
    <row r="28" spans="1:13" s="256" customFormat="1" ht="3" customHeight="1">
      <c r="A28" s="455"/>
      <c r="B28" s="82"/>
      <c r="C28" s="83"/>
      <c r="D28" s="83"/>
      <c r="E28" s="84"/>
      <c r="F28" s="84"/>
      <c r="G28" s="84"/>
      <c r="H28" s="84"/>
      <c r="I28" s="85"/>
      <c r="J28" s="85"/>
      <c r="K28" s="85"/>
      <c r="L28" s="85"/>
      <c r="M28" s="85"/>
    </row>
    <row r="29" spans="1:13" ht="13.5" customHeight="1">
      <c r="A29" s="454" t="s">
        <v>1058</v>
      </c>
      <c r="B29" s="37" t="s">
        <v>174</v>
      </c>
      <c r="C29" s="38">
        <v>13.616</v>
      </c>
      <c r="D29" s="38">
        <v>25.498000000000001</v>
      </c>
      <c r="E29" s="39">
        <v>28.228000000000002</v>
      </c>
      <c r="F29" s="39">
        <v>30.004000000000001</v>
      </c>
      <c r="G29" s="39">
        <v>31.234999999999999</v>
      </c>
      <c r="H29" s="39">
        <v>32.037999999999997</v>
      </c>
      <c r="I29" s="61">
        <v>100.00000000000001</v>
      </c>
      <c r="J29" s="61">
        <v>99.990000000000009</v>
      </c>
      <c r="K29" s="80"/>
      <c r="L29" s="63">
        <v>3.55</v>
      </c>
      <c r="M29" s="63">
        <v>1.04</v>
      </c>
    </row>
    <row r="30" spans="1:13" ht="13.5" customHeight="1">
      <c r="A30" s="454" t="s">
        <v>1013</v>
      </c>
      <c r="B30" s="42" t="s">
        <v>165</v>
      </c>
      <c r="C30" s="81">
        <v>0</v>
      </c>
      <c r="D30" s="81">
        <v>0.113</v>
      </c>
      <c r="E30" s="45">
        <v>0.104</v>
      </c>
      <c r="F30" s="45">
        <v>9.9000000000000005E-2</v>
      </c>
      <c r="G30" s="45">
        <v>9.4E-2</v>
      </c>
      <c r="H30" s="45">
        <v>0.09</v>
      </c>
      <c r="I30" s="45">
        <v>0.44</v>
      </c>
      <c r="J30" s="45">
        <v>0.28000000000000003</v>
      </c>
      <c r="K30" s="46"/>
      <c r="L30" s="47" t="s">
        <v>170</v>
      </c>
      <c r="M30" s="47">
        <v>-1.05</v>
      </c>
    </row>
    <row r="31" spans="1:13" ht="13.5" customHeight="1">
      <c r="A31" s="454" t="s">
        <v>1053</v>
      </c>
      <c r="B31" s="42" t="s">
        <v>166</v>
      </c>
      <c r="C31" s="81">
        <v>5.6669999999999998</v>
      </c>
      <c r="D31" s="81">
        <v>3.3879999999999999</v>
      </c>
      <c r="E31" s="45">
        <v>2.302</v>
      </c>
      <c r="F31" s="45">
        <v>1.986</v>
      </c>
      <c r="G31" s="45">
        <v>1.704</v>
      </c>
      <c r="H31" s="45">
        <v>1.4950000000000001</v>
      </c>
      <c r="I31" s="45">
        <v>13.29</v>
      </c>
      <c r="J31" s="45">
        <v>4.66</v>
      </c>
      <c r="K31" s="46"/>
      <c r="L31" s="47">
        <v>-2.82</v>
      </c>
      <c r="M31" s="47">
        <v>-3.65</v>
      </c>
    </row>
    <row r="32" spans="1:13" ht="13.5" customHeight="1">
      <c r="A32" s="454" t="s">
        <v>316</v>
      </c>
      <c r="B32" s="42" t="s">
        <v>167</v>
      </c>
      <c r="C32" s="81">
        <v>1.9</v>
      </c>
      <c r="D32" s="81">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454" t="s">
        <v>355</v>
      </c>
      <c r="B33" s="42" t="s">
        <v>168</v>
      </c>
      <c r="C33" s="81">
        <v>5.86</v>
      </c>
      <c r="D33" s="81">
        <v>14.516</v>
      </c>
      <c r="E33" s="45">
        <v>16.369</v>
      </c>
      <c r="F33" s="45">
        <v>17.687999999999999</v>
      </c>
      <c r="G33" s="45">
        <v>18.648</v>
      </c>
      <c r="H33" s="45">
        <v>19.315000000000001</v>
      </c>
      <c r="I33" s="45">
        <v>56.93</v>
      </c>
      <c r="J33" s="45">
        <v>60.29</v>
      </c>
      <c r="K33" s="46"/>
      <c r="L33" s="47">
        <v>5.17</v>
      </c>
      <c r="M33" s="47">
        <v>1.31</v>
      </c>
    </row>
    <row r="34" spans="1:13" ht="13.5" customHeight="1">
      <c r="A34" s="454" t="s">
        <v>1054</v>
      </c>
      <c r="B34" s="42" t="s">
        <v>169</v>
      </c>
      <c r="C34" s="81">
        <v>8.3000000000000004E-2</v>
      </c>
      <c r="D34" s="81">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456" t="s">
        <v>1055</v>
      </c>
      <c r="B35" s="42" t="s">
        <v>171</v>
      </c>
      <c r="C35" s="81">
        <v>0.107</v>
      </c>
      <c r="D35" s="81">
        <v>3.274</v>
      </c>
      <c r="E35" s="45">
        <v>3.7959999999999998</v>
      </c>
      <c r="F35" s="45">
        <v>4.0739999999999998</v>
      </c>
      <c r="G35" s="45">
        <v>4.2590000000000003</v>
      </c>
      <c r="H35" s="45">
        <v>4.3540000000000001</v>
      </c>
      <c r="I35" s="45">
        <v>12.84</v>
      </c>
      <c r="J35" s="45">
        <v>13.59</v>
      </c>
      <c r="K35" s="46"/>
      <c r="L35" s="47">
        <v>20.93</v>
      </c>
      <c r="M35" s="47">
        <v>1.3</v>
      </c>
    </row>
    <row r="36" spans="1:13">
      <c r="I36" s="257"/>
      <c r="J36" s="257"/>
      <c r="K36" s="258"/>
      <c r="L36" s="257"/>
      <c r="M36" s="257"/>
    </row>
    <row r="37" spans="1:13">
      <c r="B37" s="493" t="s">
        <v>1059</v>
      </c>
      <c r="C37" s="494"/>
      <c r="D37" s="494"/>
      <c r="E37" s="494"/>
      <c r="F37" s="494"/>
      <c r="G37" s="494"/>
      <c r="H37" s="494"/>
      <c r="I37" s="494"/>
      <c r="J37" s="494"/>
      <c r="K37" s="494"/>
      <c r="L37" s="257"/>
      <c r="M37" s="257"/>
    </row>
    <row r="38" spans="1:13" ht="17.100000000000001" customHeight="1">
      <c r="B38" s="500" t="s">
        <v>159</v>
      </c>
      <c r="C38" s="500"/>
      <c r="D38" s="500"/>
      <c r="E38" s="500"/>
      <c r="F38" s="500"/>
      <c r="G38" s="500"/>
      <c r="H38" s="500"/>
      <c r="I38" s="500"/>
      <c r="J38" s="500"/>
      <c r="K38" s="500"/>
      <c r="L38" s="257"/>
      <c r="M38" s="257"/>
    </row>
    <row r="39" spans="1:13">
      <c r="B39" s="31"/>
      <c r="C39" s="32"/>
      <c r="D39" s="32"/>
      <c r="E39" s="32"/>
      <c r="F39" s="32"/>
      <c r="G39" s="32"/>
      <c r="H39" s="495" t="s">
        <v>160</v>
      </c>
      <c r="I39" s="495"/>
      <c r="J39" s="495" t="s">
        <v>161</v>
      </c>
      <c r="K39" s="495"/>
      <c r="L39" s="257"/>
      <c r="M39" s="257"/>
    </row>
    <row r="40" spans="1:13" ht="17.100000000000001" customHeight="1">
      <c r="B40" s="31"/>
      <c r="C40" s="34">
        <v>2000</v>
      </c>
      <c r="D40" s="34">
        <v>2022</v>
      </c>
      <c r="E40" s="34">
        <v>2030</v>
      </c>
      <c r="F40" s="34">
        <v>2040</v>
      </c>
      <c r="G40" s="34">
        <v>2050</v>
      </c>
      <c r="H40" s="35">
        <v>2022</v>
      </c>
      <c r="I40" s="35">
        <v>2050</v>
      </c>
      <c r="J40" s="35" t="s">
        <v>175</v>
      </c>
      <c r="K40" s="35" t="s">
        <v>176</v>
      </c>
      <c r="L40" s="257"/>
      <c r="M40" s="257"/>
    </row>
    <row r="41" spans="1:13">
      <c r="A41" s="454" t="s">
        <v>447</v>
      </c>
      <c r="B41" s="37" t="s">
        <v>164</v>
      </c>
      <c r="C41" s="38">
        <v>79.698999999999998</v>
      </c>
      <c r="D41" s="38">
        <v>128.422</v>
      </c>
      <c r="E41" s="39">
        <v>141.85400000000001</v>
      </c>
      <c r="F41" s="39">
        <v>148.006</v>
      </c>
      <c r="G41" s="39">
        <v>147.58600000000001</v>
      </c>
      <c r="H41" s="61">
        <v>100.00999999999999</v>
      </c>
      <c r="I41" s="61">
        <v>100</v>
      </c>
      <c r="J41" s="63">
        <v>2.19</v>
      </c>
      <c r="K41" s="63">
        <v>0.5</v>
      </c>
      <c r="L41" s="257"/>
      <c r="M41" s="257"/>
    </row>
    <row r="42" spans="1:13">
      <c r="A42" s="454" t="s">
        <v>1013</v>
      </c>
      <c r="B42" s="42" t="s">
        <v>165</v>
      </c>
      <c r="C42" s="81">
        <v>20.745999999999999</v>
      </c>
      <c r="D42" s="81">
        <v>29.789000000000001</v>
      </c>
      <c r="E42" s="45">
        <v>31.923999999999999</v>
      </c>
      <c r="F42" s="45">
        <v>29.763000000000002</v>
      </c>
      <c r="G42" s="45">
        <v>26.777999999999999</v>
      </c>
      <c r="H42" s="45">
        <v>23.2</v>
      </c>
      <c r="I42" s="45">
        <v>18.14</v>
      </c>
      <c r="J42" s="47">
        <v>1.66</v>
      </c>
      <c r="K42" s="47">
        <v>-0.38</v>
      </c>
      <c r="L42" s="257"/>
      <c r="M42" s="257"/>
    </row>
    <row r="43" spans="1:13">
      <c r="A43" s="454" t="s">
        <v>1053</v>
      </c>
      <c r="B43" s="42" t="s">
        <v>166</v>
      </c>
      <c r="C43" s="81">
        <v>44.420999999999999</v>
      </c>
      <c r="D43" s="81">
        <v>60.481000000000002</v>
      </c>
      <c r="E43" s="45">
        <v>65.015000000000001</v>
      </c>
      <c r="F43" s="45">
        <v>67.849999999999994</v>
      </c>
      <c r="G43" s="45">
        <v>68.837000000000003</v>
      </c>
      <c r="H43" s="45">
        <v>47.1</v>
      </c>
      <c r="I43" s="45">
        <v>46.64</v>
      </c>
      <c r="J43" s="47">
        <v>1.41</v>
      </c>
      <c r="K43" s="47">
        <v>0.46</v>
      </c>
      <c r="L43" s="257"/>
      <c r="M43" s="257"/>
    </row>
    <row r="44" spans="1:13">
      <c r="A44" s="454" t="s">
        <v>316</v>
      </c>
      <c r="B44" s="42" t="s">
        <v>167</v>
      </c>
      <c r="C44" s="81">
        <v>3.516</v>
      </c>
      <c r="D44" s="81">
        <v>10.010999999999999</v>
      </c>
      <c r="E44" s="45">
        <v>12.151</v>
      </c>
      <c r="F44" s="45">
        <v>14.108000000000001</v>
      </c>
      <c r="G44" s="45">
        <v>14.766999999999999</v>
      </c>
      <c r="H44" s="45">
        <v>7.8</v>
      </c>
      <c r="I44" s="45">
        <v>10.01</v>
      </c>
      <c r="J44" s="47">
        <v>4.87</v>
      </c>
      <c r="K44" s="47">
        <v>1.4</v>
      </c>
      <c r="L44" s="257"/>
      <c r="M44" s="257"/>
    </row>
    <row r="45" spans="1:13">
      <c r="A45" s="454" t="s">
        <v>355</v>
      </c>
      <c r="B45" s="42" t="s">
        <v>168</v>
      </c>
      <c r="C45" s="81">
        <v>11.016999999999999</v>
      </c>
      <c r="D45" s="81">
        <v>23.57</v>
      </c>
      <c r="E45" s="45">
        <v>27.631</v>
      </c>
      <c r="F45" s="45">
        <v>30.23</v>
      </c>
      <c r="G45" s="45">
        <v>30.279</v>
      </c>
      <c r="H45" s="45">
        <v>18.350000000000001</v>
      </c>
      <c r="I45" s="45">
        <v>20.52</v>
      </c>
      <c r="J45" s="47">
        <v>3.52</v>
      </c>
      <c r="K45" s="47">
        <v>0.9</v>
      </c>
      <c r="L45" s="257"/>
      <c r="M45" s="257"/>
    </row>
    <row r="46" spans="1:13">
      <c r="A46" s="454" t="s">
        <v>1054</v>
      </c>
      <c r="B46" s="42" t="s">
        <v>169</v>
      </c>
      <c r="C46" s="81">
        <v>0</v>
      </c>
      <c r="D46" s="81">
        <v>0</v>
      </c>
      <c r="E46" s="45">
        <v>0</v>
      </c>
      <c r="F46" s="45">
        <v>0</v>
      </c>
      <c r="G46" s="45">
        <v>0</v>
      </c>
      <c r="H46" s="45">
        <v>0</v>
      </c>
      <c r="I46" s="45">
        <v>0</v>
      </c>
      <c r="J46" s="47" t="s">
        <v>170</v>
      </c>
      <c r="K46" s="47" t="s">
        <v>170</v>
      </c>
      <c r="L46" s="257"/>
      <c r="M46" s="257"/>
    </row>
    <row r="47" spans="1:13">
      <c r="A47" s="454" t="s">
        <v>1055</v>
      </c>
      <c r="B47" s="42" t="s">
        <v>171</v>
      </c>
      <c r="C47" s="81">
        <v>0</v>
      </c>
      <c r="D47" s="81">
        <v>4.5709999999999997</v>
      </c>
      <c r="E47" s="45">
        <v>5.1340000000000003</v>
      </c>
      <c r="F47" s="45">
        <v>6.056</v>
      </c>
      <c r="G47" s="45">
        <v>6.9249999999999998</v>
      </c>
      <c r="H47" s="45">
        <v>3.56</v>
      </c>
      <c r="I47" s="45">
        <v>4.6900000000000004</v>
      </c>
      <c r="J47" s="47">
        <v>56.84</v>
      </c>
      <c r="K47" s="47">
        <v>1.49</v>
      </c>
      <c r="L47" s="257"/>
      <c r="M47" s="257"/>
    </row>
    <row r="48" spans="1:13">
      <c r="A48" s="455"/>
      <c r="B48" s="82"/>
      <c r="C48" s="83"/>
      <c r="D48" s="83"/>
      <c r="E48" s="84"/>
      <c r="F48" s="84"/>
      <c r="G48" s="84"/>
      <c r="H48" s="85"/>
      <c r="I48" s="85"/>
      <c r="J48" s="85"/>
      <c r="K48" s="85"/>
      <c r="L48" s="257"/>
      <c r="M48" s="257"/>
    </row>
    <row r="49" spans="1:13">
      <c r="A49" s="454" t="s">
        <v>1056</v>
      </c>
      <c r="B49" s="37" t="s">
        <v>172</v>
      </c>
      <c r="C49" s="38">
        <v>25.007000000000001</v>
      </c>
      <c r="D49" s="38">
        <v>36.290999999999997</v>
      </c>
      <c r="E49" s="39">
        <v>32.732999999999997</v>
      </c>
      <c r="F49" s="39">
        <v>26.838999999999999</v>
      </c>
      <c r="G49" s="39">
        <v>19.858000000000001</v>
      </c>
      <c r="H49" s="61">
        <v>100</v>
      </c>
      <c r="I49" s="61">
        <v>100.00000000000001</v>
      </c>
      <c r="J49" s="63">
        <v>1.71</v>
      </c>
      <c r="K49" s="63">
        <v>-2.13</v>
      </c>
      <c r="L49" s="257"/>
      <c r="M49" s="257"/>
    </row>
    <row r="50" spans="1:13">
      <c r="A50" s="454" t="s">
        <v>1013</v>
      </c>
      <c r="B50" s="42" t="s">
        <v>165</v>
      </c>
      <c r="C50" s="81">
        <v>0</v>
      </c>
      <c r="D50" s="81">
        <v>0</v>
      </c>
      <c r="E50" s="45">
        <v>0</v>
      </c>
      <c r="F50" s="45">
        <v>0</v>
      </c>
      <c r="G50" s="45">
        <v>0</v>
      </c>
      <c r="H50" s="45">
        <v>0</v>
      </c>
      <c r="I50" s="45">
        <v>0</v>
      </c>
      <c r="J50" s="47" t="s">
        <v>170</v>
      </c>
      <c r="K50" s="47" t="s">
        <v>170</v>
      </c>
      <c r="L50" s="257"/>
      <c r="M50" s="257"/>
    </row>
    <row r="51" spans="1:13">
      <c r="A51" s="454" t="s">
        <v>1053</v>
      </c>
      <c r="B51" s="42" t="s">
        <v>166</v>
      </c>
      <c r="C51" s="81">
        <v>24.832000000000001</v>
      </c>
      <c r="D51" s="81">
        <v>34.238</v>
      </c>
      <c r="E51" s="45">
        <v>29.847999999999999</v>
      </c>
      <c r="F51" s="45">
        <v>23.436</v>
      </c>
      <c r="G51" s="45">
        <v>15.898999999999999</v>
      </c>
      <c r="H51" s="45">
        <v>94.34</v>
      </c>
      <c r="I51" s="45">
        <v>80.06</v>
      </c>
      <c r="J51" s="47">
        <v>1.47</v>
      </c>
      <c r="K51" s="47">
        <v>-2.7</v>
      </c>
      <c r="L51" s="257"/>
      <c r="M51" s="257"/>
    </row>
    <row r="52" spans="1:13">
      <c r="A52" s="454" t="s">
        <v>316</v>
      </c>
      <c r="B52" s="42" t="s">
        <v>167</v>
      </c>
      <c r="C52" s="81">
        <v>0</v>
      </c>
      <c r="D52" s="81">
        <v>1.0249999999999999</v>
      </c>
      <c r="E52" s="45">
        <v>1.419</v>
      </c>
      <c r="F52" s="45">
        <v>0.79100000000000004</v>
      </c>
      <c r="G52" s="45">
        <v>0.129</v>
      </c>
      <c r="H52" s="45">
        <v>2.83</v>
      </c>
      <c r="I52" s="45">
        <v>0.65</v>
      </c>
      <c r="J52" s="47" t="s">
        <v>170</v>
      </c>
      <c r="K52" s="47">
        <v>-7.13</v>
      </c>
      <c r="L52" s="257"/>
      <c r="M52" s="257"/>
    </row>
    <row r="53" spans="1:13">
      <c r="A53" s="454" t="s">
        <v>355</v>
      </c>
      <c r="B53" s="42" t="s">
        <v>168</v>
      </c>
      <c r="C53" s="81">
        <v>0.17499999999999999</v>
      </c>
      <c r="D53" s="81">
        <v>0.34599999999999997</v>
      </c>
      <c r="E53" s="45">
        <v>0.76900000000000002</v>
      </c>
      <c r="F53" s="45">
        <v>1.0309999999999999</v>
      </c>
      <c r="G53" s="45">
        <v>1.2689999999999999</v>
      </c>
      <c r="H53" s="45">
        <v>0.95</v>
      </c>
      <c r="I53" s="45">
        <v>6.39</v>
      </c>
      <c r="J53" s="47">
        <v>3.14</v>
      </c>
      <c r="K53" s="47">
        <v>4.75</v>
      </c>
      <c r="L53" s="257"/>
      <c r="M53" s="257"/>
    </row>
    <row r="54" spans="1:13">
      <c r="A54" s="454" t="s">
        <v>1054</v>
      </c>
      <c r="B54" s="42" t="s">
        <v>169</v>
      </c>
      <c r="C54" s="81">
        <v>0</v>
      </c>
      <c r="D54" s="81">
        <v>0</v>
      </c>
      <c r="E54" s="45">
        <v>0</v>
      </c>
      <c r="F54" s="45">
        <v>0</v>
      </c>
      <c r="G54" s="45">
        <v>0</v>
      </c>
      <c r="H54" s="45">
        <v>0</v>
      </c>
      <c r="I54" s="45">
        <v>0</v>
      </c>
      <c r="J54" s="47" t="s">
        <v>170</v>
      </c>
      <c r="K54" s="47" t="s">
        <v>170</v>
      </c>
      <c r="L54" s="257"/>
      <c r="M54" s="257"/>
    </row>
    <row r="55" spans="1:13">
      <c r="A55" s="454" t="s">
        <v>1055</v>
      </c>
      <c r="B55" s="42" t="s">
        <v>171</v>
      </c>
      <c r="C55" s="81">
        <v>0</v>
      </c>
      <c r="D55" s="81">
        <v>0.68200000000000005</v>
      </c>
      <c r="E55" s="45">
        <v>0.69599999999999995</v>
      </c>
      <c r="F55" s="45">
        <v>1.581</v>
      </c>
      <c r="G55" s="45">
        <v>2.5609999999999999</v>
      </c>
      <c r="H55" s="45">
        <v>1.88</v>
      </c>
      <c r="I55" s="45">
        <v>12.9</v>
      </c>
      <c r="J55" s="47" t="s">
        <v>170</v>
      </c>
      <c r="K55" s="47">
        <v>4.84</v>
      </c>
      <c r="L55" s="257"/>
      <c r="M55" s="257"/>
    </row>
    <row r="56" spans="1:13">
      <c r="A56" s="455"/>
      <c r="B56" s="82"/>
      <c r="C56" s="83"/>
      <c r="D56" s="83"/>
      <c r="E56" s="84"/>
      <c r="F56" s="84"/>
      <c r="G56" s="84"/>
      <c r="H56" s="85"/>
      <c r="I56" s="85"/>
      <c r="J56" s="85"/>
      <c r="K56" s="85"/>
      <c r="L56" s="257"/>
      <c r="M56" s="257"/>
    </row>
    <row r="57" spans="1:13">
      <c r="A57" s="454" t="s">
        <v>1057</v>
      </c>
      <c r="B57" s="37" t="s">
        <v>173</v>
      </c>
      <c r="C57" s="38">
        <v>16.283999999999999</v>
      </c>
      <c r="D57" s="38">
        <v>23.216000000000001</v>
      </c>
      <c r="E57" s="39">
        <v>22.286000000000001</v>
      </c>
      <c r="F57" s="39">
        <v>21.759</v>
      </c>
      <c r="G57" s="39">
        <v>20.521999999999998</v>
      </c>
      <c r="H57" s="61">
        <v>99.999999999999986</v>
      </c>
      <c r="I57" s="61">
        <v>99.990000000000009</v>
      </c>
      <c r="J57" s="63">
        <v>1.63</v>
      </c>
      <c r="K57" s="63">
        <v>-0.44</v>
      </c>
      <c r="L57" s="257"/>
      <c r="M57" s="257"/>
    </row>
    <row r="58" spans="1:13">
      <c r="A58" s="454" t="s">
        <v>1013</v>
      </c>
      <c r="B58" s="42" t="s">
        <v>165</v>
      </c>
      <c r="C58" s="81">
        <v>0.45</v>
      </c>
      <c r="D58" s="81">
        <v>0.182</v>
      </c>
      <c r="E58" s="45">
        <v>0.05</v>
      </c>
      <c r="F58" s="45">
        <v>1.4999999999999999E-2</v>
      </c>
      <c r="G58" s="45">
        <v>4.0000000000000001E-3</v>
      </c>
      <c r="H58" s="45">
        <v>0.78</v>
      </c>
      <c r="I58" s="45">
        <v>0.02</v>
      </c>
      <c r="J58" s="47">
        <v>-4.03</v>
      </c>
      <c r="K58" s="47">
        <v>-12.57</v>
      </c>
      <c r="L58" s="257"/>
      <c r="M58" s="257"/>
    </row>
    <row r="59" spans="1:13">
      <c r="A59" s="454" t="s">
        <v>1053</v>
      </c>
      <c r="B59" s="42" t="s">
        <v>166</v>
      </c>
      <c r="C59" s="81">
        <v>4.0990000000000002</v>
      </c>
      <c r="D59" s="81">
        <v>2.0259999999999998</v>
      </c>
      <c r="E59" s="45">
        <v>1.224</v>
      </c>
      <c r="F59" s="45">
        <v>0.89900000000000002</v>
      </c>
      <c r="G59" s="45">
        <v>0.61599999999999999</v>
      </c>
      <c r="H59" s="45">
        <v>8.73</v>
      </c>
      <c r="I59" s="45">
        <v>3</v>
      </c>
      <c r="J59" s="47">
        <v>-3.15</v>
      </c>
      <c r="K59" s="47">
        <v>-4.16</v>
      </c>
      <c r="L59" s="257"/>
      <c r="M59" s="257"/>
    </row>
    <row r="60" spans="1:13">
      <c r="A60" s="454" t="s">
        <v>316</v>
      </c>
      <c r="B60" s="42" t="s">
        <v>167</v>
      </c>
      <c r="C60" s="81">
        <v>7.3529999999999998</v>
      </c>
      <c r="D60" s="81">
        <v>11.468999999999999</v>
      </c>
      <c r="E60" s="45">
        <v>10.622999999999999</v>
      </c>
      <c r="F60" s="45">
        <v>10.084</v>
      </c>
      <c r="G60" s="45">
        <v>9.2029999999999994</v>
      </c>
      <c r="H60" s="45">
        <v>49.4</v>
      </c>
      <c r="I60" s="45">
        <v>44.84</v>
      </c>
      <c r="J60" s="47">
        <v>2.04</v>
      </c>
      <c r="K60" s="47">
        <v>-0.78</v>
      </c>
      <c r="L60" s="257"/>
      <c r="M60" s="257"/>
    </row>
    <row r="61" spans="1:13">
      <c r="A61" s="454" t="s">
        <v>355</v>
      </c>
      <c r="B61" s="42" t="s">
        <v>168</v>
      </c>
      <c r="C61" s="81">
        <v>3.1909999999999998</v>
      </c>
      <c r="D61" s="81">
        <v>6.7560000000000002</v>
      </c>
      <c r="E61" s="45">
        <v>7.5860000000000003</v>
      </c>
      <c r="F61" s="45">
        <v>7.9029999999999996</v>
      </c>
      <c r="G61" s="45">
        <v>7.8840000000000003</v>
      </c>
      <c r="H61" s="45">
        <v>29.1</v>
      </c>
      <c r="I61" s="45">
        <v>38.42</v>
      </c>
      <c r="J61" s="47">
        <v>3.47</v>
      </c>
      <c r="K61" s="47">
        <v>0.55000000000000004</v>
      </c>
      <c r="L61" s="257"/>
      <c r="M61" s="257"/>
    </row>
    <row r="62" spans="1:13">
      <c r="A62" s="454" t="s">
        <v>1054</v>
      </c>
      <c r="B62" s="42" t="s">
        <v>169</v>
      </c>
      <c r="C62" s="81">
        <v>1.113</v>
      </c>
      <c r="D62" s="81">
        <v>2.3370000000000002</v>
      </c>
      <c r="E62" s="45">
        <v>2.363</v>
      </c>
      <c r="F62" s="45">
        <v>2.3660000000000001</v>
      </c>
      <c r="G62" s="45">
        <v>2.2890000000000001</v>
      </c>
      <c r="H62" s="45">
        <v>10.07</v>
      </c>
      <c r="I62" s="45">
        <v>11.15</v>
      </c>
      <c r="J62" s="47">
        <v>3.43</v>
      </c>
      <c r="K62" s="47">
        <v>-7.0000000000000007E-2</v>
      </c>
      <c r="L62" s="257"/>
      <c r="M62" s="257"/>
    </row>
    <row r="63" spans="1:13">
      <c r="A63" s="454" t="s">
        <v>1055</v>
      </c>
      <c r="B63" s="42" t="s">
        <v>171</v>
      </c>
      <c r="C63" s="81">
        <v>7.8E-2</v>
      </c>
      <c r="D63" s="81">
        <v>0.44500000000000001</v>
      </c>
      <c r="E63" s="45">
        <v>0.44</v>
      </c>
      <c r="F63" s="45">
        <v>0.49299999999999999</v>
      </c>
      <c r="G63" s="45">
        <v>0.52600000000000002</v>
      </c>
      <c r="H63" s="45">
        <v>1.92</v>
      </c>
      <c r="I63" s="45">
        <v>2.56</v>
      </c>
      <c r="J63" s="47">
        <v>8.25</v>
      </c>
      <c r="K63" s="47">
        <v>0.6</v>
      </c>
      <c r="L63" s="257"/>
      <c r="M63" s="257"/>
    </row>
    <row r="64" spans="1:13">
      <c r="A64" s="455"/>
      <c r="B64" s="82"/>
      <c r="C64" s="83"/>
      <c r="D64" s="83"/>
      <c r="E64" s="84"/>
      <c r="F64" s="84"/>
      <c r="G64" s="84"/>
      <c r="H64" s="85"/>
      <c r="I64" s="85"/>
      <c r="J64" s="85"/>
      <c r="K64" s="85"/>
      <c r="L64" s="257"/>
      <c r="M64" s="257"/>
    </row>
    <row r="65" spans="1:13">
      <c r="A65" s="454" t="s">
        <v>1058</v>
      </c>
      <c r="B65" s="37" t="s">
        <v>174</v>
      </c>
      <c r="C65" s="38">
        <v>18.704000000000001</v>
      </c>
      <c r="D65" s="38">
        <v>24.222000000000001</v>
      </c>
      <c r="E65" s="39">
        <v>27.937000000000001</v>
      </c>
      <c r="F65" s="39">
        <v>31.367999999999999</v>
      </c>
      <c r="G65" s="39">
        <v>31.818999999999999</v>
      </c>
      <c r="H65" s="61">
        <v>100</v>
      </c>
      <c r="I65" s="61">
        <v>100</v>
      </c>
      <c r="J65" s="63">
        <v>1.18</v>
      </c>
      <c r="K65" s="63">
        <v>0.98</v>
      </c>
      <c r="L65" s="257"/>
      <c r="M65" s="257"/>
    </row>
    <row r="66" spans="1:13">
      <c r="A66" s="454" t="s">
        <v>1013</v>
      </c>
      <c r="B66" s="42" t="s">
        <v>165</v>
      </c>
      <c r="C66" s="81">
        <v>2.1000000000000001E-2</v>
      </c>
      <c r="D66" s="81">
        <v>1.7000000000000001E-2</v>
      </c>
      <c r="E66" s="45">
        <v>0.01</v>
      </c>
      <c r="F66" s="45">
        <v>4.0000000000000001E-3</v>
      </c>
      <c r="G66" s="45">
        <v>1E-3</v>
      </c>
      <c r="H66" s="45">
        <v>7.0000000000000007E-2</v>
      </c>
      <c r="I66" s="45">
        <v>0</v>
      </c>
      <c r="J66" s="47">
        <v>-0.91</v>
      </c>
      <c r="K66" s="47">
        <v>-8.7100000000000009</v>
      </c>
      <c r="L66" s="257"/>
      <c r="M66" s="257"/>
    </row>
    <row r="67" spans="1:13">
      <c r="A67" s="454" t="s">
        <v>1053</v>
      </c>
      <c r="B67" s="42" t="s">
        <v>166</v>
      </c>
      <c r="C67" s="81">
        <v>10.449</v>
      </c>
      <c r="D67" s="81">
        <v>3.29</v>
      </c>
      <c r="E67" s="45">
        <v>2.4670000000000001</v>
      </c>
      <c r="F67" s="45">
        <v>1.5109999999999999</v>
      </c>
      <c r="G67" s="45">
        <v>0.82899999999999996</v>
      </c>
      <c r="H67" s="45">
        <v>13.58</v>
      </c>
      <c r="I67" s="45">
        <v>2.61</v>
      </c>
      <c r="J67" s="47">
        <v>-5.12</v>
      </c>
      <c r="K67" s="47">
        <v>-4.8</v>
      </c>
      <c r="L67" s="257"/>
      <c r="M67" s="257"/>
    </row>
    <row r="68" spans="1:13">
      <c r="A68" s="454" t="s">
        <v>316</v>
      </c>
      <c r="B68" s="42" t="s">
        <v>167</v>
      </c>
      <c r="C68" s="81">
        <v>1.849</v>
      </c>
      <c r="D68" s="81">
        <v>3.5579999999999998</v>
      </c>
      <c r="E68" s="45">
        <v>4.5839999999999996</v>
      </c>
      <c r="F68" s="45">
        <v>5.6710000000000003</v>
      </c>
      <c r="G68" s="45">
        <v>6.1449999999999996</v>
      </c>
      <c r="H68" s="45">
        <v>14.69</v>
      </c>
      <c r="I68" s="45">
        <v>19.309999999999999</v>
      </c>
      <c r="J68" s="47">
        <v>3.02</v>
      </c>
      <c r="K68" s="47">
        <v>1.97</v>
      </c>
      <c r="L68" s="257"/>
      <c r="M68" s="257"/>
    </row>
    <row r="69" spans="1:13">
      <c r="A69" s="454" t="s">
        <v>355</v>
      </c>
      <c r="B69" s="42" t="s">
        <v>168</v>
      </c>
      <c r="C69" s="81">
        <v>5.86</v>
      </c>
      <c r="D69" s="81">
        <v>15.367000000000001</v>
      </c>
      <c r="E69" s="45">
        <v>17.562999999999999</v>
      </c>
      <c r="F69" s="45">
        <v>19.125</v>
      </c>
      <c r="G69" s="45">
        <v>19.018000000000001</v>
      </c>
      <c r="H69" s="45">
        <v>63.44</v>
      </c>
      <c r="I69" s="45">
        <v>59.77</v>
      </c>
      <c r="J69" s="47">
        <v>4.4800000000000004</v>
      </c>
      <c r="K69" s="47">
        <v>0.76</v>
      </c>
      <c r="L69" s="257"/>
      <c r="M69" s="257"/>
    </row>
    <row r="70" spans="1:13">
      <c r="A70" s="454" t="s">
        <v>1054</v>
      </c>
      <c r="B70" s="42" t="s">
        <v>169</v>
      </c>
      <c r="C70" s="81">
        <v>9.5000000000000001E-2</v>
      </c>
      <c r="D70" s="81">
        <v>0.53500000000000003</v>
      </c>
      <c r="E70" s="45">
        <v>0.64</v>
      </c>
      <c r="F70" s="45">
        <v>0.79800000000000004</v>
      </c>
      <c r="G70" s="45">
        <v>0.88700000000000001</v>
      </c>
      <c r="H70" s="45">
        <v>2.21</v>
      </c>
      <c r="I70" s="45">
        <v>2.79</v>
      </c>
      <c r="J70" s="47">
        <v>8.17</v>
      </c>
      <c r="K70" s="47">
        <v>1.82</v>
      </c>
      <c r="L70" s="257"/>
      <c r="M70" s="257"/>
    </row>
    <row r="71" spans="1:13" ht="17.25" thickBot="1">
      <c r="A71" s="456" t="s">
        <v>1055</v>
      </c>
      <c r="B71" s="42" t="s">
        <v>171</v>
      </c>
      <c r="C71" s="81">
        <v>0.43</v>
      </c>
      <c r="D71" s="81">
        <v>1.4550000000000001</v>
      </c>
      <c r="E71" s="45">
        <v>2.673</v>
      </c>
      <c r="F71" s="45">
        <v>4.258</v>
      </c>
      <c r="G71" s="45">
        <v>4.9400000000000004</v>
      </c>
      <c r="H71" s="45">
        <v>6.01</v>
      </c>
      <c r="I71" s="45">
        <v>15.52</v>
      </c>
      <c r="J71" s="47">
        <v>5.69</v>
      </c>
      <c r="K71" s="47">
        <v>4.46</v>
      </c>
      <c r="L71" s="257"/>
      <c r="M71" s="257"/>
    </row>
    <row r="72" spans="1:13">
      <c r="B72" s="496" t="s">
        <v>177</v>
      </c>
      <c r="C72" s="497"/>
      <c r="D72" s="497"/>
      <c r="E72" s="497"/>
      <c r="F72" s="497"/>
      <c r="G72" s="497"/>
      <c r="H72" s="497"/>
      <c r="I72" s="497"/>
      <c r="J72" s="497"/>
      <c r="K72" s="497"/>
      <c r="L72" s="257"/>
      <c r="M72" s="257"/>
    </row>
    <row r="73" spans="1:13" ht="17.100000000000001" customHeight="1">
      <c r="I73" s="257"/>
      <c r="J73" s="257"/>
      <c r="K73" s="258"/>
      <c r="L73" s="257"/>
      <c r="M73" s="257"/>
    </row>
    <row r="74" spans="1:13">
      <c r="I74" s="257"/>
      <c r="J74" s="257"/>
      <c r="K74" s="258"/>
      <c r="L74" s="257"/>
      <c r="M74" s="257"/>
    </row>
    <row r="75" spans="1:13">
      <c r="I75" s="257"/>
      <c r="J75" s="257"/>
      <c r="K75" s="258"/>
      <c r="L75" s="257"/>
      <c r="M75" s="257"/>
    </row>
    <row r="76" spans="1:13">
      <c r="I76" s="257"/>
      <c r="J76" s="257"/>
      <c r="K76" s="258"/>
      <c r="L76" s="257"/>
      <c r="M76" s="257"/>
    </row>
    <row r="77" spans="1:13">
      <c r="I77" s="257"/>
      <c r="J77" s="257"/>
      <c r="K77" s="258"/>
      <c r="L77" s="257"/>
      <c r="M77" s="257"/>
    </row>
    <row r="78" spans="1:13">
      <c r="I78" s="257"/>
      <c r="J78" s="257"/>
      <c r="K78" s="258"/>
      <c r="L78" s="257"/>
      <c r="M78" s="257"/>
    </row>
    <row r="79" spans="1:13">
      <c r="I79" s="257"/>
      <c r="J79" s="257"/>
      <c r="K79" s="258"/>
      <c r="L79" s="257"/>
      <c r="M79" s="257"/>
    </row>
    <row r="80" spans="1:13">
      <c r="I80" s="257"/>
      <c r="J80" s="257"/>
      <c r="K80" s="258"/>
      <c r="L80" s="257"/>
      <c r="M80" s="257"/>
    </row>
    <row r="81" spans="9:13">
      <c r="I81" s="257"/>
      <c r="J81" s="257"/>
      <c r="K81" s="258"/>
      <c r="L81" s="257"/>
      <c r="M81" s="257"/>
    </row>
    <row r="82" spans="9:13">
      <c r="I82" s="257"/>
      <c r="J82" s="257"/>
      <c r="K82" s="258"/>
      <c r="L82" s="257"/>
      <c r="M82" s="257"/>
    </row>
    <row r="83" spans="9:13">
      <c r="I83" s="257"/>
      <c r="J83" s="257"/>
      <c r="K83" s="258"/>
      <c r="L83" s="257"/>
      <c r="M83" s="257"/>
    </row>
    <row r="84" spans="9:13">
      <c r="I84" s="257"/>
      <c r="J84" s="257"/>
      <c r="K84" s="258"/>
      <c r="L84" s="257"/>
      <c r="M84" s="257"/>
    </row>
    <row r="85" spans="9:13">
      <c r="I85" s="257"/>
      <c r="J85" s="257"/>
      <c r="K85" s="258"/>
      <c r="L85" s="257"/>
      <c r="M85" s="257"/>
    </row>
    <row r="86" spans="9:13">
      <c r="I86" s="257"/>
      <c r="J86" s="257"/>
      <c r="K86" s="258"/>
      <c r="L86" s="257"/>
      <c r="M86" s="257"/>
    </row>
    <row r="87" spans="9:13">
      <c r="I87" s="257"/>
      <c r="J87" s="257"/>
      <c r="K87" s="258"/>
      <c r="L87" s="257"/>
      <c r="M87" s="257"/>
    </row>
    <row r="88" spans="9:13">
      <c r="I88" s="257"/>
      <c r="J88" s="257"/>
      <c r="K88" s="258"/>
      <c r="L88" s="257"/>
      <c r="M88" s="257"/>
    </row>
    <row r="89" spans="9:13">
      <c r="I89" s="257"/>
      <c r="J89" s="257"/>
      <c r="K89" s="258"/>
      <c r="L89" s="257"/>
      <c r="M89" s="257"/>
    </row>
    <row r="90" spans="9:13">
      <c r="I90" s="257"/>
      <c r="J90" s="257"/>
      <c r="K90" s="258"/>
      <c r="L90" s="257"/>
      <c r="M90" s="257"/>
    </row>
    <row r="91" spans="9:13">
      <c r="I91" s="257"/>
      <c r="J91" s="257"/>
      <c r="K91" s="258"/>
      <c r="L91" s="257"/>
      <c r="M91" s="257"/>
    </row>
    <row r="92" spans="9:13">
      <c r="I92" s="257"/>
      <c r="J92" s="257"/>
      <c r="K92" s="258"/>
      <c r="L92" s="257"/>
      <c r="M92" s="257"/>
    </row>
    <row r="93" spans="9:13">
      <c r="I93" s="257"/>
      <c r="J93" s="257"/>
      <c r="K93" s="258"/>
      <c r="L93" s="257"/>
      <c r="M93" s="257"/>
    </row>
    <row r="94" spans="9:13">
      <c r="I94" s="257"/>
      <c r="J94" s="257"/>
      <c r="K94" s="258"/>
      <c r="L94" s="257"/>
      <c r="M94" s="257"/>
    </row>
    <row r="95" spans="9:13">
      <c r="I95" s="257"/>
      <c r="J95" s="257"/>
      <c r="K95" s="258"/>
      <c r="L95" s="257"/>
      <c r="M95" s="257"/>
    </row>
  </sheetData>
  <mergeCells count="9">
    <mergeCell ref="B37:K37"/>
    <mergeCell ref="H39:I39"/>
    <mergeCell ref="J39:K39"/>
    <mergeCell ref="B72:K72"/>
    <mergeCell ref="B1:M1"/>
    <mergeCell ref="B2:M2"/>
    <mergeCell ref="I3:J3"/>
    <mergeCell ref="L3:M3"/>
    <mergeCell ref="B38:K38"/>
  </mergeCells>
  <phoneticPr fontId="35"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AU82"/>
  <sheetViews>
    <sheetView workbookViewId="0">
      <selection activeCell="AU30" sqref="AU30"/>
    </sheetView>
  </sheetViews>
  <sheetFormatPr defaultColWidth="9.125" defaultRowHeight="16.5"/>
  <cols>
    <col min="1" max="1" width="20.5" style="30" customWidth="1"/>
    <col min="2" max="2" width="12.375" style="30" bestFit="1" customWidth="1"/>
    <col min="3" max="3" width="7.375" style="30" bestFit="1" customWidth="1" collapsed="1"/>
    <col min="4" max="4" width="7.375" style="30" bestFit="1" customWidth="1"/>
    <col min="5" max="5" width="9.375" style="30" bestFit="1" customWidth="1"/>
    <col min="6" max="6" width="7.375" style="30" bestFit="1" customWidth="1"/>
    <col min="7" max="11" width="6.5" style="30" customWidth="1"/>
    <col min="12" max="12" width="19.625" style="30" customWidth="1"/>
    <col min="13" max="13" width="14.375" style="148" customWidth="1"/>
    <col min="14" max="15" width="15.375" style="148" customWidth="1"/>
    <col min="16" max="17" width="14.375" style="148" bestFit="1" customWidth="1"/>
    <col min="18" max="18" width="9.625" style="148" customWidth="1"/>
    <col min="19" max="19" width="17.625" style="148" bestFit="1" customWidth="1"/>
    <col min="20" max="34" width="8.5" style="148" bestFit="1" customWidth="1"/>
    <col min="35" max="35" width="13" style="148" bestFit="1" customWidth="1"/>
    <col min="36" max="41" width="8.5" style="148" bestFit="1" customWidth="1"/>
    <col min="42" max="42" width="7.875" style="148" customWidth="1"/>
    <col min="43" max="46" width="8.5" style="148" bestFit="1" customWidth="1"/>
    <col min="47" max="16384" width="9.125" style="30"/>
  </cols>
  <sheetData>
    <row r="1" spans="1:47">
      <c r="N1" s="468" t="s">
        <v>1195</v>
      </c>
      <c r="O1" s="396"/>
      <c r="P1" s="396"/>
      <c r="Q1" s="396"/>
      <c r="R1" s="396"/>
      <c r="S1" s="396"/>
      <c r="T1" s="396"/>
      <c r="U1" s="396"/>
      <c r="V1" s="396"/>
      <c r="W1" s="396"/>
      <c r="X1" s="396"/>
      <c r="Y1" s="396"/>
      <c r="Z1" s="396"/>
      <c r="AA1" s="396"/>
      <c r="AB1" s="396"/>
      <c r="AC1" s="396"/>
      <c r="AD1" s="396"/>
      <c r="AE1" s="396"/>
      <c r="AF1" s="396"/>
      <c r="AG1" s="396"/>
      <c r="AH1" s="396"/>
      <c r="AI1" s="396"/>
      <c r="AJ1" s="396"/>
      <c r="AK1" s="396"/>
      <c r="AL1" s="396"/>
      <c r="AM1" s="396"/>
      <c r="AN1" s="396"/>
      <c r="AO1" s="396"/>
      <c r="AP1" s="30"/>
      <c r="AQ1" s="30"/>
      <c r="AR1" s="30"/>
      <c r="AS1" s="30"/>
      <c r="AT1" s="30"/>
    </row>
    <row r="2" spans="1:47">
      <c r="L2" s="252" t="s">
        <v>111</v>
      </c>
      <c r="M2" s="30"/>
      <c r="N2" s="396"/>
      <c r="O2" s="396"/>
      <c r="P2" s="396"/>
      <c r="Q2" s="396"/>
      <c r="R2" s="396"/>
      <c r="S2" s="396"/>
      <c r="T2" s="396"/>
      <c r="U2" s="396"/>
      <c r="V2" s="396"/>
      <c r="W2" s="396"/>
      <c r="X2" s="396"/>
      <c r="Y2" s="396"/>
      <c r="Z2" s="396"/>
      <c r="AA2" s="396"/>
      <c r="AB2" s="396"/>
      <c r="AC2" s="396"/>
      <c r="AD2" s="396"/>
      <c r="AE2" s="396"/>
      <c r="AF2" s="396"/>
      <c r="AG2" s="396"/>
      <c r="AH2" s="396"/>
      <c r="AI2" s="396"/>
      <c r="AJ2" s="396"/>
      <c r="AK2" s="396"/>
      <c r="AL2" s="396"/>
      <c r="AM2" s="396"/>
      <c r="AN2" s="396"/>
      <c r="AO2" s="396"/>
      <c r="AP2" s="30"/>
      <c r="AQ2" s="30"/>
      <c r="AR2" s="30"/>
      <c r="AS2" s="30"/>
      <c r="AT2" s="30"/>
    </row>
    <row r="3" spans="1:47">
      <c r="B3" s="486" t="s">
        <v>1196</v>
      </c>
      <c r="L3" s="448">
        <f>About!C86</f>
        <v>39656668310000</v>
      </c>
      <c r="M3" s="251" t="s">
        <v>112</v>
      </c>
      <c r="N3" s="440" t="s">
        <v>1201</v>
      </c>
      <c r="O3" s="396"/>
      <c r="P3" s="396"/>
      <c r="Q3" s="396"/>
      <c r="R3" s="396"/>
      <c r="S3" s="396"/>
      <c r="T3" s="396"/>
      <c r="U3" s="396"/>
      <c r="V3" s="396"/>
      <c r="W3" s="396"/>
      <c r="X3" s="396"/>
      <c r="Y3" s="396"/>
      <c r="Z3" s="396"/>
      <c r="AA3" s="396"/>
      <c r="AB3" s="396"/>
      <c r="AC3" s="396"/>
      <c r="AD3" s="396"/>
      <c r="AE3" s="396"/>
      <c r="AF3" s="396"/>
      <c r="AG3" s="396"/>
      <c r="AH3" s="396"/>
      <c r="AI3" s="396"/>
      <c r="AJ3" s="396"/>
      <c r="AK3" s="396"/>
      <c r="AL3" s="396"/>
      <c r="AM3" s="396"/>
      <c r="AN3" s="396"/>
      <c r="AO3" s="396"/>
      <c r="AP3" s="30"/>
      <c r="AQ3" s="30"/>
      <c r="AR3" s="30"/>
      <c r="AS3" s="30"/>
      <c r="AT3" s="30"/>
    </row>
    <row r="4" spans="1:47">
      <c r="A4" s="501" t="s">
        <v>178</v>
      </c>
      <c r="B4" s="502"/>
      <c r="C4" s="502"/>
      <c r="D4" s="502"/>
      <c r="E4" s="502"/>
      <c r="F4" s="502"/>
      <c r="G4" s="502"/>
      <c r="H4" s="502"/>
      <c r="I4" s="502"/>
      <c r="J4" s="502"/>
      <c r="M4" s="30"/>
      <c r="N4" s="440" t="s">
        <v>179</v>
      </c>
      <c r="O4" s="396"/>
      <c r="P4" s="396"/>
      <c r="Q4" s="396"/>
      <c r="R4" s="396"/>
      <c r="S4" s="396"/>
      <c r="T4" s="396"/>
      <c r="U4" s="396"/>
      <c r="V4" s="396"/>
      <c r="W4" s="396"/>
      <c r="X4" s="396"/>
      <c r="Y4" s="396"/>
      <c r="Z4" s="396"/>
      <c r="AA4" s="396"/>
      <c r="AB4" s="396"/>
      <c r="AC4" s="396"/>
      <c r="AD4" s="396"/>
      <c r="AE4" s="396"/>
      <c r="AF4" s="396"/>
      <c r="AG4" s="396"/>
      <c r="AH4" s="396"/>
      <c r="AI4" s="396"/>
      <c r="AJ4" s="396"/>
      <c r="AK4" s="396"/>
      <c r="AL4" s="396"/>
      <c r="AM4" s="396"/>
      <c r="AN4" s="396"/>
      <c r="AO4" s="396"/>
      <c r="AP4" s="30"/>
      <c r="AQ4" s="30"/>
      <c r="AR4" s="30"/>
      <c r="AS4" s="30"/>
      <c r="AT4" s="30"/>
    </row>
    <row r="5" spans="1:47">
      <c r="A5" s="503" t="s">
        <v>180</v>
      </c>
      <c r="B5" s="503"/>
      <c r="C5" s="503"/>
      <c r="D5" s="503"/>
      <c r="E5" s="503"/>
      <c r="F5" s="503"/>
      <c r="G5" s="503"/>
      <c r="H5" s="503"/>
      <c r="I5" s="503"/>
      <c r="J5" s="503"/>
      <c r="L5" s="151" t="s">
        <v>181</v>
      </c>
      <c r="M5" s="151"/>
      <c r="N5" s="397"/>
      <c r="O5" s="151"/>
      <c r="P5" s="151"/>
      <c r="Q5" s="151"/>
      <c r="R5" s="151"/>
      <c r="S5" s="151"/>
      <c r="T5" s="151"/>
      <c r="U5" s="151"/>
      <c r="V5" s="151"/>
      <c r="W5" s="151"/>
      <c r="X5" s="151"/>
      <c r="Y5" s="151"/>
      <c r="Z5" s="151"/>
      <c r="AA5" s="151"/>
      <c r="AB5" s="151"/>
      <c r="AC5" s="151"/>
      <c r="AD5" s="151"/>
      <c r="AE5" s="151"/>
      <c r="AG5" s="151"/>
      <c r="AH5" s="151"/>
      <c r="AI5" s="151"/>
      <c r="AJ5" s="151"/>
      <c r="AK5" s="151"/>
      <c r="AL5" s="151"/>
      <c r="AM5" s="151"/>
      <c r="AN5" s="151"/>
      <c r="AO5" s="151"/>
      <c r="AQ5" s="30"/>
      <c r="AR5" s="30"/>
      <c r="AS5" s="30"/>
      <c r="AT5" s="30"/>
    </row>
    <row r="6" spans="1:47" ht="15" customHeight="1">
      <c r="A6" s="31"/>
      <c r="B6" s="32"/>
      <c r="C6" s="32"/>
      <c r="D6" s="32"/>
      <c r="E6" s="32"/>
      <c r="F6" s="32"/>
      <c r="G6" s="495" t="s">
        <v>160</v>
      </c>
      <c r="H6" s="495"/>
      <c r="I6" s="495" t="s">
        <v>161</v>
      </c>
      <c r="J6" s="495"/>
      <c r="L6" s="31"/>
      <c r="M6" s="144"/>
      <c r="N6" s="144"/>
      <c r="O6" s="144"/>
      <c r="P6" s="144"/>
      <c r="Q6" s="144"/>
      <c r="R6" s="144"/>
      <c r="S6" s="144"/>
      <c r="T6" s="144"/>
      <c r="U6" s="144"/>
      <c r="V6" s="144"/>
      <c r="W6" s="144"/>
      <c r="X6" s="144"/>
      <c r="Y6" s="144"/>
      <c r="Z6" s="144"/>
      <c r="AA6" s="144"/>
      <c r="AB6" s="144"/>
      <c r="AC6" s="144"/>
      <c r="AD6" s="144"/>
      <c r="AE6" s="144"/>
      <c r="AF6" s="144"/>
      <c r="AG6" s="144"/>
      <c r="AH6" s="144"/>
      <c r="AI6" s="144"/>
      <c r="AJ6" s="144"/>
      <c r="AK6" s="144"/>
      <c r="AL6" s="144"/>
      <c r="AM6" s="144"/>
      <c r="AN6" s="144"/>
      <c r="AO6" s="144"/>
      <c r="AP6" s="144"/>
      <c r="AQ6" s="144"/>
      <c r="AR6" s="144"/>
      <c r="AS6" s="144"/>
      <c r="AT6" s="144"/>
    </row>
    <row r="7" spans="1:47" ht="15" customHeight="1">
      <c r="A7" s="31"/>
      <c r="B7" s="535">
        <v>2000</v>
      </c>
      <c r="C7" s="530">
        <v>2023</v>
      </c>
      <c r="D7" s="530">
        <v>2030</v>
      </c>
      <c r="E7" s="530">
        <v>2040</v>
      </c>
      <c r="F7" s="530">
        <v>2050</v>
      </c>
      <c r="G7" s="532">
        <v>2023</v>
      </c>
      <c r="H7" s="532">
        <v>2050</v>
      </c>
      <c r="I7" s="532" t="s">
        <v>1202</v>
      </c>
      <c r="J7" s="532" t="s">
        <v>1203</v>
      </c>
      <c r="L7" s="31"/>
      <c r="M7" s="142">
        <v>2000</v>
      </c>
      <c r="N7" s="142">
        <v>2018</v>
      </c>
      <c r="O7" s="142">
        <v>2019</v>
      </c>
      <c r="P7" s="154">
        <v>2020</v>
      </c>
      <c r="Q7" s="142">
        <v>2021</v>
      </c>
      <c r="R7" s="142">
        <v>2022</v>
      </c>
      <c r="S7" s="142">
        <v>2023</v>
      </c>
      <c r="T7" s="142">
        <v>2024</v>
      </c>
      <c r="U7" s="154">
        <v>2025</v>
      </c>
      <c r="V7" s="142">
        <v>2026</v>
      </c>
      <c r="W7" s="142">
        <v>2027</v>
      </c>
      <c r="X7" s="142">
        <v>2028</v>
      </c>
      <c r="Y7" s="142">
        <v>2029</v>
      </c>
      <c r="Z7" s="154">
        <v>2030</v>
      </c>
      <c r="AA7" s="142">
        <v>2031</v>
      </c>
      <c r="AB7" s="142">
        <v>2032</v>
      </c>
      <c r="AC7" s="142">
        <v>2033</v>
      </c>
      <c r="AD7" s="142">
        <v>2034</v>
      </c>
      <c r="AE7" s="154">
        <v>2035</v>
      </c>
      <c r="AF7" s="142">
        <v>2036</v>
      </c>
      <c r="AG7" s="142">
        <v>2037</v>
      </c>
      <c r="AH7" s="142">
        <v>2038</v>
      </c>
      <c r="AI7" s="142">
        <v>2039</v>
      </c>
      <c r="AJ7" s="154">
        <v>2040</v>
      </c>
      <c r="AK7" s="142">
        <v>2041</v>
      </c>
      <c r="AL7" s="142">
        <v>2042</v>
      </c>
      <c r="AM7" s="142">
        <v>2043</v>
      </c>
      <c r="AN7" s="142">
        <v>2044</v>
      </c>
      <c r="AO7" s="154">
        <v>2045</v>
      </c>
      <c r="AP7" s="142">
        <v>2046</v>
      </c>
      <c r="AQ7" s="142">
        <v>2047</v>
      </c>
      <c r="AR7" s="142">
        <v>2048</v>
      </c>
      <c r="AS7" s="142">
        <v>2049</v>
      </c>
      <c r="AT7" s="142">
        <v>2050</v>
      </c>
      <c r="AU7" s="527" t="s">
        <v>1205</v>
      </c>
    </row>
    <row r="8" spans="1:47" ht="22.15" customHeight="1">
      <c r="A8" s="487" t="s">
        <v>1193</v>
      </c>
      <c r="B8" s="536"/>
      <c r="C8" s="531"/>
      <c r="D8" s="529"/>
      <c r="E8" s="529"/>
      <c r="F8" s="529"/>
      <c r="G8" s="528"/>
      <c r="H8" s="528"/>
      <c r="I8" s="528"/>
      <c r="J8" s="528"/>
      <c r="L8" s="487" t="s">
        <v>1193</v>
      </c>
      <c r="M8" s="145"/>
      <c r="N8" s="523"/>
      <c r="O8" s="146"/>
      <c r="P8" s="155"/>
      <c r="Q8" s="146"/>
      <c r="S8" s="489"/>
      <c r="T8" s="146"/>
      <c r="U8" s="155"/>
      <c r="V8" s="146"/>
      <c r="W8" s="146"/>
      <c r="X8" s="146"/>
      <c r="Y8" s="146"/>
      <c r="Z8" s="520"/>
      <c r="AA8" s="146"/>
      <c r="AB8" s="146"/>
      <c r="AC8" s="146"/>
      <c r="AD8" s="146"/>
      <c r="AE8" s="155"/>
      <c r="AF8" s="146"/>
      <c r="AG8" s="146"/>
      <c r="AH8" s="146"/>
      <c r="AI8" s="146"/>
      <c r="AJ8" s="520"/>
      <c r="AK8" s="146"/>
      <c r="AL8" s="146"/>
      <c r="AM8" s="146"/>
      <c r="AN8" s="146"/>
      <c r="AO8" s="155"/>
      <c r="AP8" s="146"/>
      <c r="AQ8" s="146"/>
      <c r="AR8" s="146"/>
      <c r="AS8" s="146"/>
      <c r="AT8" s="145"/>
    </row>
    <row r="9" spans="1:47" ht="13.5" customHeight="1">
      <c r="A9" s="42" t="s">
        <v>1194</v>
      </c>
      <c r="B9" s="549">
        <v>33.302999999999997</v>
      </c>
      <c r="C9" s="549">
        <v>62.121000000000002</v>
      </c>
      <c r="D9" s="550">
        <v>72.822000000000003</v>
      </c>
      <c r="E9" s="550">
        <v>81.025000000000006</v>
      </c>
      <c r="F9" s="550">
        <v>84.617999999999995</v>
      </c>
      <c r="G9" s="544">
        <v>100</v>
      </c>
      <c r="H9" s="544">
        <v>100</v>
      </c>
      <c r="I9" s="545">
        <v>2.75</v>
      </c>
      <c r="J9" s="545">
        <v>1.1499999999999999</v>
      </c>
      <c r="L9" s="534" t="s">
        <v>1194</v>
      </c>
      <c r="M9" s="446">
        <f>B9*$L$3</f>
        <v>1320686024727930</v>
      </c>
      <c r="N9" s="522" cm="1">
        <f t="array" ref="N9">TREND($M49:$N49,$M$47:$N$47,N$7)</f>
        <v>2215071486138208</v>
      </c>
      <c r="O9" s="522" cm="1">
        <f t="array" ref="O9">TREND($M49:$N49,$M$47:$N$47,O$7)</f>
        <v>2264759567327680</v>
      </c>
      <c r="P9" s="522" cm="1">
        <f t="array" ref="P9">TREND($M49:$N49,$M$47:$N$47,P$7)</f>
        <v>2314447648517136</v>
      </c>
      <c r="Q9" s="522" cm="1">
        <f t="array" ref="Q9">TREND($M49:$N49,$M$47:$N$47,Q$7)</f>
        <v>2364135729706592</v>
      </c>
      <c r="R9" s="522" cm="1">
        <f t="array" ref="R9">TREND($M49:$N49,$M$47:$N$47,R$7)</f>
        <v>2413823810896064</v>
      </c>
      <c r="S9" s="488">
        <f>C9*$L$3</f>
        <v>2463511892085510</v>
      </c>
      <c r="T9" s="447" cm="1">
        <f t="array" ref="T9">TREND($N49:$O49,$N$47:$O$47,T$7)</f>
        <v>2524135607454832</v>
      </c>
      <c r="U9" s="447" cm="1">
        <f t="array" ref="U9">TREND($N49:$O49,$N$47:$O$47,U$7)</f>
        <v>2584759322824160</v>
      </c>
      <c r="V9" s="447" cm="1">
        <f t="array" ref="V9">TREND($N49:$O49,$N$47:$O$47,V$7)</f>
        <v>2645383038193488</v>
      </c>
      <c r="W9" s="447" cm="1">
        <f t="array" ref="W9">TREND($N49:$O49,$N$47:$O$47,W$7)</f>
        <v>2706006753562816</v>
      </c>
      <c r="X9" s="447" cm="1">
        <f t="array" ref="X9">TREND($N49:$O49,$N$47:$O$47,X$7)</f>
        <v>2766630468932160</v>
      </c>
      <c r="Y9" s="447" cm="1">
        <f t="array" ref="Y9">TREND($N49:$O49,$N$47:$O$47,Y$7)</f>
        <v>2827254184301488</v>
      </c>
      <c r="Z9" s="521">
        <f>D9*$L$3</f>
        <v>2887877899670820</v>
      </c>
      <c r="AA9" s="447" cm="1">
        <f t="array" ref="AA9">TREND($O49:$P49,$O$47:$P$47,AA$7)</f>
        <v>2920408264685512</v>
      </c>
      <c r="AB9" s="447" cm="1">
        <f t="array" ref="AB9">TREND($O49:$P49,$O$47:$P$47,AB$7)</f>
        <v>2952938629700208</v>
      </c>
      <c r="AC9" s="447" cm="1">
        <f t="array" ref="AC9">TREND($O49:$P49,$O$47:$P$47,AC$7)</f>
        <v>2985468994714904</v>
      </c>
      <c r="AD9" s="447" cm="1">
        <f t="array" ref="AD9">TREND($O49:$P49,$O$47:$P$47,AD$7)</f>
        <v>3017999359729592</v>
      </c>
      <c r="AE9" s="447" cm="1">
        <f t="array" ref="AE9">TREND($O49:$P49,$O$47:$P$47,AE$7)</f>
        <v>3050529724744288</v>
      </c>
      <c r="AF9" s="447" cm="1">
        <f t="array" ref="AF9">TREND($O49:$P49,$O$47:$P$47,AF$7)</f>
        <v>3083060089758984</v>
      </c>
      <c r="AG9" s="447" cm="1">
        <f t="array" ref="AG9">TREND($O49:$P49,$O$47:$P$47,AG$7)</f>
        <v>3115590454773672</v>
      </c>
      <c r="AH9" s="447" cm="1">
        <f t="array" ref="AH9">TREND($O49:$P49,$O$47:$P$47,AH$7)</f>
        <v>3148120819788368</v>
      </c>
      <c r="AI9" s="447" cm="1">
        <f t="array" ref="AI9">TREND($O49:$P49,$O$47:$P$47,AI$7)</f>
        <v>3180651184803056</v>
      </c>
      <c r="AJ9" s="521">
        <f>E9*$L$3</f>
        <v>3213181549817750</v>
      </c>
      <c r="AK9" s="447" cm="1">
        <f t="array" ref="AK9">TREND($P49:$Q49,$P$47:$Q$47,AK$7)</f>
        <v>3227430190741532</v>
      </c>
      <c r="AL9" s="447" cm="1">
        <f t="array" ref="AL9">TREND($P49:$Q49,$P$47:$Q$47,AL$7)</f>
        <v>3241678831665316</v>
      </c>
      <c r="AM9" s="447" cm="1">
        <f t="array" ref="AM9">TREND($P49:$Q49,$P$47:$Q$47,AM$7)</f>
        <v>3255927472589096</v>
      </c>
      <c r="AN9" s="447" cm="1">
        <f t="array" ref="AN9">TREND($P49:$Q49,$P$47:$Q$47,AN$7)</f>
        <v>3270176113512880</v>
      </c>
      <c r="AO9" s="447" cm="1">
        <f t="array" ref="AO9">TREND($P49:$Q49,$P$47:$Q$47,AO$7)</f>
        <v>3284424754436664</v>
      </c>
      <c r="AP9" s="447" cm="1">
        <f t="array" ref="AP9">TREND($P49:$Q49,$P$47:$Q$47,AP$7)</f>
        <v>3298673395360448</v>
      </c>
      <c r="AQ9" s="447" cm="1">
        <f t="array" ref="AQ9">TREND($P49:$Q49,$P$47:$Q$47,AQ$7)</f>
        <v>3312922036284228</v>
      </c>
      <c r="AR9" s="447" cm="1">
        <f t="array" ref="AR9">TREND($P49:$Q49,$P$47:$Q$47,AR$7)</f>
        <v>3327170677208012</v>
      </c>
      <c r="AS9" s="447" cm="1">
        <f t="array" ref="AS9">TREND($P49:$Q49,$P$47:$Q$47,AS$7)</f>
        <v>3341419318131796</v>
      </c>
      <c r="AT9" s="521">
        <f>F9*$L$3</f>
        <v>3355667959055580</v>
      </c>
      <c r="AU9" s="169">
        <f>(AT9/P9)^(1/30)-1</f>
        <v>1.2459641944897459E-2</v>
      </c>
    </row>
    <row r="10" spans="1:47" ht="13.5" customHeight="1">
      <c r="A10" s="48" t="s">
        <v>183</v>
      </c>
      <c r="B10" s="549">
        <v>1.4359999999999999</v>
      </c>
      <c r="C10" s="549">
        <v>3.1779999999999999</v>
      </c>
      <c r="D10" s="550">
        <v>4.4029999999999996</v>
      </c>
      <c r="E10" s="550">
        <v>4.9409999999999998</v>
      </c>
      <c r="F10" s="550">
        <v>5.17</v>
      </c>
      <c r="G10" s="544">
        <v>5.12</v>
      </c>
      <c r="H10" s="544">
        <v>6.11</v>
      </c>
      <c r="I10" s="545">
        <v>3.51</v>
      </c>
      <c r="J10" s="545">
        <v>1.82</v>
      </c>
      <c r="L10" s="537" t="s">
        <v>183</v>
      </c>
      <c r="M10" s="446">
        <f t="shared" ref="M10:M42" si="0">B10*$L$3</f>
        <v>56946975693160</v>
      </c>
      <c r="N10" s="522" cm="1">
        <f t="array" ref="N10">TREND($M50:$N50,$M$47:$N$47,N$7)</f>
        <v>111011084020480</v>
      </c>
      <c r="O10" s="522" cm="1">
        <f t="array" ref="O10">TREND($M50:$N50,$M$47:$N$47,O$7)</f>
        <v>114014645594220</v>
      </c>
      <c r="P10" s="522" cm="1">
        <f t="array" ref="P10">TREND($M50:$N50,$M$47:$N$47,P$7)</f>
        <v>117018207167960</v>
      </c>
      <c r="Q10" s="522" cm="1">
        <f t="array" ref="Q10">TREND($M50:$N50,$M$47:$N$47,Q$7)</f>
        <v>120021768741700</v>
      </c>
      <c r="R10" s="522" cm="1">
        <f t="array" ref="R10">TREND($M50:$N50,$M$47:$N$47,R$7)</f>
        <v>123025330315440</v>
      </c>
      <c r="S10" s="488">
        <f>C10*$L$3</f>
        <v>126028891889180</v>
      </c>
      <c r="T10" s="447" cm="1">
        <f t="array" ref="T10">TREND($N50:$O50,$N$47:$O$47,T$7)</f>
        <v>132968808843430</v>
      </c>
      <c r="U10" s="447" cm="1">
        <f t="array" ref="U10">TREND($N50:$O50,$N$47:$O$47,U$7)</f>
        <v>139908725797680</v>
      </c>
      <c r="V10" s="447" cm="1">
        <f t="array" ref="V10">TREND($N50:$O50,$N$47:$O$47,V$7)</f>
        <v>146848642751930</v>
      </c>
      <c r="W10" s="447" cm="1">
        <f t="array" ref="W10">TREND($N50:$O50,$N$47:$O$47,W$7)</f>
        <v>153788559706180</v>
      </c>
      <c r="X10" s="447" cm="1">
        <f t="array" ref="X10">TREND($N50:$O50,$N$47:$O$47,X$7)</f>
        <v>160728476660430</v>
      </c>
      <c r="Y10" s="447" cm="1">
        <f t="array" ref="Y10">TREND($N50:$O50,$N$47:$O$47,Y$7)</f>
        <v>167668393614680</v>
      </c>
      <c r="Z10" s="521">
        <f t="shared" ref="Z10:Z41" si="1">D10*$L$3</f>
        <v>174608310568929.97</v>
      </c>
      <c r="AA10" s="447" cm="1">
        <f t="array" ref="AA10">TREND($O50:$P50,$O$47:$P$47,AA$7)</f>
        <v>176741839324008</v>
      </c>
      <c r="AB10" s="447" cm="1">
        <f t="array" ref="AB10">TREND($O50:$P50,$O$47:$P$47,AB$7)</f>
        <v>178875368079086</v>
      </c>
      <c r="AC10" s="447" cm="1">
        <f t="array" ref="AC10">TREND($O50:$P50,$O$47:$P$47,AC$7)</f>
        <v>181008896834164</v>
      </c>
      <c r="AD10" s="447" cm="1">
        <f t="array" ref="AD10">TREND($O50:$P50,$O$47:$P$47,AD$7)</f>
        <v>183142425589242</v>
      </c>
      <c r="AE10" s="447" cm="1">
        <f t="array" ref="AE10">TREND($O50:$P50,$O$47:$P$47,AE$7)</f>
        <v>185275954344320</v>
      </c>
      <c r="AF10" s="447" cm="1">
        <f t="array" ref="AF10">TREND($O50:$P50,$O$47:$P$47,AF$7)</f>
        <v>187409483099398</v>
      </c>
      <c r="AG10" s="447" cm="1">
        <f t="array" ref="AG10">TREND($O50:$P50,$O$47:$P$47,AG$7)</f>
        <v>189543011854476</v>
      </c>
      <c r="AH10" s="447" cm="1">
        <f t="array" ref="AH10">TREND($O50:$P50,$O$47:$P$47,AH$7)</f>
        <v>191676540609554</v>
      </c>
      <c r="AI10" s="447" cm="1">
        <f t="array" ref="AI10">TREND($O50:$P50,$O$47:$P$47,AI$7)</f>
        <v>193810069364632</v>
      </c>
      <c r="AJ10" s="521">
        <f t="shared" ref="AJ10:AJ42" si="2">E10*$L$3</f>
        <v>195943598119710</v>
      </c>
      <c r="AK10" s="447" cm="1">
        <f t="array" ref="AK10">TREND($P50:$Q50,$P$47:$Q$47,AK$7)</f>
        <v>196851735824009</v>
      </c>
      <c r="AL10" s="447" cm="1">
        <f t="array" ref="AL10">TREND($P50:$Q50,$P$47:$Q$47,AL$7)</f>
        <v>197759873528308</v>
      </c>
      <c r="AM10" s="447" cm="1">
        <f t="array" ref="AM10">TREND($P50:$Q50,$P$47:$Q$47,AM$7)</f>
        <v>198668011232607</v>
      </c>
      <c r="AN10" s="447" cm="1">
        <f t="array" ref="AN10">TREND($P50:$Q50,$P$47:$Q$47,AN$7)</f>
        <v>199576148936906</v>
      </c>
      <c r="AO10" s="447" cm="1">
        <f t="array" ref="AO10">TREND($P50:$Q50,$P$47:$Q$47,AO$7)</f>
        <v>200484286641205</v>
      </c>
      <c r="AP10" s="447" cm="1">
        <f t="array" ref="AP10">TREND($P50:$Q50,$P$47:$Q$47,AP$7)</f>
        <v>201392424345504</v>
      </c>
      <c r="AQ10" s="447" cm="1">
        <f t="array" ref="AQ10">TREND($P50:$Q50,$P$47:$Q$47,AQ$7)</f>
        <v>202300562049803</v>
      </c>
      <c r="AR10" s="447" cm="1">
        <f t="array" ref="AR10">TREND($P50:$Q50,$P$47:$Q$47,AR$7)</f>
        <v>203208699754102</v>
      </c>
      <c r="AS10" s="447" cm="1">
        <f t="array" ref="AS10">TREND($P50:$Q50,$P$47:$Q$47,AS$7)</f>
        <v>204116837458401</v>
      </c>
      <c r="AT10" s="521">
        <f t="shared" ref="AT10:AT42" si="3">F10*$L$3</f>
        <v>205024975162700</v>
      </c>
      <c r="AU10" s="167"/>
    </row>
    <row r="11" spans="1:47" ht="13.5" customHeight="1">
      <c r="A11" s="48" t="s">
        <v>184</v>
      </c>
      <c r="B11" s="549">
        <v>29.565000000000001</v>
      </c>
      <c r="C11" s="549">
        <v>51.061</v>
      </c>
      <c r="D11" s="550">
        <v>57.396000000000001</v>
      </c>
      <c r="E11" s="550">
        <v>62.768000000000001</v>
      </c>
      <c r="F11" s="550">
        <v>64.468000000000004</v>
      </c>
      <c r="G11" s="544">
        <v>82.2</v>
      </c>
      <c r="H11" s="544">
        <v>76.19</v>
      </c>
      <c r="I11" s="545">
        <v>2.4</v>
      </c>
      <c r="J11" s="545">
        <v>0.87</v>
      </c>
      <c r="L11" s="537" t="s">
        <v>184</v>
      </c>
      <c r="M11" s="446">
        <f t="shared" si="0"/>
        <v>1172449398585150</v>
      </c>
      <c r="N11" s="522" cm="1">
        <f t="array" ref="N11">TREND($M51:$N51,$M$47:$N$47,N$7)</f>
        <v>1839591805361312</v>
      </c>
      <c r="O11" s="522" cm="1">
        <f t="array" ref="O11">TREND($M51:$N51,$M$47:$N$47,O$7)</f>
        <v>1876655272404432</v>
      </c>
      <c r="P11" s="522" cm="1">
        <f t="array" ref="P11">TREND($M51:$N51,$M$47:$N$47,P$7)</f>
        <v>1913718739447552</v>
      </c>
      <c r="Q11" s="522" cm="1">
        <f t="array" ref="Q11">TREND($M51:$N51,$M$47:$N$47,Q$7)</f>
        <v>1950782206490672</v>
      </c>
      <c r="R11" s="522" cm="1">
        <f t="array" ref="R11">TREND($M51:$N51,$M$47:$N$47,R$7)</f>
        <v>1987845673533792</v>
      </c>
      <c r="S11" s="488">
        <f>C11*$L$3</f>
        <v>2024909140576910</v>
      </c>
      <c r="T11" s="447" cm="1">
        <f t="array" ref="T11">TREND($N51:$O51,$N$47:$O$47,T$7)</f>
        <v>2060798425397456</v>
      </c>
      <c r="U11" s="447" cm="1">
        <f t="array" ref="U11">TREND($N51:$O51,$N$47:$O$47,U$7)</f>
        <v>2096687710218000</v>
      </c>
      <c r="V11" s="447" cm="1">
        <f t="array" ref="V11">TREND($N51:$O51,$N$47:$O$47,V$7)</f>
        <v>2132576995038560</v>
      </c>
      <c r="W11" s="447" cm="1">
        <f t="array" ref="W11">TREND($N51:$O51,$N$47:$O$47,W$7)</f>
        <v>2168466279859104</v>
      </c>
      <c r="X11" s="447" cm="1">
        <f t="array" ref="X11">TREND($N51:$O51,$N$47:$O$47,X$7)</f>
        <v>2204355564679648</v>
      </c>
      <c r="Y11" s="447" cm="1">
        <f t="array" ref="Y11">TREND($N51:$O51,$N$47:$O$47,Y$7)</f>
        <v>2240244849500208</v>
      </c>
      <c r="Z11" s="521">
        <f t="shared" si="1"/>
        <v>2276134134320760</v>
      </c>
      <c r="AA11" s="447" cm="1">
        <f t="array" ref="AA11">TREND($O51:$P51,$O$47:$P$47,AA$7)</f>
        <v>2297437696536888</v>
      </c>
      <c r="AB11" s="447" cm="1">
        <f t="array" ref="AB11">TREND($O51:$P51,$O$47:$P$47,AB$7)</f>
        <v>2318741258753016</v>
      </c>
      <c r="AC11" s="447" cm="1">
        <f t="array" ref="AC11">TREND($O51:$P51,$O$47:$P$47,AC$7)</f>
        <v>2340044820969152</v>
      </c>
      <c r="AD11" s="447" cm="1">
        <f t="array" ref="AD11">TREND($O51:$P51,$O$47:$P$47,AD$7)</f>
        <v>2361348383185280</v>
      </c>
      <c r="AE11" s="447" cm="1">
        <f t="array" ref="AE11">TREND($O51:$P51,$O$47:$P$47,AE$7)</f>
        <v>2382651945401416</v>
      </c>
      <c r="AF11" s="447" cm="1">
        <f t="array" ref="AF11">TREND($O51:$P51,$O$47:$P$47,AF$7)</f>
        <v>2403955507617544</v>
      </c>
      <c r="AG11" s="447" cm="1">
        <f t="array" ref="AG11">TREND($O51:$P51,$O$47:$P$47,AG$7)</f>
        <v>2425259069833680</v>
      </c>
      <c r="AH11" s="447" cm="1">
        <f t="array" ref="AH11">TREND($O51:$P51,$O$47:$P$47,AH$7)</f>
        <v>2446562632049808</v>
      </c>
      <c r="AI11" s="447" cm="1">
        <f t="array" ref="AI11">TREND($O51:$P51,$O$47:$P$47,AI$7)</f>
        <v>2467866194265944</v>
      </c>
      <c r="AJ11" s="521">
        <f t="shared" si="2"/>
        <v>2489169756482080</v>
      </c>
      <c r="AK11" s="447" cm="1">
        <f t="array" ref="AK11">TREND($P51:$Q51,$P$47:$Q$47,AK$7)</f>
        <v>2495911390094780</v>
      </c>
      <c r="AL11" s="447" cm="1">
        <f t="array" ref="AL11">TREND($P51:$Q51,$P$47:$Q$47,AL$7)</f>
        <v>2502653023707480</v>
      </c>
      <c r="AM11" s="447" cm="1">
        <f t="array" ref="AM11">TREND($P51:$Q51,$P$47:$Q$47,AM$7)</f>
        <v>2509394657320180</v>
      </c>
      <c r="AN11" s="447" cm="1">
        <f t="array" ref="AN11">TREND($P51:$Q51,$P$47:$Q$47,AN$7)</f>
        <v>2516136290932880</v>
      </c>
      <c r="AO11" s="447" cm="1">
        <f t="array" ref="AO11">TREND($P51:$Q51,$P$47:$Q$47,AO$7)</f>
        <v>2522877924545580</v>
      </c>
      <c r="AP11" s="447" cm="1">
        <f t="array" ref="AP11">TREND($P51:$Q51,$P$47:$Q$47,AP$7)</f>
        <v>2529619558158280</v>
      </c>
      <c r="AQ11" s="447" cm="1">
        <f t="array" ref="AQ11">TREND($P51:$Q51,$P$47:$Q$47,AQ$7)</f>
        <v>2536361191770980</v>
      </c>
      <c r="AR11" s="447" cm="1">
        <f t="array" ref="AR11">TREND($P51:$Q51,$P$47:$Q$47,AR$7)</f>
        <v>2543102825383680</v>
      </c>
      <c r="AS11" s="447" cm="1">
        <f t="array" ref="AS11">TREND($P51:$Q51,$P$47:$Q$47,AS$7)</f>
        <v>2549844458996380</v>
      </c>
      <c r="AT11" s="521">
        <f t="shared" si="3"/>
        <v>2556586092609080</v>
      </c>
      <c r="AU11" s="167"/>
    </row>
    <row r="12" spans="1:47" ht="13.5" customHeight="1">
      <c r="A12" s="48" t="s">
        <v>185</v>
      </c>
      <c r="B12" s="549">
        <v>0.31900000000000001</v>
      </c>
      <c r="C12" s="549">
        <v>1.784</v>
      </c>
      <c r="D12" s="550">
        <v>3.0430000000000001</v>
      </c>
      <c r="E12" s="550">
        <v>3.5430000000000001</v>
      </c>
      <c r="F12" s="550">
        <v>3.8780000000000001</v>
      </c>
      <c r="G12" s="544">
        <v>2.87</v>
      </c>
      <c r="H12" s="544">
        <v>4.58</v>
      </c>
      <c r="I12" s="545">
        <v>7.77</v>
      </c>
      <c r="J12" s="545">
        <v>2.92</v>
      </c>
      <c r="L12" s="537" t="s">
        <v>185</v>
      </c>
      <c r="M12" s="446">
        <f t="shared" si="0"/>
        <v>12650477190890</v>
      </c>
      <c r="N12" s="522" cm="1">
        <f t="array" ref="N12">TREND($M52:$N52,$M$47:$N$47,N$7)</f>
        <v>58117709509790</v>
      </c>
      <c r="O12" s="522" cm="1">
        <f t="array" ref="O12">TREND($M52:$N52,$M$47:$N$47,O$7)</f>
        <v>60643666860840</v>
      </c>
      <c r="P12" s="522" cm="1">
        <f t="array" ref="P12">TREND($M52:$N52,$M$47:$N$47,P$7)</f>
        <v>63169624211890</v>
      </c>
      <c r="Q12" s="522" cm="1">
        <f t="array" ref="Q12">TREND($M52:$N52,$M$47:$N$47,Q$7)</f>
        <v>65695581562940</v>
      </c>
      <c r="R12" s="522" cm="1">
        <f t="array" ref="R12">TREND($M52:$N52,$M$47:$N$47,R$7)</f>
        <v>68221538913990</v>
      </c>
      <c r="S12" s="488">
        <f>C12*$L$3</f>
        <v>70747496265040</v>
      </c>
      <c r="T12" s="447" cm="1">
        <f t="array" ref="T12">TREND($N52:$O52,$N$47:$O$47,T$7)</f>
        <v>77880031322510</v>
      </c>
      <c r="U12" s="447" cm="1">
        <f t="array" ref="U12">TREND($N52:$O52,$N$47:$O$47,U$7)</f>
        <v>85012566379980</v>
      </c>
      <c r="V12" s="447" cm="1">
        <f t="array" ref="V12">TREND($N52:$O52,$N$47:$O$47,V$7)</f>
        <v>92145101437450</v>
      </c>
      <c r="W12" s="447" cm="1">
        <f t="array" ref="W12">TREND($N52:$O52,$N$47:$O$47,W$7)</f>
        <v>99277636494920</v>
      </c>
      <c r="X12" s="447" cm="1">
        <f t="array" ref="X12">TREND($N52:$O52,$N$47:$O$47,X$7)</f>
        <v>106410171552390</v>
      </c>
      <c r="Y12" s="447" cm="1">
        <f t="array" ref="Y12">TREND($N52:$O52,$N$47:$O$47,Y$7)</f>
        <v>113542706609860</v>
      </c>
      <c r="Z12" s="521">
        <f t="shared" si="1"/>
        <v>120675241667330</v>
      </c>
      <c r="AA12" s="447" cm="1">
        <f t="array" ref="AA12">TREND($O52:$P52,$O$47:$P$47,AA$7)</f>
        <v>122658075082830</v>
      </c>
      <c r="AB12" s="447" cm="1">
        <f t="array" ref="AB12">TREND($O52:$P52,$O$47:$P$47,AB$7)</f>
        <v>124640908498330</v>
      </c>
      <c r="AC12" s="447" cm="1">
        <f t="array" ref="AC12">TREND($O52:$P52,$O$47:$P$47,AC$7)</f>
        <v>126623741913830</v>
      </c>
      <c r="AD12" s="447" cm="1">
        <f t="array" ref="AD12">TREND($O52:$P52,$O$47:$P$47,AD$7)</f>
        <v>128606575329330</v>
      </c>
      <c r="AE12" s="447" cm="1">
        <f t="array" ref="AE12">TREND($O52:$P52,$O$47:$P$47,AE$7)</f>
        <v>130589408744830</v>
      </c>
      <c r="AF12" s="447" cm="1">
        <f t="array" ref="AF12">TREND($O52:$P52,$O$47:$P$47,AF$7)</f>
        <v>132572242160330</v>
      </c>
      <c r="AG12" s="447" cm="1">
        <f t="array" ref="AG12">TREND($O52:$P52,$O$47:$P$47,AG$7)</f>
        <v>134555075575830</v>
      </c>
      <c r="AH12" s="447" cm="1">
        <f t="array" ref="AH12">TREND($O52:$P52,$O$47:$P$47,AH$7)</f>
        <v>136537908991330</v>
      </c>
      <c r="AI12" s="447" cm="1">
        <f t="array" ref="AI12">TREND($O52:$P52,$O$47:$P$47,AI$7)</f>
        <v>138520742406830</v>
      </c>
      <c r="AJ12" s="521">
        <f t="shared" si="2"/>
        <v>140503575822330</v>
      </c>
      <c r="AK12" s="447" cm="1">
        <f t="array" ref="AK12">TREND($P52:$Q52,$P$47:$Q$47,AK$7)</f>
        <v>141832074210715</v>
      </c>
      <c r="AL12" s="447" cm="1">
        <f t="array" ref="AL12">TREND($P52:$Q52,$P$47:$Q$47,AL$7)</f>
        <v>143160572599100</v>
      </c>
      <c r="AM12" s="447" cm="1">
        <f t="array" ref="AM12">TREND($P52:$Q52,$P$47:$Q$47,AM$7)</f>
        <v>144489070987485</v>
      </c>
      <c r="AN12" s="447" cm="1">
        <f t="array" ref="AN12">TREND($P52:$Q52,$P$47:$Q$47,AN$7)</f>
        <v>145817569375870</v>
      </c>
      <c r="AO12" s="447" cm="1">
        <f t="array" ref="AO12">TREND($P52:$Q52,$P$47:$Q$47,AO$7)</f>
        <v>147146067764255</v>
      </c>
      <c r="AP12" s="447" cm="1">
        <f t="array" ref="AP12">TREND($P52:$Q52,$P$47:$Q$47,AP$7)</f>
        <v>148474566152640</v>
      </c>
      <c r="AQ12" s="447" cm="1">
        <f t="array" ref="AQ12">TREND($P52:$Q52,$P$47:$Q$47,AQ$7)</f>
        <v>149803064541025</v>
      </c>
      <c r="AR12" s="447" cm="1">
        <f t="array" ref="AR12">TREND($P52:$Q52,$P$47:$Q$47,AR$7)</f>
        <v>151131562929410</v>
      </c>
      <c r="AS12" s="447" cm="1">
        <f t="array" ref="AS12">TREND($P52:$Q52,$P$47:$Q$47,AS$7)</f>
        <v>152460061317795</v>
      </c>
      <c r="AT12" s="521">
        <f t="shared" si="3"/>
        <v>153788559706180</v>
      </c>
      <c r="AU12" s="167"/>
    </row>
    <row r="13" spans="1:47" ht="13.5" customHeight="1">
      <c r="A13" s="48" t="s">
        <v>186</v>
      </c>
      <c r="B13" s="549">
        <v>1.9830000000000001</v>
      </c>
      <c r="C13" s="549">
        <v>4.5919999999999996</v>
      </c>
      <c r="D13" s="550">
        <v>5.851</v>
      </c>
      <c r="E13" s="550">
        <v>7.1829999999999998</v>
      </c>
      <c r="F13" s="550">
        <v>8.1389999999999993</v>
      </c>
      <c r="G13" s="544">
        <v>7.39</v>
      </c>
      <c r="H13" s="544">
        <v>9.6199999999999992</v>
      </c>
      <c r="I13" s="545">
        <v>3.72</v>
      </c>
      <c r="J13" s="545">
        <v>2.14</v>
      </c>
      <c r="L13" s="537" t="s">
        <v>186</v>
      </c>
      <c r="M13" s="446">
        <f t="shared" si="0"/>
        <v>78639173258730</v>
      </c>
      <c r="N13" s="522" cm="1">
        <f t="array" ref="N13">TREND($M53:$N53,$M$47:$N$47,N$7)</f>
        <v>159611193135869</v>
      </c>
      <c r="O13" s="522" cm="1">
        <f t="array" ref="O13">TREND($M53:$N53,$M$47:$N$47,O$7)</f>
        <v>164109638684599</v>
      </c>
      <c r="P13" s="522" cm="1">
        <f t="array" ref="P13">TREND($M53:$N53,$M$47:$N$47,P$7)</f>
        <v>168608084233329</v>
      </c>
      <c r="Q13" s="522" cm="1">
        <f t="array" ref="Q13">TREND($M53:$N53,$M$47:$N$47,Q$7)</f>
        <v>173106529782059</v>
      </c>
      <c r="R13" s="522" cm="1">
        <f t="array" ref="R13">TREND($M53:$N53,$M$47:$N$47,R$7)</f>
        <v>177604975330789</v>
      </c>
      <c r="S13" s="488">
        <f>C13*$L$3</f>
        <v>182103420879520</v>
      </c>
      <c r="T13" s="447" cm="1">
        <f t="array" ref="T13">TREND($N53:$O53,$N$47:$O$47,T$7)</f>
        <v>189235955936990</v>
      </c>
      <c r="U13" s="447" cm="1">
        <f t="array" ref="U13">TREND($N53:$O53,$N$47:$O$47,U$7)</f>
        <v>196368490994460</v>
      </c>
      <c r="V13" s="447" cm="1">
        <f t="array" ref="V13">TREND($N53:$O53,$N$47:$O$47,V$7)</f>
        <v>203501026051930</v>
      </c>
      <c r="W13" s="447" cm="1">
        <f t="array" ref="W13">TREND($N53:$O53,$N$47:$O$47,W$7)</f>
        <v>210633561109400</v>
      </c>
      <c r="X13" s="447" cm="1">
        <f t="array" ref="X13">TREND($N53:$O53,$N$47:$O$47,X$7)</f>
        <v>217766096166870</v>
      </c>
      <c r="Y13" s="447" cm="1">
        <f t="array" ref="Y13">TREND($N53:$O53,$N$47:$O$47,Y$7)</f>
        <v>224898631224340</v>
      </c>
      <c r="Z13" s="521">
        <f t="shared" si="1"/>
        <v>232031166281810</v>
      </c>
      <c r="AA13" s="447" cm="1">
        <f t="array" ref="AA13">TREND($O53:$P53,$O$47:$P$47,AA$7)</f>
        <v>237313434500702</v>
      </c>
      <c r="AB13" s="447" cm="1">
        <f t="array" ref="AB13">TREND($O53:$P53,$O$47:$P$47,AB$7)</f>
        <v>242595702719594</v>
      </c>
      <c r="AC13" s="447" cm="1">
        <f t="array" ref="AC13">TREND($O53:$P53,$O$47:$P$47,AC$7)</f>
        <v>247877970938486</v>
      </c>
      <c r="AD13" s="447" cm="1">
        <f t="array" ref="AD13">TREND($O53:$P53,$O$47:$P$47,AD$7)</f>
        <v>253160239157378</v>
      </c>
      <c r="AE13" s="447" cm="1">
        <f t="array" ref="AE13">TREND($O53:$P53,$O$47:$P$47,AE$7)</f>
        <v>258442507376270</v>
      </c>
      <c r="AF13" s="447" cm="1">
        <f t="array" ref="AF13">TREND($O53:$P53,$O$47:$P$47,AF$7)</f>
        <v>263724775595162</v>
      </c>
      <c r="AG13" s="447" cm="1">
        <f t="array" ref="AG13">TREND($O53:$P53,$O$47:$P$47,AG$7)</f>
        <v>269007043814054</v>
      </c>
      <c r="AH13" s="447" cm="1">
        <f t="array" ref="AH13">TREND($O53:$P53,$O$47:$P$47,AH$7)</f>
        <v>274289312032946</v>
      </c>
      <c r="AI13" s="447" cm="1">
        <f t="array" ref="AI13">TREND($O53:$P53,$O$47:$P$47,AI$7)</f>
        <v>279571580251838</v>
      </c>
      <c r="AJ13" s="521">
        <f t="shared" si="2"/>
        <v>284853848470730</v>
      </c>
      <c r="AK13" s="447" cm="1">
        <f t="array" ref="AK13">TREND($P53:$Q53,$P$47:$Q$47,AK$7)</f>
        <v>288645025961166</v>
      </c>
      <c r="AL13" s="447" cm="1">
        <f t="array" ref="AL13">TREND($P53:$Q53,$P$47:$Q$47,AL$7)</f>
        <v>292436203451602</v>
      </c>
      <c r="AM13" s="447" cm="1">
        <f t="array" ref="AM13">TREND($P53:$Q53,$P$47:$Q$47,AM$7)</f>
        <v>296227380942038</v>
      </c>
      <c r="AN13" s="447" cm="1">
        <f t="array" ref="AN13">TREND($P53:$Q53,$P$47:$Q$47,AN$7)</f>
        <v>300018558432474</v>
      </c>
      <c r="AO13" s="447" cm="1">
        <f t="array" ref="AO13">TREND($P53:$Q53,$P$47:$Q$47,AO$7)</f>
        <v>303809735922910</v>
      </c>
      <c r="AP13" s="447" cm="1">
        <f t="array" ref="AP13">TREND($P53:$Q53,$P$47:$Q$47,AP$7)</f>
        <v>307600913413346</v>
      </c>
      <c r="AQ13" s="447" cm="1">
        <f t="array" ref="AQ13">TREND($P53:$Q53,$P$47:$Q$47,AQ$7)</f>
        <v>311392090903782</v>
      </c>
      <c r="AR13" s="447" cm="1">
        <f t="array" ref="AR13">TREND($P53:$Q53,$P$47:$Q$47,AR$7)</f>
        <v>315183268394218</v>
      </c>
      <c r="AS13" s="447" cm="1">
        <f t="array" ref="AS13">TREND($P53:$Q53,$P$47:$Q$47,AS$7)</f>
        <v>318974445884654</v>
      </c>
      <c r="AT13" s="521">
        <f t="shared" si="3"/>
        <v>322765623375090</v>
      </c>
      <c r="AU13" s="167"/>
    </row>
    <row r="14" spans="1:47" ht="13.5" customHeight="1">
      <c r="A14" s="49" t="s">
        <v>187</v>
      </c>
      <c r="B14" s="549">
        <v>0</v>
      </c>
      <c r="C14" s="549">
        <v>1.5069999999999999</v>
      </c>
      <c r="D14" s="550">
        <v>2.129</v>
      </c>
      <c r="E14" s="550">
        <v>2.59</v>
      </c>
      <c r="F14" s="550">
        <v>2.9630000000000001</v>
      </c>
      <c r="G14" s="544">
        <v>2.4300000000000002</v>
      </c>
      <c r="H14" s="544">
        <v>3.5</v>
      </c>
      <c r="I14" s="545" t="s">
        <v>170</v>
      </c>
      <c r="J14" s="545">
        <v>2.54</v>
      </c>
      <c r="L14" s="538" t="s">
        <v>187</v>
      </c>
      <c r="M14" s="446">
        <f t="shared" si="0"/>
        <v>0</v>
      </c>
      <c r="N14" s="522" cm="1">
        <f t="array" ref="N14">TREND($M54:$N54,$M$47:$N$47,N$7)</f>
        <v>46770729764220</v>
      </c>
      <c r="O14" s="522" cm="1">
        <f t="array" ref="O14">TREND($M54:$N54,$M$47:$N$47,O$7)</f>
        <v>49369103640010</v>
      </c>
      <c r="P14" s="522" cm="1">
        <f t="array" ref="P14">TREND($M54:$N54,$M$47:$N$47,P$7)</f>
        <v>51967477515800</v>
      </c>
      <c r="Q14" s="522" cm="1">
        <f t="array" ref="Q14">TREND($M54:$N54,$M$47:$N$47,Q$7)</f>
        <v>54565851391590</v>
      </c>
      <c r="R14" s="522" cm="1">
        <f t="array" ref="R14">TREND($M54:$N54,$M$47:$N$47,R$7)</f>
        <v>57164225267380</v>
      </c>
      <c r="S14" s="488">
        <f>C14*$L$3</f>
        <v>59762599143169.992</v>
      </c>
      <c r="T14" s="447" cm="1">
        <f t="array" ref="T14">TREND($N54:$O54,$N$47:$O$47,T$7)</f>
        <v>63286377384430</v>
      </c>
      <c r="U14" s="447" cm="1">
        <f t="array" ref="U14">TREND($N54:$O54,$N$47:$O$47,U$7)</f>
        <v>66810155625690</v>
      </c>
      <c r="V14" s="447" cm="1">
        <f t="array" ref="V14">TREND($N54:$O54,$N$47:$O$47,V$7)</f>
        <v>70333933866950</v>
      </c>
      <c r="W14" s="447" cm="1">
        <f t="array" ref="W14">TREND($N54:$O54,$N$47:$O$47,W$7)</f>
        <v>73857712108210</v>
      </c>
      <c r="X14" s="447" cm="1">
        <f t="array" ref="X14">TREND($N54:$O54,$N$47:$O$47,X$7)</f>
        <v>77381490349470</v>
      </c>
      <c r="Y14" s="447" cm="1">
        <f t="array" ref="Y14">TREND($N54:$O54,$N$47:$O$47,Y$7)</f>
        <v>80905268590730</v>
      </c>
      <c r="Z14" s="521">
        <f t="shared" si="1"/>
        <v>84429046831990</v>
      </c>
      <c r="AA14" s="447" cm="1">
        <f t="array" ref="AA14">TREND($O54:$P54,$O$47:$P$47,AA$7)</f>
        <v>86257219241081</v>
      </c>
      <c r="AB14" s="447" cm="1">
        <f t="array" ref="AB14">TREND($O54:$P54,$O$47:$P$47,AB$7)</f>
        <v>88085391650172</v>
      </c>
      <c r="AC14" s="447" cm="1">
        <f t="array" ref="AC14">TREND($O54:$P54,$O$47:$P$47,AC$7)</f>
        <v>89913564059263</v>
      </c>
      <c r="AD14" s="447" cm="1">
        <f t="array" ref="AD14">TREND($O54:$P54,$O$47:$P$47,AD$7)</f>
        <v>91741736468354</v>
      </c>
      <c r="AE14" s="447" cm="1">
        <f t="array" ref="AE14">TREND($O54:$P54,$O$47:$P$47,AE$7)</f>
        <v>93569908877445</v>
      </c>
      <c r="AF14" s="447" cm="1">
        <f t="array" ref="AF14">TREND($O54:$P54,$O$47:$P$47,AF$7)</f>
        <v>95398081286536</v>
      </c>
      <c r="AG14" s="447" cm="1">
        <f t="array" ref="AG14">TREND($O54:$P54,$O$47:$P$47,AG$7)</f>
        <v>97226253695627</v>
      </c>
      <c r="AH14" s="447" cm="1">
        <f t="array" ref="AH14">TREND($O54:$P54,$O$47:$P$47,AH$7)</f>
        <v>99054426104718</v>
      </c>
      <c r="AI14" s="447" cm="1">
        <f t="array" ref="AI14">TREND($O54:$P54,$O$47:$P$47,AI$7)</f>
        <v>100882598513809</v>
      </c>
      <c r="AJ14" s="521">
        <f t="shared" si="2"/>
        <v>102710770922900</v>
      </c>
      <c r="AK14" s="447" cm="1">
        <f t="array" ref="AK14">TREND($P54:$Q54,$P$47:$Q$47,AK$7)</f>
        <v>104189964650863</v>
      </c>
      <c r="AL14" s="447" cm="1">
        <f t="array" ref="AL14">TREND($P54:$Q54,$P$47:$Q$47,AL$7)</f>
        <v>105669158378826</v>
      </c>
      <c r="AM14" s="447" cm="1">
        <f t="array" ref="AM14">TREND($P54:$Q54,$P$47:$Q$47,AM$7)</f>
        <v>107148352106789</v>
      </c>
      <c r="AN14" s="447" cm="1">
        <f t="array" ref="AN14">TREND($P54:$Q54,$P$47:$Q$47,AN$7)</f>
        <v>108627545834752</v>
      </c>
      <c r="AO14" s="447" cm="1">
        <f t="array" ref="AO14">TREND($P54:$Q54,$P$47:$Q$47,AO$7)</f>
        <v>110106739562715</v>
      </c>
      <c r="AP14" s="447" cm="1">
        <f t="array" ref="AP14">TREND($P54:$Q54,$P$47:$Q$47,AP$7)</f>
        <v>111585933290678</v>
      </c>
      <c r="AQ14" s="447" cm="1">
        <f t="array" ref="AQ14">TREND($P54:$Q54,$P$47:$Q$47,AQ$7)</f>
        <v>113065127018641</v>
      </c>
      <c r="AR14" s="447" cm="1">
        <f t="array" ref="AR14">TREND($P54:$Q54,$P$47:$Q$47,AR$7)</f>
        <v>114544320746604</v>
      </c>
      <c r="AS14" s="447" cm="1">
        <f t="array" ref="AS14">TREND($P54:$Q54,$P$47:$Q$47,AS$7)</f>
        <v>116023514474567</v>
      </c>
      <c r="AT14" s="521">
        <f t="shared" si="3"/>
        <v>117502708202530</v>
      </c>
      <c r="AU14" s="167"/>
    </row>
    <row r="15" spans="1:47" s="55" customFormat="1" ht="3" customHeight="1">
      <c r="A15" s="50"/>
      <c r="B15" s="542"/>
      <c r="C15" s="542"/>
      <c r="D15" s="541"/>
      <c r="E15" s="541"/>
      <c r="F15" s="541"/>
      <c r="G15" s="546"/>
      <c r="H15" s="546"/>
      <c r="I15" s="547"/>
      <c r="J15" s="547"/>
      <c r="L15" s="533"/>
      <c r="M15" s="446">
        <f t="shared" si="0"/>
        <v>0</v>
      </c>
      <c r="N15" s="522" cm="1">
        <f t="array" ref="N15">TREND($M55:$N55,$M$47:$N$47,N$7)</f>
        <v>0</v>
      </c>
      <c r="O15" s="522" cm="1">
        <f t="array" ref="O15">TREND($M55:$N55,$M$47:$N$47,O$7)</f>
        <v>0</v>
      </c>
      <c r="P15" s="522" cm="1">
        <f t="array" ref="P15">TREND($M55:$N55,$M$47:$N$47,P$7)</f>
        <v>0</v>
      </c>
      <c r="Q15" s="522" cm="1">
        <f t="array" ref="Q15">TREND($M55:$N55,$M$47:$N$47,Q$7)</f>
        <v>0</v>
      </c>
      <c r="R15" s="522" cm="1">
        <f t="array" ref="R15">TREND($M55:$N55,$M$47:$N$47,R$7)</f>
        <v>0</v>
      </c>
      <c r="S15" s="488">
        <f>C15*$L$3</f>
        <v>0</v>
      </c>
      <c r="T15" s="447" cm="1">
        <f t="array" ref="T15">TREND($N55:$O55,$N$47:$O$47,T$7)</f>
        <v>0</v>
      </c>
      <c r="U15" s="447" cm="1">
        <f t="array" ref="U15">TREND($N55:$O55,$N$47:$O$47,U$7)</f>
        <v>0</v>
      </c>
      <c r="V15" s="447" cm="1">
        <f t="array" ref="V15">TREND($N55:$O55,$N$47:$O$47,V$7)</f>
        <v>0</v>
      </c>
      <c r="W15" s="447" cm="1">
        <f t="array" ref="W15">TREND($N55:$O55,$N$47:$O$47,W$7)</f>
        <v>0</v>
      </c>
      <c r="X15" s="447" cm="1">
        <f t="array" ref="X15">TREND($N55:$O55,$N$47:$O$47,X$7)</f>
        <v>0</v>
      </c>
      <c r="Y15" s="447" cm="1">
        <f t="array" ref="Y15">TREND($N55:$O55,$N$47:$O$47,Y$7)</f>
        <v>0</v>
      </c>
      <c r="Z15" s="521">
        <f t="shared" si="1"/>
        <v>0</v>
      </c>
      <c r="AA15" s="447" cm="1">
        <f t="array" ref="AA15">TREND($O55:$P55,$O$47:$P$47,AA$7)</f>
        <v>0</v>
      </c>
      <c r="AB15" s="447" cm="1">
        <f t="array" ref="AB15">TREND($O55:$P55,$O$47:$P$47,AB$7)</f>
        <v>0</v>
      </c>
      <c r="AC15" s="447" cm="1">
        <f t="array" ref="AC15">TREND($O55:$P55,$O$47:$P$47,AC$7)</f>
        <v>0</v>
      </c>
      <c r="AD15" s="447" cm="1">
        <f t="array" ref="AD15">TREND($O55:$P55,$O$47:$P$47,AD$7)</f>
        <v>0</v>
      </c>
      <c r="AE15" s="447" cm="1">
        <f t="array" ref="AE15">TREND($O55:$P55,$O$47:$P$47,AE$7)</f>
        <v>0</v>
      </c>
      <c r="AF15" s="447" cm="1">
        <f t="array" ref="AF15">TREND($O55:$P55,$O$47:$P$47,AF$7)</f>
        <v>0</v>
      </c>
      <c r="AG15" s="447" cm="1">
        <f t="array" ref="AG15">TREND($O55:$P55,$O$47:$P$47,AG$7)</f>
        <v>0</v>
      </c>
      <c r="AH15" s="447" cm="1">
        <f t="array" ref="AH15">TREND($O55:$P55,$O$47:$P$47,AH$7)</f>
        <v>0</v>
      </c>
      <c r="AI15" s="447" cm="1">
        <f t="array" ref="AI15">TREND($O55:$P55,$O$47:$P$47,AI$7)</f>
        <v>0</v>
      </c>
      <c r="AJ15" s="521">
        <f t="shared" si="2"/>
        <v>0</v>
      </c>
      <c r="AK15" s="447" cm="1">
        <f t="array" ref="AK15">TREND($P55:$Q55,$P$47:$Q$47,AK$7)</f>
        <v>0</v>
      </c>
      <c r="AL15" s="447" cm="1">
        <f t="array" ref="AL15">TREND($P55:$Q55,$P$47:$Q$47,AL$7)</f>
        <v>0</v>
      </c>
      <c r="AM15" s="447" cm="1">
        <f t="array" ref="AM15">TREND($P55:$Q55,$P$47:$Q$47,AM$7)</f>
        <v>0</v>
      </c>
      <c r="AN15" s="447" cm="1">
        <f t="array" ref="AN15">TREND($P55:$Q55,$P$47:$Q$47,AN$7)</f>
        <v>0</v>
      </c>
      <c r="AO15" s="447" cm="1">
        <f t="array" ref="AO15">TREND($P55:$Q55,$P$47:$Q$47,AO$7)</f>
        <v>0</v>
      </c>
      <c r="AP15" s="447" cm="1">
        <f t="array" ref="AP15">TREND($P55:$Q55,$P$47:$Q$47,AP$7)</f>
        <v>0</v>
      </c>
      <c r="AQ15" s="447" cm="1">
        <f t="array" ref="AQ15">TREND($P55:$Q55,$P$47:$Q$47,AQ$7)</f>
        <v>0</v>
      </c>
      <c r="AR15" s="447" cm="1">
        <f t="array" ref="AR15">TREND($P55:$Q55,$P$47:$Q$47,AR$7)</f>
        <v>0</v>
      </c>
      <c r="AS15" s="447" cm="1">
        <f t="array" ref="AS15">TREND($P55:$Q55,$P$47:$Q$47,AS$7)</f>
        <v>0</v>
      </c>
      <c r="AT15" s="521">
        <f t="shared" si="3"/>
        <v>0</v>
      </c>
      <c r="AU15" s="167"/>
    </row>
    <row r="16" spans="1:47" ht="13.5" customHeight="1">
      <c r="A16" s="42" t="s">
        <v>188</v>
      </c>
      <c r="B16" s="549">
        <v>5.6630000000000003</v>
      </c>
      <c r="C16" s="549">
        <v>4.8090000000000002</v>
      </c>
      <c r="D16" s="550">
        <v>5.4610000000000003</v>
      </c>
      <c r="E16" s="550">
        <v>5.2930000000000001</v>
      </c>
      <c r="F16" s="550">
        <v>4.6900000000000004</v>
      </c>
      <c r="G16" s="544">
        <v>100</v>
      </c>
      <c r="H16" s="544">
        <v>100</v>
      </c>
      <c r="I16" s="545">
        <v>-0.71</v>
      </c>
      <c r="J16" s="545">
        <v>-0.09</v>
      </c>
      <c r="L16" s="534" t="s">
        <v>188</v>
      </c>
      <c r="M16" s="446">
        <f t="shared" si="0"/>
        <v>224575712639530</v>
      </c>
      <c r="N16" s="522" cm="1">
        <f t="array" ref="N16">TREND($M56:$N56,$M$47:$N$47,N$7)</f>
        <v>198071264584690</v>
      </c>
      <c r="O16" s="522" cm="1">
        <f t="array" ref="O16">TREND($M56:$N56,$M$47:$N$47,O$7)</f>
        <v>196598795248310</v>
      </c>
      <c r="P16" s="522" cm="1">
        <f t="array" ref="P16">TREND($M56:$N56,$M$47:$N$47,P$7)</f>
        <v>195126325911930</v>
      </c>
      <c r="Q16" s="522" cm="1">
        <f t="array" ref="Q16">TREND($M56:$N56,$M$47:$N$47,Q$7)</f>
        <v>193653856575550</v>
      </c>
      <c r="R16" s="522" cm="1">
        <f t="array" ref="R16">TREND($M56:$N56,$M$47:$N$47,R$7)</f>
        <v>192181387239170</v>
      </c>
      <c r="S16" s="488">
        <f>C16*$L$3</f>
        <v>190708917902790</v>
      </c>
      <c r="T16" s="447" cm="1">
        <f t="array" ref="T16">TREND($N56:$O56,$N$47:$O$47,T$7)</f>
        <v>194402653293950</v>
      </c>
      <c r="U16" s="447" cm="1">
        <f t="array" ref="U16">TREND($N56:$O56,$N$47:$O$47,U$7)</f>
        <v>198096388685110</v>
      </c>
      <c r="V16" s="447" cm="1">
        <f t="array" ref="V16">TREND($N56:$O56,$N$47:$O$47,V$7)</f>
        <v>201790124076270</v>
      </c>
      <c r="W16" s="447" cm="1">
        <f t="array" ref="W16">TREND($N56:$O56,$N$47:$O$47,W$7)</f>
        <v>205483859467430</v>
      </c>
      <c r="X16" s="447" cm="1">
        <f t="array" ref="X16">TREND($N56:$O56,$N$47:$O$47,X$7)</f>
        <v>209177594858590</v>
      </c>
      <c r="Y16" s="447" cm="1">
        <f t="array" ref="Y16">TREND($N56:$O56,$N$47:$O$47,Y$7)</f>
        <v>212871330249750</v>
      </c>
      <c r="Z16" s="521">
        <f t="shared" si="1"/>
        <v>216565065640910</v>
      </c>
      <c r="AA16" s="447" cm="1">
        <f t="array" ref="AA16">TREND($O56:$P56,$O$47:$P$47,AA$7)</f>
        <v>215898833613302</v>
      </c>
      <c r="AB16" s="447" cm="1">
        <f t="array" ref="AB16">TREND($O56:$P56,$O$47:$P$47,AB$7)</f>
        <v>215232601585694</v>
      </c>
      <c r="AC16" s="447" cm="1">
        <f t="array" ref="AC16">TREND($O56:$P56,$O$47:$P$47,AC$7)</f>
        <v>214566369558086</v>
      </c>
      <c r="AD16" s="447" cm="1">
        <f t="array" ref="AD16">TREND($O56:$P56,$O$47:$P$47,AD$7)</f>
        <v>213900137530478</v>
      </c>
      <c r="AE16" s="447" cm="1">
        <f t="array" ref="AE16">TREND($O56:$P56,$O$47:$P$47,AE$7)</f>
        <v>213233905502870</v>
      </c>
      <c r="AF16" s="447" cm="1">
        <f t="array" ref="AF16">TREND($O56:$P56,$O$47:$P$47,AF$7)</f>
        <v>212567673475262</v>
      </c>
      <c r="AG16" s="447" cm="1">
        <f t="array" ref="AG16">TREND($O56:$P56,$O$47:$P$47,AG$7)</f>
        <v>211901441447654</v>
      </c>
      <c r="AH16" s="447" cm="1">
        <f t="array" ref="AH16">TREND($O56:$P56,$O$47:$P$47,AH$7)</f>
        <v>211235209420046</v>
      </c>
      <c r="AI16" s="447" cm="1">
        <f t="array" ref="AI16">TREND($O56:$P56,$O$47:$P$47,AI$7)</f>
        <v>210568977392438</v>
      </c>
      <c r="AJ16" s="521">
        <f t="shared" si="2"/>
        <v>209902745364830</v>
      </c>
      <c r="AK16" s="447" cm="1">
        <f t="array" ref="AK16">TREND($P56:$Q56,$P$47:$Q$47,AK$7)</f>
        <v>207511448265737</v>
      </c>
      <c r="AL16" s="447" cm="1">
        <f t="array" ref="AL16">TREND($P56:$Q56,$P$47:$Q$47,AL$7)</f>
        <v>205120151166644</v>
      </c>
      <c r="AM16" s="447" cm="1">
        <f t="array" ref="AM16">TREND($P56:$Q56,$P$47:$Q$47,AM$7)</f>
        <v>202728854067551</v>
      </c>
      <c r="AN16" s="447" cm="1">
        <f t="array" ref="AN16">TREND($P56:$Q56,$P$47:$Q$47,AN$7)</f>
        <v>200337556968458</v>
      </c>
      <c r="AO16" s="447" cm="1">
        <f t="array" ref="AO16">TREND($P56:$Q56,$P$47:$Q$47,AO$7)</f>
        <v>197946259869365</v>
      </c>
      <c r="AP16" s="447" cm="1">
        <f t="array" ref="AP16">TREND($P56:$Q56,$P$47:$Q$47,AP$7)</f>
        <v>195554962770272</v>
      </c>
      <c r="AQ16" s="447" cm="1">
        <f t="array" ref="AQ16">TREND($P56:$Q56,$P$47:$Q$47,AQ$7)</f>
        <v>193163665671179</v>
      </c>
      <c r="AR16" s="447" cm="1">
        <f t="array" ref="AR16">TREND($P56:$Q56,$P$47:$Q$47,AR$7)</f>
        <v>190772368572086</v>
      </c>
      <c r="AS16" s="447" cm="1">
        <f t="array" ref="AS16">TREND($P56:$Q56,$P$47:$Q$47,AS$7)</f>
        <v>188381071472993</v>
      </c>
      <c r="AT16" s="521">
        <f t="shared" si="3"/>
        <v>185989774373900</v>
      </c>
      <c r="AU16" s="169">
        <f>(AT16/P16)^(1/30)-1</f>
        <v>-1.5972389968018641E-3</v>
      </c>
    </row>
    <row r="17" spans="1:47" ht="13.5" customHeight="1">
      <c r="A17" s="48" t="s">
        <v>183</v>
      </c>
      <c r="B17" s="549">
        <v>3.5030000000000001</v>
      </c>
      <c r="C17" s="549">
        <v>2.0390000000000001</v>
      </c>
      <c r="D17" s="550">
        <v>1.9330000000000001</v>
      </c>
      <c r="E17" s="550">
        <v>1.778</v>
      </c>
      <c r="F17" s="550">
        <v>1.498</v>
      </c>
      <c r="G17" s="544">
        <v>42.39</v>
      </c>
      <c r="H17" s="544">
        <v>31.93</v>
      </c>
      <c r="I17" s="545">
        <v>-2.33</v>
      </c>
      <c r="J17" s="545">
        <v>-1.1399999999999999</v>
      </c>
      <c r="L17" s="537" t="s">
        <v>183</v>
      </c>
      <c r="M17" s="446">
        <f t="shared" si="0"/>
        <v>138917309089930</v>
      </c>
      <c r="N17" s="522" cm="1">
        <f t="array" ref="N17">TREND($M57:$N57,$M$47:$N$47,N$7)</f>
        <v>93481112424490</v>
      </c>
      <c r="O17" s="522" cm="1">
        <f t="array" ref="O17">TREND($M57:$N57,$M$47:$N$47,O$7)</f>
        <v>90956879276410</v>
      </c>
      <c r="P17" s="522" cm="1">
        <f t="array" ref="P17">TREND($M57:$N57,$M$47:$N$47,P$7)</f>
        <v>88432646128330</v>
      </c>
      <c r="Q17" s="522" cm="1">
        <f t="array" ref="Q17">TREND($M57:$N57,$M$47:$N$47,Q$7)</f>
        <v>85908412980250</v>
      </c>
      <c r="R17" s="522" cm="1">
        <f t="array" ref="R17">TREND($M57:$N57,$M$47:$N$47,R$7)</f>
        <v>83384179832170</v>
      </c>
      <c r="S17" s="488">
        <f>C17*$L$3</f>
        <v>80859946684090</v>
      </c>
      <c r="T17" s="447" cm="1">
        <f t="array" ref="T17">TREND($N57:$O57,$N$47:$O$47,T$7)</f>
        <v>80259431421110</v>
      </c>
      <c r="U17" s="447" cm="1">
        <f t="array" ref="U17">TREND($N57:$O57,$N$47:$O$47,U$7)</f>
        <v>79658916158130</v>
      </c>
      <c r="V17" s="447" cm="1">
        <f t="array" ref="V17">TREND($N57:$O57,$N$47:$O$47,V$7)</f>
        <v>79058400895150</v>
      </c>
      <c r="W17" s="447" cm="1">
        <f t="array" ref="W17">TREND($N57:$O57,$N$47:$O$47,W$7)</f>
        <v>78457885632170</v>
      </c>
      <c r="X17" s="447" cm="1">
        <f t="array" ref="X17">TREND($N57:$O57,$N$47:$O$47,X$7)</f>
        <v>77857370369190</v>
      </c>
      <c r="Y17" s="447" cm="1">
        <f t="array" ref="Y17">TREND($N57:$O57,$N$47:$O$47,Y$7)</f>
        <v>77256855106210</v>
      </c>
      <c r="Z17" s="521">
        <f t="shared" si="1"/>
        <v>76656339843230</v>
      </c>
      <c r="AA17" s="447" cm="1">
        <f t="array" ref="AA17">TREND($O57:$P57,$O$47:$P$47,AA$7)</f>
        <v>76041661484425</v>
      </c>
      <c r="AB17" s="447" cm="1">
        <f t="array" ref="AB17">TREND($O57:$P57,$O$47:$P$47,AB$7)</f>
        <v>75426983125620</v>
      </c>
      <c r="AC17" s="447" cm="1">
        <f t="array" ref="AC17">TREND($O57:$P57,$O$47:$P$47,AC$7)</f>
        <v>74812304766815</v>
      </c>
      <c r="AD17" s="447" cm="1">
        <f t="array" ref="AD17">TREND($O57:$P57,$O$47:$P$47,AD$7)</f>
        <v>74197626408010</v>
      </c>
      <c r="AE17" s="447" cm="1">
        <f t="array" ref="AE17">TREND($O57:$P57,$O$47:$P$47,AE$7)</f>
        <v>73582948049205</v>
      </c>
      <c r="AF17" s="447" cm="1">
        <f t="array" ref="AF17">TREND($O57:$P57,$O$47:$P$47,AF$7)</f>
        <v>72968269690400</v>
      </c>
      <c r="AG17" s="447" cm="1">
        <f t="array" ref="AG17">TREND($O57:$P57,$O$47:$P$47,AG$7)</f>
        <v>72353591331595</v>
      </c>
      <c r="AH17" s="447" cm="1">
        <f t="array" ref="AH17">TREND($O57:$P57,$O$47:$P$47,AH$7)</f>
        <v>71738912972790</v>
      </c>
      <c r="AI17" s="447" cm="1">
        <f t="array" ref="AI17">TREND($O57:$P57,$O$47:$P$47,AI$7)</f>
        <v>71124234613985</v>
      </c>
      <c r="AJ17" s="521">
        <f t="shared" si="2"/>
        <v>70509556255180</v>
      </c>
      <c r="AK17" s="447" cm="1">
        <f t="array" ref="AK17">TREND($P57:$Q57,$P$47:$Q$47,AK$7)</f>
        <v>69399169542500</v>
      </c>
      <c r="AL17" s="447" cm="1">
        <f t="array" ref="AL17">TREND($P57:$Q57,$P$47:$Q$47,AL$7)</f>
        <v>68288782829820</v>
      </c>
      <c r="AM17" s="447" cm="1">
        <f t="array" ref="AM17">TREND($P57:$Q57,$P$47:$Q$47,AM$7)</f>
        <v>67178396117140</v>
      </c>
      <c r="AN17" s="447" cm="1">
        <f t="array" ref="AN17">TREND($P57:$Q57,$P$47:$Q$47,AN$7)</f>
        <v>66068009404460</v>
      </c>
      <c r="AO17" s="447" cm="1">
        <f t="array" ref="AO17">TREND($P57:$Q57,$P$47:$Q$47,AO$7)</f>
        <v>64957622691780</v>
      </c>
      <c r="AP17" s="447" cm="1">
        <f t="array" ref="AP17">TREND($P57:$Q57,$P$47:$Q$47,AP$7)</f>
        <v>63847235979100</v>
      </c>
      <c r="AQ17" s="447" cm="1">
        <f t="array" ref="AQ17">TREND($P57:$Q57,$P$47:$Q$47,AQ$7)</f>
        <v>62736849266420</v>
      </c>
      <c r="AR17" s="447" cm="1">
        <f t="array" ref="AR17">TREND($P57:$Q57,$P$47:$Q$47,AR$7)</f>
        <v>61626462553740</v>
      </c>
      <c r="AS17" s="447" cm="1">
        <f t="array" ref="AS17">TREND($P57:$Q57,$P$47:$Q$47,AS$7)</f>
        <v>60516075841060</v>
      </c>
      <c r="AT17" s="521">
        <f t="shared" si="3"/>
        <v>59405689128380</v>
      </c>
      <c r="AU17" s="167"/>
    </row>
    <row r="18" spans="1:47" ht="13.5" customHeight="1">
      <c r="A18" s="48" t="s">
        <v>184</v>
      </c>
      <c r="B18" s="549">
        <v>1.1359999999999999</v>
      </c>
      <c r="C18" s="549">
        <v>0.51700000000000002</v>
      </c>
      <c r="D18" s="550">
        <v>0.72</v>
      </c>
      <c r="E18" s="550">
        <v>0.624</v>
      </c>
      <c r="F18" s="550">
        <v>0.45500000000000002</v>
      </c>
      <c r="G18" s="544">
        <v>10.74</v>
      </c>
      <c r="H18" s="544">
        <v>9.69</v>
      </c>
      <c r="I18" s="545">
        <v>-3.37</v>
      </c>
      <c r="J18" s="545">
        <v>-0.47</v>
      </c>
      <c r="L18" s="537" t="s">
        <v>184</v>
      </c>
      <c r="M18" s="446">
        <f t="shared" si="0"/>
        <v>45049975200159.992</v>
      </c>
      <c r="N18" s="522" cm="1">
        <f t="array" ref="N18">TREND($M58:$N58,$M$47:$N$47,N$7)</f>
        <v>25838905708420</v>
      </c>
      <c r="O18" s="522" cm="1">
        <f t="array" ref="O18">TREND($M58:$N58,$M$47:$N$47,O$7)</f>
        <v>24771624069990</v>
      </c>
      <c r="P18" s="522" cm="1">
        <f t="array" ref="P18">TREND($M58:$N58,$M$47:$N$47,P$7)</f>
        <v>23704342431560</v>
      </c>
      <c r="Q18" s="522" cm="1">
        <f t="array" ref="Q18">TREND($M58:$N58,$M$47:$N$47,Q$7)</f>
        <v>22637060793130</v>
      </c>
      <c r="R18" s="522" cm="1">
        <f t="array" ref="R18">TREND($M58:$N58,$M$47:$N$47,R$7)</f>
        <v>21569779154700</v>
      </c>
      <c r="S18" s="488">
        <f>C18*$L$3</f>
        <v>20502497516270</v>
      </c>
      <c r="T18" s="447" cm="1">
        <f t="array" ref="T18">TREND($N58:$O58,$N$47:$O$47,T$7)</f>
        <v>21652540897260</v>
      </c>
      <c r="U18" s="447" cm="1">
        <f t="array" ref="U18">TREND($N58:$O58,$N$47:$O$47,U$7)</f>
        <v>22802584278250</v>
      </c>
      <c r="V18" s="447" cm="1">
        <f t="array" ref="V18">TREND($N58:$O58,$N$47:$O$47,V$7)</f>
        <v>23952627659240</v>
      </c>
      <c r="W18" s="447" cm="1">
        <f t="array" ref="W18">TREND($N58:$O58,$N$47:$O$47,W$7)</f>
        <v>25102671040230</v>
      </c>
      <c r="X18" s="447" cm="1">
        <f t="array" ref="X18">TREND($N58:$O58,$N$47:$O$47,X$7)</f>
        <v>26252714421220</v>
      </c>
      <c r="Y18" s="447" cm="1">
        <f t="array" ref="Y18">TREND($N58:$O58,$N$47:$O$47,Y$7)</f>
        <v>27402757802210</v>
      </c>
      <c r="Z18" s="521">
        <f t="shared" si="1"/>
        <v>28552801183200</v>
      </c>
      <c r="AA18" s="447" cm="1">
        <f t="array" ref="AA18">TREND($O58:$P58,$O$47:$P$47,AA$7)</f>
        <v>28172097167424</v>
      </c>
      <c r="AB18" s="447" cm="1">
        <f t="array" ref="AB18">TREND($O58:$P58,$O$47:$P$47,AB$7)</f>
        <v>27791393151648</v>
      </c>
      <c r="AC18" s="447" cm="1">
        <f t="array" ref="AC18">TREND($O58:$P58,$O$47:$P$47,AC$7)</f>
        <v>27410689135872</v>
      </c>
      <c r="AD18" s="447" cm="1">
        <f t="array" ref="AD18">TREND($O58:$P58,$O$47:$P$47,AD$7)</f>
        <v>27029985120096</v>
      </c>
      <c r="AE18" s="447" cm="1">
        <f t="array" ref="AE18">TREND($O58:$P58,$O$47:$P$47,AE$7)</f>
        <v>26649281104320</v>
      </c>
      <c r="AF18" s="447" cm="1">
        <f t="array" ref="AF18">TREND($O58:$P58,$O$47:$P$47,AF$7)</f>
        <v>26268577088544</v>
      </c>
      <c r="AG18" s="447" cm="1">
        <f t="array" ref="AG18">TREND($O58:$P58,$O$47:$P$47,AG$7)</f>
        <v>25887873072768</v>
      </c>
      <c r="AH18" s="447" cm="1">
        <f t="array" ref="AH18">TREND($O58:$P58,$O$47:$P$47,AH$7)</f>
        <v>25507169056992</v>
      </c>
      <c r="AI18" s="447" cm="1">
        <f t="array" ref="AI18">TREND($O58:$P58,$O$47:$P$47,AI$7)</f>
        <v>25126465041216</v>
      </c>
      <c r="AJ18" s="521">
        <f t="shared" si="2"/>
        <v>24745761025440</v>
      </c>
      <c r="AK18" s="447" cm="1">
        <f t="array" ref="AK18">TREND($P58:$Q58,$P$47:$Q$47,AK$7)</f>
        <v>24075563331001</v>
      </c>
      <c r="AL18" s="447" cm="1">
        <f t="array" ref="AL18">TREND($P58:$Q58,$P$47:$Q$47,AL$7)</f>
        <v>23405365636562</v>
      </c>
      <c r="AM18" s="447" cm="1">
        <f t="array" ref="AM18">TREND($P58:$Q58,$P$47:$Q$47,AM$7)</f>
        <v>22735167942123</v>
      </c>
      <c r="AN18" s="447" cm="1">
        <f t="array" ref="AN18">TREND($P58:$Q58,$P$47:$Q$47,AN$7)</f>
        <v>22064970247684</v>
      </c>
      <c r="AO18" s="447" cm="1">
        <f t="array" ref="AO18">TREND($P58:$Q58,$P$47:$Q$47,AO$7)</f>
        <v>21394772553245</v>
      </c>
      <c r="AP18" s="447" cm="1">
        <f t="array" ref="AP18">TREND($P58:$Q58,$P$47:$Q$47,AP$7)</f>
        <v>20724574858806</v>
      </c>
      <c r="AQ18" s="447" cm="1">
        <f t="array" ref="AQ18">TREND($P58:$Q58,$P$47:$Q$47,AQ$7)</f>
        <v>20054377164367</v>
      </c>
      <c r="AR18" s="447" cm="1">
        <f t="array" ref="AR18">TREND($P58:$Q58,$P$47:$Q$47,AR$7)</f>
        <v>19384179469928</v>
      </c>
      <c r="AS18" s="447" cm="1">
        <f t="array" ref="AS18">TREND($P58:$Q58,$P$47:$Q$47,AS$7)</f>
        <v>18713981775489</v>
      </c>
      <c r="AT18" s="521">
        <f t="shared" si="3"/>
        <v>18043784081050</v>
      </c>
      <c r="AU18" s="167"/>
    </row>
    <row r="19" spans="1:47" ht="13.5" customHeight="1">
      <c r="A19" s="48" t="s">
        <v>185</v>
      </c>
      <c r="B19" s="549">
        <v>0.252</v>
      </c>
      <c r="C19" s="549">
        <v>0.49099999999999999</v>
      </c>
      <c r="D19" s="550">
        <v>0.72299999999999998</v>
      </c>
      <c r="E19" s="550">
        <v>0.74299999999999999</v>
      </c>
      <c r="F19" s="550">
        <v>0.66100000000000003</v>
      </c>
      <c r="G19" s="544">
        <v>10.220000000000001</v>
      </c>
      <c r="H19" s="544">
        <v>14.09</v>
      </c>
      <c r="I19" s="545">
        <v>2.95</v>
      </c>
      <c r="J19" s="545">
        <v>1.1000000000000001</v>
      </c>
      <c r="L19" s="537" t="s">
        <v>185</v>
      </c>
      <c r="M19" s="446">
        <f t="shared" si="0"/>
        <v>9993480414120</v>
      </c>
      <c r="N19" s="522" cm="1">
        <f t="array" ref="N19">TREND($M59:$N59,$M$47:$N$47,N$7)</f>
        <v>17411001591060</v>
      </c>
      <c r="O19" s="522" cm="1">
        <f t="array" ref="O19">TREND($M59:$N59,$M$47:$N$47,O$7)</f>
        <v>17823086100890</v>
      </c>
      <c r="P19" s="522" cm="1">
        <f t="array" ref="P19">TREND($M59:$N59,$M$47:$N$47,P$7)</f>
        <v>18235170610720</v>
      </c>
      <c r="Q19" s="522" cm="1">
        <f t="array" ref="Q19">TREND($M59:$N59,$M$47:$N$47,Q$7)</f>
        <v>18647255120550</v>
      </c>
      <c r="R19" s="522" cm="1">
        <f t="array" ref="R19">TREND($M59:$N59,$M$47:$N$47,R$7)</f>
        <v>19059339630380</v>
      </c>
      <c r="S19" s="488">
        <f>C19*$L$3</f>
        <v>19471424140210</v>
      </c>
      <c r="T19" s="447" cm="1">
        <f t="array" ref="T19">TREND($N59:$O59,$N$47:$O$47,T$7)</f>
        <v>20785759432770</v>
      </c>
      <c r="U19" s="447" cm="1">
        <f t="array" ref="U19">TREND($N59:$O59,$N$47:$O$47,U$7)</f>
        <v>22100094725330</v>
      </c>
      <c r="V19" s="447" cm="1">
        <f t="array" ref="V19">TREND($N59:$O59,$N$47:$O$47,V$7)</f>
        <v>23414430017890</v>
      </c>
      <c r="W19" s="447" cm="1">
        <f t="array" ref="W19">TREND($N59:$O59,$N$47:$O$47,W$7)</f>
        <v>24728765310450</v>
      </c>
      <c r="X19" s="447" cm="1">
        <f t="array" ref="X19">TREND($N59:$O59,$N$47:$O$47,X$7)</f>
        <v>26043100603010</v>
      </c>
      <c r="Y19" s="447" cm="1">
        <f t="array" ref="Y19">TREND($N59:$O59,$N$47:$O$47,Y$7)</f>
        <v>27357435895570</v>
      </c>
      <c r="Z19" s="521">
        <f t="shared" si="1"/>
        <v>28671771188130</v>
      </c>
      <c r="AA19" s="447" cm="1">
        <f t="array" ref="AA19">TREND($O59:$P59,$O$47:$P$47,AA$7)</f>
        <v>28751084524750</v>
      </c>
      <c r="AB19" s="447" cm="1">
        <f t="array" ref="AB19">TREND($O59:$P59,$O$47:$P$47,AB$7)</f>
        <v>28830397861370</v>
      </c>
      <c r="AC19" s="447" cm="1">
        <f t="array" ref="AC19">TREND($O59:$P59,$O$47:$P$47,AC$7)</f>
        <v>28909711197990</v>
      </c>
      <c r="AD19" s="447" cm="1">
        <f t="array" ref="AD19">TREND($O59:$P59,$O$47:$P$47,AD$7)</f>
        <v>28989024534610</v>
      </c>
      <c r="AE19" s="447" cm="1">
        <f t="array" ref="AE19">TREND($O59:$P59,$O$47:$P$47,AE$7)</f>
        <v>29068337871230</v>
      </c>
      <c r="AF19" s="447" cm="1">
        <f t="array" ref="AF19">TREND($O59:$P59,$O$47:$P$47,AF$7)</f>
        <v>29147651207850</v>
      </c>
      <c r="AG19" s="447" cm="1">
        <f t="array" ref="AG19">TREND($O59:$P59,$O$47:$P$47,AG$7)</f>
        <v>29226964544470</v>
      </c>
      <c r="AH19" s="447" cm="1">
        <f t="array" ref="AH19">TREND($O59:$P59,$O$47:$P$47,AH$7)</f>
        <v>29306277881090</v>
      </c>
      <c r="AI19" s="447" cm="1">
        <f t="array" ref="AI19">TREND($O59:$P59,$O$47:$P$47,AI$7)</f>
        <v>29385591217710</v>
      </c>
      <c r="AJ19" s="521">
        <f t="shared" si="2"/>
        <v>29464904554330</v>
      </c>
      <c r="AK19" s="447" cm="1">
        <f t="array" ref="AK19">TREND($P59:$Q59,$P$47:$Q$47,AK$7)</f>
        <v>29139719874188</v>
      </c>
      <c r="AL19" s="447" cm="1">
        <f t="array" ref="AL19">TREND($P59:$Q59,$P$47:$Q$47,AL$7)</f>
        <v>28814535194046</v>
      </c>
      <c r="AM19" s="447" cm="1">
        <f t="array" ref="AM19">TREND($P59:$Q59,$P$47:$Q$47,AM$7)</f>
        <v>28489350513904</v>
      </c>
      <c r="AN19" s="447" cm="1">
        <f t="array" ref="AN19">TREND($P59:$Q59,$P$47:$Q$47,AN$7)</f>
        <v>28164165833762</v>
      </c>
      <c r="AO19" s="447" cm="1">
        <f t="array" ref="AO19">TREND($P59:$Q59,$P$47:$Q$47,AO$7)</f>
        <v>27838981153620</v>
      </c>
      <c r="AP19" s="447" cm="1">
        <f t="array" ref="AP19">TREND($P59:$Q59,$P$47:$Q$47,AP$7)</f>
        <v>27513796473478</v>
      </c>
      <c r="AQ19" s="447" cm="1">
        <f t="array" ref="AQ19">TREND($P59:$Q59,$P$47:$Q$47,AQ$7)</f>
        <v>27188611793336</v>
      </c>
      <c r="AR19" s="447" cm="1">
        <f t="array" ref="AR19">TREND($P59:$Q59,$P$47:$Q$47,AR$7)</f>
        <v>26863427113194</v>
      </c>
      <c r="AS19" s="447" cm="1">
        <f t="array" ref="AS19">TREND($P59:$Q59,$P$47:$Q$47,AS$7)</f>
        <v>26538242433052</v>
      </c>
      <c r="AT19" s="521">
        <f t="shared" si="3"/>
        <v>26213057752910</v>
      </c>
      <c r="AU19" s="167"/>
    </row>
    <row r="20" spans="1:47" ht="13.5" customHeight="1">
      <c r="A20" s="48" t="s">
        <v>186</v>
      </c>
      <c r="B20" s="549">
        <v>0.77200000000000002</v>
      </c>
      <c r="C20" s="549">
        <v>0.98399999999999999</v>
      </c>
      <c r="D20" s="550">
        <v>1.25</v>
      </c>
      <c r="E20" s="550">
        <v>1.3069999999999999</v>
      </c>
      <c r="F20" s="550">
        <v>1.2529999999999999</v>
      </c>
      <c r="G20" s="544">
        <v>20.45</v>
      </c>
      <c r="H20" s="544">
        <v>26.72</v>
      </c>
      <c r="I20" s="545">
        <v>1.06</v>
      </c>
      <c r="J20" s="545">
        <v>0.9</v>
      </c>
      <c r="L20" s="537" t="s">
        <v>186</v>
      </c>
      <c r="M20" s="446">
        <f t="shared" si="0"/>
        <v>30614947935320</v>
      </c>
      <c r="N20" s="522" cm="1">
        <f t="array" ref="N20">TREND($M60:$N60,$M$47:$N$47,N$7)</f>
        <v>37194506468840</v>
      </c>
      <c r="O20" s="522" cm="1">
        <f t="array" ref="O20">TREND($M60:$N60,$M$47:$N$47,O$7)</f>
        <v>37560037498480</v>
      </c>
      <c r="P20" s="522" cm="1">
        <f t="array" ref="P20">TREND($M60:$N60,$M$47:$N$47,P$7)</f>
        <v>37925568528120</v>
      </c>
      <c r="Q20" s="522" cm="1">
        <f t="array" ref="Q20">TREND($M60:$N60,$M$47:$N$47,Q$7)</f>
        <v>38291099557760</v>
      </c>
      <c r="R20" s="522" cm="1">
        <f t="array" ref="R20">TREND($M60:$N60,$M$47:$N$47,R$7)</f>
        <v>38656630587400</v>
      </c>
      <c r="S20" s="488">
        <f>C20*$L$3</f>
        <v>39022161617040</v>
      </c>
      <c r="T20" s="447" cm="1">
        <f t="array" ref="T20">TREND($N60:$O60,$N$47:$O$47,T$7)</f>
        <v>40529115012820</v>
      </c>
      <c r="U20" s="447" cm="1">
        <f t="array" ref="U20">TREND($N60:$O60,$N$47:$O$47,U$7)</f>
        <v>42036068408600</v>
      </c>
      <c r="V20" s="447" cm="1">
        <f t="array" ref="V20">TREND($N60:$O60,$N$47:$O$47,V$7)</f>
        <v>43543021804380</v>
      </c>
      <c r="W20" s="447" cm="1">
        <f t="array" ref="W20">TREND($N60:$O60,$N$47:$O$47,W$7)</f>
        <v>45049975200160</v>
      </c>
      <c r="X20" s="447" cm="1">
        <f t="array" ref="X20">TREND($N60:$O60,$N$47:$O$47,X$7)</f>
        <v>46556928595940</v>
      </c>
      <c r="Y20" s="447" cm="1">
        <f t="array" ref="Y20">TREND($N60:$O60,$N$47:$O$47,Y$7)</f>
        <v>48063881991720</v>
      </c>
      <c r="Z20" s="521">
        <f t="shared" si="1"/>
        <v>49570835387500</v>
      </c>
      <c r="AA20" s="447" cm="1">
        <f t="array" ref="AA20">TREND($O60:$P60,$O$47:$P$47,AA$7)</f>
        <v>49796878396867</v>
      </c>
      <c r="AB20" s="447" cm="1">
        <f t="array" ref="AB20">TREND($O60:$P60,$O$47:$P$47,AB$7)</f>
        <v>50022921406234</v>
      </c>
      <c r="AC20" s="447" cm="1">
        <f t="array" ref="AC20">TREND($O60:$P60,$O$47:$P$47,AC$7)</f>
        <v>50248964415601</v>
      </c>
      <c r="AD20" s="447" cm="1">
        <f t="array" ref="AD20">TREND($O60:$P60,$O$47:$P$47,AD$7)</f>
        <v>50475007424968</v>
      </c>
      <c r="AE20" s="447" cm="1">
        <f t="array" ref="AE20">TREND($O60:$P60,$O$47:$P$47,AE$7)</f>
        <v>50701050434335</v>
      </c>
      <c r="AF20" s="447" cm="1">
        <f t="array" ref="AF20">TREND($O60:$P60,$O$47:$P$47,AF$7)</f>
        <v>50927093443702</v>
      </c>
      <c r="AG20" s="447" cm="1">
        <f t="array" ref="AG20">TREND($O60:$P60,$O$47:$P$47,AG$7)</f>
        <v>51153136453069</v>
      </c>
      <c r="AH20" s="447" cm="1">
        <f t="array" ref="AH20">TREND($O60:$P60,$O$47:$P$47,AH$7)</f>
        <v>51379179462436</v>
      </c>
      <c r="AI20" s="447" cm="1">
        <f t="array" ref="AI20">TREND($O60:$P60,$O$47:$P$47,AI$7)</f>
        <v>51605222471803</v>
      </c>
      <c r="AJ20" s="521">
        <f t="shared" si="2"/>
        <v>51831265481170</v>
      </c>
      <c r="AK20" s="447" cm="1">
        <f t="array" ref="AK20">TREND($P60:$Q60,$P$47:$Q$47,AK$7)</f>
        <v>51617119472296</v>
      </c>
      <c r="AL20" s="447" cm="1">
        <f t="array" ref="AL20">TREND($P60:$Q60,$P$47:$Q$47,AL$7)</f>
        <v>51402973463422</v>
      </c>
      <c r="AM20" s="447" cm="1">
        <f t="array" ref="AM20">TREND($P60:$Q60,$P$47:$Q$47,AM$7)</f>
        <v>51188827454548</v>
      </c>
      <c r="AN20" s="447" cm="1">
        <f t="array" ref="AN20">TREND($P60:$Q60,$P$47:$Q$47,AN$7)</f>
        <v>50974681445674</v>
      </c>
      <c r="AO20" s="447" cm="1">
        <f t="array" ref="AO20">TREND($P60:$Q60,$P$47:$Q$47,AO$7)</f>
        <v>50760535436800</v>
      </c>
      <c r="AP20" s="447" cm="1">
        <f t="array" ref="AP20">TREND($P60:$Q60,$P$47:$Q$47,AP$7)</f>
        <v>50546389427926</v>
      </c>
      <c r="AQ20" s="447" cm="1">
        <f t="array" ref="AQ20">TREND($P60:$Q60,$P$47:$Q$47,AQ$7)</f>
        <v>50332243419052</v>
      </c>
      <c r="AR20" s="447" cm="1">
        <f t="array" ref="AR20">TREND($P60:$Q60,$P$47:$Q$47,AR$7)</f>
        <v>50118097410178</v>
      </c>
      <c r="AS20" s="447" cm="1">
        <f t="array" ref="AS20">TREND($P60:$Q60,$P$47:$Q$47,AS$7)</f>
        <v>49903951401304</v>
      </c>
      <c r="AT20" s="521">
        <f t="shared" si="3"/>
        <v>49689805392429.992</v>
      </c>
      <c r="AU20" s="167"/>
    </row>
    <row r="21" spans="1:47" ht="13.5" customHeight="1">
      <c r="A21" s="49" t="s">
        <v>187</v>
      </c>
      <c r="B21" s="549">
        <v>0</v>
      </c>
      <c r="C21" s="549">
        <v>0.77900000000000003</v>
      </c>
      <c r="D21" s="550">
        <v>0.83499999999999996</v>
      </c>
      <c r="E21" s="550">
        <v>0.84199999999999997</v>
      </c>
      <c r="F21" s="550">
        <v>0.82399999999999995</v>
      </c>
      <c r="G21" s="544">
        <v>16.190000000000001</v>
      </c>
      <c r="H21" s="544">
        <v>17.559999999999999</v>
      </c>
      <c r="I21" s="545" t="s">
        <v>170</v>
      </c>
      <c r="J21" s="545">
        <v>0.21</v>
      </c>
      <c r="L21" s="538" t="s">
        <v>187</v>
      </c>
      <c r="M21" s="446">
        <f t="shared" si="0"/>
        <v>0</v>
      </c>
      <c r="N21" s="522" cm="1">
        <f t="array" ref="N21">TREND($M61:$N61,$M$47:$N$47,N$7)</f>
        <v>24176774045340</v>
      </c>
      <c r="O21" s="522" cm="1">
        <f t="array" ref="O21">TREND($M61:$N61,$M$47:$N$47,O$7)</f>
        <v>25519928158970</v>
      </c>
      <c r="P21" s="522" cm="1">
        <f t="array" ref="P21">TREND($M61:$N61,$M$47:$N$47,P$7)</f>
        <v>26863082272600</v>
      </c>
      <c r="Q21" s="522" cm="1">
        <f t="array" ref="Q21">TREND($M61:$N61,$M$47:$N$47,Q$7)</f>
        <v>28206236386230</v>
      </c>
      <c r="R21" s="522" cm="1">
        <f t="array" ref="R21">TREND($M61:$N61,$M$47:$N$47,R$7)</f>
        <v>29549390499860</v>
      </c>
      <c r="S21" s="488">
        <f>C21*$L$3</f>
        <v>30892544613490</v>
      </c>
      <c r="T21" s="447" cm="1">
        <f t="array" ref="T21">TREND($N61:$O61,$N$47:$O$47,T$7)</f>
        <v>31209797959970</v>
      </c>
      <c r="U21" s="447" cm="1">
        <f t="array" ref="U21">TREND($N61:$O61,$N$47:$O$47,U$7)</f>
        <v>31527051306450</v>
      </c>
      <c r="V21" s="447" cm="1">
        <f t="array" ref="V21">TREND($N61:$O61,$N$47:$O$47,V$7)</f>
        <v>31844304652930</v>
      </c>
      <c r="W21" s="447" cm="1">
        <f t="array" ref="W21">TREND($N61:$O61,$N$47:$O$47,W$7)</f>
        <v>32161557999410</v>
      </c>
      <c r="X21" s="447" cm="1">
        <f t="array" ref="X21">TREND($N61:$O61,$N$47:$O$47,X$7)</f>
        <v>32478811345890</v>
      </c>
      <c r="Y21" s="447" cm="1">
        <f t="array" ref="Y21">TREND($N61:$O61,$N$47:$O$47,Y$7)</f>
        <v>32796064692370</v>
      </c>
      <c r="Z21" s="521">
        <f t="shared" si="1"/>
        <v>33113318038850</v>
      </c>
      <c r="AA21" s="447" cm="1">
        <f t="array" ref="AA21">TREND($O61:$P61,$O$47:$P$47,AA$7)</f>
        <v>33141077706667</v>
      </c>
      <c r="AB21" s="447" cm="1">
        <f t="array" ref="AB21">TREND($O61:$P61,$O$47:$P$47,AB$7)</f>
        <v>33168837374484</v>
      </c>
      <c r="AC21" s="447" cm="1">
        <f t="array" ref="AC21">TREND($O61:$P61,$O$47:$P$47,AC$7)</f>
        <v>33196597042301</v>
      </c>
      <c r="AD21" s="447" cm="1">
        <f t="array" ref="AD21">TREND($O61:$P61,$O$47:$P$47,AD$7)</f>
        <v>33224356710118</v>
      </c>
      <c r="AE21" s="447" cm="1">
        <f t="array" ref="AE21">TREND($O61:$P61,$O$47:$P$47,AE$7)</f>
        <v>33252116377935</v>
      </c>
      <c r="AF21" s="447" cm="1">
        <f t="array" ref="AF21">TREND($O61:$P61,$O$47:$P$47,AF$7)</f>
        <v>33279876045752</v>
      </c>
      <c r="AG21" s="447" cm="1">
        <f t="array" ref="AG21">TREND($O61:$P61,$O$47:$P$47,AG$7)</f>
        <v>33307635713569</v>
      </c>
      <c r="AH21" s="447" cm="1">
        <f t="array" ref="AH21">TREND($O61:$P61,$O$47:$P$47,AH$7)</f>
        <v>33335395381386</v>
      </c>
      <c r="AI21" s="447" cm="1">
        <f t="array" ref="AI21">TREND($O61:$P61,$O$47:$P$47,AI$7)</f>
        <v>33363155049203</v>
      </c>
      <c r="AJ21" s="521">
        <f t="shared" si="2"/>
        <v>33390914717020</v>
      </c>
      <c r="AK21" s="447" cm="1">
        <f t="array" ref="AK21">TREND($P61:$Q61,$P$47:$Q$47,AK$7)</f>
        <v>33319532714062</v>
      </c>
      <c r="AL21" s="447" cm="1">
        <f t="array" ref="AL21">TREND($P61:$Q61,$P$47:$Q$47,AL$7)</f>
        <v>33248150711104</v>
      </c>
      <c r="AM21" s="447" cm="1">
        <f t="array" ref="AM21">TREND($P61:$Q61,$P$47:$Q$47,AM$7)</f>
        <v>33176768708146</v>
      </c>
      <c r="AN21" s="447" cm="1">
        <f t="array" ref="AN21">TREND($P61:$Q61,$P$47:$Q$47,AN$7)</f>
        <v>33105386705188</v>
      </c>
      <c r="AO21" s="447" cm="1">
        <f t="array" ref="AO21">TREND($P61:$Q61,$P$47:$Q$47,AO$7)</f>
        <v>33034004702230</v>
      </c>
      <c r="AP21" s="447" cm="1">
        <f t="array" ref="AP21">TREND($P61:$Q61,$P$47:$Q$47,AP$7)</f>
        <v>32962622699272</v>
      </c>
      <c r="AQ21" s="447" cm="1">
        <f t="array" ref="AQ21">TREND($P61:$Q61,$P$47:$Q$47,AQ$7)</f>
        <v>32891240696314</v>
      </c>
      <c r="AR21" s="447" cm="1">
        <f t="array" ref="AR21">TREND($P61:$Q61,$P$47:$Q$47,AR$7)</f>
        <v>32819858693356</v>
      </c>
      <c r="AS21" s="447" cm="1">
        <f t="array" ref="AS21">TREND($P61:$Q61,$P$47:$Q$47,AS$7)</f>
        <v>32748476690398</v>
      </c>
      <c r="AT21" s="521">
        <f t="shared" si="3"/>
        <v>32677094687440</v>
      </c>
      <c r="AU21" s="167"/>
    </row>
    <row r="22" spans="1:47" s="55" customFormat="1" ht="3" customHeight="1">
      <c r="A22" s="50"/>
      <c r="B22" s="542"/>
      <c r="C22" s="542"/>
      <c r="D22" s="541"/>
      <c r="E22" s="541"/>
      <c r="F22" s="541"/>
      <c r="G22" s="546"/>
      <c r="H22" s="546"/>
      <c r="I22" s="547"/>
      <c r="J22" s="547"/>
      <c r="L22" s="533"/>
      <c r="M22" s="446">
        <f t="shared" si="0"/>
        <v>0</v>
      </c>
      <c r="N22" s="522" cm="1">
        <f t="array" ref="N22">TREND($M62:$N62,$M$47:$N$47,N$7)</f>
        <v>0</v>
      </c>
      <c r="O22" s="522" cm="1">
        <f t="array" ref="O22">TREND($M62:$N62,$M$47:$N$47,O$7)</f>
        <v>0</v>
      </c>
      <c r="P22" s="522" cm="1">
        <f t="array" ref="P22">TREND($M62:$N62,$M$47:$N$47,P$7)</f>
        <v>0</v>
      </c>
      <c r="Q22" s="522" cm="1">
        <f t="array" ref="Q22">TREND($M62:$N62,$M$47:$N$47,Q$7)</f>
        <v>0</v>
      </c>
      <c r="R22" s="522" cm="1">
        <f t="array" ref="R22">TREND($M62:$N62,$M$47:$N$47,R$7)</f>
        <v>0</v>
      </c>
      <c r="S22" s="488">
        <f>C22*$L$3</f>
        <v>0</v>
      </c>
      <c r="T22" s="447" cm="1">
        <f t="array" ref="T22">TREND($N62:$O62,$N$47:$O$47,T$7)</f>
        <v>0</v>
      </c>
      <c r="U22" s="447" cm="1">
        <f t="array" ref="U22">TREND($N62:$O62,$N$47:$O$47,U$7)</f>
        <v>0</v>
      </c>
      <c r="V22" s="447" cm="1">
        <f t="array" ref="V22">TREND($N62:$O62,$N$47:$O$47,V$7)</f>
        <v>0</v>
      </c>
      <c r="W22" s="447" cm="1">
        <f t="array" ref="W22">TREND($N62:$O62,$N$47:$O$47,W$7)</f>
        <v>0</v>
      </c>
      <c r="X22" s="447" cm="1">
        <f t="array" ref="X22">TREND($N62:$O62,$N$47:$O$47,X$7)</f>
        <v>0</v>
      </c>
      <c r="Y22" s="447" cm="1">
        <f t="array" ref="Y22">TREND($N62:$O62,$N$47:$O$47,Y$7)</f>
        <v>0</v>
      </c>
      <c r="Z22" s="521">
        <f t="shared" si="1"/>
        <v>0</v>
      </c>
      <c r="AA22" s="447" cm="1">
        <f t="array" ref="AA22">TREND($O62:$P62,$O$47:$P$47,AA$7)</f>
        <v>0</v>
      </c>
      <c r="AB22" s="447" cm="1">
        <f t="array" ref="AB22">TREND($O62:$P62,$O$47:$P$47,AB$7)</f>
        <v>0</v>
      </c>
      <c r="AC22" s="447" cm="1">
        <f t="array" ref="AC22">TREND($O62:$P62,$O$47:$P$47,AC$7)</f>
        <v>0</v>
      </c>
      <c r="AD22" s="447" cm="1">
        <f t="array" ref="AD22">TREND($O62:$P62,$O$47:$P$47,AD$7)</f>
        <v>0</v>
      </c>
      <c r="AE22" s="447" cm="1">
        <f t="array" ref="AE22">TREND($O62:$P62,$O$47:$P$47,AE$7)</f>
        <v>0</v>
      </c>
      <c r="AF22" s="447" cm="1">
        <f t="array" ref="AF22">TREND($O62:$P62,$O$47:$P$47,AF$7)</f>
        <v>0</v>
      </c>
      <c r="AG22" s="447" cm="1">
        <f t="array" ref="AG22">TREND($O62:$P62,$O$47:$P$47,AG$7)</f>
        <v>0</v>
      </c>
      <c r="AH22" s="447" cm="1">
        <f t="array" ref="AH22">TREND($O62:$P62,$O$47:$P$47,AH$7)</f>
        <v>0</v>
      </c>
      <c r="AI22" s="447" cm="1">
        <f t="array" ref="AI22">TREND($O62:$P62,$O$47:$P$47,AI$7)</f>
        <v>0</v>
      </c>
      <c r="AJ22" s="521">
        <f t="shared" si="2"/>
        <v>0</v>
      </c>
      <c r="AK22" s="447" cm="1">
        <f t="array" ref="AK22">TREND($P62:$Q62,$P$47:$Q$47,AK$7)</f>
        <v>0</v>
      </c>
      <c r="AL22" s="447" cm="1">
        <f t="array" ref="AL22">TREND($P62:$Q62,$P$47:$Q$47,AL$7)</f>
        <v>0</v>
      </c>
      <c r="AM22" s="447" cm="1">
        <f t="array" ref="AM22">TREND($P62:$Q62,$P$47:$Q$47,AM$7)</f>
        <v>0</v>
      </c>
      <c r="AN22" s="447" cm="1">
        <f t="array" ref="AN22">TREND($P62:$Q62,$P$47:$Q$47,AN$7)</f>
        <v>0</v>
      </c>
      <c r="AO22" s="447" cm="1">
        <f t="array" ref="AO22">TREND($P62:$Q62,$P$47:$Q$47,AO$7)</f>
        <v>0</v>
      </c>
      <c r="AP22" s="447" cm="1">
        <f t="array" ref="AP22">TREND($P62:$Q62,$P$47:$Q$47,AP$7)</f>
        <v>0</v>
      </c>
      <c r="AQ22" s="447" cm="1">
        <f t="array" ref="AQ22">TREND($P62:$Q62,$P$47:$Q$47,AQ$7)</f>
        <v>0</v>
      </c>
      <c r="AR22" s="447" cm="1">
        <f t="array" ref="AR22">TREND($P62:$Q62,$P$47:$Q$47,AR$7)</f>
        <v>0</v>
      </c>
      <c r="AS22" s="447" cm="1">
        <f t="array" ref="AS22">TREND($P62:$Q62,$P$47:$Q$47,AS$7)</f>
        <v>0</v>
      </c>
      <c r="AT22" s="521">
        <f t="shared" si="3"/>
        <v>0</v>
      </c>
      <c r="AU22" s="167"/>
    </row>
    <row r="23" spans="1:47" ht="13.5" customHeight="1">
      <c r="A23" s="42" t="s">
        <v>189</v>
      </c>
      <c r="B23" s="549">
        <v>17.094000000000001</v>
      </c>
      <c r="C23" s="549">
        <v>26.710999999999999</v>
      </c>
      <c r="D23" s="550">
        <v>29.678999999999998</v>
      </c>
      <c r="E23" s="550">
        <v>28.173999999999999</v>
      </c>
      <c r="F23" s="550">
        <v>25.178999999999998</v>
      </c>
      <c r="G23" s="544">
        <v>100</v>
      </c>
      <c r="H23" s="544">
        <v>100</v>
      </c>
      <c r="I23" s="545">
        <v>1.96</v>
      </c>
      <c r="J23" s="545">
        <v>-0.22</v>
      </c>
      <c r="L23" s="534" t="s">
        <v>189</v>
      </c>
      <c r="M23" s="446">
        <f t="shared" si="0"/>
        <v>677891088091140</v>
      </c>
      <c r="N23" s="522" cm="1">
        <f t="array" ref="N23">TREND($M63:$N63,$M$47:$N$47,N$7)</f>
        <v>976360967415960</v>
      </c>
      <c r="O23" s="522" cm="1">
        <f t="array" ref="O23">TREND($M63:$N63,$M$47:$N$47,O$7)</f>
        <v>992942627378452</v>
      </c>
      <c r="P23" s="522" cm="1">
        <f t="array" ref="P23">TREND($M63:$N63,$M$47:$N$47,P$7)</f>
        <v>1009524287340940</v>
      </c>
      <c r="Q23" s="522" cm="1">
        <f t="array" ref="Q23">TREND($M63:$N63,$M$47:$N$47,Q$7)</f>
        <v>1026105947303428</v>
      </c>
      <c r="R23" s="522" cm="1">
        <f t="array" ref="R23">TREND($M63:$N63,$M$47:$N$47,R$7)</f>
        <v>1042687607265920</v>
      </c>
      <c r="S23" s="488">
        <f>C23*$L$3</f>
        <v>1059269267228410</v>
      </c>
      <c r="T23" s="447" cm="1">
        <f t="array" ref="T23">TREND($N63:$O63,$N$47:$O$47,T$7)</f>
        <v>1076083694591848</v>
      </c>
      <c r="U23" s="447" cm="1">
        <f t="array" ref="U23">TREND($N63:$O63,$N$47:$O$47,U$7)</f>
        <v>1092898121955288</v>
      </c>
      <c r="V23" s="447" cm="1">
        <f t="array" ref="V23">TREND($N63:$O63,$N$47:$O$47,V$7)</f>
        <v>1109712549318728</v>
      </c>
      <c r="W23" s="447" cm="1">
        <f t="array" ref="W23">TREND($N63:$O63,$N$47:$O$47,W$7)</f>
        <v>1126526976682168</v>
      </c>
      <c r="X23" s="447" cm="1">
        <f t="array" ref="X23">TREND($N63:$O63,$N$47:$O$47,X$7)</f>
        <v>1143341404045608</v>
      </c>
      <c r="Y23" s="447" cm="1">
        <f t="array" ref="Y23">TREND($N63:$O63,$N$47:$O$47,Y$7)</f>
        <v>1160155831409048</v>
      </c>
      <c r="Z23" s="521">
        <f t="shared" si="1"/>
        <v>1176970258772490</v>
      </c>
      <c r="AA23" s="447" cm="1">
        <f t="array" ref="AA23">TREND($O63:$P63,$O$47:$P$47,AA$7)</f>
        <v>1171001930191836</v>
      </c>
      <c r="AB23" s="447" cm="1">
        <f t="array" ref="AB23">TREND($O63:$P63,$O$47:$P$47,AB$7)</f>
        <v>1165033601611182</v>
      </c>
      <c r="AC23" s="447" cm="1">
        <f t="array" ref="AC23">TREND($O63:$P63,$O$47:$P$47,AC$7)</f>
        <v>1159065273030526</v>
      </c>
      <c r="AD23" s="447" cm="1">
        <f t="array" ref="AD23">TREND($O63:$P63,$O$47:$P$47,AD$7)</f>
        <v>1153096944449872</v>
      </c>
      <c r="AE23" s="447" cm="1">
        <f t="array" ref="AE23">TREND($O63:$P63,$O$47:$P$47,AE$7)</f>
        <v>1147128615869216</v>
      </c>
      <c r="AF23" s="447" cm="1">
        <f t="array" ref="AF23">TREND($O63:$P63,$O$47:$P$47,AF$7)</f>
        <v>1141160287288562</v>
      </c>
      <c r="AG23" s="447" cm="1">
        <f t="array" ref="AG23">TREND($O63:$P63,$O$47:$P$47,AG$7)</f>
        <v>1135191958707906</v>
      </c>
      <c r="AH23" s="447" cm="1">
        <f t="array" ref="AH23">TREND($O63:$P63,$O$47:$P$47,AH$7)</f>
        <v>1129223630127252</v>
      </c>
      <c r="AI23" s="447" cm="1">
        <f t="array" ref="AI23">TREND($O63:$P63,$O$47:$P$47,AI$7)</f>
        <v>1123255301546596</v>
      </c>
      <c r="AJ23" s="521">
        <f t="shared" si="2"/>
        <v>1117286972965940</v>
      </c>
      <c r="AK23" s="447" cm="1">
        <f t="array" ref="AK23">TREND($P63:$Q63,$P$47:$Q$47,AK$7)</f>
        <v>1105409800807096</v>
      </c>
      <c r="AL23" s="447" cm="1">
        <f t="array" ref="AL23">TREND($P63:$Q63,$P$47:$Q$47,AL$7)</f>
        <v>1093532628648248</v>
      </c>
      <c r="AM23" s="447" cm="1">
        <f t="array" ref="AM23">TREND($P63:$Q63,$P$47:$Q$47,AM$7)</f>
        <v>1081655456489404</v>
      </c>
      <c r="AN23" s="447" cm="1">
        <f t="array" ref="AN23">TREND($P63:$Q63,$P$47:$Q$47,AN$7)</f>
        <v>1069778284330560</v>
      </c>
      <c r="AO23" s="447" cm="1">
        <f t="array" ref="AO23">TREND($P63:$Q63,$P$47:$Q$47,AO$7)</f>
        <v>1057901112171716</v>
      </c>
      <c r="AP23" s="447" cm="1">
        <f t="array" ref="AP23">TREND($P63:$Q63,$P$47:$Q$47,AP$7)</f>
        <v>1046023940012868</v>
      </c>
      <c r="AQ23" s="447" cm="1">
        <f t="array" ref="AQ23">TREND($P63:$Q63,$P$47:$Q$47,AQ$7)</f>
        <v>1034146767854024</v>
      </c>
      <c r="AR23" s="447" cm="1">
        <f t="array" ref="AR23">TREND($P63:$Q63,$P$47:$Q$47,AR$7)</f>
        <v>1022269595695180</v>
      </c>
      <c r="AS23" s="447" cm="1">
        <f t="array" ref="AS23">TREND($P63:$Q63,$P$47:$Q$47,AS$7)</f>
        <v>1010392423536336</v>
      </c>
      <c r="AT23" s="521">
        <f t="shared" si="3"/>
        <v>998515251377490</v>
      </c>
      <c r="AU23" s="169">
        <f>(AT23/P23)^(1/30)-1</f>
        <v>-3.6543551943057917E-4</v>
      </c>
    </row>
    <row r="24" spans="1:47" ht="13.5" customHeight="1">
      <c r="A24" s="48" t="s">
        <v>183</v>
      </c>
      <c r="B24" s="549">
        <v>13.597</v>
      </c>
      <c r="C24" s="549">
        <v>22.408000000000001</v>
      </c>
      <c r="D24" s="550">
        <v>24.826000000000001</v>
      </c>
      <c r="E24" s="550">
        <v>23.326000000000001</v>
      </c>
      <c r="F24" s="550">
        <v>20.548999999999999</v>
      </c>
      <c r="G24" s="544">
        <v>83.89</v>
      </c>
      <c r="H24" s="544">
        <v>81.61</v>
      </c>
      <c r="I24" s="545">
        <v>2.2000000000000002</v>
      </c>
      <c r="J24" s="545">
        <v>-0.32</v>
      </c>
      <c r="L24" s="537" t="s">
        <v>183</v>
      </c>
      <c r="M24" s="446">
        <f t="shared" si="0"/>
        <v>539211719011070</v>
      </c>
      <c r="N24" s="522" cm="1">
        <f t="array" ref="N24">TREND($M64:$N64,$M$47:$N$47,N$7)</f>
        <v>812666861647132</v>
      </c>
      <c r="O24" s="522" cm="1">
        <f t="array" ref="O24">TREND($M64:$N64,$M$47:$N$47,O$7)</f>
        <v>827858814015800</v>
      </c>
      <c r="P24" s="522" cm="1">
        <f t="array" ref="P24">TREND($M64:$N64,$M$47:$N$47,P$7)</f>
        <v>843050766384472</v>
      </c>
      <c r="Q24" s="522" cm="1">
        <f t="array" ref="Q24">TREND($M64:$N64,$M$47:$N$47,Q$7)</f>
        <v>858242718753144</v>
      </c>
      <c r="R24" s="522" cm="1">
        <f t="array" ref="R24">TREND($M64:$N64,$M$47:$N$47,R$7)</f>
        <v>873434671121812</v>
      </c>
      <c r="S24" s="488">
        <f>C24*$L$3</f>
        <v>888626623490480</v>
      </c>
      <c r="T24" s="447" cm="1">
        <f t="array" ref="T24">TREND($N64:$O64,$N$47:$O$47,T$7)</f>
        <v>902325169772424</v>
      </c>
      <c r="U24" s="447" cm="1">
        <f t="array" ref="U24">TREND($N64:$O64,$N$47:$O$47,U$7)</f>
        <v>916023716054364</v>
      </c>
      <c r="V24" s="447" cm="1">
        <f t="array" ref="V24">TREND($N64:$O64,$N$47:$O$47,V$7)</f>
        <v>929722262336304</v>
      </c>
      <c r="W24" s="447" cm="1">
        <f t="array" ref="W24">TREND($N64:$O64,$N$47:$O$47,W$7)</f>
        <v>943420808618244</v>
      </c>
      <c r="X24" s="447" cm="1">
        <f t="array" ref="X24">TREND($N64:$O64,$N$47:$O$47,X$7)</f>
        <v>957119354900184</v>
      </c>
      <c r="Y24" s="447" cm="1">
        <f t="array" ref="Y24">TREND($N64:$O64,$N$47:$O$47,Y$7)</f>
        <v>970817901182124</v>
      </c>
      <c r="Z24" s="521">
        <f t="shared" si="1"/>
        <v>984516447464060</v>
      </c>
      <c r="AA24" s="447" cm="1">
        <f t="array" ref="AA24">TREND($O64:$P64,$O$47:$P$47,AA$7)</f>
        <v>978567947217560</v>
      </c>
      <c r="AB24" s="447" cm="1">
        <f t="array" ref="AB24">TREND($O64:$P64,$O$47:$P$47,AB$7)</f>
        <v>972619446971060</v>
      </c>
      <c r="AC24" s="447" cm="1">
        <f t="array" ref="AC24">TREND($O64:$P64,$O$47:$P$47,AC$7)</f>
        <v>966670946724560</v>
      </c>
      <c r="AD24" s="447" cm="1">
        <f t="array" ref="AD24">TREND($O64:$P64,$O$47:$P$47,AD$7)</f>
        <v>960722446478060</v>
      </c>
      <c r="AE24" s="447" cm="1">
        <f t="array" ref="AE24">TREND($O64:$P64,$O$47:$P$47,AE$7)</f>
        <v>954773946231560</v>
      </c>
      <c r="AF24" s="447" cm="1">
        <f t="array" ref="AF24">TREND($O64:$P64,$O$47:$P$47,AF$7)</f>
        <v>948825445985060</v>
      </c>
      <c r="AG24" s="447" cm="1">
        <f t="array" ref="AG24">TREND($O64:$P64,$O$47:$P$47,AG$7)</f>
        <v>942876945738560</v>
      </c>
      <c r="AH24" s="447" cm="1">
        <f t="array" ref="AH24">TREND($O64:$P64,$O$47:$P$47,AH$7)</f>
        <v>936928445492060</v>
      </c>
      <c r="AI24" s="447" cm="1">
        <f t="array" ref="AI24">TREND($O64:$P64,$O$47:$P$47,AI$7)</f>
        <v>930979945245560</v>
      </c>
      <c r="AJ24" s="521">
        <f t="shared" si="2"/>
        <v>925031444999060</v>
      </c>
      <c r="AK24" s="447" cm="1">
        <f t="array" ref="AK24">TREND($P64:$Q64,$P$47:$Q$47,AK$7)</f>
        <v>914018788209372</v>
      </c>
      <c r="AL24" s="447" cm="1">
        <f t="array" ref="AL24">TREND($P64:$Q64,$P$47:$Q$47,AL$7)</f>
        <v>903006131419684</v>
      </c>
      <c r="AM24" s="447" cm="1">
        <f t="array" ref="AM24">TREND($P64:$Q64,$P$47:$Q$47,AM$7)</f>
        <v>891993474630000</v>
      </c>
      <c r="AN24" s="447" cm="1">
        <f t="array" ref="AN24">TREND($P64:$Q64,$P$47:$Q$47,AN$7)</f>
        <v>880980817840312</v>
      </c>
      <c r="AO24" s="447" cm="1">
        <f t="array" ref="AO24">TREND($P64:$Q64,$P$47:$Q$47,AO$7)</f>
        <v>869968161050624</v>
      </c>
      <c r="AP24" s="447" cm="1">
        <f t="array" ref="AP24">TREND($P64:$Q64,$P$47:$Q$47,AP$7)</f>
        <v>858955504260940</v>
      </c>
      <c r="AQ24" s="447" cm="1">
        <f t="array" ref="AQ24">TREND($P64:$Q64,$P$47:$Q$47,AQ$7)</f>
        <v>847942847471252</v>
      </c>
      <c r="AR24" s="447" cm="1">
        <f t="array" ref="AR24">TREND($P64:$Q64,$P$47:$Q$47,AR$7)</f>
        <v>836930190681564</v>
      </c>
      <c r="AS24" s="447" cm="1">
        <f t="array" ref="AS24">TREND($P64:$Q64,$P$47:$Q$47,AS$7)</f>
        <v>825917533891876</v>
      </c>
      <c r="AT24" s="521">
        <f t="shared" si="3"/>
        <v>814904877102190</v>
      </c>
      <c r="AU24" s="167"/>
    </row>
    <row r="25" spans="1:47" ht="13.5" customHeight="1">
      <c r="A25" s="48" t="s">
        <v>184</v>
      </c>
      <c r="B25" s="549">
        <v>0.92300000000000004</v>
      </c>
      <c r="C25" s="549">
        <v>5.8000000000000003E-2</v>
      </c>
      <c r="D25" s="550">
        <v>4.4999999999999998E-2</v>
      </c>
      <c r="E25" s="550">
        <v>4.3999999999999997E-2</v>
      </c>
      <c r="F25" s="550">
        <v>4.1000000000000002E-2</v>
      </c>
      <c r="G25" s="544">
        <v>0.22</v>
      </c>
      <c r="H25" s="544">
        <v>0.16</v>
      </c>
      <c r="I25" s="545">
        <v>-11.35</v>
      </c>
      <c r="J25" s="545">
        <v>-1.3</v>
      </c>
      <c r="L25" s="537" t="s">
        <v>184</v>
      </c>
      <c r="M25" s="446">
        <f t="shared" si="0"/>
        <v>36603104850130</v>
      </c>
      <c r="N25" s="522" cm="1">
        <f t="array" ref="N25">TREND($M65:$N65,$M$47:$N$47,N$7)</f>
        <v>9757264607230</v>
      </c>
      <c r="O25" s="522" cm="1">
        <f t="array" ref="O25">TREND($M65:$N65,$M$47:$N$47,O$7)</f>
        <v>8265829038180</v>
      </c>
      <c r="P25" s="522" cm="1">
        <f t="array" ref="P25">TREND($M65:$N65,$M$47:$N$47,P$7)</f>
        <v>6774393469130</v>
      </c>
      <c r="Q25" s="522" cm="1">
        <f t="array" ref="Q25">TREND($M65:$N65,$M$47:$N$47,Q$7)</f>
        <v>5282957900080</v>
      </c>
      <c r="R25" s="522" cm="1">
        <f t="array" ref="R25">TREND($M65:$N65,$M$47:$N$47,R$7)</f>
        <v>3791522331030</v>
      </c>
      <c r="S25" s="488">
        <f>C25*$L$3</f>
        <v>2300086761980</v>
      </c>
      <c r="T25" s="447" cm="1">
        <f t="array" ref="T25">TREND($N65:$O65,$N$47:$O$47,T$7)</f>
        <v>2226438663690</v>
      </c>
      <c r="U25" s="447" cm="1">
        <f t="array" ref="U25">TREND($N65:$O65,$N$47:$O$47,U$7)</f>
        <v>2152790565400</v>
      </c>
      <c r="V25" s="447" cm="1">
        <f t="array" ref="V25">TREND($N65:$O65,$N$47:$O$47,V$7)</f>
        <v>2079142467110</v>
      </c>
      <c r="W25" s="447" cm="1">
        <f t="array" ref="W25">TREND($N65:$O65,$N$47:$O$47,W$7)</f>
        <v>2005494368820</v>
      </c>
      <c r="X25" s="447" cm="1">
        <f t="array" ref="X25">TREND($N65:$O65,$N$47:$O$47,X$7)</f>
        <v>1931846270530</v>
      </c>
      <c r="Y25" s="447" cm="1">
        <f t="array" ref="Y25">TREND($N65:$O65,$N$47:$O$47,Y$7)</f>
        <v>1858198172240</v>
      </c>
      <c r="Z25" s="521">
        <f t="shared" si="1"/>
        <v>1784550073950</v>
      </c>
      <c r="AA25" s="447" cm="1">
        <f t="array" ref="AA25">TREND($O65:$P65,$O$47:$P$47,AA$7)</f>
        <v>1780584407119.001</v>
      </c>
      <c r="AB25" s="447" cm="1">
        <f t="array" ref="AB25">TREND($O65:$P65,$O$47:$P$47,AB$7)</f>
        <v>1776618740288.001</v>
      </c>
      <c r="AC25" s="447" cm="1">
        <f t="array" ref="AC25">TREND($O65:$P65,$O$47:$P$47,AC$7)</f>
        <v>1772653073457.001</v>
      </c>
      <c r="AD25" s="447" cm="1">
        <f t="array" ref="AD25">TREND($O65:$P65,$O$47:$P$47,AD$7)</f>
        <v>1768687406626.001</v>
      </c>
      <c r="AE25" s="447" cm="1">
        <f t="array" ref="AE25">TREND($O65:$P65,$O$47:$P$47,AE$7)</f>
        <v>1764721739795.001</v>
      </c>
      <c r="AF25" s="447" cm="1">
        <f t="array" ref="AF25">TREND($O65:$P65,$O$47:$P$47,AF$7)</f>
        <v>1760756072964.001</v>
      </c>
      <c r="AG25" s="447" cm="1">
        <f t="array" ref="AG25">TREND($O65:$P65,$O$47:$P$47,AG$7)</f>
        <v>1756790406133.001</v>
      </c>
      <c r="AH25" s="447" cm="1">
        <f t="array" ref="AH25">TREND($O65:$P65,$O$47:$P$47,AH$7)</f>
        <v>1752824739302.001</v>
      </c>
      <c r="AI25" s="447" cm="1">
        <f t="array" ref="AI25">TREND($O65:$P65,$O$47:$P$47,AI$7)</f>
        <v>1748859072471.001</v>
      </c>
      <c r="AJ25" s="521">
        <f t="shared" si="2"/>
        <v>1744893405640</v>
      </c>
      <c r="AK25" s="447" cm="1">
        <f t="array" ref="AK25">TREND($P65:$Q65,$P$47:$Q$47,AK$7)</f>
        <v>1732996405147</v>
      </c>
      <c r="AL25" s="447" cm="1">
        <f t="array" ref="AL25">TREND($P65:$Q65,$P$47:$Q$47,AL$7)</f>
        <v>1721099404654</v>
      </c>
      <c r="AM25" s="447" cm="1">
        <f t="array" ref="AM25">TREND($P65:$Q65,$P$47:$Q$47,AM$7)</f>
        <v>1709202404161</v>
      </c>
      <c r="AN25" s="447" cm="1">
        <f t="array" ref="AN25">TREND($P65:$Q65,$P$47:$Q$47,AN$7)</f>
        <v>1697305403668</v>
      </c>
      <c r="AO25" s="447" cm="1">
        <f t="array" ref="AO25">TREND($P65:$Q65,$P$47:$Q$47,AO$7)</f>
        <v>1685408403175</v>
      </c>
      <c r="AP25" s="447" cm="1">
        <f t="array" ref="AP25">TREND($P65:$Q65,$P$47:$Q$47,AP$7)</f>
        <v>1673511402682</v>
      </c>
      <c r="AQ25" s="447" cm="1">
        <f t="array" ref="AQ25">TREND($P65:$Q65,$P$47:$Q$47,AQ$7)</f>
        <v>1661614402189</v>
      </c>
      <c r="AR25" s="447" cm="1">
        <f t="array" ref="AR25">TREND($P65:$Q65,$P$47:$Q$47,AR$7)</f>
        <v>1649717401696</v>
      </c>
      <c r="AS25" s="447" cm="1">
        <f t="array" ref="AS25">TREND($P65:$Q65,$P$47:$Q$47,AS$7)</f>
        <v>1637820401203</v>
      </c>
      <c r="AT25" s="521">
        <f t="shared" si="3"/>
        <v>1625923400710</v>
      </c>
      <c r="AU25" s="167"/>
    </row>
    <row r="26" spans="1:47" ht="13.5" customHeight="1">
      <c r="A26" s="48" t="s">
        <v>185</v>
      </c>
      <c r="B26" s="549">
        <v>0.85399999999999998</v>
      </c>
      <c r="C26" s="549">
        <v>2.145</v>
      </c>
      <c r="D26" s="550">
        <v>2.2189999999999999</v>
      </c>
      <c r="E26" s="550">
        <v>2.1920000000000002</v>
      </c>
      <c r="F26" s="550">
        <v>2.028</v>
      </c>
      <c r="G26" s="544">
        <v>8.0299999999999994</v>
      </c>
      <c r="H26" s="544">
        <v>8.06</v>
      </c>
      <c r="I26" s="545">
        <v>4.08</v>
      </c>
      <c r="J26" s="545">
        <v>-0.21</v>
      </c>
      <c r="L26" s="537" t="s">
        <v>185</v>
      </c>
      <c r="M26" s="446">
        <f t="shared" si="0"/>
        <v>33866794736740</v>
      </c>
      <c r="N26" s="522" cm="1">
        <f t="array" ref="N26">TREND($M66:$N66,$M$47:$N$47,N$7)</f>
        <v>73933823353600</v>
      </c>
      <c r="O26" s="522" cm="1">
        <f t="array" ref="O26">TREND($M66:$N66,$M$47:$N$47,O$7)</f>
        <v>76159769387870</v>
      </c>
      <c r="P26" s="522" cm="1">
        <f t="array" ref="P26">TREND($M66:$N66,$M$47:$N$47,P$7)</f>
        <v>78385715422140</v>
      </c>
      <c r="Q26" s="522" cm="1">
        <f t="array" ref="Q26">TREND($M66:$N66,$M$47:$N$47,Q$7)</f>
        <v>80611661456410</v>
      </c>
      <c r="R26" s="522" cm="1">
        <f t="array" ref="R26">TREND($M66:$N66,$M$47:$N$47,R$7)</f>
        <v>82837607490680</v>
      </c>
      <c r="S26" s="488">
        <f>C26*$L$3</f>
        <v>85063553524950</v>
      </c>
      <c r="T26" s="447" cm="1">
        <f t="array" ref="T26">TREND($N66:$O66,$N$47:$O$47,T$7)</f>
        <v>85482781161370</v>
      </c>
      <c r="U26" s="447" cm="1">
        <f t="array" ref="U26">TREND($N66:$O66,$N$47:$O$47,U$7)</f>
        <v>85902008797790</v>
      </c>
      <c r="V26" s="447" cm="1">
        <f t="array" ref="V26">TREND($N66:$O66,$N$47:$O$47,V$7)</f>
        <v>86321236434210</v>
      </c>
      <c r="W26" s="447" cm="1">
        <f t="array" ref="W26">TREND($N66:$O66,$N$47:$O$47,W$7)</f>
        <v>86740464070630</v>
      </c>
      <c r="X26" s="447" cm="1">
        <f t="array" ref="X26">TREND($N66:$O66,$N$47:$O$47,X$7)</f>
        <v>87159691707050</v>
      </c>
      <c r="Y26" s="447" cm="1">
        <f t="array" ref="Y26">TREND($N66:$O66,$N$47:$O$47,Y$7)</f>
        <v>87578919343470</v>
      </c>
      <c r="Z26" s="521">
        <f t="shared" si="1"/>
        <v>87998146979890</v>
      </c>
      <c r="AA26" s="447" cm="1">
        <f t="array" ref="AA26">TREND($O66:$P66,$O$47:$P$47,AA$7)</f>
        <v>87891073975453</v>
      </c>
      <c r="AB26" s="447" cm="1">
        <f t="array" ref="AB26">TREND($O66:$P66,$O$47:$P$47,AB$7)</f>
        <v>87784000971016</v>
      </c>
      <c r="AC26" s="447" cm="1">
        <f t="array" ref="AC26">TREND($O66:$P66,$O$47:$P$47,AC$7)</f>
        <v>87676927966579</v>
      </c>
      <c r="AD26" s="447" cm="1">
        <f t="array" ref="AD26">TREND($O66:$P66,$O$47:$P$47,AD$7)</f>
        <v>87569854962142</v>
      </c>
      <c r="AE26" s="447" cm="1">
        <f t="array" ref="AE26">TREND($O66:$P66,$O$47:$P$47,AE$7)</f>
        <v>87462781957705</v>
      </c>
      <c r="AF26" s="447" cm="1">
        <f t="array" ref="AF26">TREND($O66:$P66,$O$47:$P$47,AF$7)</f>
        <v>87355708953268</v>
      </c>
      <c r="AG26" s="447" cm="1">
        <f t="array" ref="AG26">TREND($O66:$P66,$O$47:$P$47,AG$7)</f>
        <v>87248635948831</v>
      </c>
      <c r="AH26" s="447" cm="1">
        <f t="array" ref="AH26">TREND($O66:$P66,$O$47:$P$47,AH$7)</f>
        <v>87141562944394</v>
      </c>
      <c r="AI26" s="447" cm="1">
        <f t="array" ref="AI26">TREND($O66:$P66,$O$47:$P$47,AI$7)</f>
        <v>87034489939957</v>
      </c>
      <c r="AJ26" s="521">
        <f t="shared" si="2"/>
        <v>86927416935520</v>
      </c>
      <c r="AK26" s="447" cm="1">
        <f t="array" ref="AK26">TREND($P66:$Q66,$P$47:$Q$47,AK$7)</f>
        <v>86277047575236</v>
      </c>
      <c r="AL26" s="447" cm="1">
        <f t="array" ref="AL26">TREND($P66:$Q66,$P$47:$Q$47,AL$7)</f>
        <v>85626678214952</v>
      </c>
      <c r="AM26" s="447" cm="1">
        <f t="array" ref="AM26">TREND($P66:$Q66,$P$47:$Q$47,AM$7)</f>
        <v>84976308854668</v>
      </c>
      <c r="AN26" s="447" cm="1">
        <f t="array" ref="AN26">TREND($P66:$Q66,$P$47:$Q$47,AN$7)</f>
        <v>84325939494384</v>
      </c>
      <c r="AO26" s="447" cm="1">
        <f t="array" ref="AO26">TREND($P66:$Q66,$P$47:$Q$47,AO$7)</f>
        <v>83675570134100</v>
      </c>
      <c r="AP26" s="447" cm="1">
        <f t="array" ref="AP26">TREND($P66:$Q66,$P$47:$Q$47,AP$7)</f>
        <v>83025200773816</v>
      </c>
      <c r="AQ26" s="447" cm="1">
        <f t="array" ref="AQ26">TREND($P66:$Q66,$P$47:$Q$47,AQ$7)</f>
        <v>82374831413532</v>
      </c>
      <c r="AR26" s="447" cm="1">
        <f t="array" ref="AR26">TREND($P66:$Q66,$P$47:$Q$47,AR$7)</f>
        <v>81724462053248</v>
      </c>
      <c r="AS26" s="447" cm="1">
        <f t="array" ref="AS26">TREND($P66:$Q66,$P$47:$Q$47,AS$7)</f>
        <v>81074092692964</v>
      </c>
      <c r="AT26" s="521">
        <f t="shared" si="3"/>
        <v>80423723332680</v>
      </c>
      <c r="AU26" s="167"/>
    </row>
    <row r="27" spans="1:47" ht="13.5" customHeight="1">
      <c r="A27" s="48" t="s">
        <v>186</v>
      </c>
      <c r="B27" s="549">
        <v>1.72</v>
      </c>
      <c r="C27" s="549">
        <v>2.089</v>
      </c>
      <c r="D27" s="550">
        <v>2.5760000000000001</v>
      </c>
      <c r="E27" s="550">
        <v>2.5990000000000002</v>
      </c>
      <c r="F27" s="550">
        <v>2.548</v>
      </c>
      <c r="G27" s="544">
        <v>7.82</v>
      </c>
      <c r="H27" s="544">
        <v>10.119999999999999</v>
      </c>
      <c r="I27" s="545">
        <v>0.85</v>
      </c>
      <c r="J27" s="545">
        <v>0.74</v>
      </c>
      <c r="L27" s="537" t="s">
        <v>186</v>
      </c>
      <c r="M27" s="446">
        <f t="shared" si="0"/>
        <v>68209469493200</v>
      </c>
      <c r="N27" s="522" cm="1">
        <f t="array" ref="N27">TREND($M67:$N67,$M$47:$N$47,N$7)</f>
        <v>79661625619940</v>
      </c>
      <c r="O27" s="522" cm="1">
        <f t="array" ref="O27">TREND($M67:$N67,$M$47:$N$47,O$7)</f>
        <v>80297856515870</v>
      </c>
      <c r="P27" s="522" cm="1">
        <f t="array" ref="P27">TREND($M67:$N67,$M$47:$N$47,P$7)</f>
        <v>80934087411800</v>
      </c>
      <c r="Q27" s="522" cm="1">
        <f t="array" ref="Q27">TREND($M67:$N67,$M$47:$N$47,Q$7)</f>
        <v>81570318307730</v>
      </c>
      <c r="R27" s="522" cm="1">
        <f t="array" ref="R27">TREND($M67:$N67,$M$47:$N$47,R$7)</f>
        <v>82206549203660</v>
      </c>
      <c r="S27" s="488">
        <f>C27*$L$3</f>
        <v>82842780099590</v>
      </c>
      <c r="T27" s="447" cm="1">
        <f t="array" ref="T27">TREND($N67:$O67,$N$47:$O$47,T$7)</f>
        <v>85601751166300</v>
      </c>
      <c r="U27" s="447" cm="1">
        <f t="array" ref="U27">TREND($N67:$O67,$N$47:$O$47,U$7)</f>
        <v>88360722233010</v>
      </c>
      <c r="V27" s="447" cm="1">
        <f t="array" ref="V27">TREND($N67:$O67,$N$47:$O$47,V$7)</f>
        <v>91119693299720</v>
      </c>
      <c r="W27" s="447" cm="1">
        <f t="array" ref="W27">TREND($N67:$O67,$N$47:$O$47,W$7)</f>
        <v>93878664366430</v>
      </c>
      <c r="X27" s="447" cm="1">
        <f t="array" ref="X27">TREND($N67:$O67,$N$47:$O$47,X$7)</f>
        <v>96637635433140</v>
      </c>
      <c r="Y27" s="447" cm="1">
        <f t="array" ref="Y27">TREND($N67:$O67,$N$47:$O$47,Y$7)</f>
        <v>99396606499850</v>
      </c>
      <c r="Z27" s="521">
        <f t="shared" si="1"/>
        <v>102155577566560</v>
      </c>
      <c r="AA27" s="447" cm="1">
        <f t="array" ref="AA27">TREND($O67:$P67,$O$47:$P$47,AA$7)</f>
        <v>102246787903673</v>
      </c>
      <c r="AB27" s="447" cm="1">
        <f t="array" ref="AB27">TREND($O67:$P67,$O$47:$P$47,AB$7)</f>
        <v>102337998240786</v>
      </c>
      <c r="AC27" s="447" cm="1">
        <f t="array" ref="AC27">TREND($O67:$P67,$O$47:$P$47,AC$7)</f>
        <v>102429208577899</v>
      </c>
      <c r="AD27" s="447" cm="1">
        <f t="array" ref="AD27">TREND($O67:$P67,$O$47:$P$47,AD$7)</f>
        <v>102520418915012</v>
      </c>
      <c r="AE27" s="447" cm="1">
        <f t="array" ref="AE27">TREND($O67:$P67,$O$47:$P$47,AE$7)</f>
        <v>102611629252125</v>
      </c>
      <c r="AF27" s="447" cm="1">
        <f t="array" ref="AF27">TREND($O67:$P67,$O$47:$P$47,AF$7)</f>
        <v>102702839589238</v>
      </c>
      <c r="AG27" s="447" cm="1">
        <f t="array" ref="AG27">TREND($O67:$P67,$O$47:$P$47,AG$7)</f>
        <v>102794049926351</v>
      </c>
      <c r="AH27" s="447" cm="1">
        <f t="array" ref="AH27">TREND($O67:$P67,$O$47:$P$47,AH$7)</f>
        <v>102885260263464.03</v>
      </c>
      <c r="AI27" s="447" cm="1">
        <f t="array" ref="AI27">TREND($O67:$P67,$O$47:$P$47,AI$7)</f>
        <v>102976470600577.03</v>
      </c>
      <c r="AJ27" s="521">
        <f t="shared" si="2"/>
        <v>103067680937690.02</v>
      </c>
      <c r="AK27" s="447" cm="1">
        <f t="array" ref="AK27">TREND($P67:$Q67,$P$47:$Q$47,AK$7)</f>
        <v>102865431929309</v>
      </c>
      <c r="AL27" s="447" cm="1">
        <f t="array" ref="AL27">TREND($P67:$Q67,$P$47:$Q$47,AL$7)</f>
        <v>102663182920928</v>
      </c>
      <c r="AM27" s="447" cm="1">
        <f t="array" ref="AM27">TREND($P67:$Q67,$P$47:$Q$47,AM$7)</f>
        <v>102460933912547</v>
      </c>
      <c r="AN27" s="447" cm="1">
        <f t="array" ref="AN27">TREND($P67:$Q67,$P$47:$Q$47,AN$7)</f>
        <v>102258684904166</v>
      </c>
      <c r="AO27" s="447" cm="1">
        <f t="array" ref="AO27">TREND($P67:$Q67,$P$47:$Q$47,AO$7)</f>
        <v>102056435895785</v>
      </c>
      <c r="AP27" s="447" cm="1">
        <f t="array" ref="AP27">TREND($P67:$Q67,$P$47:$Q$47,AP$7)</f>
        <v>101854186887404</v>
      </c>
      <c r="AQ27" s="447" cm="1">
        <f t="array" ref="AQ27">TREND($P67:$Q67,$P$47:$Q$47,AQ$7)</f>
        <v>101651937879023</v>
      </c>
      <c r="AR27" s="447" cm="1">
        <f t="array" ref="AR27">TREND($P67:$Q67,$P$47:$Q$47,AR$7)</f>
        <v>101449688870642</v>
      </c>
      <c r="AS27" s="447" cm="1">
        <f t="array" ref="AS27">TREND($P67:$Q67,$P$47:$Q$47,AS$7)</f>
        <v>101247439862261</v>
      </c>
      <c r="AT27" s="521">
        <f t="shared" si="3"/>
        <v>101045190853880</v>
      </c>
      <c r="AU27" s="167"/>
    </row>
    <row r="28" spans="1:47" ht="13.5" customHeight="1">
      <c r="A28" s="49" t="s">
        <v>187</v>
      </c>
      <c r="B28" s="555">
        <v>0</v>
      </c>
      <c r="C28" s="555">
        <v>1.2E-2</v>
      </c>
      <c r="D28" s="550">
        <v>1.2999999999999999E-2</v>
      </c>
      <c r="E28" s="550">
        <v>1.2999999999999999E-2</v>
      </c>
      <c r="F28" s="550">
        <v>1.2999999999999999E-2</v>
      </c>
      <c r="G28" s="544">
        <v>0.04</v>
      </c>
      <c r="H28" s="544">
        <v>0.05</v>
      </c>
      <c r="I28" s="545" t="s">
        <v>170</v>
      </c>
      <c r="J28" s="545">
        <v>0.3</v>
      </c>
      <c r="L28" s="538" t="s">
        <v>187</v>
      </c>
      <c r="M28" s="446">
        <f t="shared" si="0"/>
        <v>0</v>
      </c>
      <c r="N28" s="522" cm="1">
        <f t="array" ref="N28">TREND($M68:$N68,$M$47:$N$47,N$7)</f>
        <v>372427841520</v>
      </c>
      <c r="O28" s="522" cm="1">
        <f t="array" ref="O28">TREND($M68:$N68,$M$47:$N$47,O$7)</f>
        <v>393118277160</v>
      </c>
      <c r="P28" s="522" cm="1">
        <f t="array" ref="P28">TREND($M68:$N68,$M$47:$N$47,P$7)</f>
        <v>413808712800</v>
      </c>
      <c r="Q28" s="522" cm="1">
        <f t="array" ref="Q28">TREND($M68:$N68,$M$47:$N$47,Q$7)</f>
        <v>434499148440</v>
      </c>
      <c r="R28" s="522" cm="1">
        <f t="array" ref="R28">TREND($M68:$N68,$M$47:$N$47,R$7)</f>
        <v>455189584080</v>
      </c>
      <c r="S28" s="488">
        <f>C28*$L$3</f>
        <v>475880019720</v>
      </c>
      <c r="T28" s="447" cm="1">
        <f t="array" ref="T28">TREND($N68:$O68,$N$47:$O$47,T$7)</f>
        <v>481545258050</v>
      </c>
      <c r="U28" s="447" cm="1">
        <f t="array" ref="U28">TREND($N68:$O68,$N$47:$O$47,U$7)</f>
        <v>487210496380</v>
      </c>
      <c r="V28" s="447" cm="1">
        <f t="array" ref="V28">TREND($N68:$O68,$N$47:$O$47,V$7)</f>
        <v>492875734710</v>
      </c>
      <c r="W28" s="447" cm="1">
        <f t="array" ref="W28">TREND($N68:$O68,$N$47:$O$47,W$7)</f>
        <v>498540973040</v>
      </c>
      <c r="X28" s="447" cm="1">
        <f t="array" ref="X28">TREND($N68:$O68,$N$47:$O$47,X$7)</f>
        <v>504206211370</v>
      </c>
      <c r="Y28" s="447" cm="1">
        <f t="array" ref="Y28">TREND($N68:$O68,$N$47:$O$47,Y$7)</f>
        <v>509871449700</v>
      </c>
      <c r="Z28" s="521">
        <f t="shared" si="1"/>
        <v>515536688030</v>
      </c>
      <c r="AA28" s="447" cm="1">
        <f t="array" ref="AA28">TREND($O68:$P68,$O$47:$P$47,AA$7)</f>
        <v>515536688030</v>
      </c>
      <c r="AB28" s="447" cm="1">
        <f t="array" ref="AB28">TREND($O68:$P68,$O$47:$P$47,AB$7)</f>
        <v>515536688030</v>
      </c>
      <c r="AC28" s="447" cm="1">
        <f t="array" ref="AC28">TREND($O68:$P68,$O$47:$P$47,AC$7)</f>
        <v>515536688030</v>
      </c>
      <c r="AD28" s="447" cm="1">
        <f t="array" ref="AD28">TREND($O68:$P68,$O$47:$P$47,AD$7)</f>
        <v>515536688030</v>
      </c>
      <c r="AE28" s="447" cm="1">
        <f t="array" ref="AE28">TREND($O68:$P68,$O$47:$P$47,AE$7)</f>
        <v>515536688030</v>
      </c>
      <c r="AF28" s="447" cm="1">
        <f t="array" ref="AF28">TREND($O68:$P68,$O$47:$P$47,AF$7)</f>
        <v>515536688030</v>
      </c>
      <c r="AG28" s="447" cm="1">
        <f t="array" ref="AG28">TREND($O68:$P68,$O$47:$P$47,AG$7)</f>
        <v>515536688030</v>
      </c>
      <c r="AH28" s="447" cm="1">
        <f t="array" ref="AH28">TREND($O68:$P68,$O$47:$P$47,AH$7)</f>
        <v>515536688030</v>
      </c>
      <c r="AI28" s="447" cm="1">
        <f t="array" ref="AI28">TREND($O68:$P68,$O$47:$P$47,AI$7)</f>
        <v>515536688030</v>
      </c>
      <c r="AJ28" s="521">
        <f t="shared" si="2"/>
        <v>515536688030</v>
      </c>
      <c r="AK28" s="447" cm="1">
        <f t="array" ref="AK28">TREND($P68:$Q68,$P$47:$Q$47,AK$7)</f>
        <v>515536688030</v>
      </c>
      <c r="AL28" s="447" cm="1">
        <f t="array" ref="AL28">TREND($P68:$Q68,$P$47:$Q$47,AL$7)</f>
        <v>515536688030</v>
      </c>
      <c r="AM28" s="447" cm="1">
        <f t="array" ref="AM28">TREND($P68:$Q68,$P$47:$Q$47,AM$7)</f>
        <v>515536688030</v>
      </c>
      <c r="AN28" s="447" cm="1">
        <f t="array" ref="AN28">TREND($P68:$Q68,$P$47:$Q$47,AN$7)</f>
        <v>515536688030</v>
      </c>
      <c r="AO28" s="447" cm="1">
        <f t="array" ref="AO28">TREND($P68:$Q68,$P$47:$Q$47,AO$7)</f>
        <v>515536688030</v>
      </c>
      <c r="AP28" s="447" cm="1">
        <f t="array" ref="AP28">TREND($P68:$Q68,$P$47:$Q$47,AP$7)</f>
        <v>515536688030</v>
      </c>
      <c r="AQ28" s="447" cm="1">
        <f t="array" ref="AQ28">TREND($P68:$Q68,$P$47:$Q$47,AQ$7)</f>
        <v>515536688030</v>
      </c>
      <c r="AR28" s="447" cm="1">
        <f t="array" ref="AR28">TREND($P68:$Q68,$P$47:$Q$47,AR$7)</f>
        <v>515536688030</v>
      </c>
      <c r="AS28" s="447" cm="1">
        <f t="array" ref="AS28">TREND($P68:$Q68,$P$47:$Q$47,AS$7)</f>
        <v>515536688030</v>
      </c>
      <c r="AT28" s="521">
        <f t="shared" si="3"/>
        <v>515536688030</v>
      </c>
      <c r="AU28" s="167"/>
    </row>
    <row r="29" spans="1:47" s="55" customFormat="1" ht="3" customHeight="1">
      <c r="A29" s="50"/>
      <c r="B29" s="542"/>
      <c r="C29" s="542"/>
      <c r="D29" s="541"/>
      <c r="E29" s="541"/>
      <c r="F29" s="541"/>
      <c r="G29" s="546"/>
      <c r="H29" s="546"/>
      <c r="I29" s="547"/>
      <c r="J29" s="547"/>
      <c r="L29" s="533"/>
      <c r="M29" s="446">
        <f t="shared" si="0"/>
        <v>0</v>
      </c>
      <c r="N29" s="522" cm="1">
        <f t="array" ref="N29">TREND($M69:$N69,$M$47:$N$47,N$7)</f>
        <v>0</v>
      </c>
      <c r="O29" s="522" cm="1">
        <f t="array" ref="O29">TREND($M69:$N69,$M$47:$N$47,O$7)</f>
        <v>0</v>
      </c>
      <c r="P29" s="522" cm="1">
        <f t="array" ref="P29">TREND($M69:$N69,$M$47:$N$47,P$7)</f>
        <v>0</v>
      </c>
      <c r="Q29" s="522" cm="1">
        <f t="array" ref="Q29">TREND($M69:$N69,$M$47:$N$47,Q$7)</f>
        <v>0</v>
      </c>
      <c r="R29" s="522" cm="1">
        <f t="array" ref="R29">TREND($M69:$N69,$M$47:$N$47,R$7)</f>
        <v>0</v>
      </c>
      <c r="S29" s="488">
        <f>C29*$L$3</f>
        <v>0</v>
      </c>
      <c r="T29" s="447" cm="1">
        <f t="array" ref="T29">TREND($N69:$O69,$N$47:$O$47,T$7)</f>
        <v>0</v>
      </c>
      <c r="U29" s="447" cm="1">
        <f t="array" ref="U29">TREND($N69:$O69,$N$47:$O$47,U$7)</f>
        <v>0</v>
      </c>
      <c r="V29" s="447" cm="1">
        <f t="array" ref="V29">TREND($N69:$O69,$N$47:$O$47,V$7)</f>
        <v>0</v>
      </c>
      <c r="W29" s="447" cm="1">
        <f t="array" ref="W29">TREND($N69:$O69,$N$47:$O$47,W$7)</f>
        <v>0</v>
      </c>
      <c r="X29" s="447" cm="1">
        <f t="array" ref="X29">TREND($N69:$O69,$N$47:$O$47,X$7)</f>
        <v>0</v>
      </c>
      <c r="Y29" s="447" cm="1">
        <f t="array" ref="Y29">TREND($N69:$O69,$N$47:$O$47,Y$7)</f>
        <v>0</v>
      </c>
      <c r="Z29" s="521">
        <f t="shared" si="1"/>
        <v>0</v>
      </c>
      <c r="AA29" s="447" cm="1">
        <f t="array" ref="AA29">TREND($O69:$P69,$O$47:$P$47,AA$7)</f>
        <v>0</v>
      </c>
      <c r="AB29" s="447" cm="1">
        <f t="array" ref="AB29">TREND($O69:$P69,$O$47:$P$47,AB$7)</f>
        <v>0</v>
      </c>
      <c r="AC29" s="447" cm="1">
        <f t="array" ref="AC29">TREND($O69:$P69,$O$47:$P$47,AC$7)</f>
        <v>0</v>
      </c>
      <c r="AD29" s="447" cm="1">
        <f t="array" ref="AD29">TREND($O69:$P69,$O$47:$P$47,AD$7)</f>
        <v>0</v>
      </c>
      <c r="AE29" s="447" cm="1">
        <f t="array" ref="AE29">TREND($O69:$P69,$O$47:$P$47,AE$7)</f>
        <v>0</v>
      </c>
      <c r="AF29" s="447" cm="1">
        <f t="array" ref="AF29">TREND($O69:$P69,$O$47:$P$47,AF$7)</f>
        <v>0</v>
      </c>
      <c r="AG29" s="447" cm="1">
        <f t="array" ref="AG29">TREND($O69:$P69,$O$47:$P$47,AG$7)</f>
        <v>0</v>
      </c>
      <c r="AH29" s="447" cm="1">
        <f t="array" ref="AH29">TREND($O69:$P69,$O$47:$P$47,AH$7)</f>
        <v>0</v>
      </c>
      <c r="AI29" s="447" cm="1">
        <f t="array" ref="AI29">TREND($O69:$P69,$O$47:$P$47,AI$7)</f>
        <v>0</v>
      </c>
      <c r="AJ29" s="521">
        <f t="shared" si="2"/>
        <v>0</v>
      </c>
      <c r="AK29" s="447" cm="1">
        <f t="array" ref="AK29">TREND($P69:$Q69,$P$47:$Q$47,AK$7)</f>
        <v>0</v>
      </c>
      <c r="AL29" s="447" cm="1">
        <f t="array" ref="AL29">TREND($P69:$Q69,$P$47:$Q$47,AL$7)</f>
        <v>0</v>
      </c>
      <c r="AM29" s="447" cm="1">
        <f t="array" ref="AM29">TREND($P69:$Q69,$P$47:$Q$47,AM$7)</f>
        <v>0</v>
      </c>
      <c r="AN29" s="447" cm="1">
        <f t="array" ref="AN29">TREND($P69:$Q69,$P$47:$Q$47,AN$7)</f>
        <v>0</v>
      </c>
      <c r="AO29" s="447" cm="1">
        <f t="array" ref="AO29">TREND($P69:$Q69,$P$47:$Q$47,AO$7)</f>
        <v>0</v>
      </c>
      <c r="AP29" s="447" cm="1">
        <f t="array" ref="AP29">TREND($P69:$Q69,$P$47:$Q$47,AP$7)</f>
        <v>0</v>
      </c>
      <c r="AQ29" s="447" cm="1">
        <f t="array" ref="AQ29">TREND($P69:$Q69,$P$47:$Q$47,AQ$7)</f>
        <v>0</v>
      </c>
      <c r="AR29" s="447" cm="1">
        <f t="array" ref="AR29">TREND($P69:$Q69,$P$47:$Q$47,AR$7)</f>
        <v>0</v>
      </c>
      <c r="AS29" s="447" cm="1">
        <f t="array" ref="AS29">TREND($P69:$Q69,$P$47:$Q$47,AS$7)</f>
        <v>0</v>
      </c>
      <c r="AT29" s="521">
        <f t="shared" si="3"/>
        <v>0</v>
      </c>
      <c r="AU29" s="167"/>
    </row>
    <row r="30" spans="1:47" ht="13.5" customHeight="1">
      <c r="A30" s="42" t="s">
        <v>471</v>
      </c>
      <c r="B30" s="549">
        <v>3.33</v>
      </c>
      <c r="C30" s="549">
        <v>10.189</v>
      </c>
      <c r="D30" s="550">
        <v>11.319000000000001</v>
      </c>
      <c r="E30" s="550">
        <v>11.972</v>
      </c>
      <c r="F30" s="550">
        <v>11.624000000000001</v>
      </c>
      <c r="G30" s="544">
        <v>100</v>
      </c>
      <c r="H30" s="544">
        <v>100</v>
      </c>
      <c r="I30" s="545">
        <v>4.9800000000000004</v>
      </c>
      <c r="J30" s="545">
        <v>0.49</v>
      </c>
      <c r="L30" s="534" t="s">
        <v>471</v>
      </c>
      <c r="M30" s="446">
        <f t="shared" si="0"/>
        <v>132056705472300</v>
      </c>
      <c r="N30" s="522" cm="1">
        <f t="array" ref="N30">TREND($M70:$N70,$M$47:$N$47,N$7)</f>
        <v>344930252554440</v>
      </c>
      <c r="O30" s="522" cm="1">
        <f t="array" ref="O30">TREND($M70:$N70,$M$47:$N$47,O$7)</f>
        <v>356756560725668</v>
      </c>
      <c r="P30" s="522" cm="1">
        <f t="array" ref="P30">TREND($M70:$N70,$M$47:$N$47,P$7)</f>
        <v>368582868896900</v>
      </c>
      <c r="Q30" s="522" cm="1">
        <f t="array" ref="Q30">TREND($M70:$N70,$M$47:$N$47,Q$7)</f>
        <v>380409177068132</v>
      </c>
      <c r="R30" s="522" cm="1">
        <f t="array" ref="R30">TREND($M70:$N70,$M$47:$N$47,R$7)</f>
        <v>392235485239360</v>
      </c>
      <c r="S30" s="488">
        <f>C30*$L$3</f>
        <v>404061793410590</v>
      </c>
      <c r="T30" s="447" cm="1">
        <f t="array" ref="T30">TREND($N70:$O70,$N$47:$O$47,T$7)</f>
        <v>410463512723490</v>
      </c>
      <c r="U30" s="447" cm="1">
        <f t="array" ref="U30">TREND($N70:$O70,$N$47:$O$47,U$7)</f>
        <v>416865232036390</v>
      </c>
      <c r="V30" s="447" cm="1">
        <f t="array" ref="V30">TREND($N70:$O70,$N$47:$O$47,V$7)</f>
        <v>423266951349290</v>
      </c>
      <c r="W30" s="447" cm="1">
        <f t="array" ref="W30">TREND($N70:$O70,$N$47:$O$47,W$7)</f>
        <v>429668670662190</v>
      </c>
      <c r="X30" s="447" cm="1">
        <f t="array" ref="X30">TREND($N70:$O70,$N$47:$O$47,X$7)</f>
        <v>436070389975090</v>
      </c>
      <c r="Y30" s="447" cm="1">
        <f t="array" ref="Y30">TREND($N70:$O70,$N$47:$O$47,Y$7)</f>
        <v>442472109287990</v>
      </c>
      <c r="Z30" s="521">
        <f t="shared" si="1"/>
        <v>448873828600890.06</v>
      </c>
      <c r="AA30" s="447" cm="1">
        <f t="array" ref="AA30">TREND($O70:$P70,$O$47:$P$47,AA$7)</f>
        <v>451463409041533</v>
      </c>
      <c r="AB30" s="447" cm="1">
        <f t="array" ref="AB30">TREND($O70:$P70,$O$47:$P$47,AB$7)</f>
        <v>454052989482176</v>
      </c>
      <c r="AC30" s="447" cm="1">
        <f t="array" ref="AC30">TREND($O70:$P70,$O$47:$P$47,AC$7)</f>
        <v>456642569922819</v>
      </c>
      <c r="AD30" s="447" cm="1">
        <f t="array" ref="AD30">TREND($O70:$P70,$O$47:$P$47,AD$7)</f>
        <v>459232150363462</v>
      </c>
      <c r="AE30" s="447" cm="1">
        <f t="array" ref="AE30">TREND($O70:$P70,$O$47:$P$47,AE$7)</f>
        <v>461821730804105</v>
      </c>
      <c r="AF30" s="447" cm="1">
        <f t="array" ref="AF30">TREND($O70:$P70,$O$47:$P$47,AF$7)</f>
        <v>464411311244748</v>
      </c>
      <c r="AG30" s="447" cm="1">
        <f t="array" ref="AG30">TREND($O70:$P70,$O$47:$P$47,AG$7)</f>
        <v>467000891685391</v>
      </c>
      <c r="AH30" s="447" cm="1">
        <f t="array" ref="AH30">TREND($O70:$P70,$O$47:$P$47,AH$7)</f>
        <v>469590472126034</v>
      </c>
      <c r="AI30" s="447" cm="1">
        <f t="array" ref="AI30">TREND($O70:$P70,$O$47:$P$47,AI$7)</f>
        <v>472180052566677</v>
      </c>
      <c r="AJ30" s="521">
        <f t="shared" si="2"/>
        <v>474769633007320</v>
      </c>
      <c r="AK30" s="447" cm="1">
        <f t="array" ref="AK30">TREND($P70:$Q70,$P$47:$Q$47,AK$7)</f>
        <v>473389580950132</v>
      </c>
      <c r="AL30" s="447" cm="1">
        <f t="array" ref="AL30">TREND($P70:$Q70,$P$47:$Q$47,AL$7)</f>
        <v>472009528892944</v>
      </c>
      <c r="AM30" s="447" cm="1">
        <f t="array" ref="AM30">TREND($P70:$Q70,$P$47:$Q$47,AM$7)</f>
        <v>470629476835756</v>
      </c>
      <c r="AN30" s="447" cm="1">
        <f t="array" ref="AN30">TREND($P70:$Q70,$P$47:$Q$47,AN$7)</f>
        <v>469249424778568</v>
      </c>
      <c r="AO30" s="447" cm="1">
        <f t="array" ref="AO30">TREND($P70:$Q70,$P$47:$Q$47,AO$7)</f>
        <v>467869372721380</v>
      </c>
      <c r="AP30" s="447" cm="1">
        <f t="array" ref="AP30">TREND($P70:$Q70,$P$47:$Q$47,AP$7)</f>
        <v>466489320664192</v>
      </c>
      <c r="AQ30" s="447" cm="1">
        <f t="array" ref="AQ30">TREND($P70:$Q70,$P$47:$Q$47,AQ$7)</f>
        <v>465109268607004</v>
      </c>
      <c r="AR30" s="447" cm="1">
        <f t="array" ref="AR30">TREND($P70:$Q70,$P$47:$Q$47,AR$7)</f>
        <v>463729216549816</v>
      </c>
      <c r="AS30" s="447" cm="1">
        <f t="array" ref="AS30">TREND($P70:$Q70,$P$47:$Q$47,AS$7)</f>
        <v>462349164492628</v>
      </c>
      <c r="AT30" s="521">
        <f t="shared" si="3"/>
        <v>460969112435440</v>
      </c>
      <c r="AU30" s="169">
        <f>(AT30/P30)^(1/30)-1</f>
        <v>7.4833772718805314E-3</v>
      </c>
    </row>
    <row r="31" spans="1:47" ht="13.5" customHeight="1">
      <c r="A31" s="48" t="s">
        <v>1013</v>
      </c>
      <c r="B31" s="549">
        <v>0</v>
      </c>
      <c r="C31" s="549">
        <v>0.17399999999999999</v>
      </c>
      <c r="D31" s="550">
        <v>0.182</v>
      </c>
      <c r="E31" s="550">
        <v>0.185</v>
      </c>
      <c r="F31" s="550">
        <v>0.17499999999999999</v>
      </c>
      <c r="G31" s="544">
        <v>1.7</v>
      </c>
      <c r="H31" s="544">
        <v>1.5</v>
      </c>
      <c r="I31" s="545" t="s">
        <v>170</v>
      </c>
      <c r="J31" s="545">
        <v>0.03</v>
      </c>
      <c r="L31" s="537" t="s">
        <v>1013</v>
      </c>
      <c r="M31" s="446">
        <f t="shared" si="0"/>
        <v>0</v>
      </c>
      <c r="N31" s="522" cm="1">
        <f t="array" ref="N31">TREND($M71:$N71,$M$47:$N$47,N$7)</f>
        <v>5400203702040</v>
      </c>
      <c r="O31" s="522" cm="1">
        <f t="array" ref="O31">TREND($M71:$N71,$M$47:$N$47,O$7)</f>
        <v>5700215018820</v>
      </c>
      <c r="P31" s="522" cm="1">
        <f t="array" ref="P31">TREND($M71:$N71,$M$47:$N$47,P$7)</f>
        <v>6000226335600</v>
      </c>
      <c r="Q31" s="522" cm="1">
        <f t="array" ref="Q31">TREND($M71:$N71,$M$47:$N$47,Q$7)</f>
        <v>6300237652380</v>
      </c>
      <c r="R31" s="522" cm="1">
        <f t="array" ref="R31">TREND($M71:$N71,$M$47:$N$47,R$7)</f>
        <v>6600248969160</v>
      </c>
      <c r="S31" s="488">
        <f>C31*$L$3</f>
        <v>6900260285940</v>
      </c>
      <c r="T31" s="447" cm="1">
        <f t="array" ref="T31">TREND($N71:$O71,$N$47:$O$47,T$7)</f>
        <v>6945582192580</v>
      </c>
      <c r="U31" s="447" cm="1">
        <f t="array" ref="U31">TREND($N71:$O71,$N$47:$O$47,U$7)</f>
        <v>6990904099220</v>
      </c>
      <c r="V31" s="447" cm="1">
        <f t="array" ref="V31">TREND($N71:$O71,$N$47:$O$47,V$7)</f>
        <v>7036226005860</v>
      </c>
      <c r="W31" s="447" cm="1">
        <f t="array" ref="W31">TREND($N71:$O71,$N$47:$O$47,W$7)</f>
        <v>7081547912500</v>
      </c>
      <c r="X31" s="447" cm="1">
        <f t="array" ref="X31">TREND($N71:$O71,$N$47:$O$47,X$7)</f>
        <v>7126869819140</v>
      </c>
      <c r="Y31" s="447" cm="1">
        <f t="array" ref="Y31">TREND($N71:$O71,$N$47:$O$47,Y$7)</f>
        <v>7172191725780</v>
      </c>
      <c r="Z31" s="521">
        <f t="shared" si="1"/>
        <v>7217513632420</v>
      </c>
      <c r="AA31" s="447" cm="1">
        <f t="array" ref="AA31">TREND($O71:$P71,$O$47:$P$47,AA$7)</f>
        <v>7229410632913</v>
      </c>
      <c r="AB31" s="447" cm="1">
        <f t="array" ref="AB31">TREND($O71:$P71,$O$47:$P$47,AB$7)</f>
        <v>7241307633406</v>
      </c>
      <c r="AC31" s="447" cm="1">
        <f t="array" ref="AC31">TREND($O71:$P71,$O$47:$P$47,AC$7)</f>
        <v>7253204633899</v>
      </c>
      <c r="AD31" s="447" cm="1">
        <f t="array" ref="AD31">TREND($O71:$P71,$O$47:$P$47,AD$7)</f>
        <v>7265101634392</v>
      </c>
      <c r="AE31" s="447" cm="1">
        <f t="array" ref="AE31">TREND($O71:$P71,$O$47:$P$47,AE$7)</f>
        <v>7276998634885</v>
      </c>
      <c r="AF31" s="447" cm="1">
        <f t="array" ref="AF31">TREND($O71:$P71,$O$47:$P$47,AF$7)</f>
        <v>7288895635378</v>
      </c>
      <c r="AG31" s="447" cm="1">
        <f t="array" ref="AG31">TREND($O71:$P71,$O$47:$P$47,AG$7)</f>
        <v>7300792635871</v>
      </c>
      <c r="AH31" s="447" cm="1">
        <f t="array" ref="AH31">TREND($O71:$P71,$O$47:$P$47,AH$7)</f>
        <v>7312689636364</v>
      </c>
      <c r="AI31" s="447" cm="1">
        <f t="array" ref="AI31">TREND($O71:$P71,$O$47:$P$47,AI$7)</f>
        <v>7324586636857</v>
      </c>
      <c r="AJ31" s="521">
        <f t="shared" si="2"/>
        <v>7336483637350</v>
      </c>
      <c r="AK31" s="447" cm="1">
        <f t="array" ref="AK31">TREND($P71:$Q71,$P$47:$Q$47,AK$7)</f>
        <v>7296826969040</v>
      </c>
      <c r="AL31" s="447" cm="1">
        <f t="array" ref="AL31">TREND($P71:$Q71,$P$47:$Q$47,AL$7)</f>
        <v>7257170300730</v>
      </c>
      <c r="AM31" s="447" cm="1">
        <f t="array" ref="AM31">TREND($P71:$Q71,$P$47:$Q$47,AM$7)</f>
        <v>7217513632420</v>
      </c>
      <c r="AN31" s="447" cm="1">
        <f t="array" ref="AN31">TREND($P71:$Q71,$P$47:$Q$47,AN$7)</f>
        <v>7177856964110</v>
      </c>
      <c r="AO31" s="447" cm="1">
        <f t="array" ref="AO31">TREND($P71:$Q71,$P$47:$Q$47,AO$7)</f>
        <v>7138200295800</v>
      </c>
      <c r="AP31" s="447" cm="1">
        <f t="array" ref="AP31">TREND($P71:$Q71,$P$47:$Q$47,AP$7)</f>
        <v>7098543627490</v>
      </c>
      <c r="AQ31" s="447" cm="1">
        <f t="array" ref="AQ31">TREND($P71:$Q71,$P$47:$Q$47,AQ$7)</f>
        <v>7058886959180</v>
      </c>
      <c r="AR31" s="447" cm="1">
        <f t="array" ref="AR31">TREND($P71:$Q71,$P$47:$Q$47,AR$7)</f>
        <v>7019230290870</v>
      </c>
      <c r="AS31" s="447" cm="1">
        <f t="array" ref="AS31">TREND($P71:$Q71,$P$47:$Q$47,AS$7)</f>
        <v>6979573622560</v>
      </c>
      <c r="AT31" s="521">
        <f t="shared" si="3"/>
        <v>6939916954250</v>
      </c>
      <c r="AU31" s="167"/>
    </row>
    <row r="32" spans="1:47" ht="13.5" customHeight="1">
      <c r="A32" s="48" t="s">
        <v>1197</v>
      </c>
      <c r="B32" s="549">
        <v>0.57699999999999996</v>
      </c>
      <c r="C32" s="549">
        <v>7.8E-2</v>
      </c>
      <c r="D32" s="550">
        <v>8.4000000000000005E-2</v>
      </c>
      <c r="E32" s="550">
        <v>8.5999999999999993E-2</v>
      </c>
      <c r="F32" s="550">
        <v>7.9000000000000001E-2</v>
      </c>
      <c r="G32" s="544">
        <v>0.77</v>
      </c>
      <c r="H32" s="544">
        <v>0.68</v>
      </c>
      <c r="I32" s="545">
        <v>-8.31</v>
      </c>
      <c r="J32" s="545">
        <v>0.01</v>
      </c>
      <c r="L32" s="537" t="s">
        <v>1197</v>
      </c>
      <c r="M32" s="446">
        <f t="shared" si="0"/>
        <v>22881897614870</v>
      </c>
      <c r="N32" s="522" cm="1">
        <f t="array" ref="N32">TREND($M72:$N72,$M$47:$N$47,N$7)</f>
        <v>7395106538330</v>
      </c>
      <c r="O32" s="522" cm="1">
        <f t="array" ref="O32">TREND($M72:$N72,$M$47:$N$47,O$7)</f>
        <v>6534729256300</v>
      </c>
      <c r="P32" s="522" cm="1">
        <f t="array" ref="P32">TREND($M72:$N72,$M$47:$N$47,P$7)</f>
        <v>5674351974270</v>
      </c>
      <c r="Q32" s="522" cm="1">
        <f t="array" ref="Q32">TREND($M72:$N72,$M$47:$N$47,Q$7)</f>
        <v>4813974692240</v>
      </c>
      <c r="R32" s="522" cm="1">
        <f t="array" ref="R32">TREND($M72:$N72,$M$47:$N$47,R$7)</f>
        <v>3953597410210</v>
      </c>
      <c r="S32" s="488">
        <f>C32*$L$3</f>
        <v>3093220128180</v>
      </c>
      <c r="T32" s="447" cm="1">
        <f t="array" ref="T32">TREND($N72:$O72,$N$47:$O$47,T$7)</f>
        <v>3127211558160</v>
      </c>
      <c r="U32" s="447" cm="1">
        <f t="array" ref="U32">TREND($N72:$O72,$N$47:$O$47,U$7)</f>
        <v>3161202988140</v>
      </c>
      <c r="V32" s="447" cm="1">
        <f t="array" ref="V32">TREND($N72:$O72,$N$47:$O$47,V$7)</f>
        <v>3195194418120</v>
      </c>
      <c r="W32" s="447" cm="1">
        <f t="array" ref="W32">TREND($N72:$O72,$N$47:$O$47,W$7)</f>
        <v>3229185848100</v>
      </c>
      <c r="X32" s="447" cm="1">
        <f t="array" ref="X32">TREND($N72:$O72,$N$47:$O$47,X$7)</f>
        <v>3263177278080</v>
      </c>
      <c r="Y32" s="447" cm="1">
        <f t="array" ref="Y32">TREND($N72:$O72,$N$47:$O$47,Y$7)</f>
        <v>3297168708060</v>
      </c>
      <c r="Z32" s="521">
        <f t="shared" si="1"/>
        <v>3331160138040</v>
      </c>
      <c r="AA32" s="447" cm="1">
        <f t="array" ref="AA32">TREND($O72:$P72,$O$47:$P$47,AA$7)</f>
        <v>3339091471702</v>
      </c>
      <c r="AB32" s="447" cm="1">
        <f t="array" ref="AB32">TREND($O72:$P72,$O$47:$P$47,AB$7)</f>
        <v>3347022805364</v>
      </c>
      <c r="AC32" s="447" cm="1">
        <f t="array" ref="AC32">TREND($O72:$P72,$O$47:$P$47,AC$7)</f>
        <v>3354954139026</v>
      </c>
      <c r="AD32" s="447" cm="1">
        <f t="array" ref="AD32">TREND($O72:$P72,$O$47:$P$47,AD$7)</f>
        <v>3362885472688</v>
      </c>
      <c r="AE32" s="447" cm="1">
        <f t="array" ref="AE32">TREND($O72:$P72,$O$47:$P$47,AE$7)</f>
        <v>3370816806350</v>
      </c>
      <c r="AF32" s="447" cm="1">
        <f t="array" ref="AF32">TREND($O72:$P72,$O$47:$P$47,AF$7)</f>
        <v>3378748140012</v>
      </c>
      <c r="AG32" s="447" cm="1">
        <f t="array" ref="AG32">TREND($O72:$P72,$O$47:$P$47,AG$7)</f>
        <v>3386679473674</v>
      </c>
      <c r="AH32" s="447" cm="1">
        <f t="array" ref="AH32">TREND($O72:$P72,$O$47:$P$47,AH$7)</f>
        <v>3394610807336</v>
      </c>
      <c r="AI32" s="447" cm="1">
        <f t="array" ref="AI32">TREND($O72:$P72,$O$47:$P$47,AI$7)</f>
        <v>3402542140998</v>
      </c>
      <c r="AJ32" s="521">
        <f t="shared" si="2"/>
        <v>3410473474659.9995</v>
      </c>
      <c r="AK32" s="447" cm="1">
        <f t="array" ref="AK32">TREND($P72:$Q72,$P$47:$Q$47,AK$7)</f>
        <v>3382713806843</v>
      </c>
      <c r="AL32" s="447" cm="1">
        <f t="array" ref="AL32">TREND($P72:$Q72,$P$47:$Q$47,AL$7)</f>
        <v>3354954139026</v>
      </c>
      <c r="AM32" s="447" cm="1">
        <f t="array" ref="AM32">TREND($P72:$Q72,$P$47:$Q$47,AM$7)</f>
        <v>3327194471209</v>
      </c>
      <c r="AN32" s="447" cm="1">
        <f t="array" ref="AN32">TREND($P72:$Q72,$P$47:$Q$47,AN$7)</f>
        <v>3299434803392</v>
      </c>
      <c r="AO32" s="447" cm="1">
        <f t="array" ref="AO32">TREND($P72:$Q72,$P$47:$Q$47,AO$7)</f>
        <v>3271675135575</v>
      </c>
      <c r="AP32" s="447" cm="1">
        <f t="array" ref="AP32">TREND($P72:$Q72,$P$47:$Q$47,AP$7)</f>
        <v>3243915467758</v>
      </c>
      <c r="AQ32" s="447" cm="1">
        <f t="array" ref="AQ32">TREND($P72:$Q72,$P$47:$Q$47,AQ$7)</f>
        <v>3216155799941</v>
      </c>
      <c r="AR32" s="447" cm="1">
        <f t="array" ref="AR32">TREND($P72:$Q72,$P$47:$Q$47,AR$7)</f>
        <v>3188396132124</v>
      </c>
      <c r="AS32" s="447" cm="1">
        <f t="array" ref="AS32">TREND($P72:$Q72,$P$47:$Q$47,AS$7)</f>
        <v>3160636464307</v>
      </c>
      <c r="AT32" s="521">
        <f t="shared" si="3"/>
        <v>3132876796490</v>
      </c>
      <c r="AU32" s="167"/>
    </row>
    <row r="33" spans="1:47" ht="13.5" customHeight="1">
      <c r="A33" s="48" t="s">
        <v>1198</v>
      </c>
      <c r="B33" s="549">
        <v>0.72099999999999997</v>
      </c>
      <c r="C33" s="549">
        <v>1.8089999999999999</v>
      </c>
      <c r="D33" s="550">
        <v>1.8759999999999999</v>
      </c>
      <c r="E33" s="550">
        <v>1.9530000000000001</v>
      </c>
      <c r="F33" s="550">
        <v>1.885</v>
      </c>
      <c r="G33" s="544">
        <v>17.75</v>
      </c>
      <c r="H33" s="544">
        <v>16.21</v>
      </c>
      <c r="I33" s="545">
        <v>4.08</v>
      </c>
      <c r="J33" s="545">
        <v>0.15</v>
      </c>
      <c r="L33" s="537" t="s">
        <v>1198</v>
      </c>
      <c r="M33" s="446">
        <f t="shared" si="0"/>
        <v>28592457851510</v>
      </c>
      <c r="N33" s="522" cm="1">
        <f t="array" ref="N33">TREND($M73:$N73,$M$47:$N$47,N$7)</f>
        <v>62359248815990</v>
      </c>
      <c r="O33" s="522" cm="1">
        <f t="array" ref="O33">TREND($M73:$N73,$M$47:$N$47,O$7)</f>
        <v>64235181647350</v>
      </c>
      <c r="P33" s="522" cm="1">
        <f t="array" ref="P33">TREND($M73:$N73,$M$47:$N$47,P$7)</f>
        <v>66111114478710</v>
      </c>
      <c r="Q33" s="522" cm="1">
        <f t="array" ref="Q33">TREND($M73:$N73,$M$47:$N$47,Q$7)</f>
        <v>67987047310070</v>
      </c>
      <c r="R33" s="522" cm="1">
        <f t="array" ref="R33">TREND($M73:$N73,$M$47:$N$47,R$7)</f>
        <v>69862980141430</v>
      </c>
      <c r="S33" s="488">
        <f>C33*$L$3</f>
        <v>71738912972790</v>
      </c>
      <c r="T33" s="447" cm="1">
        <f t="array" ref="T33">TREND($N73:$O73,$N$47:$O$47,T$7)</f>
        <v>72118483940900</v>
      </c>
      <c r="U33" s="447" cm="1">
        <f t="array" ref="U33">TREND($N73:$O73,$N$47:$O$47,U$7)</f>
        <v>72498054909010</v>
      </c>
      <c r="V33" s="447" cm="1">
        <f t="array" ref="V33">TREND($N73:$O73,$N$47:$O$47,V$7)</f>
        <v>72877625877120</v>
      </c>
      <c r="W33" s="447" cm="1">
        <f t="array" ref="W33">TREND($N73:$O73,$N$47:$O$47,W$7)</f>
        <v>73257196845230</v>
      </c>
      <c r="X33" s="447" cm="1">
        <f t="array" ref="X33">TREND($N73:$O73,$N$47:$O$47,X$7)</f>
        <v>73636767813340</v>
      </c>
      <c r="Y33" s="447" cm="1">
        <f t="array" ref="Y33">TREND($N73:$O73,$N$47:$O$47,Y$7)</f>
        <v>74016338781450</v>
      </c>
      <c r="Z33" s="521">
        <f t="shared" si="1"/>
        <v>74395909749560</v>
      </c>
      <c r="AA33" s="447" cm="1">
        <f t="array" ref="AA33">TREND($O73:$P73,$O$47:$P$47,AA$7)</f>
        <v>74701266095547</v>
      </c>
      <c r="AB33" s="447" cm="1">
        <f t="array" ref="AB33">TREND($O73:$P73,$O$47:$P$47,AB$7)</f>
        <v>75006622441534</v>
      </c>
      <c r="AC33" s="447" cm="1">
        <f t="array" ref="AC33">TREND($O73:$P73,$O$47:$P$47,AC$7)</f>
        <v>75311978787521</v>
      </c>
      <c r="AD33" s="447" cm="1">
        <f t="array" ref="AD33">TREND($O73:$P73,$O$47:$P$47,AD$7)</f>
        <v>75617335133508</v>
      </c>
      <c r="AE33" s="447" cm="1">
        <f t="array" ref="AE33">TREND($O73:$P73,$O$47:$P$47,AE$7)</f>
        <v>75922691479495</v>
      </c>
      <c r="AF33" s="447" cm="1">
        <f t="array" ref="AF33">TREND($O73:$P73,$O$47:$P$47,AF$7)</f>
        <v>76228047825482</v>
      </c>
      <c r="AG33" s="447" cm="1">
        <f t="array" ref="AG33">TREND($O73:$P73,$O$47:$P$47,AG$7)</f>
        <v>76533404171469</v>
      </c>
      <c r="AH33" s="447" cm="1">
        <f t="array" ref="AH33">TREND($O73:$P73,$O$47:$P$47,AH$7)</f>
        <v>76838760517456</v>
      </c>
      <c r="AI33" s="447" cm="1">
        <f t="array" ref="AI33">TREND($O73:$P73,$O$47:$P$47,AI$7)</f>
        <v>77144116863443</v>
      </c>
      <c r="AJ33" s="521">
        <f t="shared" si="2"/>
        <v>77449473209430</v>
      </c>
      <c r="AK33" s="447" cm="1">
        <f t="array" ref="AK33">TREND($P73:$Q73,$P$47:$Q$47,AK$7)</f>
        <v>77179807864922.063</v>
      </c>
      <c r="AL33" s="447" cm="1">
        <f t="array" ref="AL33">TREND($P73:$Q73,$P$47:$Q$47,AL$7)</f>
        <v>76910142520414.063</v>
      </c>
      <c r="AM33" s="447" cm="1">
        <f t="array" ref="AM33">TREND($P73:$Q73,$P$47:$Q$47,AM$7)</f>
        <v>76640477175906.063</v>
      </c>
      <c r="AN33" s="447" cm="1">
        <f t="array" ref="AN33">TREND($P73:$Q73,$P$47:$Q$47,AN$7)</f>
        <v>76370811831398.063</v>
      </c>
      <c r="AO33" s="447" cm="1">
        <f t="array" ref="AO33">TREND($P73:$Q73,$P$47:$Q$47,AO$7)</f>
        <v>76101146486890.063</v>
      </c>
      <c r="AP33" s="447" cm="1">
        <f t="array" ref="AP33">TREND($P73:$Q73,$P$47:$Q$47,AP$7)</f>
        <v>75831481142382.063</v>
      </c>
      <c r="AQ33" s="447" cm="1">
        <f t="array" ref="AQ33">TREND($P73:$Q73,$P$47:$Q$47,AQ$7)</f>
        <v>75561815797874.063</v>
      </c>
      <c r="AR33" s="447" cm="1">
        <f t="array" ref="AR33">TREND($P73:$Q73,$P$47:$Q$47,AR$7)</f>
        <v>75292150453366.063</v>
      </c>
      <c r="AS33" s="447" cm="1">
        <f t="array" ref="AS33">TREND($P73:$Q73,$P$47:$Q$47,AS$7)</f>
        <v>75022485108858.063</v>
      </c>
      <c r="AT33" s="521">
        <f t="shared" si="3"/>
        <v>74752819764350</v>
      </c>
      <c r="AU33" s="167"/>
    </row>
    <row r="34" spans="1:47" ht="13.5" customHeight="1">
      <c r="A34" s="48" t="s">
        <v>355</v>
      </c>
      <c r="B34" s="549">
        <v>2.032</v>
      </c>
      <c r="C34" s="549">
        <v>7.8010000000000002</v>
      </c>
      <c r="D34" s="550">
        <v>8.7479999999999993</v>
      </c>
      <c r="E34" s="550">
        <v>9.2739999999999991</v>
      </c>
      <c r="F34" s="550">
        <v>8.9990000000000006</v>
      </c>
      <c r="G34" s="544">
        <v>76.56</v>
      </c>
      <c r="H34" s="544">
        <v>77.42</v>
      </c>
      <c r="I34" s="545">
        <v>6.02</v>
      </c>
      <c r="J34" s="545">
        <v>0.53</v>
      </c>
      <c r="L34" s="537" t="s">
        <v>355</v>
      </c>
      <c r="M34" s="446">
        <f t="shared" si="0"/>
        <v>80582350005920</v>
      </c>
      <c r="N34" s="522" cm="1">
        <f t="array" ref="N34">TREND($M74:$N74,$M$47:$N$47,N$7)</f>
        <v>259627034816660</v>
      </c>
      <c r="O34" s="522" cm="1">
        <f t="array" ref="O34">TREND($M74:$N74,$M$47:$N$47,O$7)</f>
        <v>269573961750592</v>
      </c>
      <c r="P34" s="522" cm="1">
        <f t="array" ref="P34">TREND($M74:$N74,$M$47:$N$47,P$7)</f>
        <v>279520888684520</v>
      </c>
      <c r="Q34" s="522" cm="1">
        <f t="array" ref="Q34">TREND($M74:$N74,$M$47:$N$47,Q$7)</f>
        <v>289467815618448</v>
      </c>
      <c r="R34" s="522" cm="1">
        <f t="array" ref="R34">TREND($M74:$N74,$M$47:$N$47,R$7)</f>
        <v>299414742552380</v>
      </c>
      <c r="S34" s="488">
        <f>C34*$L$3</f>
        <v>309361669486310</v>
      </c>
      <c r="T34" s="447" cm="1">
        <f t="array" ref="T34">TREND($N74:$O74,$N$47:$O$47,T$7)</f>
        <v>314726650184820</v>
      </c>
      <c r="U34" s="447" cm="1">
        <f t="array" ref="U34">TREND($N74:$O74,$N$47:$O$47,U$7)</f>
        <v>320091630883330</v>
      </c>
      <c r="V34" s="447" cm="1">
        <f t="array" ref="V34">TREND($N74:$O74,$N$47:$O$47,V$7)</f>
        <v>325456611581840</v>
      </c>
      <c r="W34" s="447" cm="1">
        <f t="array" ref="W34">TREND($N74:$O74,$N$47:$O$47,W$7)</f>
        <v>330821592280350</v>
      </c>
      <c r="X34" s="447" cm="1">
        <f t="array" ref="X34">TREND($N74:$O74,$N$47:$O$47,X$7)</f>
        <v>336186572978860</v>
      </c>
      <c r="Y34" s="447" cm="1">
        <f t="array" ref="Y34">TREND($N74:$O74,$N$47:$O$47,Y$7)</f>
        <v>341551553677370</v>
      </c>
      <c r="Z34" s="521">
        <f t="shared" si="1"/>
        <v>346916534375880</v>
      </c>
      <c r="AA34" s="447" cm="1">
        <f t="array" ref="AA34">TREND($O74:$P74,$O$47:$P$47,AA$7)</f>
        <v>349002475128986</v>
      </c>
      <c r="AB34" s="447" cm="1">
        <f t="array" ref="AB34">TREND($O74:$P74,$O$47:$P$47,AB$7)</f>
        <v>351088415882092</v>
      </c>
      <c r="AC34" s="447" cm="1">
        <f t="array" ref="AC34">TREND($O74:$P74,$O$47:$P$47,AC$7)</f>
        <v>353174356635198</v>
      </c>
      <c r="AD34" s="447" cm="1">
        <f t="array" ref="AD34">TREND($O74:$P74,$O$47:$P$47,AD$7)</f>
        <v>355260297388304</v>
      </c>
      <c r="AE34" s="447" cm="1">
        <f t="array" ref="AE34">TREND($O74:$P74,$O$47:$P$47,AE$7)</f>
        <v>357346238141410</v>
      </c>
      <c r="AF34" s="447" cm="1">
        <f t="array" ref="AF34">TREND($O74:$P74,$O$47:$P$47,AF$7)</f>
        <v>359432178894516</v>
      </c>
      <c r="AG34" s="447" cm="1">
        <f t="array" ref="AG34">TREND($O74:$P74,$O$47:$P$47,AG$7)</f>
        <v>361518119647622</v>
      </c>
      <c r="AH34" s="447" cm="1">
        <f t="array" ref="AH34">TREND($O74:$P74,$O$47:$P$47,AH$7)</f>
        <v>363604060400728</v>
      </c>
      <c r="AI34" s="447" cm="1">
        <f t="array" ref="AI34">TREND($O74:$P74,$O$47:$P$47,AI$7)</f>
        <v>365690001153834</v>
      </c>
      <c r="AJ34" s="521">
        <f t="shared" si="2"/>
        <v>367775941906939.94</v>
      </c>
      <c r="AK34" s="447" cm="1">
        <f t="array" ref="AK34">TREND($P74:$Q74,$P$47:$Q$47,AK$7)</f>
        <v>366685383528414.75</v>
      </c>
      <c r="AL34" s="447" cm="1">
        <f t="array" ref="AL34">TREND($P74:$Q74,$P$47:$Q$47,AL$7)</f>
        <v>365594825149889.75</v>
      </c>
      <c r="AM34" s="447" cm="1">
        <f t="array" ref="AM34">TREND($P74:$Q74,$P$47:$Q$47,AM$7)</f>
        <v>364504266771364.75</v>
      </c>
      <c r="AN34" s="447" cm="1">
        <f t="array" ref="AN34">TREND($P74:$Q74,$P$47:$Q$47,AN$7)</f>
        <v>363413708392839.75</v>
      </c>
      <c r="AO34" s="447" cm="1">
        <f t="array" ref="AO34">TREND($P74:$Q74,$P$47:$Q$47,AO$7)</f>
        <v>362323150014314.75</v>
      </c>
      <c r="AP34" s="447" cm="1">
        <f t="array" ref="AP34">TREND($P74:$Q74,$P$47:$Q$47,AP$7)</f>
        <v>361232591635789.75</v>
      </c>
      <c r="AQ34" s="447" cm="1">
        <f t="array" ref="AQ34">TREND($P74:$Q74,$P$47:$Q$47,AQ$7)</f>
        <v>360142033257264.75</v>
      </c>
      <c r="AR34" s="447" cm="1">
        <f t="array" ref="AR34">TREND($P74:$Q74,$P$47:$Q$47,AR$7)</f>
        <v>359051474878739.75</v>
      </c>
      <c r="AS34" s="447" cm="1">
        <f t="array" ref="AS34">TREND($P74:$Q74,$P$47:$Q$47,AS$7)</f>
        <v>357960916500214.75</v>
      </c>
      <c r="AT34" s="521">
        <f t="shared" si="3"/>
        <v>356870358121690</v>
      </c>
      <c r="AU34" s="167"/>
    </row>
    <row r="35" spans="1:47" ht="13.5" customHeight="1">
      <c r="A35" s="49" t="s">
        <v>1199</v>
      </c>
      <c r="B35" s="555">
        <v>0</v>
      </c>
      <c r="C35" s="555">
        <v>0.32700000000000001</v>
      </c>
      <c r="D35" s="550">
        <v>0.42899999999999999</v>
      </c>
      <c r="E35" s="550">
        <v>0.47399999999999998</v>
      </c>
      <c r="F35" s="550">
        <v>0.48699999999999999</v>
      </c>
      <c r="G35" s="544">
        <v>3.21</v>
      </c>
      <c r="H35" s="544">
        <v>4.1900000000000004</v>
      </c>
      <c r="I35" s="545" t="s">
        <v>170</v>
      </c>
      <c r="J35" s="545">
        <v>1.48</v>
      </c>
      <c r="L35" s="538" t="s">
        <v>1199</v>
      </c>
      <c r="M35" s="446">
        <f t="shared" si="0"/>
        <v>0</v>
      </c>
      <c r="N35" s="522" cm="1">
        <f t="array" ref="N35">TREND($M75:$N75,$M$47:$N$47,N$7)</f>
        <v>10148658681420</v>
      </c>
      <c r="O35" s="522" cm="1">
        <f t="array" ref="O35">TREND($M75:$N75,$M$47:$N$47,O$7)</f>
        <v>10712473052610</v>
      </c>
      <c r="P35" s="522" cm="1">
        <f t="array" ref="P35">TREND($M75:$N75,$M$47:$N$47,P$7)</f>
        <v>11276287423800</v>
      </c>
      <c r="Q35" s="522" cm="1">
        <f t="array" ref="Q35">TREND($M75:$N75,$M$47:$N$47,Q$7)</f>
        <v>11840101794990</v>
      </c>
      <c r="R35" s="522" cm="1">
        <f t="array" ref="R35">TREND($M75:$N75,$M$47:$N$47,R$7)</f>
        <v>12403916166180</v>
      </c>
      <c r="S35" s="488">
        <f>C35*$L$3</f>
        <v>12967730537370</v>
      </c>
      <c r="T35" s="447" cm="1">
        <f t="array" ref="T35">TREND($N75:$O75,$N$47:$O$47,T$7)</f>
        <v>13545584847030</v>
      </c>
      <c r="U35" s="447" cm="1">
        <f t="array" ref="U35">TREND($N75:$O75,$N$47:$O$47,U$7)</f>
        <v>14123439156690</v>
      </c>
      <c r="V35" s="447" cm="1">
        <f t="array" ref="V35">TREND($N75:$O75,$N$47:$O$47,V$7)</f>
        <v>14701293466350</v>
      </c>
      <c r="W35" s="447" cm="1">
        <f t="array" ref="W35">TREND($N75:$O75,$N$47:$O$47,W$7)</f>
        <v>15279147776010</v>
      </c>
      <c r="X35" s="447" cm="1">
        <f t="array" ref="X35">TREND($N75:$O75,$N$47:$O$47,X$7)</f>
        <v>15857002085670</v>
      </c>
      <c r="Y35" s="447" cm="1">
        <f t="array" ref="Y35">TREND($N75:$O75,$N$47:$O$47,Y$7)</f>
        <v>16434856395330</v>
      </c>
      <c r="Z35" s="521">
        <f t="shared" si="1"/>
        <v>17012710704990</v>
      </c>
      <c r="AA35" s="447" cm="1">
        <f t="array" ref="AA35">TREND($O75:$P75,$O$47:$P$47,AA$7)</f>
        <v>17191165712385</v>
      </c>
      <c r="AB35" s="447" cm="1">
        <f t="array" ref="AB35">TREND($O75:$P75,$O$47:$P$47,AB$7)</f>
        <v>17369620719780</v>
      </c>
      <c r="AC35" s="447" cm="1">
        <f t="array" ref="AC35">TREND($O75:$P75,$O$47:$P$47,AC$7)</f>
        <v>17548075727175</v>
      </c>
      <c r="AD35" s="447" cm="1">
        <f t="array" ref="AD35">TREND($O75:$P75,$O$47:$P$47,AD$7)</f>
        <v>17726530734570</v>
      </c>
      <c r="AE35" s="447" cm="1">
        <f t="array" ref="AE35">TREND($O75:$P75,$O$47:$P$47,AE$7)</f>
        <v>17904985741965</v>
      </c>
      <c r="AF35" s="447" cm="1">
        <f t="array" ref="AF35">TREND($O75:$P75,$O$47:$P$47,AF$7)</f>
        <v>18083440749360</v>
      </c>
      <c r="AG35" s="447" cm="1">
        <f t="array" ref="AG35">TREND($O75:$P75,$O$47:$P$47,AG$7)</f>
        <v>18261895756755</v>
      </c>
      <c r="AH35" s="447" cm="1">
        <f t="array" ref="AH35">TREND($O75:$P75,$O$47:$P$47,AH$7)</f>
        <v>18440350764150</v>
      </c>
      <c r="AI35" s="447" cm="1">
        <f t="array" ref="AI35">TREND($O75:$P75,$O$47:$P$47,AI$7)</f>
        <v>18618805771545</v>
      </c>
      <c r="AJ35" s="521">
        <f t="shared" si="2"/>
        <v>18797260778940</v>
      </c>
      <c r="AK35" s="447" cm="1">
        <f t="array" ref="AK35">TREND($P75:$Q75,$P$47:$Q$47,AK$7)</f>
        <v>18848814447743</v>
      </c>
      <c r="AL35" s="447" cm="1">
        <f t="array" ref="AL35">TREND($P75:$Q75,$P$47:$Q$47,AL$7)</f>
        <v>18900368116546</v>
      </c>
      <c r="AM35" s="447" cm="1">
        <f t="array" ref="AM35">TREND($P75:$Q75,$P$47:$Q$47,AM$7)</f>
        <v>18951921785349</v>
      </c>
      <c r="AN35" s="447" cm="1">
        <f t="array" ref="AN35">TREND($P75:$Q75,$P$47:$Q$47,AN$7)</f>
        <v>19003475454152</v>
      </c>
      <c r="AO35" s="447" cm="1">
        <f t="array" ref="AO35">TREND($P75:$Q75,$P$47:$Q$47,AO$7)</f>
        <v>19055029122955</v>
      </c>
      <c r="AP35" s="447" cm="1">
        <f t="array" ref="AP35">TREND($P75:$Q75,$P$47:$Q$47,AP$7)</f>
        <v>19106582791758</v>
      </c>
      <c r="AQ35" s="447" cm="1">
        <f t="array" ref="AQ35">TREND($P75:$Q75,$P$47:$Q$47,AQ$7)</f>
        <v>19158136460561</v>
      </c>
      <c r="AR35" s="447" cm="1">
        <f t="array" ref="AR35">TREND($P75:$Q75,$P$47:$Q$47,AR$7)</f>
        <v>19209690129364</v>
      </c>
      <c r="AS35" s="447" cm="1">
        <f t="array" ref="AS35">TREND($P75:$Q75,$P$47:$Q$47,AS$7)</f>
        <v>19261243798167</v>
      </c>
      <c r="AT35" s="521">
        <f t="shared" si="3"/>
        <v>19312797466970</v>
      </c>
      <c r="AU35" s="167"/>
    </row>
    <row r="36" spans="1:47" s="55" customFormat="1" ht="10.5" customHeight="1">
      <c r="A36" s="30"/>
      <c r="B36" s="542"/>
      <c r="C36" s="542"/>
      <c r="D36" s="541"/>
      <c r="E36" s="541"/>
      <c r="F36" s="541"/>
      <c r="G36" s="546"/>
      <c r="H36" s="546"/>
      <c r="I36" s="547"/>
      <c r="J36" s="547"/>
      <c r="L36" s="30"/>
      <c r="M36" s="446">
        <f t="shared" si="0"/>
        <v>0</v>
      </c>
      <c r="N36" s="522" cm="1">
        <f t="array" ref="N36">TREND($M76:$N76,$M$47:$N$47,N$7)</f>
        <v>0</v>
      </c>
      <c r="O36" s="522" cm="1">
        <f t="array" ref="O36">TREND($M76:$N76,$M$47:$N$47,O$7)</f>
        <v>0</v>
      </c>
      <c r="P36" s="522" cm="1">
        <f t="array" ref="P36">TREND($M76:$N76,$M$47:$N$47,P$7)</f>
        <v>0</v>
      </c>
      <c r="Q36" s="522" cm="1">
        <f t="array" ref="Q36">TREND($M76:$N76,$M$47:$N$47,Q$7)</f>
        <v>0</v>
      </c>
      <c r="R36" s="522" cm="1">
        <f t="array" ref="R36">TREND($M76:$N76,$M$47:$N$47,R$7)</f>
        <v>0</v>
      </c>
      <c r="S36" s="488">
        <f>C36*$L$3</f>
        <v>0</v>
      </c>
      <c r="T36" s="447" cm="1">
        <f t="array" ref="T36">TREND($N76:$O76,$N$47:$O$47,T$7)</f>
        <v>0</v>
      </c>
      <c r="U36" s="447" cm="1">
        <f t="array" ref="U36">TREND($N76:$O76,$N$47:$O$47,U$7)</f>
        <v>0</v>
      </c>
      <c r="V36" s="447" cm="1">
        <f t="array" ref="V36">TREND($N76:$O76,$N$47:$O$47,V$7)</f>
        <v>0</v>
      </c>
      <c r="W36" s="447" cm="1">
        <f t="array" ref="W36">TREND($N76:$O76,$N$47:$O$47,W$7)</f>
        <v>0</v>
      </c>
      <c r="X36" s="447" cm="1">
        <f t="array" ref="X36">TREND($N76:$O76,$N$47:$O$47,X$7)</f>
        <v>0</v>
      </c>
      <c r="Y36" s="447" cm="1">
        <f t="array" ref="Y36">TREND($N76:$O76,$N$47:$O$47,Y$7)</f>
        <v>0</v>
      </c>
      <c r="Z36" s="521">
        <f t="shared" si="1"/>
        <v>0</v>
      </c>
      <c r="AA36" s="447" cm="1">
        <f t="array" ref="AA36">TREND($O76:$P76,$O$47:$P$47,AA$7)</f>
        <v>0</v>
      </c>
      <c r="AB36" s="447" cm="1">
        <f t="array" ref="AB36">TREND($O76:$P76,$O$47:$P$47,AB$7)</f>
        <v>0</v>
      </c>
      <c r="AC36" s="447" cm="1">
        <f t="array" ref="AC36">TREND($O76:$P76,$O$47:$P$47,AC$7)</f>
        <v>0</v>
      </c>
      <c r="AD36" s="447" cm="1">
        <f t="array" ref="AD36">TREND($O76:$P76,$O$47:$P$47,AD$7)</f>
        <v>0</v>
      </c>
      <c r="AE36" s="447" cm="1">
        <f t="array" ref="AE36">TREND($O76:$P76,$O$47:$P$47,AE$7)</f>
        <v>0</v>
      </c>
      <c r="AF36" s="447" cm="1">
        <f t="array" ref="AF36">TREND($O76:$P76,$O$47:$P$47,AF$7)</f>
        <v>0</v>
      </c>
      <c r="AG36" s="447" cm="1">
        <f t="array" ref="AG36">TREND($O76:$P76,$O$47:$P$47,AG$7)</f>
        <v>0</v>
      </c>
      <c r="AH36" s="447" cm="1">
        <f t="array" ref="AH36">TREND($O76:$P76,$O$47:$P$47,AH$7)</f>
        <v>0</v>
      </c>
      <c r="AI36" s="447" cm="1">
        <f t="array" ref="AI36">TREND($O76:$P76,$O$47:$P$47,AI$7)</f>
        <v>0</v>
      </c>
      <c r="AJ36" s="521">
        <f t="shared" si="2"/>
        <v>0</v>
      </c>
      <c r="AK36" s="447" cm="1">
        <f t="array" ref="AK36">TREND($P76:$Q76,$P$47:$Q$47,AK$7)</f>
        <v>0</v>
      </c>
      <c r="AL36" s="447" cm="1">
        <f t="array" ref="AL36">TREND($P76:$Q76,$P$47:$Q$47,AL$7)</f>
        <v>0</v>
      </c>
      <c r="AM36" s="447" cm="1">
        <f t="array" ref="AM36">TREND($P76:$Q76,$P$47:$Q$47,AM$7)</f>
        <v>0</v>
      </c>
      <c r="AN36" s="447" cm="1">
        <f t="array" ref="AN36">TREND($P76:$Q76,$P$47:$Q$47,AN$7)</f>
        <v>0</v>
      </c>
      <c r="AO36" s="447" cm="1">
        <f t="array" ref="AO36">TREND($P76:$Q76,$P$47:$Q$47,AO$7)</f>
        <v>0</v>
      </c>
      <c r="AP36" s="447" cm="1">
        <f t="array" ref="AP36">TREND($P76:$Q76,$P$47:$Q$47,AP$7)</f>
        <v>0</v>
      </c>
      <c r="AQ36" s="447" cm="1">
        <f t="array" ref="AQ36">TREND($P76:$Q76,$P$47:$Q$47,AQ$7)</f>
        <v>0</v>
      </c>
      <c r="AR36" s="447" cm="1">
        <f t="array" ref="AR36">TREND($P76:$Q76,$P$47:$Q$47,AR$7)</f>
        <v>0</v>
      </c>
      <c r="AS36" s="447" cm="1">
        <f t="array" ref="AS36">TREND($P76:$Q76,$P$47:$Q$47,AS$7)</f>
        <v>0</v>
      </c>
      <c r="AT36" s="521">
        <f t="shared" si="3"/>
        <v>0</v>
      </c>
      <c r="AU36" s="167"/>
    </row>
    <row r="37" spans="1:47" ht="13.5" customHeight="1">
      <c r="A37" s="42" t="s">
        <v>1200</v>
      </c>
      <c r="B37" s="549">
        <v>1.778</v>
      </c>
      <c r="C37" s="549">
        <v>3.1280000000000001</v>
      </c>
      <c r="D37" s="550">
        <v>3.226</v>
      </c>
      <c r="E37" s="550">
        <v>3.2389999999999999</v>
      </c>
      <c r="F37" s="550">
        <v>3.016</v>
      </c>
      <c r="G37" s="544">
        <v>100</v>
      </c>
      <c r="H37" s="544">
        <v>100</v>
      </c>
      <c r="I37" s="545">
        <v>2.4900000000000002</v>
      </c>
      <c r="J37" s="545">
        <v>-0.13</v>
      </c>
      <c r="L37" s="534" t="s">
        <v>1200</v>
      </c>
      <c r="M37" s="446">
        <f t="shared" si="0"/>
        <v>70509556255180</v>
      </c>
      <c r="N37" s="522" cm="1">
        <f t="array" ref="N37">TREND($M77:$N77,$M$47:$N$47,N$7)</f>
        <v>112407688426180</v>
      </c>
      <c r="O37" s="522" cm="1">
        <f t="array" ref="O37">TREND($M77:$N77,$M$47:$N$47,O$7)</f>
        <v>114735362435680</v>
      </c>
      <c r="P37" s="522" cm="1">
        <f t="array" ref="P37">TREND($M77:$N77,$M$47:$N$47,P$7)</f>
        <v>117063036445180</v>
      </c>
      <c r="Q37" s="522" cm="1">
        <f t="array" ref="Q37">TREND($M77:$N77,$M$47:$N$47,Q$7)</f>
        <v>119390710454680</v>
      </c>
      <c r="R37" s="522" cm="1">
        <f t="array" ref="R37">TREND($M77:$N77,$M$47:$N$47,R$7)</f>
        <v>121718384464180</v>
      </c>
      <c r="S37" s="488">
        <f>C37*$L$3</f>
        <v>124046058473680</v>
      </c>
      <c r="T37" s="447" cm="1">
        <f t="array" ref="T37">TREND($N77:$O77,$N$47:$O$47,T$7)</f>
        <v>124601251830020</v>
      </c>
      <c r="U37" s="447" cm="1">
        <f t="array" ref="U37">TREND($N77:$O77,$N$47:$O$47,U$7)</f>
        <v>125156445186360</v>
      </c>
      <c r="V37" s="447" cm="1">
        <f t="array" ref="V37">TREND($N77:$O77,$N$47:$O$47,V$7)</f>
        <v>125711638542700</v>
      </c>
      <c r="W37" s="447" cm="1">
        <f t="array" ref="W37">TREND($N77:$O77,$N$47:$O$47,W$7)</f>
        <v>126266831899040</v>
      </c>
      <c r="X37" s="447" cm="1">
        <f t="array" ref="X37">TREND($N77:$O77,$N$47:$O$47,X$7)</f>
        <v>126822025255380</v>
      </c>
      <c r="Y37" s="447" cm="1">
        <f t="array" ref="Y37">TREND($N77:$O77,$N$47:$O$47,Y$7)</f>
        <v>127377218611720</v>
      </c>
      <c r="Z37" s="521">
        <f t="shared" si="1"/>
        <v>127932411968060</v>
      </c>
      <c r="AA37" s="447" cm="1">
        <f t="array" ref="AA37">TREND($O77:$P77,$O$47:$P$47,AA$7)</f>
        <v>127983965636863</v>
      </c>
      <c r="AB37" s="447" cm="1">
        <f t="array" ref="AB37">TREND($O77:$P77,$O$47:$P$47,AB$7)</f>
        <v>128035519305666</v>
      </c>
      <c r="AC37" s="447" cm="1">
        <f t="array" ref="AC37">TREND($O77:$P77,$O$47:$P$47,AC$7)</f>
        <v>128087072974469</v>
      </c>
      <c r="AD37" s="447" cm="1">
        <f t="array" ref="AD37">TREND($O77:$P77,$O$47:$P$47,AD$7)</f>
        <v>128138626643272</v>
      </c>
      <c r="AE37" s="447" cm="1">
        <f t="array" ref="AE37">TREND($O77:$P77,$O$47:$P$47,AE$7)</f>
        <v>128190180312075</v>
      </c>
      <c r="AF37" s="447" cm="1">
        <f t="array" ref="AF37">TREND($O77:$P77,$O$47:$P$47,AF$7)</f>
        <v>128241733980878</v>
      </c>
      <c r="AG37" s="447" cm="1">
        <f t="array" ref="AG37">TREND($O77:$P77,$O$47:$P$47,AG$7)</f>
        <v>128293287649681</v>
      </c>
      <c r="AH37" s="447" cm="1">
        <f t="array" ref="AH37">TREND($O77:$P77,$O$47:$P$47,AH$7)</f>
        <v>128344841318484</v>
      </c>
      <c r="AI37" s="447" cm="1">
        <f t="array" ref="AI37">TREND($O77:$P77,$O$47:$P$47,AI$7)</f>
        <v>128396394987287</v>
      </c>
      <c r="AJ37" s="521">
        <f t="shared" si="2"/>
        <v>128447948656090</v>
      </c>
      <c r="AK37" s="447" cm="1">
        <f t="array" ref="AK37">TREND($P77:$Q77,$P$47:$Q$47,AK$7)</f>
        <v>127563604952777</v>
      </c>
      <c r="AL37" s="447" cm="1">
        <f t="array" ref="AL37">TREND($P77:$Q77,$P$47:$Q$47,AL$7)</f>
        <v>126679261249464</v>
      </c>
      <c r="AM37" s="447" cm="1">
        <f t="array" ref="AM37">TREND($P77:$Q77,$P$47:$Q$47,AM$7)</f>
        <v>125794917546151</v>
      </c>
      <c r="AN37" s="447" cm="1">
        <f t="array" ref="AN37">TREND($P77:$Q77,$P$47:$Q$47,AN$7)</f>
        <v>124910573842838</v>
      </c>
      <c r="AO37" s="447" cm="1">
        <f t="array" ref="AO37">TREND($P77:$Q77,$P$47:$Q$47,AO$7)</f>
        <v>124026230139525</v>
      </c>
      <c r="AP37" s="447" cm="1">
        <f t="array" ref="AP37">TREND($P77:$Q77,$P$47:$Q$47,AP$7)</f>
        <v>123141886436212</v>
      </c>
      <c r="AQ37" s="447" cm="1">
        <f t="array" ref="AQ37">TREND($P77:$Q77,$P$47:$Q$47,AQ$7)</f>
        <v>122257542732899</v>
      </c>
      <c r="AR37" s="447" cm="1">
        <f t="array" ref="AR37">TREND($P77:$Q77,$P$47:$Q$47,AR$7)</f>
        <v>121373199029586</v>
      </c>
      <c r="AS37" s="447" cm="1">
        <f t="array" ref="AS37">TREND($P77:$Q77,$P$47:$Q$47,AS$7)</f>
        <v>120488855326273</v>
      </c>
      <c r="AT37" s="521">
        <f t="shared" si="3"/>
        <v>119604511622960</v>
      </c>
      <c r="AU37" s="169">
        <f>(AT37/P37)^(1/30)-1</f>
        <v>7.1618969671050081E-4</v>
      </c>
    </row>
    <row r="38" spans="1:47" ht="13.5" customHeight="1">
      <c r="A38" s="48" t="s">
        <v>1013</v>
      </c>
      <c r="B38" s="549">
        <v>0</v>
      </c>
      <c r="C38" s="549">
        <v>0</v>
      </c>
      <c r="D38" s="550">
        <v>0</v>
      </c>
      <c r="E38" s="550">
        <v>0</v>
      </c>
      <c r="F38" s="550">
        <v>0</v>
      </c>
      <c r="G38" s="544">
        <v>0</v>
      </c>
      <c r="H38" s="544">
        <v>0</v>
      </c>
      <c r="I38" s="545" t="s">
        <v>170</v>
      </c>
      <c r="J38" s="545" t="s">
        <v>170</v>
      </c>
      <c r="L38" s="537" t="s">
        <v>1013</v>
      </c>
      <c r="M38" s="446">
        <f t="shared" si="0"/>
        <v>0</v>
      </c>
      <c r="N38" s="522" cm="1">
        <f t="array" ref="N38">TREND($M78:$N78,$M$47:$N$47,N$7)</f>
        <v>0</v>
      </c>
      <c r="O38" s="522" cm="1">
        <f t="array" ref="O38">TREND($M78:$N78,$M$47:$N$47,O$7)</f>
        <v>0</v>
      </c>
      <c r="P38" s="522" cm="1">
        <f t="array" ref="P38">TREND($M78:$N78,$M$47:$N$47,P$7)</f>
        <v>0</v>
      </c>
      <c r="Q38" s="522" cm="1">
        <f t="array" ref="Q38">TREND($M78:$N78,$M$47:$N$47,Q$7)</f>
        <v>0</v>
      </c>
      <c r="R38" s="522" cm="1">
        <f t="array" ref="R38">TREND($M78:$N78,$M$47:$N$47,R$7)</f>
        <v>0</v>
      </c>
      <c r="S38" s="488">
        <f>C38*$L$3</f>
        <v>0</v>
      </c>
      <c r="T38" s="447" cm="1">
        <f t="array" ref="T38">TREND($N78:$O78,$N$47:$O$47,T$7)</f>
        <v>0</v>
      </c>
      <c r="U38" s="447" cm="1">
        <f t="array" ref="U38">TREND($N78:$O78,$N$47:$O$47,U$7)</f>
        <v>0</v>
      </c>
      <c r="V38" s="447" cm="1">
        <f t="array" ref="V38">TREND($N78:$O78,$N$47:$O$47,V$7)</f>
        <v>0</v>
      </c>
      <c r="W38" s="447" cm="1">
        <f t="array" ref="W38">TREND($N78:$O78,$N$47:$O$47,W$7)</f>
        <v>0</v>
      </c>
      <c r="X38" s="447" cm="1">
        <f t="array" ref="X38">TREND($N78:$O78,$N$47:$O$47,X$7)</f>
        <v>0</v>
      </c>
      <c r="Y38" s="447" cm="1">
        <f t="array" ref="Y38">TREND($N78:$O78,$N$47:$O$47,Y$7)</f>
        <v>0</v>
      </c>
      <c r="Z38" s="521">
        <f t="shared" si="1"/>
        <v>0</v>
      </c>
      <c r="AA38" s="447" cm="1">
        <f t="array" ref="AA38">TREND($O78:$P78,$O$47:$P$47,AA$7)</f>
        <v>0</v>
      </c>
      <c r="AB38" s="447" cm="1">
        <f t="array" ref="AB38">TREND($O78:$P78,$O$47:$P$47,AB$7)</f>
        <v>0</v>
      </c>
      <c r="AC38" s="447" cm="1">
        <f t="array" ref="AC38">TREND($O78:$P78,$O$47:$P$47,AC$7)</f>
        <v>0</v>
      </c>
      <c r="AD38" s="447" cm="1">
        <f t="array" ref="AD38">TREND($O78:$P78,$O$47:$P$47,AD$7)</f>
        <v>0</v>
      </c>
      <c r="AE38" s="447" cm="1">
        <f t="array" ref="AE38">TREND($O78:$P78,$O$47:$P$47,AE$7)</f>
        <v>0</v>
      </c>
      <c r="AF38" s="447" cm="1">
        <f t="array" ref="AF38">TREND($O78:$P78,$O$47:$P$47,AF$7)</f>
        <v>0</v>
      </c>
      <c r="AG38" s="447" cm="1">
        <f t="array" ref="AG38">TREND($O78:$P78,$O$47:$P$47,AG$7)</f>
        <v>0</v>
      </c>
      <c r="AH38" s="447" cm="1">
        <f t="array" ref="AH38">TREND($O78:$P78,$O$47:$P$47,AH$7)</f>
        <v>0</v>
      </c>
      <c r="AI38" s="447" cm="1">
        <f t="array" ref="AI38">TREND($O78:$P78,$O$47:$P$47,AI$7)</f>
        <v>0</v>
      </c>
      <c r="AJ38" s="521">
        <f t="shared" si="2"/>
        <v>0</v>
      </c>
      <c r="AK38" s="447" cm="1">
        <f t="array" ref="AK38">TREND($P78:$Q78,$P$47:$Q$47,AK$7)</f>
        <v>0</v>
      </c>
      <c r="AL38" s="447" cm="1">
        <f t="array" ref="AL38">TREND($P78:$Q78,$P$47:$Q$47,AL$7)</f>
        <v>0</v>
      </c>
      <c r="AM38" s="447" cm="1">
        <f t="array" ref="AM38">TREND($P78:$Q78,$P$47:$Q$47,AM$7)</f>
        <v>0</v>
      </c>
      <c r="AN38" s="447" cm="1">
        <f t="array" ref="AN38">TREND($P78:$Q78,$P$47:$Q$47,AN$7)</f>
        <v>0</v>
      </c>
      <c r="AO38" s="447" cm="1">
        <f t="array" ref="AO38">TREND($P78:$Q78,$P$47:$Q$47,AO$7)</f>
        <v>0</v>
      </c>
      <c r="AP38" s="447" cm="1">
        <f t="array" ref="AP38">TREND($P78:$Q78,$P$47:$Q$47,AP$7)</f>
        <v>0</v>
      </c>
      <c r="AQ38" s="447" cm="1">
        <f t="array" ref="AQ38">TREND($P78:$Q78,$P$47:$Q$47,AQ$7)</f>
        <v>0</v>
      </c>
      <c r="AR38" s="447" cm="1">
        <f t="array" ref="AR38">TREND($P78:$Q78,$P$47:$Q$47,AR$7)</f>
        <v>0</v>
      </c>
      <c r="AS38" s="447" cm="1">
        <f t="array" ref="AS38">TREND($P78:$Q78,$P$47:$Q$47,AS$7)</f>
        <v>0</v>
      </c>
      <c r="AT38" s="521">
        <f t="shared" si="3"/>
        <v>0</v>
      </c>
      <c r="AU38" s="167"/>
    </row>
    <row r="39" spans="1:47" ht="13.5" customHeight="1">
      <c r="A39" s="48" t="s">
        <v>1197</v>
      </c>
      <c r="B39" s="549">
        <v>0.97199999999999998</v>
      </c>
      <c r="C39" s="549">
        <v>0.30399999999999999</v>
      </c>
      <c r="D39" s="550">
        <v>0.26600000000000001</v>
      </c>
      <c r="E39" s="550">
        <v>0.25900000000000001</v>
      </c>
      <c r="F39" s="550">
        <v>0.23300000000000001</v>
      </c>
      <c r="G39" s="544">
        <v>9.6999999999999993</v>
      </c>
      <c r="H39" s="544">
        <v>7.71</v>
      </c>
      <c r="I39" s="545">
        <v>-4.93</v>
      </c>
      <c r="J39" s="545">
        <v>-0.98</v>
      </c>
      <c r="L39" s="537" t="s">
        <v>1197</v>
      </c>
      <c r="M39" s="446">
        <f t="shared" si="0"/>
        <v>38546281597320</v>
      </c>
      <c r="N39" s="522" cm="1">
        <f t="array" ref="N39">TREND($M79:$N79,$M$47:$N$47,N$7)</f>
        <v>17814465086040</v>
      </c>
      <c r="O39" s="522" cm="1">
        <f t="array" ref="O39">TREND($M79:$N79,$M$47:$N$47,O$7)</f>
        <v>16662697502080</v>
      </c>
      <c r="P39" s="522" cm="1">
        <f t="array" ref="P39">TREND($M79:$N79,$M$47:$N$47,P$7)</f>
        <v>15510929918120</v>
      </c>
      <c r="Q39" s="522" cm="1">
        <f t="array" ref="Q39">TREND($M79:$N79,$M$47:$N$47,Q$7)</f>
        <v>14359162334160</v>
      </c>
      <c r="R39" s="522" cm="1">
        <f t="array" ref="R39">TREND($M79:$N79,$M$47:$N$47,R$7)</f>
        <v>13207394750200</v>
      </c>
      <c r="S39" s="488">
        <f>C39*$L$3</f>
        <v>12055627166240</v>
      </c>
      <c r="T39" s="447" cm="1">
        <f t="array" ref="T39">TREND($N79:$O79,$N$47:$O$47,T$7)</f>
        <v>11840348109700</v>
      </c>
      <c r="U39" s="447" cm="1">
        <f t="array" ref="U39">TREND($N79:$O79,$N$47:$O$47,U$7)</f>
        <v>11625069053160</v>
      </c>
      <c r="V39" s="447" cm="1">
        <f t="array" ref="V39">TREND($N79:$O79,$N$47:$O$47,V$7)</f>
        <v>11409789996620</v>
      </c>
      <c r="W39" s="447" cm="1">
        <f t="array" ref="W39">TREND($N79:$O79,$N$47:$O$47,W$7)</f>
        <v>11194510940080</v>
      </c>
      <c r="X39" s="447" cm="1">
        <f t="array" ref="X39">TREND($N79:$O79,$N$47:$O$47,X$7)</f>
        <v>10979231883540</v>
      </c>
      <c r="Y39" s="447" cm="1">
        <f t="array" ref="Y39">TREND($N79:$O79,$N$47:$O$47,Y$7)</f>
        <v>10763952827000</v>
      </c>
      <c r="Z39" s="521">
        <f t="shared" si="1"/>
        <v>10548673770460</v>
      </c>
      <c r="AA39" s="447" cm="1">
        <f t="array" ref="AA39">TREND($O79:$P79,$O$47:$P$47,AA$7)</f>
        <v>10520914102643</v>
      </c>
      <c r="AB39" s="447" cm="1">
        <f t="array" ref="AB39">TREND($O79:$P79,$O$47:$P$47,AB$7)</f>
        <v>10493154434826</v>
      </c>
      <c r="AC39" s="447" cm="1">
        <f t="array" ref="AC39">TREND($O79:$P79,$O$47:$P$47,AC$7)</f>
        <v>10465394767009</v>
      </c>
      <c r="AD39" s="447" cm="1">
        <f t="array" ref="AD39">TREND($O79:$P79,$O$47:$P$47,AD$7)</f>
        <v>10437635099192</v>
      </c>
      <c r="AE39" s="447" cm="1">
        <f t="array" ref="AE39">TREND($O79:$P79,$O$47:$P$47,AE$7)</f>
        <v>10409875431375</v>
      </c>
      <c r="AF39" s="447" cm="1">
        <f t="array" ref="AF39">TREND($O79:$P79,$O$47:$P$47,AF$7)</f>
        <v>10382115763558</v>
      </c>
      <c r="AG39" s="447" cm="1">
        <f t="array" ref="AG39">TREND($O79:$P79,$O$47:$P$47,AG$7)</f>
        <v>10354356095741</v>
      </c>
      <c r="AH39" s="447" cm="1">
        <f t="array" ref="AH39">TREND($O79:$P79,$O$47:$P$47,AH$7)</f>
        <v>10326596427924</v>
      </c>
      <c r="AI39" s="447" cm="1">
        <f t="array" ref="AI39">TREND($O79:$P79,$O$47:$P$47,AI$7)</f>
        <v>10298836760107</v>
      </c>
      <c r="AJ39" s="521">
        <f t="shared" si="2"/>
        <v>10271077092290</v>
      </c>
      <c r="AK39" s="447" cm="1">
        <f t="array" ref="AK39">TREND($P79:$Q79,$P$47:$Q$47,AK$7)</f>
        <v>10167969754684</v>
      </c>
      <c r="AL39" s="447" cm="1">
        <f t="array" ref="AL39">TREND($P79:$Q79,$P$47:$Q$47,AL$7)</f>
        <v>10064862417078</v>
      </c>
      <c r="AM39" s="447" cm="1">
        <f t="array" ref="AM39">TREND($P79:$Q79,$P$47:$Q$47,AM$7)</f>
        <v>9961755079472</v>
      </c>
      <c r="AN39" s="447" cm="1">
        <f t="array" ref="AN39">TREND($P79:$Q79,$P$47:$Q$47,AN$7)</f>
        <v>9858647741866</v>
      </c>
      <c r="AO39" s="447" cm="1">
        <f t="array" ref="AO39">TREND($P79:$Q79,$P$47:$Q$47,AO$7)</f>
        <v>9755540404260</v>
      </c>
      <c r="AP39" s="447" cm="1">
        <f t="array" ref="AP39">TREND($P79:$Q79,$P$47:$Q$47,AP$7)</f>
        <v>9652433066654</v>
      </c>
      <c r="AQ39" s="447" cm="1">
        <f t="array" ref="AQ39">TREND($P79:$Q79,$P$47:$Q$47,AQ$7)</f>
        <v>9549325729048</v>
      </c>
      <c r="AR39" s="447" cm="1">
        <f t="array" ref="AR39">TREND($P79:$Q79,$P$47:$Q$47,AR$7)</f>
        <v>9446218391442</v>
      </c>
      <c r="AS39" s="447" cm="1">
        <f t="array" ref="AS39">TREND($P79:$Q79,$P$47:$Q$47,AS$7)</f>
        <v>9343111053836</v>
      </c>
      <c r="AT39" s="521">
        <f t="shared" si="3"/>
        <v>9240003716230</v>
      </c>
      <c r="AU39" s="167"/>
    </row>
    <row r="40" spans="1:47" ht="13.5" customHeight="1">
      <c r="A40" s="48" t="s">
        <v>1198</v>
      </c>
      <c r="B40" s="549">
        <v>0</v>
      </c>
      <c r="C40" s="549">
        <v>0.68700000000000006</v>
      </c>
      <c r="D40" s="550">
        <v>0.64500000000000002</v>
      </c>
      <c r="E40" s="550">
        <v>0.65</v>
      </c>
      <c r="F40" s="550">
        <v>0.59899999999999998</v>
      </c>
      <c r="G40" s="544">
        <v>21.97</v>
      </c>
      <c r="H40" s="544">
        <v>19.88</v>
      </c>
      <c r="I40" s="545" t="s">
        <v>170</v>
      </c>
      <c r="J40" s="545">
        <v>-0.5</v>
      </c>
      <c r="L40" s="537" t="s">
        <v>1198</v>
      </c>
      <c r="M40" s="446">
        <f t="shared" si="0"/>
        <v>0</v>
      </c>
      <c r="N40" s="522" cm="1">
        <f t="array" ref="N40">TREND($M80:$N80,$M$47:$N$47,N$7)</f>
        <v>21321493927020</v>
      </c>
      <c r="O40" s="522" cm="1">
        <f t="array" ref="O40">TREND($M80:$N80,$M$47:$N$47,O$7)</f>
        <v>22506021367410</v>
      </c>
      <c r="P40" s="522" cm="1">
        <f t="array" ref="P40">TREND($M80:$N80,$M$47:$N$47,P$7)</f>
        <v>23690548807800</v>
      </c>
      <c r="Q40" s="522" cm="1">
        <f t="array" ref="Q40">TREND($M80:$N80,$M$47:$N$47,Q$7)</f>
        <v>24875076248190</v>
      </c>
      <c r="R40" s="522" cm="1">
        <f t="array" ref="R40">TREND($M80:$N80,$M$47:$N$47,R$7)</f>
        <v>26059603688580</v>
      </c>
      <c r="S40" s="488">
        <f>C40*$L$3</f>
        <v>27244131128970.004</v>
      </c>
      <c r="T40" s="447" cm="1">
        <f t="array" ref="T40">TREND($N80:$O80,$N$47:$O$47,T$7)</f>
        <v>27006191119110</v>
      </c>
      <c r="U40" s="447" cm="1">
        <f t="array" ref="U40">TREND($N80:$O80,$N$47:$O$47,U$7)</f>
        <v>26768251109250</v>
      </c>
      <c r="V40" s="447" cm="1">
        <f t="array" ref="V40">TREND($N80:$O80,$N$47:$O$47,V$7)</f>
        <v>26530311099390</v>
      </c>
      <c r="W40" s="447" cm="1">
        <f t="array" ref="W40">TREND($N80:$O80,$N$47:$O$47,W$7)</f>
        <v>26292371089530</v>
      </c>
      <c r="X40" s="447" cm="1">
        <f t="array" ref="X40">TREND($N80:$O80,$N$47:$O$47,X$7)</f>
        <v>26054431079670</v>
      </c>
      <c r="Y40" s="447" cm="1">
        <f t="array" ref="Y40">TREND($N80:$O80,$N$47:$O$47,Y$7)</f>
        <v>25816491069810</v>
      </c>
      <c r="Z40" s="521">
        <f t="shared" si="1"/>
        <v>25578551059950</v>
      </c>
      <c r="AA40" s="447" cm="1">
        <f t="array" ref="AA40">TREND($O80:$P80,$O$47:$P$47,AA$7)</f>
        <v>25598379394105</v>
      </c>
      <c r="AB40" s="447" cm="1">
        <f t="array" ref="AB40">TREND($O80:$P80,$O$47:$P$47,AB$7)</f>
        <v>25618207728260</v>
      </c>
      <c r="AC40" s="447" cm="1">
        <f t="array" ref="AC40">TREND($O80:$P80,$O$47:$P$47,AC$7)</f>
        <v>25638036062415</v>
      </c>
      <c r="AD40" s="447" cm="1">
        <f t="array" ref="AD40">TREND($O80:$P80,$O$47:$P$47,AD$7)</f>
        <v>25657864396570</v>
      </c>
      <c r="AE40" s="447" cm="1">
        <f t="array" ref="AE40">TREND($O80:$P80,$O$47:$P$47,AE$7)</f>
        <v>25677692730725</v>
      </c>
      <c r="AF40" s="447" cm="1">
        <f t="array" ref="AF40">TREND($O80:$P80,$O$47:$P$47,AF$7)</f>
        <v>25697521064880</v>
      </c>
      <c r="AG40" s="447" cm="1">
        <f t="array" ref="AG40">TREND($O80:$P80,$O$47:$P$47,AG$7)</f>
        <v>25717349399035</v>
      </c>
      <c r="AH40" s="447" cm="1">
        <f t="array" ref="AH40">TREND($O80:$P80,$O$47:$P$47,AH$7)</f>
        <v>25737177733190</v>
      </c>
      <c r="AI40" s="447" cm="1">
        <f t="array" ref="AI40">TREND($O80:$P80,$O$47:$P$47,AI$7)</f>
        <v>25757006067345</v>
      </c>
      <c r="AJ40" s="521">
        <f t="shared" si="2"/>
        <v>25776834401500</v>
      </c>
      <c r="AK40" s="447" cm="1">
        <f t="array" ref="AK40">TREND($P80:$Q80,$P$47:$Q$47,AK$7)</f>
        <v>25574585393119</v>
      </c>
      <c r="AL40" s="447" cm="1">
        <f t="array" ref="AL40">TREND($P80:$Q80,$P$47:$Q$47,AL$7)</f>
        <v>25372336384738</v>
      </c>
      <c r="AM40" s="447" cm="1">
        <f t="array" ref="AM40">TREND($P80:$Q80,$P$47:$Q$47,AM$7)</f>
        <v>25170087376357</v>
      </c>
      <c r="AN40" s="447" cm="1">
        <f t="array" ref="AN40">TREND($P80:$Q80,$P$47:$Q$47,AN$7)</f>
        <v>24967838367976</v>
      </c>
      <c r="AO40" s="447" cm="1">
        <f t="array" ref="AO40">TREND($P80:$Q80,$P$47:$Q$47,AO$7)</f>
        <v>24765589359595</v>
      </c>
      <c r="AP40" s="447" cm="1">
        <f t="array" ref="AP40">TREND($P80:$Q80,$P$47:$Q$47,AP$7)</f>
        <v>24563340351214</v>
      </c>
      <c r="AQ40" s="447" cm="1">
        <f t="array" ref="AQ40">TREND($P80:$Q80,$P$47:$Q$47,AQ$7)</f>
        <v>24361091342833</v>
      </c>
      <c r="AR40" s="447" cm="1">
        <f t="array" ref="AR40">TREND($P80:$Q80,$P$47:$Q$47,AR$7)</f>
        <v>24158842334452</v>
      </c>
      <c r="AS40" s="447" cm="1">
        <f t="array" ref="AS40">TREND($P80:$Q80,$P$47:$Q$47,AS$7)</f>
        <v>23956593326071</v>
      </c>
      <c r="AT40" s="521">
        <f t="shared" si="3"/>
        <v>23754344317690</v>
      </c>
      <c r="AU40" s="167"/>
    </row>
    <row r="41" spans="1:47" ht="13.5" customHeight="1">
      <c r="A41" s="48" t="s">
        <v>355</v>
      </c>
      <c r="B41" s="549">
        <v>0.80600000000000005</v>
      </c>
      <c r="C41" s="549">
        <v>2.0329999999999999</v>
      </c>
      <c r="D41" s="550">
        <v>2.202</v>
      </c>
      <c r="E41" s="550">
        <v>2.2120000000000002</v>
      </c>
      <c r="F41" s="550">
        <v>2.0630000000000002</v>
      </c>
      <c r="G41" s="544">
        <v>65.010000000000005</v>
      </c>
      <c r="H41" s="544">
        <v>68.39</v>
      </c>
      <c r="I41" s="545">
        <v>4.1100000000000003</v>
      </c>
      <c r="J41" s="545">
        <v>0.05</v>
      </c>
      <c r="L41" s="537" t="s">
        <v>355</v>
      </c>
      <c r="M41" s="446">
        <f t="shared" si="0"/>
        <v>31963274657860.004</v>
      </c>
      <c r="N41" s="522" cm="1">
        <f t="array" ref="N41">TREND($M81:$N81,$M$47:$N$47,N$7)</f>
        <v>70044021453280</v>
      </c>
      <c r="O41" s="522" cm="1">
        <f t="array" ref="O41">TREND($M81:$N81,$M$47:$N$47,O$7)</f>
        <v>72159618497470</v>
      </c>
      <c r="P41" s="522" cm="1">
        <f t="array" ref="P41">TREND($M81:$N81,$M$47:$N$47,P$7)</f>
        <v>74275215541660</v>
      </c>
      <c r="Q41" s="522" cm="1">
        <f t="array" ref="Q41">TREND($M81:$N81,$M$47:$N$47,Q$7)</f>
        <v>76390812585850</v>
      </c>
      <c r="R41" s="522" cm="1">
        <f t="array" ref="R41">TREND($M81:$N81,$M$47:$N$47,R$7)</f>
        <v>78506409630040</v>
      </c>
      <c r="S41" s="488">
        <f>C41*$L$3</f>
        <v>80622006674230</v>
      </c>
      <c r="T41" s="447" cm="1">
        <f t="array" ref="T41">TREND($N81:$O81,$N$47:$O$47,T$7)</f>
        <v>81579431952000</v>
      </c>
      <c r="U41" s="447" cm="1">
        <f t="array" ref="U41">TREND($N81:$O81,$N$47:$O$47,U$7)</f>
        <v>82536857229770</v>
      </c>
      <c r="V41" s="447" cm="1">
        <f t="array" ref="V41">TREND($N81:$O81,$N$47:$O$47,V$7)</f>
        <v>83494282507540</v>
      </c>
      <c r="W41" s="447" cm="1">
        <f t="array" ref="W41">TREND($N81:$O81,$N$47:$O$47,W$7)</f>
        <v>84451707785310</v>
      </c>
      <c r="X41" s="447" cm="1">
        <f t="array" ref="X41">TREND($N81:$O81,$N$47:$O$47,X$7)</f>
        <v>85409133063080</v>
      </c>
      <c r="Y41" s="447" cm="1">
        <f t="array" ref="Y41">TREND($N81:$O81,$N$47:$O$47,Y$7)</f>
        <v>86366558340850</v>
      </c>
      <c r="Z41" s="521">
        <f t="shared" si="1"/>
        <v>87323983618620</v>
      </c>
      <c r="AA41" s="447" cm="1">
        <f t="array" ref="AA41">TREND($O81:$P81,$O$47:$P$47,AA$7)</f>
        <v>87363640286930</v>
      </c>
      <c r="AB41" s="447" cm="1">
        <f t="array" ref="AB41">TREND($O81:$P81,$O$47:$P$47,AB$7)</f>
        <v>87403296955240</v>
      </c>
      <c r="AC41" s="447" cm="1">
        <f t="array" ref="AC41">TREND($O81:$P81,$O$47:$P$47,AC$7)</f>
        <v>87442953623550</v>
      </c>
      <c r="AD41" s="447" cm="1">
        <f t="array" ref="AD41">TREND($O81:$P81,$O$47:$P$47,AD$7)</f>
        <v>87482610291860</v>
      </c>
      <c r="AE41" s="447" cm="1">
        <f t="array" ref="AE41">TREND($O81:$P81,$O$47:$P$47,AE$7)</f>
        <v>87522266960170</v>
      </c>
      <c r="AF41" s="447" cm="1">
        <f t="array" ref="AF41">TREND($O81:$P81,$O$47:$P$47,AF$7)</f>
        <v>87561923628480</v>
      </c>
      <c r="AG41" s="447" cm="1">
        <f t="array" ref="AG41">TREND($O81:$P81,$O$47:$P$47,AG$7)</f>
        <v>87601580296790</v>
      </c>
      <c r="AH41" s="447" cm="1">
        <f t="array" ref="AH41">TREND($O81:$P81,$O$47:$P$47,AH$7)</f>
        <v>87641236965100</v>
      </c>
      <c r="AI41" s="447" cm="1">
        <f t="array" ref="AI41">TREND($O81:$P81,$O$47:$P$47,AI$7)</f>
        <v>87680893633410</v>
      </c>
      <c r="AJ41" s="521">
        <f t="shared" si="2"/>
        <v>87720550301720</v>
      </c>
      <c r="AK41" s="447" cm="1">
        <f t="array" ref="AK41">TREND($P81:$Q81,$P$47:$Q$47,AK$7)</f>
        <v>87129665943901</v>
      </c>
      <c r="AL41" s="447" cm="1">
        <f t="array" ref="AL41">TREND($P81:$Q81,$P$47:$Q$47,AL$7)</f>
        <v>86538781586082</v>
      </c>
      <c r="AM41" s="447" cm="1">
        <f t="array" ref="AM41">TREND($P81:$Q81,$P$47:$Q$47,AM$7)</f>
        <v>85947897228263</v>
      </c>
      <c r="AN41" s="447" cm="1">
        <f t="array" ref="AN41">TREND($P81:$Q81,$P$47:$Q$47,AN$7)</f>
        <v>85357012870444</v>
      </c>
      <c r="AO41" s="447" cm="1">
        <f t="array" ref="AO41">TREND($P81:$Q81,$P$47:$Q$47,AO$7)</f>
        <v>84766128512625</v>
      </c>
      <c r="AP41" s="447" cm="1">
        <f t="array" ref="AP41">TREND($P81:$Q81,$P$47:$Q$47,AP$7)</f>
        <v>84175244154806</v>
      </c>
      <c r="AQ41" s="447" cm="1">
        <f t="array" ref="AQ41">TREND($P81:$Q81,$P$47:$Q$47,AQ$7)</f>
        <v>83584359796987</v>
      </c>
      <c r="AR41" s="447" cm="1">
        <f t="array" ref="AR41">TREND($P81:$Q81,$P$47:$Q$47,AR$7)</f>
        <v>82993475439168</v>
      </c>
      <c r="AS41" s="447" cm="1">
        <f t="array" ref="AS41">TREND($P81:$Q81,$P$47:$Q$47,AS$7)</f>
        <v>82402591081349</v>
      </c>
      <c r="AT41" s="521">
        <f t="shared" si="3"/>
        <v>81811706723530</v>
      </c>
      <c r="AU41" s="167"/>
    </row>
    <row r="42" spans="1:47" ht="13.5" customHeight="1">
      <c r="A42" s="49" t="s">
        <v>1199</v>
      </c>
      <c r="B42" s="555">
        <v>0</v>
      </c>
      <c r="C42" s="555">
        <v>0.104</v>
      </c>
      <c r="D42" s="550">
        <v>0.112</v>
      </c>
      <c r="E42" s="550">
        <v>0.11899999999999999</v>
      </c>
      <c r="F42" s="550">
        <v>0.121</v>
      </c>
      <c r="G42" s="544">
        <v>3.32</v>
      </c>
      <c r="H42" s="544">
        <v>4.0199999999999996</v>
      </c>
      <c r="I42" s="545" t="s">
        <v>170</v>
      </c>
      <c r="J42" s="545">
        <v>0.57999999999999996</v>
      </c>
      <c r="L42" s="538" t="s">
        <v>1199</v>
      </c>
      <c r="M42" s="446">
        <f t="shared" si="0"/>
        <v>0</v>
      </c>
      <c r="N42" s="522" cm="1">
        <f t="array" ref="N42">TREND($M82:$N82,$M$47:$N$47,N$7)</f>
        <v>3227707959840</v>
      </c>
      <c r="O42" s="522" cm="1">
        <f t="array" ref="O42">TREND($M82:$N82,$M$47:$N$47,O$7)</f>
        <v>3407025068720</v>
      </c>
      <c r="P42" s="522" cm="1">
        <f t="array" ref="P42">TREND($M82:$N82,$M$47:$N$47,P$7)</f>
        <v>3586342177600</v>
      </c>
      <c r="Q42" s="522" cm="1">
        <f t="array" ref="Q42">TREND($M82:$N82,$M$47:$N$47,Q$7)</f>
        <v>3765659286480</v>
      </c>
      <c r="R42" s="522" cm="1">
        <f t="array" ref="R42">TREND($M82:$N82,$M$47:$N$47,R$7)</f>
        <v>3944976395360</v>
      </c>
      <c r="S42" s="488">
        <f>C42*$L$3</f>
        <v>4124293504240</v>
      </c>
      <c r="T42" s="447" cm="1">
        <f t="array" ref="T42">TREND($N82:$O82,$N$47:$O$47,T$7)</f>
        <v>4169615410880</v>
      </c>
      <c r="U42" s="447" cm="1">
        <f t="array" ref="U42">TREND($N82:$O82,$N$47:$O$47,U$7)</f>
        <v>4214937317520</v>
      </c>
      <c r="V42" s="447" cm="1">
        <f t="array" ref="V42">TREND($N82:$O82,$N$47:$O$47,V$7)</f>
        <v>4260259224160</v>
      </c>
      <c r="W42" s="447" cm="1">
        <f t="array" ref="W42">TREND($N82:$O82,$N$47:$O$47,W$7)</f>
        <v>4305581130800</v>
      </c>
      <c r="X42" s="447" cm="1">
        <f t="array" ref="X42">TREND($N82:$O82,$N$47:$O$47,X$7)</f>
        <v>4350903037440</v>
      </c>
      <c r="Y42" s="447" cm="1">
        <f t="array" ref="Y42">TREND($N82:$O82,$N$47:$O$47,Y$7)</f>
        <v>4396224944080</v>
      </c>
      <c r="Z42" s="521">
        <f>D42*$L$3</f>
        <v>4441546850720</v>
      </c>
      <c r="AA42" s="447" cm="1">
        <f t="array" ref="AA42">TREND($O82:$P82,$O$47:$P$47,AA$7)</f>
        <v>4469306518537</v>
      </c>
      <c r="AB42" s="447" cm="1">
        <f t="array" ref="AB42">TREND($O82:$P82,$O$47:$P$47,AB$7)</f>
        <v>4497066186354</v>
      </c>
      <c r="AC42" s="447" cm="1">
        <f t="array" ref="AC42">TREND($O82:$P82,$O$47:$P$47,AC$7)</f>
        <v>4524825854171</v>
      </c>
      <c r="AD42" s="447" cm="1">
        <f t="array" ref="AD42">TREND($O82:$P82,$O$47:$P$47,AD$7)</f>
        <v>4552585521988</v>
      </c>
      <c r="AE42" s="447" cm="1">
        <f t="array" ref="AE42">TREND($O82:$P82,$O$47:$P$47,AE$7)</f>
        <v>4580345189805</v>
      </c>
      <c r="AF42" s="447" cm="1">
        <f t="array" ref="AF42">TREND($O82:$P82,$O$47:$P$47,AF$7)</f>
        <v>4608104857622</v>
      </c>
      <c r="AG42" s="447" cm="1">
        <f t="array" ref="AG42">TREND($O82:$P82,$O$47:$P$47,AG$7)</f>
        <v>4635864525439</v>
      </c>
      <c r="AH42" s="447" cm="1">
        <f t="array" ref="AH42">TREND($O82:$P82,$O$47:$P$47,AH$7)</f>
        <v>4663624193256</v>
      </c>
      <c r="AI42" s="447" cm="1">
        <f t="array" ref="AI42">TREND($O82:$P82,$O$47:$P$47,AI$7)</f>
        <v>4691383861073</v>
      </c>
      <c r="AJ42" s="521">
        <f t="shared" si="2"/>
        <v>4719143528890</v>
      </c>
      <c r="AK42" s="447" cm="1">
        <f t="array" ref="AK42">TREND($P82:$Q82,$P$47:$Q$47,AK$7)</f>
        <v>4727074862552</v>
      </c>
      <c r="AL42" s="447" cm="1">
        <f t="array" ref="AL42">TREND($P82:$Q82,$P$47:$Q$47,AL$7)</f>
        <v>4735006196214</v>
      </c>
      <c r="AM42" s="447" cm="1">
        <f t="array" ref="AM42">TREND($P82:$Q82,$P$47:$Q$47,AM$7)</f>
        <v>4742937529876</v>
      </c>
      <c r="AN42" s="447" cm="1">
        <f t="array" ref="AN42">TREND($P82:$Q82,$P$47:$Q$47,AN$7)</f>
        <v>4750868863538</v>
      </c>
      <c r="AO42" s="447" cm="1">
        <f t="array" ref="AO42">TREND($P82:$Q82,$P$47:$Q$47,AO$7)</f>
        <v>4758800197200</v>
      </c>
      <c r="AP42" s="447" cm="1">
        <f t="array" ref="AP42">TREND($P82:$Q82,$P$47:$Q$47,AP$7)</f>
        <v>4766731530862</v>
      </c>
      <c r="AQ42" s="447" cm="1">
        <f t="array" ref="AQ42">TREND($P82:$Q82,$P$47:$Q$47,AQ$7)</f>
        <v>4774662864524</v>
      </c>
      <c r="AR42" s="447" cm="1">
        <f t="array" ref="AR42">TREND($P82:$Q82,$P$47:$Q$47,AR$7)</f>
        <v>4782594198186</v>
      </c>
      <c r="AS42" s="447" cm="1">
        <f t="array" ref="AS42">TREND($P82:$Q82,$P$47:$Q$47,AS$7)</f>
        <v>4790525531848</v>
      </c>
      <c r="AT42" s="521">
        <f t="shared" si="3"/>
        <v>4798456865510</v>
      </c>
      <c r="AU42" s="167"/>
    </row>
    <row r="43" spans="1:47" ht="5.0999999999999996" customHeight="1">
      <c r="B43" s="392"/>
      <c r="C43" s="393"/>
      <c r="D43" s="394"/>
      <c r="E43" s="394"/>
      <c r="F43" s="394"/>
      <c r="G43" s="53"/>
      <c r="H43" s="53"/>
      <c r="I43" s="54"/>
      <c r="J43" s="54"/>
    </row>
    <row r="44" spans="1:47">
      <c r="G44" s="56"/>
      <c r="H44" s="56"/>
      <c r="I44" s="56"/>
      <c r="J44" s="56"/>
    </row>
    <row r="45" spans="1:47" ht="17.25" thickBot="1">
      <c r="G45" s="56"/>
      <c r="H45" s="56"/>
      <c r="I45" s="56"/>
      <c r="J45" s="56"/>
    </row>
    <row r="46" spans="1:47">
      <c r="G46" s="56"/>
      <c r="H46" s="56"/>
      <c r="I46" s="56"/>
      <c r="J46" s="56"/>
      <c r="L46" s="526" t="s">
        <v>230</v>
      </c>
      <c r="M46" s="552"/>
      <c r="N46" s="552"/>
      <c r="O46" s="552"/>
      <c r="P46" s="552"/>
      <c r="Q46" s="552"/>
    </row>
    <row r="47" spans="1:47">
      <c r="L47" s="539"/>
      <c r="M47" s="551">
        <v>2000</v>
      </c>
      <c r="N47" s="551">
        <v>2023</v>
      </c>
      <c r="O47" s="551">
        <v>2030</v>
      </c>
      <c r="P47" s="551">
        <v>2040</v>
      </c>
      <c r="Q47" s="551">
        <v>2050</v>
      </c>
    </row>
    <row r="48" spans="1:47">
      <c r="L48" s="487" t="s">
        <v>1193</v>
      </c>
      <c r="M48" s="553"/>
      <c r="N48" s="553"/>
      <c r="O48" s="548"/>
      <c r="P48" s="548"/>
      <c r="Q48" s="548"/>
    </row>
    <row r="49" spans="12:17">
      <c r="L49" s="543" t="s">
        <v>1194</v>
      </c>
      <c r="M49" s="524">
        <f>B9*$L$3</f>
        <v>1320686024727930</v>
      </c>
      <c r="N49" s="524">
        <f>C9*$L$3</f>
        <v>2463511892085510</v>
      </c>
      <c r="O49" s="525">
        <f>D9*$L$3</f>
        <v>2887877899670820</v>
      </c>
      <c r="P49" s="525">
        <f>E9*$L$3</f>
        <v>3213181549817750</v>
      </c>
      <c r="Q49" s="525">
        <f>F9*$L$3</f>
        <v>3355667959055580</v>
      </c>
    </row>
    <row r="50" spans="12:17">
      <c r="L50" s="554" t="s">
        <v>183</v>
      </c>
      <c r="M50" s="524">
        <f t="shared" ref="M50:Q50" si="4">B10*$L$3</f>
        <v>56946975693160</v>
      </c>
      <c r="N50" s="524">
        <f t="shared" si="4"/>
        <v>126028891889180</v>
      </c>
      <c r="O50" s="525">
        <f t="shared" si="4"/>
        <v>174608310568929.97</v>
      </c>
      <c r="P50" s="525">
        <f t="shared" si="4"/>
        <v>195943598119710</v>
      </c>
      <c r="Q50" s="525">
        <f t="shared" si="4"/>
        <v>205024975162700</v>
      </c>
    </row>
    <row r="51" spans="12:17">
      <c r="L51" s="554" t="s">
        <v>184</v>
      </c>
      <c r="M51" s="524">
        <f t="shared" ref="M51:Q51" si="5">B11*$L$3</f>
        <v>1172449398585150</v>
      </c>
      <c r="N51" s="524">
        <f t="shared" si="5"/>
        <v>2024909140576910</v>
      </c>
      <c r="O51" s="525">
        <f t="shared" si="5"/>
        <v>2276134134320760</v>
      </c>
      <c r="P51" s="525">
        <f t="shared" si="5"/>
        <v>2489169756482080</v>
      </c>
      <c r="Q51" s="525">
        <f t="shared" si="5"/>
        <v>2556586092609080</v>
      </c>
    </row>
    <row r="52" spans="12:17">
      <c r="L52" s="554" t="s">
        <v>185</v>
      </c>
      <c r="M52" s="524">
        <f t="shared" ref="M52:Q52" si="6">B12*$L$3</f>
        <v>12650477190890</v>
      </c>
      <c r="N52" s="524">
        <f t="shared" si="6"/>
        <v>70747496265040</v>
      </c>
      <c r="O52" s="525">
        <f t="shared" si="6"/>
        <v>120675241667330</v>
      </c>
      <c r="P52" s="525">
        <f t="shared" si="6"/>
        <v>140503575822330</v>
      </c>
      <c r="Q52" s="525">
        <f t="shared" si="6"/>
        <v>153788559706180</v>
      </c>
    </row>
    <row r="53" spans="12:17">
      <c r="L53" s="554" t="s">
        <v>186</v>
      </c>
      <c r="M53" s="524">
        <f t="shared" ref="M53:Q53" si="7">B13*$L$3</f>
        <v>78639173258730</v>
      </c>
      <c r="N53" s="524">
        <f t="shared" si="7"/>
        <v>182103420879520</v>
      </c>
      <c r="O53" s="525">
        <f t="shared" si="7"/>
        <v>232031166281810</v>
      </c>
      <c r="P53" s="525">
        <f t="shared" si="7"/>
        <v>284853848470730</v>
      </c>
      <c r="Q53" s="525">
        <f t="shared" si="7"/>
        <v>322765623375090</v>
      </c>
    </row>
    <row r="54" spans="12:17">
      <c r="L54" s="556" t="s">
        <v>187</v>
      </c>
      <c r="M54" s="524">
        <f t="shared" ref="M54:Q54" si="8">B14*$L$3</f>
        <v>0</v>
      </c>
      <c r="N54" s="524">
        <f t="shared" si="8"/>
        <v>59762599143169.992</v>
      </c>
      <c r="O54" s="525">
        <f t="shared" si="8"/>
        <v>84429046831990</v>
      </c>
      <c r="P54" s="525">
        <f t="shared" si="8"/>
        <v>102710770922900</v>
      </c>
      <c r="Q54" s="525">
        <f t="shared" si="8"/>
        <v>117502708202530</v>
      </c>
    </row>
    <row r="55" spans="12:17">
      <c r="L55" s="540"/>
      <c r="M55" s="524">
        <f t="shared" ref="M55:Q55" si="9">B15*$L$3</f>
        <v>0</v>
      </c>
      <c r="N55" s="524">
        <f t="shared" si="9"/>
        <v>0</v>
      </c>
      <c r="O55" s="525">
        <f t="shared" si="9"/>
        <v>0</v>
      </c>
      <c r="P55" s="525">
        <f t="shared" si="9"/>
        <v>0</v>
      </c>
      <c r="Q55" s="525">
        <f t="shared" si="9"/>
        <v>0</v>
      </c>
    </row>
    <row r="56" spans="12:17">
      <c r="L56" s="543" t="s">
        <v>188</v>
      </c>
      <c r="M56" s="524">
        <f t="shared" ref="M56:Q56" si="10">B16*$L$3</f>
        <v>224575712639530</v>
      </c>
      <c r="N56" s="524">
        <f t="shared" si="10"/>
        <v>190708917902790</v>
      </c>
      <c r="O56" s="525">
        <f t="shared" si="10"/>
        <v>216565065640910</v>
      </c>
      <c r="P56" s="525">
        <f t="shared" si="10"/>
        <v>209902745364830</v>
      </c>
      <c r="Q56" s="525">
        <f t="shared" si="10"/>
        <v>185989774373900</v>
      </c>
    </row>
    <row r="57" spans="12:17">
      <c r="L57" s="554" t="s">
        <v>183</v>
      </c>
      <c r="M57" s="524">
        <f t="shared" ref="M57:Q57" si="11">B17*$L$3</f>
        <v>138917309089930</v>
      </c>
      <c r="N57" s="524">
        <f t="shared" si="11"/>
        <v>80859946684090</v>
      </c>
      <c r="O57" s="525">
        <f t="shared" si="11"/>
        <v>76656339843230</v>
      </c>
      <c r="P57" s="525">
        <f t="shared" si="11"/>
        <v>70509556255180</v>
      </c>
      <c r="Q57" s="525">
        <f t="shared" si="11"/>
        <v>59405689128380</v>
      </c>
    </row>
    <row r="58" spans="12:17">
      <c r="L58" s="554" t="s">
        <v>184</v>
      </c>
      <c r="M58" s="524">
        <f t="shared" ref="M58:Q58" si="12">B18*$L$3</f>
        <v>45049975200159.992</v>
      </c>
      <c r="N58" s="524">
        <f t="shared" si="12"/>
        <v>20502497516270</v>
      </c>
      <c r="O58" s="525">
        <f t="shared" si="12"/>
        <v>28552801183200</v>
      </c>
      <c r="P58" s="525">
        <f t="shared" si="12"/>
        <v>24745761025440</v>
      </c>
      <c r="Q58" s="525">
        <f t="shared" si="12"/>
        <v>18043784081050</v>
      </c>
    </row>
    <row r="59" spans="12:17">
      <c r="L59" s="554" t="s">
        <v>185</v>
      </c>
      <c r="M59" s="524">
        <f t="shared" ref="M59:Q59" si="13">B19*$L$3</f>
        <v>9993480414120</v>
      </c>
      <c r="N59" s="524">
        <f t="shared" si="13"/>
        <v>19471424140210</v>
      </c>
      <c r="O59" s="525">
        <f t="shared" si="13"/>
        <v>28671771188130</v>
      </c>
      <c r="P59" s="525">
        <f t="shared" si="13"/>
        <v>29464904554330</v>
      </c>
      <c r="Q59" s="525">
        <f t="shared" si="13"/>
        <v>26213057752910</v>
      </c>
    </row>
    <row r="60" spans="12:17">
      <c r="L60" s="554" t="s">
        <v>186</v>
      </c>
      <c r="M60" s="524">
        <f t="shared" ref="M60:Q60" si="14">B20*$L$3</f>
        <v>30614947935320</v>
      </c>
      <c r="N60" s="524">
        <f t="shared" si="14"/>
        <v>39022161617040</v>
      </c>
      <c r="O60" s="525">
        <f t="shared" si="14"/>
        <v>49570835387500</v>
      </c>
      <c r="P60" s="525">
        <f t="shared" si="14"/>
        <v>51831265481170</v>
      </c>
      <c r="Q60" s="525">
        <f t="shared" si="14"/>
        <v>49689805392429.992</v>
      </c>
    </row>
    <row r="61" spans="12:17">
      <c r="L61" s="556" t="s">
        <v>187</v>
      </c>
      <c r="M61" s="524">
        <f t="shared" ref="M61:Q61" si="15">B21*$L$3</f>
        <v>0</v>
      </c>
      <c r="N61" s="524">
        <f t="shared" si="15"/>
        <v>30892544613490</v>
      </c>
      <c r="O61" s="525">
        <f t="shared" si="15"/>
        <v>33113318038850</v>
      </c>
      <c r="P61" s="525">
        <f t="shared" si="15"/>
        <v>33390914717020</v>
      </c>
      <c r="Q61" s="525">
        <f t="shared" si="15"/>
        <v>32677094687440</v>
      </c>
    </row>
    <row r="62" spans="12:17">
      <c r="L62" s="540"/>
      <c r="M62" s="524">
        <f t="shared" ref="M62:Q62" si="16">B22*$L$3</f>
        <v>0</v>
      </c>
      <c r="N62" s="524">
        <f t="shared" si="16"/>
        <v>0</v>
      </c>
      <c r="O62" s="525">
        <f t="shared" si="16"/>
        <v>0</v>
      </c>
      <c r="P62" s="525">
        <f t="shared" si="16"/>
        <v>0</v>
      </c>
      <c r="Q62" s="525">
        <f t="shared" si="16"/>
        <v>0</v>
      </c>
    </row>
    <row r="63" spans="12:17">
      <c r="L63" s="543" t="s">
        <v>189</v>
      </c>
      <c r="M63" s="524">
        <f t="shared" ref="M63:Q63" si="17">B23*$L$3</f>
        <v>677891088091140</v>
      </c>
      <c r="N63" s="524">
        <f t="shared" si="17"/>
        <v>1059269267228410</v>
      </c>
      <c r="O63" s="525">
        <f t="shared" si="17"/>
        <v>1176970258772490</v>
      </c>
      <c r="P63" s="525">
        <f t="shared" si="17"/>
        <v>1117286972965940</v>
      </c>
      <c r="Q63" s="525">
        <f t="shared" si="17"/>
        <v>998515251377490</v>
      </c>
    </row>
    <row r="64" spans="12:17">
      <c r="L64" s="554" t="s">
        <v>183</v>
      </c>
      <c r="M64" s="524">
        <f t="shared" ref="M64:Q64" si="18">B24*$L$3</f>
        <v>539211719011070</v>
      </c>
      <c r="N64" s="524">
        <f t="shared" si="18"/>
        <v>888626623490480</v>
      </c>
      <c r="O64" s="525">
        <f t="shared" si="18"/>
        <v>984516447464060</v>
      </c>
      <c r="P64" s="525">
        <f t="shared" si="18"/>
        <v>925031444999060</v>
      </c>
      <c r="Q64" s="525">
        <f t="shared" si="18"/>
        <v>814904877102190</v>
      </c>
    </row>
    <row r="65" spans="12:17">
      <c r="L65" s="554" t="s">
        <v>184</v>
      </c>
      <c r="M65" s="524">
        <f t="shared" ref="M65:Q65" si="19">B25*$L$3</f>
        <v>36603104850130</v>
      </c>
      <c r="N65" s="524">
        <f t="shared" si="19"/>
        <v>2300086761980</v>
      </c>
      <c r="O65" s="525">
        <f t="shared" si="19"/>
        <v>1784550073950</v>
      </c>
      <c r="P65" s="525">
        <f t="shared" si="19"/>
        <v>1744893405640</v>
      </c>
      <c r="Q65" s="525">
        <f t="shared" si="19"/>
        <v>1625923400710</v>
      </c>
    </row>
    <row r="66" spans="12:17">
      <c r="L66" s="554" t="s">
        <v>185</v>
      </c>
      <c r="M66" s="524">
        <f t="shared" ref="M66:Q66" si="20">B26*$L$3</f>
        <v>33866794736740</v>
      </c>
      <c r="N66" s="524">
        <f t="shared" si="20"/>
        <v>85063553524950</v>
      </c>
      <c r="O66" s="525">
        <f t="shared" si="20"/>
        <v>87998146979890</v>
      </c>
      <c r="P66" s="525">
        <f t="shared" si="20"/>
        <v>86927416935520</v>
      </c>
      <c r="Q66" s="525">
        <f t="shared" si="20"/>
        <v>80423723332680</v>
      </c>
    </row>
    <row r="67" spans="12:17">
      <c r="L67" s="554" t="s">
        <v>186</v>
      </c>
      <c r="M67" s="524">
        <f t="shared" ref="M67:Q67" si="21">B27*$L$3</f>
        <v>68209469493200</v>
      </c>
      <c r="N67" s="524">
        <f t="shared" si="21"/>
        <v>82842780099590</v>
      </c>
      <c r="O67" s="525">
        <f t="shared" si="21"/>
        <v>102155577566560</v>
      </c>
      <c r="P67" s="525">
        <f t="shared" si="21"/>
        <v>103067680937690.02</v>
      </c>
      <c r="Q67" s="525">
        <f t="shared" si="21"/>
        <v>101045190853880</v>
      </c>
    </row>
    <row r="68" spans="12:17">
      <c r="L68" s="556" t="s">
        <v>187</v>
      </c>
      <c r="M68" s="524">
        <f t="shared" ref="M68:Q68" si="22">B28*$L$3</f>
        <v>0</v>
      </c>
      <c r="N68" s="524">
        <f t="shared" si="22"/>
        <v>475880019720</v>
      </c>
      <c r="O68" s="525">
        <f t="shared" si="22"/>
        <v>515536688030</v>
      </c>
      <c r="P68" s="525">
        <f t="shared" si="22"/>
        <v>515536688030</v>
      </c>
      <c r="Q68" s="525">
        <f t="shared" si="22"/>
        <v>515536688030</v>
      </c>
    </row>
    <row r="69" spans="12:17">
      <c r="L69" s="540"/>
      <c r="M69" s="524">
        <f t="shared" ref="M69:Q69" si="23">B29*$L$3</f>
        <v>0</v>
      </c>
      <c r="N69" s="524">
        <f t="shared" si="23"/>
        <v>0</v>
      </c>
      <c r="O69" s="525">
        <f t="shared" si="23"/>
        <v>0</v>
      </c>
      <c r="P69" s="525">
        <f t="shared" si="23"/>
        <v>0</v>
      </c>
      <c r="Q69" s="525">
        <f t="shared" si="23"/>
        <v>0</v>
      </c>
    </row>
    <row r="70" spans="12:17">
      <c r="L70" s="543" t="s">
        <v>471</v>
      </c>
      <c r="M70" s="524">
        <f t="shared" ref="M70:Q70" si="24">B30*$L$3</f>
        <v>132056705472300</v>
      </c>
      <c r="N70" s="524">
        <f t="shared" si="24"/>
        <v>404061793410590</v>
      </c>
      <c r="O70" s="525">
        <f t="shared" si="24"/>
        <v>448873828600890.06</v>
      </c>
      <c r="P70" s="525">
        <f t="shared" si="24"/>
        <v>474769633007320</v>
      </c>
      <c r="Q70" s="525">
        <f t="shared" si="24"/>
        <v>460969112435440</v>
      </c>
    </row>
    <row r="71" spans="12:17">
      <c r="L71" s="554" t="s">
        <v>1013</v>
      </c>
      <c r="M71" s="524">
        <f t="shared" ref="M71:Q71" si="25">B31*$L$3</f>
        <v>0</v>
      </c>
      <c r="N71" s="524">
        <f t="shared" si="25"/>
        <v>6900260285940</v>
      </c>
      <c r="O71" s="525">
        <f t="shared" si="25"/>
        <v>7217513632420</v>
      </c>
      <c r="P71" s="525">
        <f t="shared" si="25"/>
        <v>7336483637350</v>
      </c>
      <c r="Q71" s="525">
        <f t="shared" si="25"/>
        <v>6939916954250</v>
      </c>
    </row>
    <row r="72" spans="12:17">
      <c r="L72" s="554" t="s">
        <v>1197</v>
      </c>
      <c r="M72" s="524">
        <f t="shared" ref="M72:Q72" si="26">B32*$L$3</f>
        <v>22881897614870</v>
      </c>
      <c r="N72" s="524">
        <f t="shared" si="26"/>
        <v>3093220128180</v>
      </c>
      <c r="O72" s="525">
        <f t="shared" si="26"/>
        <v>3331160138040</v>
      </c>
      <c r="P72" s="525">
        <f t="shared" si="26"/>
        <v>3410473474659.9995</v>
      </c>
      <c r="Q72" s="525">
        <f t="shared" si="26"/>
        <v>3132876796490</v>
      </c>
    </row>
    <row r="73" spans="12:17">
      <c r="L73" s="554" t="s">
        <v>1198</v>
      </c>
      <c r="M73" s="524">
        <f t="shared" ref="M73:Q73" si="27">B33*$L$3</f>
        <v>28592457851510</v>
      </c>
      <c r="N73" s="524">
        <f t="shared" si="27"/>
        <v>71738912972790</v>
      </c>
      <c r="O73" s="525">
        <f t="shared" si="27"/>
        <v>74395909749560</v>
      </c>
      <c r="P73" s="525">
        <f t="shared" si="27"/>
        <v>77449473209430</v>
      </c>
      <c r="Q73" s="525">
        <f t="shared" si="27"/>
        <v>74752819764350</v>
      </c>
    </row>
    <row r="74" spans="12:17">
      <c r="L74" s="554" t="s">
        <v>355</v>
      </c>
      <c r="M74" s="524">
        <f t="shared" ref="M74:Q74" si="28">B34*$L$3</f>
        <v>80582350005920</v>
      </c>
      <c r="N74" s="524">
        <f t="shared" si="28"/>
        <v>309361669486310</v>
      </c>
      <c r="O74" s="525">
        <f t="shared" si="28"/>
        <v>346916534375880</v>
      </c>
      <c r="P74" s="525">
        <f t="shared" si="28"/>
        <v>367775941906939.94</v>
      </c>
      <c r="Q74" s="525">
        <f t="shared" si="28"/>
        <v>356870358121690</v>
      </c>
    </row>
    <row r="75" spans="12:17">
      <c r="L75" s="556" t="s">
        <v>1199</v>
      </c>
      <c r="M75" s="524">
        <f t="shared" ref="M75:Q75" si="29">B35*$L$3</f>
        <v>0</v>
      </c>
      <c r="N75" s="524">
        <f t="shared" si="29"/>
        <v>12967730537370</v>
      </c>
      <c r="O75" s="525">
        <f t="shared" si="29"/>
        <v>17012710704990</v>
      </c>
      <c r="P75" s="525">
        <f t="shared" si="29"/>
        <v>18797260778940</v>
      </c>
      <c r="Q75" s="525">
        <f t="shared" si="29"/>
        <v>19312797466970</v>
      </c>
    </row>
    <row r="76" spans="12:17">
      <c r="M76" s="524">
        <f t="shared" ref="M76:Q76" si="30">B36*$L$3</f>
        <v>0</v>
      </c>
      <c r="N76" s="524">
        <f t="shared" si="30"/>
        <v>0</v>
      </c>
      <c r="O76" s="525">
        <f t="shared" si="30"/>
        <v>0</v>
      </c>
      <c r="P76" s="525">
        <f t="shared" si="30"/>
        <v>0</v>
      </c>
      <c r="Q76" s="525">
        <f t="shared" si="30"/>
        <v>0</v>
      </c>
    </row>
    <row r="77" spans="12:17">
      <c r="L77" s="543" t="s">
        <v>1200</v>
      </c>
      <c r="M77" s="524">
        <f t="shared" ref="M77:Q77" si="31">B37*$L$3</f>
        <v>70509556255180</v>
      </c>
      <c r="N77" s="524">
        <f t="shared" si="31"/>
        <v>124046058473680</v>
      </c>
      <c r="O77" s="525">
        <f t="shared" si="31"/>
        <v>127932411968060</v>
      </c>
      <c r="P77" s="525">
        <f t="shared" si="31"/>
        <v>128447948656090</v>
      </c>
      <c r="Q77" s="525">
        <f t="shared" si="31"/>
        <v>119604511622960</v>
      </c>
    </row>
    <row r="78" spans="12:17">
      <c r="L78" s="554" t="s">
        <v>1013</v>
      </c>
      <c r="M78" s="524">
        <f t="shared" ref="M78:Q78" si="32">B38*$L$3</f>
        <v>0</v>
      </c>
      <c r="N78" s="524">
        <f t="shared" si="32"/>
        <v>0</v>
      </c>
      <c r="O78" s="525">
        <f t="shared" si="32"/>
        <v>0</v>
      </c>
      <c r="P78" s="525">
        <f t="shared" si="32"/>
        <v>0</v>
      </c>
      <c r="Q78" s="525">
        <f t="shared" si="32"/>
        <v>0</v>
      </c>
    </row>
    <row r="79" spans="12:17">
      <c r="L79" s="554" t="s">
        <v>1197</v>
      </c>
      <c r="M79" s="524">
        <f t="shared" ref="M79:Q79" si="33">B39*$L$3</f>
        <v>38546281597320</v>
      </c>
      <c r="N79" s="524">
        <f t="shared" si="33"/>
        <v>12055627166240</v>
      </c>
      <c r="O79" s="525">
        <f t="shared" si="33"/>
        <v>10548673770460</v>
      </c>
      <c r="P79" s="525">
        <f t="shared" si="33"/>
        <v>10271077092290</v>
      </c>
      <c r="Q79" s="525">
        <f t="shared" si="33"/>
        <v>9240003716230</v>
      </c>
    </row>
    <row r="80" spans="12:17">
      <c r="L80" s="554" t="s">
        <v>1198</v>
      </c>
      <c r="M80" s="524">
        <f t="shared" ref="M80:Q80" si="34">B40*$L$3</f>
        <v>0</v>
      </c>
      <c r="N80" s="524">
        <f t="shared" si="34"/>
        <v>27244131128970.004</v>
      </c>
      <c r="O80" s="525">
        <f t="shared" si="34"/>
        <v>25578551059950</v>
      </c>
      <c r="P80" s="525">
        <f t="shared" si="34"/>
        <v>25776834401500</v>
      </c>
      <c r="Q80" s="525">
        <f t="shared" si="34"/>
        <v>23754344317690</v>
      </c>
    </row>
    <row r="81" spans="12:17">
      <c r="L81" s="554" t="s">
        <v>355</v>
      </c>
      <c r="M81" s="524">
        <f t="shared" ref="M81:Q81" si="35">B41*$L$3</f>
        <v>31963274657860.004</v>
      </c>
      <c r="N81" s="524">
        <f t="shared" si="35"/>
        <v>80622006674230</v>
      </c>
      <c r="O81" s="525">
        <f t="shared" si="35"/>
        <v>87323983618620</v>
      </c>
      <c r="P81" s="525">
        <f t="shared" si="35"/>
        <v>87720550301720</v>
      </c>
      <c r="Q81" s="525">
        <f t="shared" si="35"/>
        <v>81811706723530</v>
      </c>
    </row>
    <row r="82" spans="12:17">
      <c r="L82" s="556" t="s">
        <v>1199</v>
      </c>
      <c r="M82" s="524">
        <f t="shared" ref="M82:Q82" si="36">B42*$L$3</f>
        <v>0</v>
      </c>
      <c r="N82" s="524">
        <f t="shared" si="36"/>
        <v>4124293504240</v>
      </c>
      <c r="O82" s="525">
        <f t="shared" si="36"/>
        <v>4441546850720</v>
      </c>
      <c r="P82" s="525">
        <f t="shared" si="36"/>
        <v>4719143528890</v>
      </c>
      <c r="Q82" s="525">
        <f t="shared" si="36"/>
        <v>4798456865510</v>
      </c>
    </row>
  </sheetData>
  <mergeCells count="4">
    <mergeCell ref="A4:J4"/>
    <mergeCell ref="A5:J5"/>
    <mergeCell ref="G6:H6"/>
    <mergeCell ref="I6:J6"/>
  </mergeCells>
  <phoneticPr fontId="3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workbookViewId="0"/>
  </sheetViews>
  <sheetFormatPr defaultColWidth="9.125" defaultRowHeight="16.5"/>
  <cols>
    <col min="1" max="1" width="9.125" style="205"/>
    <col min="2" max="2" width="20.5" style="205" customWidth="1"/>
    <col min="3" max="4" width="6.125" style="205" customWidth="1"/>
    <col min="5" max="5" width="6.125" style="205" customWidth="1" collapsed="1"/>
    <col min="6" max="8" width="6.125" style="205" customWidth="1"/>
    <col min="9" max="10" width="5.5" style="205" customWidth="1"/>
    <col min="11" max="11" width="0.5" style="206" customWidth="1"/>
    <col min="12" max="13" width="5.5" style="205" customWidth="1"/>
    <col min="14" max="14" width="4.375" style="30" customWidth="1"/>
    <col min="15" max="15" width="19.5" style="30" customWidth="1"/>
    <col min="16" max="16" width="20.5" style="30" customWidth="1"/>
    <col min="17" max="17" width="15.375" style="148" bestFit="1" customWidth="1"/>
    <col min="18" max="50" width="6.125" style="148" customWidth="1"/>
    <col min="51" max="51" width="9.125" style="30"/>
    <col min="52" max="16384" width="9.125" style="205"/>
  </cols>
  <sheetData>
    <row r="1" spans="1:51" ht="30" customHeight="1">
      <c r="B1" s="504" t="s">
        <v>1076</v>
      </c>
      <c r="C1" s="505"/>
      <c r="D1" s="505"/>
      <c r="E1" s="505"/>
      <c r="F1" s="505"/>
      <c r="G1" s="505"/>
      <c r="H1" s="505"/>
      <c r="I1" s="505"/>
      <c r="J1" s="505"/>
      <c r="K1" s="505"/>
      <c r="L1" s="505"/>
      <c r="M1" s="505"/>
      <c r="N1" s="157">
        <v>1</v>
      </c>
      <c r="O1" s="157"/>
      <c r="P1" s="158" t="s">
        <v>199</v>
      </c>
      <c r="Q1" s="159" t="s">
        <v>200</v>
      </c>
      <c r="S1" s="160" t="s">
        <v>112</v>
      </c>
      <c r="U1" s="143"/>
      <c r="V1" s="143"/>
      <c r="W1" s="143"/>
      <c r="X1" s="143"/>
      <c r="Z1" s="153"/>
      <c r="AA1" s="153"/>
      <c r="AB1" s="153"/>
      <c r="AC1" s="153"/>
      <c r="AD1" s="153"/>
      <c r="AE1" s="153"/>
      <c r="AF1" s="153"/>
      <c r="AG1" s="153"/>
      <c r="AH1" s="153"/>
      <c r="AI1" s="153"/>
      <c r="AJ1" s="152"/>
      <c r="AK1" s="152"/>
      <c r="AL1" s="152"/>
      <c r="AM1" s="152"/>
      <c r="AO1" s="153"/>
      <c r="AP1" s="153"/>
      <c r="AQ1" s="153"/>
      <c r="AR1" s="153"/>
      <c r="AS1" s="153"/>
      <c r="AT1" s="152"/>
      <c r="AU1" s="152"/>
      <c r="AV1" s="152"/>
      <c r="AW1" s="152"/>
    </row>
    <row r="2" spans="1:51">
      <c r="B2" s="506" t="s">
        <v>159</v>
      </c>
      <c r="C2" s="506"/>
      <c r="D2" s="506"/>
      <c r="E2" s="506"/>
      <c r="F2" s="506"/>
      <c r="G2" s="506"/>
      <c r="H2" s="506"/>
      <c r="I2" s="506"/>
      <c r="J2" s="506"/>
      <c r="K2" s="506"/>
      <c r="L2" s="506"/>
      <c r="M2" s="506"/>
      <c r="P2" s="151" t="s">
        <v>181</v>
      </c>
      <c r="Q2" s="151"/>
      <c r="R2" s="151"/>
      <c r="S2" s="151"/>
      <c r="T2" s="151"/>
      <c r="U2" s="151"/>
      <c r="V2" s="151"/>
      <c r="W2" s="151"/>
      <c r="X2" s="151"/>
      <c r="Y2" s="151"/>
      <c r="Z2" s="151"/>
      <c r="AA2" s="151"/>
      <c r="AB2" s="151"/>
      <c r="AC2" s="151"/>
      <c r="AD2" s="151"/>
      <c r="AE2" s="151"/>
      <c r="AF2" s="151"/>
      <c r="AG2" s="151"/>
      <c r="AH2" s="151"/>
      <c r="AI2" s="151"/>
      <c r="AJ2" s="151"/>
      <c r="AK2" s="151"/>
      <c r="AL2" s="151"/>
      <c r="AM2" s="151"/>
      <c r="AO2" s="151"/>
      <c r="AP2" s="151"/>
      <c r="AQ2" s="151"/>
      <c r="AR2" s="151"/>
      <c r="AS2" s="151"/>
      <c r="AT2" s="151"/>
      <c r="AU2" s="151"/>
      <c r="AV2" s="151"/>
      <c r="AW2" s="151"/>
    </row>
    <row r="3" spans="1:51" ht="15" customHeight="1">
      <c r="B3" s="31"/>
      <c r="C3" s="32"/>
      <c r="D3" s="32"/>
      <c r="E3" s="32"/>
      <c r="F3" s="32"/>
      <c r="G3" s="32"/>
      <c r="H3" s="32"/>
      <c r="I3" s="495" t="s">
        <v>160</v>
      </c>
      <c r="J3" s="495"/>
      <c r="K3" s="33"/>
      <c r="L3" s="495" t="s">
        <v>161</v>
      </c>
      <c r="M3" s="495"/>
      <c r="P3" s="31"/>
      <c r="Q3" s="144"/>
      <c r="R3" s="144"/>
      <c r="S3" s="144"/>
      <c r="T3" s="144"/>
      <c r="U3" s="144"/>
      <c r="V3" s="144"/>
      <c r="W3" s="144"/>
      <c r="X3" s="144"/>
      <c r="Y3" s="144"/>
      <c r="Z3" s="144"/>
      <c r="AA3" s="144"/>
      <c r="AB3" s="144"/>
      <c r="AC3" s="144"/>
      <c r="AD3" s="144"/>
      <c r="AE3" s="144"/>
      <c r="AF3" s="144"/>
      <c r="AG3" s="144"/>
      <c r="AH3" s="144"/>
      <c r="AI3" s="144"/>
      <c r="AJ3" s="144"/>
      <c r="AK3" s="144"/>
      <c r="AL3" s="144"/>
      <c r="AM3" s="144"/>
      <c r="AN3" s="144"/>
      <c r="AO3" s="144"/>
      <c r="AP3" s="144"/>
      <c r="AQ3" s="144"/>
      <c r="AR3" s="144"/>
      <c r="AS3" s="144"/>
      <c r="AT3" s="144"/>
      <c r="AU3" s="144"/>
      <c r="AV3" s="144"/>
      <c r="AW3" s="144"/>
      <c r="AX3" s="144"/>
    </row>
    <row r="4" spans="1:51" ht="15" customHeight="1">
      <c r="B4" s="31"/>
      <c r="C4" s="34">
        <v>2000</v>
      </c>
      <c r="D4" s="34">
        <v>2018</v>
      </c>
      <c r="E4" s="34">
        <v>2025</v>
      </c>
      <c r="F4" s="34">
        <v>2030</v>
      </c>
      <c r="G4" s="34">
        <v>2035</v>
      </c>
      <c r="H4" s="34">
        <v>2040</v>
      </c>
      <c r="I4" s="35">
        <v>2018</v>
      </c>
      <c r="J4" s="35">
        <v>2040</v>
      </c>
      <c r="K4" s="36"/>
      <c r="L4" s="35" t="s">
        <v>162</v>
      </c>
      <c r="M4" s="35" t="s">
        <v>163</v>
      </c>
      <c r="P4" s="31"/>
      <c r="Q4" s="142">
        <v>2000</v>
      </c>
      <c r="R4" s="142">
        <v>2018</v>
      </c>
      <c r="S4" s="142">
        <v>2019</v>
      </c>
      <c r="T4" s="154">
        <v>2020</v>
      </c>
      <c r="U4" s="142">
        <v>2021</v>
      </c>
      <c r="V4" s="142">
        <v>2022</v>
      </c>
      <c r="W4" s="142">
        <v>2023</v>
      </c>
      <c r="X4" s="142">
        <v>2024</v>
      </c>
      <c r="Y4" s="154">
        <v>2025</v>
      </c>
      <c r="Z4" s="142">
        <v>2026</v>
      </c>
      <c r="AA4" s="142">
        <v>2027</v>
      </c>
      <c r="AB4" s="142">
        <v>2028</v>
      </c>
      <c r="AC4" s="142">
        <v>2029</v>
      </c>
      <c r="AD4" s="154">
        <v>2030</v>
      </c>
      <c r="AE4" s="142">
        <v>2031</v>
      </c>
      <c r="AF4" s="142">
        <v>2032</v>
      </c>
      <c r="AG4" s="142">
        <v>2033</v>
      </c>
      <c r="AH4" s="142">
        <v>2034</v>
      </c>
      <c r="AI4" s="154">
        <v>2035</v>
      </c>
      <c r="AJ4" s="142">
        <v>2036</v>
      </c>
      <c r="AK4" s="142">
        <v>2037</v>
      </c>
      <c r="AL4" s="142">
        <v>2038</v>
      </c>
      <c r="AM4" s="142">
        <v>2039</v>
      </c>
      <c r="AN4" s="154">
        <v>2040</v>
      </c>
      <c r="AO4" s="142">
        <v>2041</v>
      </c>
      <c r="AP4" s="142">
        <v>2042</v>
      </c>
      <c r="AQ4" s="142">
        <v>2043</v>
      </c>
      <c r="AR4" s="142">
        <v>2044</v>
      </c>
      <c r="AS4" s="154">
        <v>2045</v>
      </c>
      <c r="AT4" s="142">
        <v>2046</v>
      </c>
      <c r="AU4" s="142">
        <v>2047</v>
      </c>
      <c r="AV4" s="142">
        <v>2048</v>
      </c>
      <c r="AW4" s="142">
        <v>2049</v>
      </c>
      <c r="AX4" s="142">
        <v>2050</v>
      </c>
      <c r="AY4" s="441" t="s">
        <v>182</v>
      </c>
    </row>
    <row r="5" spans="1:51" ht="13.5" customHeight="1">
      <c r="A5" s="454" t="s">
        <v>1061</v>
      </c>
      <c r="B5" s="37" t="s">
        <v>201</v>
      </c>
      <c r="C5" s="65">
        <v>18.923999999999999</v>
      </c>
      <c r="D5" s="65">
        <v>53.462000000000003</v>
      </c>
      <c r="E5" s="66">
        <v>56.15</v>
      </c>
      <c r="F5" s="66">
        <v>61.253999999999998</v>
      </c>
      <c r="G5" s="66">
        <v>64.962000000000003</v>
      </c>
      <c r="H5" s="66">
        <v>71.137</v>
      </c>
      <c r="I5" s="39">
        <v>100.17</v>
      </c>
      <c r="J5" s="39">
        <v>100.16999999999999</v>
      </c>
      <c r="K5" s="72"/>
      <c r="L5" s="73">
        <v>5.94</v>
      </c>
      <c r="M5" s="73">
        <v>1.31</v>
      </c>
      <c r="O5" s="454" t="s">
        <v>1070</v>
      </c>
      <c r="P5" s="37" t="s">
        <v>201</v>
      </c>
      <c r="Q5" s="147">
        <f>C28*$B$22</f>
        <v>750304164425200.13</v>
      </c>
      <c r="R5" s="147">
        <f>D5*$B$22</f>
        <v>2120124801189220.3</v>
      </c>
      <c r="S5" s="149" cm="1">
        <f t="array" ref="S5">TREND($R23:$S23,$R$22:$S$22,S$4)</f>
        <v>2185469076397008</v>
      </c>
      <c r="T5" s="149" cm="1">
        <f t="array" ref="T5">TREND($R23:$S23,$R$22:$S$22,T$4)</f>
        <v>2250813351604816</v>
      </c>
      <c r="U5" s="149" cm="1">
        <f t="array" ref="U5">TREND($R23:$S23,$R$22:$S$22,U$4)</f>
        <v>2316157626812624</v>
      </c>
      <c r="V5" s="395">
        <f>D28*$B$22</f>
        <v>2387569372271860</v>
      </c>
      <c r="W5" s="149" cm="1">
        <f t="array" ref="W5">TREND($R29:$S29,$R$28:$S$28,W$4)</f>
        <v>2450891157395856</v>
      </c>
      <c r="X5" s="149" cm="1">
        <f t="array" ref="X5">TREND($R29:$S29,$R$28:$S$28,X$4)</f>
        <v>2514212942519840</v>
      </c>
      <c r="Y5" s="149" cm="1">
        <f t="array" ref="Y5">TREND($R29:$S29,$R$28:$S$28,Y$4)</f>
        <v>2577534727643840</v>
      </c>
      <c r="Z5" s="149" cm="1">
        <f t="array" ref="Z5">TREND($R29:$S29,$R$28:$S$28,Z$4)</f>
        <v>2640856512767824</v>
      </c>
      <c r="AA5" s="149" cm="1">
        <f t="array" ref="AA5">TREND($R29:$S29,$R$28:$S$28,AA$4)</f>
        <v>2704178297891824</v>
      </c>
      <c r="AB5" s="149" cm="1">
        <f t="array" ref="AB5">TREND($R29:$S29,$R$28:$S$28,AB$4)</f>
        <v>2767500083015808</v>
      </c>
      <c r="AC5" s="149" cm="1">
        <f t="array" ref="AC5">TREND($R29:$S29,$R$28:$S$28,AC$4)</f>
        <v>2830821868139808</v>
      </c>
      <c r="AD5" s="156">
        <f>E28*$B$22</f>
        <v>2894143653263800</v>
      </c>
      <c r="AE5" s="149" cm="1">
        <f t="array" ref="AE5">TREND($S29:$T29,$S$28:$T$28,AE$4)</f>
        <v>2946831502780464</v>
      </c>
      <c r="AF5" s="149" cm="1">
        <f t="array" ref="AF5">TREND($S29:$T29,$S$28:$T$28,AF$4)</f>
        <v>2999519352297136</v>
      </c>
      <c r="AG5" s="149" cm="1">
        <f t="array" ref="AG5">TREND($S29:$T29,$S$28:$T$28,AG$4)</f>
        <v>3052207201813808</v>
      </c>
      <c r="AH5" s="149" cm="1">
        <f t="array" ref="AH5">TREND($S29:$T29,$S$28:$T$28,AH$4)</f>
        <v>3104895051330464</v>
      </c>
      <c r="AI5" s="149" cm="1">
        <f t="array" ref="AI5">TREND($S29:$T29,$S$28:$T$28,AI$4)</f>
        <v>3157582900847136</v>
      </c>
      <c r="AJ5" s="149" cm="1">
        <f t="array" ref="AJ5">TREND($S29:$T29,$S$28:$T$28,AJ$4)</f>
        <v>3210270750363808</v>
      </c>
      <c r="AK5" s="149" cm="1">
        <f t="array" ref="AK5">TREND($S29:$T29,$S$28:$T$28,AK$4)</f>
        <v>3262958599880464</v>
      </c>
      <c r="AL5" s="149" cm="1">
        <f t="array" ref="AL5">TREND($S29:$T29,$S$28:$T$28,AL$4)</f>
        <v>3315646449397136</v>
      </c>
      <c r="AM5" s="149" cm="1">
        <f t="array" ref="AM5">TREND($S29:$T29,$S$28:$T$28,AM$4)</f>
        <v>3368334298913792</v>
      </c>
      <c r="AN5" s="156">
        <f>F28*$B$22</f>
        <v>3421022148430460</v>
      </c>
      <c r="AO5" s="149" cm="1">
        <f t="array" ref="AO5">TREND($T29:$U29,$T$28:$U$28,AO$4)</f>
        <v>3445010467091184</v>
      </c>
      <c r="AP5" s="149" cm="1">
        <f t="array" ref="AP5">TREND($T29:$U29,$T$28:$U$28,AP$4)</f>
        <v>3468998785751904</v>
      </c>
      <c r="AQ5" s="149" cm="1">
        <f t="array" ref="AQ5">TREND($T29:$U29,$T$28:$U$28,AQ$4)</f>
        <v>3492987104412624</v>
      </c>
      <c r="AR5" s="149" cm="1">
        <f t="array" ref="AR5">TREND($T29:$U29,$T$28:$U$28,AR$4)</f>
        <v>3516975423073336</v>
      </c>
      <c r="AS5" s="149" cm="1">
        <f t="array" ref="AS5">TREND($T29:$U29,$T$28:$U$28,AS$4)</f>
        <v>3540963741734056</v>
      </c>
      <c r="AT5" s="149" cm="1">
        <f t="array" ref="AT5">TREND($T29:$U29,$T$28:$U$28,AT$4)</f>
        <v>3564952060394776</v>
      </c>
      <c r="AU5" s="149" cm="1">
        <f t="array" ref="AU5">TREND($T29:$U29,$T$28:$U$28,AU$4)</f>
        <v>3588940379055496</v>
      </c>
      <c r="AV5" s="149" cm="1">
        <f t="array" ref="AV5">TREND($T29:$U29,$T$28:$U$28,AV$4)</f>
        <v>3612928697716216</v>
      </c>
      <c r="AW5" s="149" cm="1">
        <f t="array" ref="AW5">TREND($T29:$U29,$T$28:$U$28,AW$4)</f>
        <v>3636917016376936</v>
      </c>
      <c r="AX5" s="149">
        <f>G28*$B$22</f>
        <v>3660905335037650</v>
      </c>
      <c r="AY5" s="169">
        <f>(AX5/T5)^(1/30)-1</f>
        <v>1.6346120766915551E-2</v>
      </c>
    </row>
    <row r="6" spans="1:51" ht="13.5" customHeight="1">
      <c r="A6" s="454" t="s">
        <v>1062</v>
      </c>
      <c r="B6" s="42" t="s">
        <v>202</v>
      </c>
      <c r="C6" s="43">
        <v>6.7649999999999997</v>
      </c>
      <c r="D6" s="43">
        <v>27.69</v>
      </c>
      <c r="E6" s="44">
        <v>27.73</v>
      </c>
      <c r="F6" s="44">
        <v>31.283000000000001</v>
      </c>
      <c r="G6" s="44">
        <v>33.979999999999997</v>
      </c>
      <c r="H6" s="44">
        <v>39.469000000000001</v>
      </c>
      <c r="I6" s="45">
        <v>51.79</v>
      </c>
      <c r="J6" s="45">
        <v>55.48</v>
      </c>
      <c r="K6" s="46"/>
      <c r="L6" s="47">
        <v>8.14</v>
      </c>
      <c r="M6" s="47">
        <v>1.62</v>
      </c>
      <c r="O6" s="454" t="s">
        <v>1071</v>
      </c>
      <c r="P6" s="42" t="s">
        <v>202</v>
      </c>
      <c r="Q6" s="147">
        <f>C29*$B$22</f>
        <v>244562673467770</v>
      </c>
      <c r="R6" s="147">
        <f t="shared" ref="R6:R7" si="0">D6*$B$22</f>
        <v>1098093145503900</v>
      </c>
      <c r="S6" s="149" cm="1">
        <f t="array" ref="S6">TREND($R24:$S24,$R$22:$S$22,S$4)</f>
        <v>1135404405145296</v>
      </c>
      <c r="T6" s="149" cm="1">
        <f t="array" ref="T6">TREND($R24:$S24,$R$22:$S$22,T$4)</f>
        <v>1172715664786672</v>
      </c>
      <c r="U6" s="149" cm="1">
        <f t="array" ref="U6">TREND($R24:$S24,$R$22:$S$22,U$4)</f>
        <v>1210026924428048</v>
      </c>
      <c r="V6" s="395">
        <f>D29*$B$22</f>
        <v>1229118777600140</v>
      </c>
      <c r="W6" s="149" cm="1">
        <f t="array" ref="W6">TREND($R30:$S30,$R$28:$S$28,W$4)</f>
        <v>1272503172731296</v>
      </c>
      <c r="X6" s="149" cm="1">
        <f t="array" ref="X6">TREND($R30:$S30,$R$28:$S$28,X$4)</f>
        <v>1315887567862432</v>
      </c>
      <c r="Y6" s="149" cm="1">
        <f t="array" ref="Y6">TREND($R30:$S30,$R$28:$S$28,Y$4)</f>
        <v>1359271962993568</v>
      </c>
      <c r="Z6" s="149" cm="1">
        <f t="array" ref="Z6">TREND($R30:$S30,$R$28:$S$28,Z$4)</f>
        <v>1402656358124704</v>
      </c>
      <c r="AA6" s="149" cm="1">
        <f t="array" ref="AA6">TREND($R30:$S30,$R$28:$S$28,AA$4)</f>
        <v>1446040753255856</v>
      </c>
      <c r="AB6" s="149" cm="1">
        <f t="array" ref="AB6">TREND($R30:$S30,$R$28:$S$28,AB$4)</f>
        <v>1489425148386992</v>
      </c>
      <c r="AC6" s="149" cm="1">
        <f t="array" ref="AC6">TREND($R30:$S30,$R$28:$S$28,AC$4)</f>
        <v>1532809543518128</v>
      </c>
      <c r="AD6" s="156">
        <f>E29*$B$22</f>
        <v>1576193938649260</v>
      </c>
      <c r="AE6" s="149" cm="1">
        <f t="array" ref="AE6">TREND($S30:$T30,$S$28:$T$28,AE$4)</f>
        <v>1622663622574912</v>
      </c>
      <c r="AF6" s="149" cm="1">
        <f t="array" ref="AF6">TREND($S30:$T30,$S$28:$T$28,AF$4)</f>
        <v>1669133306500576</v>
      </c>
      <c r="AG6" s="149" cm="1">
        <f t="array" ref="AG6">TREND($S30:$T30,$S$28:$T$28,AG$4)</f>
        <v>1715602990426240</v>
      </c>
      <c r="AH6" s="149" cm="1">
        <f t="array" ref="AH6">TREND($S30:$T30,$S$28:$T$28,AH$4)</f>
        <v>1762072674351888</v>
      </c>
      <c r="AI6" s="149" cm="1">
        <f t="array" ref="AI6">TREND($S30:$T30,$S$28:$T$28,AI$4)</f>
        <v>1808542358277552</v>
      </c>
      <c r="AJ6" s="149" cm="1">
        <f t="array" ref="AJ6">TREND($S30:$T30,$S$28:$T$28,AJ$4)</f>
        <v>1855012042203216</v>
      </c>
      <c r="AK6" s="149" cm="1">
        <f t="array" ref="AK6">TREND($S30:$T30,$S$28:$T$28,AK$4)</f>
        <v>1901481726128864</v>
      </c>
      <c r="AL6" s="149" cm="1">
        <f t="array" ref="AL6">TREND($S30:$T30,$S$28:$T$28,AL$4)</f>
        <v>1947951410054528</v>
      </c>
      <c r="AM6" s="149" cm="1">
        <f t="array" ref="AM6">TREND($S30:$T30,$S$28:$T$28,AM$4)</f>
        <v>1994421093980176</v>
      </c>
      <c r="AN6" s="156">
        <f>F29*$B$22</f>
        <v>2040890777905840</v>
      </c>
      <c r="AO6" s="149" cm="1">
        <f t="array" ref="AO6">TREND($T30:$U30,$T$28:$U$28,AO$4)</f>
        <v>2069102531741576</v>
      </c>
      <c r="AP6" s="149" cm="1">
        <f t="array" ref="AP6">TREND($T30:$U30,$T$28:$U$28,AP$4)</f>
        <v>2097314285577312</v>
      </c>
      <c r="AQ6" s="149" cm="1">
        <f t="array" ref="AQ6">TREND($T30:$U30,$T$28:$U$28,AQ$4)</f>
        <v>2125526039413040</v>
      </c>
      <c r="AR6" s="149" cm="1">
        <f t="array" ref="AR6">TREND($T30:$U30,$T$28:$U$28,AR$4)</f>
        <v>2153737793248776</v>
      </c>
      <c r="AS6" s="149" cm="1">
        <f t="array" ref="AS6">TREND($T30:$U30,$T$28:$U$28,AS$4)</f>
        <v>2181949547084512</v>
      </c>
      <c r="AT6" s="149" cm="1">
        <f t="array" ref="AT6">TREND($T30:$U30,$T$28:$U$28,AT$4)</f>
        <v>2210161300920248</v>
      </c>
      <c r="AU6" s="149" cm="1">
        <f t="array" ref="AU6">TREND($T30:$U30,$T$28:$U$28,AU$4)</f>
        <v>2238373054755976</v>
      </c>
      <c r="AV6" s="149" cm="1">
        <f t="array" ref="AV6">TREND($T30:$U30,$T$28:$U$28,AV$4)</f>
        <v>2266584808591712</v>
      </c>
      <c r="AW6" s="149" cm="1">
        <f t="array" ref="AW6">TREND($T30:$U30,$T$28:$U$28,AW$4)</f>
        <v>2294796562427448</v>
      </c>
      <c r="AX6" s="149">
        <f>G29*$B$22</f>
        <v>2323008316263180</v>
      </c>
      <c r="AY6" s="169"/>
    </row>
    <row r="7" spans="1:51" ht="13.5" customHeight="1">
      <c r="A7" s="454" t="s">
        <v>1063</v>
      </c>
      <c r="B7" s="42" t="s">
        <v>203</v>
      </c>
      <c r="C7" s="43">
        <v>12.561</v>
      </c>
      <c r="D7" s="43">
        <v>25.864999999999998</v>
      </c>
      <c r="E7" s="44">
        <v>28.533999999999999</v>
      </c>
      <c r="F7" s="44">
        <v>30.09</v>
      </c>
      <c r="G7" s="44">
        <v>31.105</v>
      </c>
      <c r="H7" s="44">
        <v>31.792999999999999</v>
      </c>
      <c r="I7" s="45">
        <v>48.38</v>
      </c>
      <c r="J7" s="45">
        <v>44.69</v>
      </c>
      <c r="K7" s="46"/>
      <c r="L7" s="47">
        <v>4.09</v>
      </c>
      <c r="M7" s="47">
        <v>0.94</v>
      </c>
      <c r="O7" s="456" t="s">
        <v>1072</v>
      </c>
      <c r="P7" s="42" t="s">
        <v>203</v>
      </c>
      <c r="Q7" s="150">
        <f>C30*$B$22</f>
        <v>504313850898270</v>
      </c>
      <c r="R7" s="150">
        <f t="shared" si="0"/>
        <v>1025719725838150</v>
      </c>
      <c r="S7" s="161" cm="1">
        <f t="array" ref="S7">TREND($R25:$S25,$R$22:$S$22,S$4)</f>
        <v>1032612904576176</v>
      </c>
      <c r="T7" s="161" cm="1">
        <f t="array" ref="T7">TREND($R25:$S25,$R$22:$S$22,T$4)</f>
        <v>1039506083314204</v>
      </c>
      <c r="U7" s="161" cm="1">
        <f t="array" ref="U7">TREND($R25:$S25,$R$22:$S$22,U$4)</f>
        <v>1046399262052232</v>
      </c>
      <c r="V7" s="398">
        <f>D30*$B$22</f>
        <v>1033611402831840</v>
      </c>
      <c r="W7" s="161" cm="1">
        <f t="array" ref="W7">TREND($R31:$S31,$R$28:$S$28,W$4)</f>
        <v>1047064927556008</v>
      </c>
      <c r="X7" s="161" cm="1">
        <f t="array" ref="X7">TREND($R31:$S31,$R$28:$S$28,X$4)</f>
        <v>1060518452280176</v>
      </c>
      <c r="Y7" s="161" cm="1">
        <f t="array" ref="Y7">TREND($R31:$S31,$R$28:$S$28,Y$4)</f>
        <v>1073971977004344</v>
      </c>
      <c r="Z7" s="161" cm="1">
        <f t="array" ref="Z7">TREND($R31:$S31,$R$28:$S$28,Z$4)</f>
        <v>1087425501728512</v>
      </c>
      <c r="AA7" s="161" cm="1">
        <f t="array" ref="AA7">TREND($R31:$S31,$R$28:$S$28,AA$4)</f>
        <v>1100879026452680</v>
      </c>
      <c r="AB7" s="161" cm="1">
        <f t="array" ref="AB7">TREND($R31:$S31,$R$28:$S$28,AB$4)</f>
        <v>1114332551176844</v>
      </c>
      <c r="AC7" s="161" cm="1">
        <f t="array" ref="AC7">TREND($R31:$S31,$R$28:$S$28,AC$4)</f>
        <v>1127786075901012</v>
      </c>
      <c r="AD7" s="400">
        <f>E30*$B$22</f>
        <v>1141239600625180</v>
      </c>
      <c r="AE7" s="161" cm="1">
        <f t="array" ref="AE7">TREND($S31:$T31,$S$28:$T$28,AE$4)</f>
        <v>1148679191600136</v>
      </c>
      <c r="AF7" s="161" cm="1">
        <f t="array" ref="AF7">TREND($S31:$T31,$S$28:$T$28,AF$4)</f>
        <v>1156118782575092</v>
      </c>
      <c r="AG7" s="161" cm="1">
        <f t="array" ref="AG7">TREND($S31:$T31,$S$28:$T$28,AG$4)</f>
        <v>1163558373550048</v>
      </c>
      <c r="AH7" s="161" cm="1">
        <f t="array" ref="AH7">TREND($S31:$T31,$S$28:$T$28,AH$4)</f>
        <v>1170997964525004</v>
      </c>
      <c r="AI7" s="161" cm="1">
        <f t="array" ref="AI7">TREND($S31:$T31,$S$28:$T$28,AI$4)</f>
        <v>1178437555499960</v>
      </c>
      <c r="AJ7" s="161" cm="1">
        <f t="array" ref="AJ7">TREND($S31:$T31,$S$28:$T$28,AJ$4)</f>
        <v>1185877146474916</v>
      </c>
      <c r="AK7" s="161" cm="1">
        <f t="array" ref="AK7">TREND($S31:$T31,$S$28:$T$28,AK$4)</f>
        <v>1193316737449872</v>
      </c>
      <c r="AL7" s="161" cm="1">
        <f t="array" ref="AL7">TREND($S31:$T31,$S$28:$T$28,AL$4)</f>
        <v>1200756328424828</v>
      </c>
      <c r="AM7" s="161" cm="1">
        <f t="array" ref="AM7">TREND($S31:$T31,$S$28:$T$28,AM$4)</f>
        <v>1208195919399784</v>
      </c>
      <c r="AN7" s="162">
        <f>F30*$B$22</f>
        <v>1215635510374740</v>
      </c>
      <c r="AO7" s="161" cm="1">
        <f t="array" ref="AO7">TREND($T31:$U31,$T$28:$U$28,AO$4)</f>
        <v>1214009586974030</v>
      </c>
      <c r="AP7" s="161" cm="1">
        <f t="array" ref="AP7">TREND($T31:$U31,$T$28:$U$28,AP$4)</f>
        <v>1212383663573320</v>
      </c>
      <c r="AQ7" s="161" cm="1">
        <f t="array" ref="AQ7">TREND($T31:$U31,$T$28:$U$28,AQ$4)</f>
        <v>1210757740172610</v>
      </c>
      <c r="AR7" s="161" cm="1">
        <f t="array" ref="AR7">TREND($T31:$U31,$T$28:$U$28,AR$4)</f>
        <v>1209131816771900</v>
      </c>
      <c r="AS7" s="161" cm="1">
        <f t="array" ref="AS7">TREND($T31:$U31,$T$28:$U$28,AS$4)</f>
        <v>1207505893371190</v>
      </c>
      <c r="AT7" s="161" cm="1">
        <f t="array" ref="AT7">TREND($T31:$U31,$T$28:$U$28,AT$4)</f>
        <v>1205879969970480</v>
      </c>
      <c r="AU7" s="161" cm="1">
        <f t="array" ref="AU7">TREND($T31:$U31,$T$28:$U$28,AU$4)</f>
        <v>1204254046569770</v>
      </c>
      <c r="AV7" s="161" cm="1">
        <f t="array" ref="AV7">TREND($T31:$U31,$T$28:$U$28,AV$4)</f>
        <v>1202628123169060</v>
      </c>
      <c r="AW7" s="161" cm="1">
        <f t="array" ref="AW7">TREND($T31:$U31,$T$28:$U$28,AW$4)</f>
        <v>1201002199768350</v>
      </c>
      <c r="AX7" s="161">
        <f>G30*$B$22</f>
        <v>1199376276367640</v>
      </c>
      <c r="AY7" s="167"/>
    </row>
    <row r="8" spans="1:51" s="206" customFormat="1" ht="3" customHeight="1">
      <c r="A8" s="455"/>
      <c r="B8" s="50"/>
      <c r="C8" s="51"/>
      <c r="D8" s="51"/>
      <c r="E8" s="52"/>
      <c r="F8" s="52"/>
      <c r="G8" s="52"/>
      <c r="H8" s="52"/>
      <c r="I8" s="52"/>
      <c r="J8" s="52"/>
      <c r="K8" s="54"/>
      <c r="L8" s="54"/>
      <c r="M8" s="54"/>
      <c r="N8" s="30"/>
      <c r="O8" s="30"/>
      <c r="P8" s="50"/>
      <c r="Q8" s="147"/>
      <c r="R8" s="147"/>
      <c r="T8" s="149"/>
      <c r="U8" s="149"/>
      <c r="V8" s="395"/>
      <c r="W8" s="149"/>
      <c r="X8" s="149"/>
      <c r="Y8" s="156"/>
      <c r="Z8" s="149"/>
      <c r="AA8" s="149"/>
      <c r="AB8" s="149"/>
      <c r="AC8" s="149"/>
      <c r="AD8" s="156"/>
      <c r="AE8" s="149"/>
      <c r="AF8" s="149"/>
      <c r="AG8" s="149"/>
      <c r="AH8" s="149"/>
      <c r="AI8" s="156"/>
      <c r="AJ8" s="149"/>
      <c r="AK8" s="149"/>
      <c r="AL8" s="149"/>
      <c r="AM8" s="149"/>
      <c r="AN8" s="156"/>
      <c r="AO8" s="149"/>
      <c r="AP8" s="149"/>
      <c r="AQ8" s="149"/>
      <c r="AR8" s="149"/>
      <c r="AS8" s="149"/>
      <c r="AT8" s="149"/>
      <c r="AU8" s="149"/>
      <c r="AV8" s="149"/>
      <c r="AW8" s="149"/>
      <c r="AX8" s="149"/>
      <c r="AY8" s="167"/>
    </row>
    <row r="9" spans="1:51" ht="13.5" customHeight="1">
      <c r="A9" s="454" t="s">
        <v>1064</v>
      </c>
      <c r="B9" s="37" t="s">
        <v>204</v>
      </c>
      <c r="C9" s="65"/>
      <c r="D9" s="65"/>
      <c r="E9" s="66"/>
      <c r="F9" s="66"/>
      <c r="G9" s="66"/>
      <c r="H9" s="66"/>
      <c r="I9" s="58"/>
      <c r="J9" s="58"/>
      <c r="K9" s="46"/>
      <c r="L9" s="58"/>
      <c r="M9" s="58"/>
      <c r="P9" s="37" t="s">
        <v>205</v>
      </c>
      <c r="Q9" s="147"/>
      <c r="R9" s="147"/>
      <c r="S9" s="212">
        <f>S5/R5-1</f>
        <v>3.0820956941371991E-2</v>
      </c>
      <c r="T9" s="212">
        <f t="shared" ref="T9:AX9" si="1">T5/S5-1</f>
        <v>2.9899427959664937E-2</v>
      </c>
      <c r="U9" s="212">
        <f t="shared" si="1"/>
        <v>2.9031405541120492E-2</v>
      </c>
      <c r="V9" s="399">
        <f>V5/U5-1</f>
        <v>3.0831988562673551E-2</v>
      </c>
      <c r="W9" s="212">
        <f t="shared" si="1"/>
        <v>2.6521443045545157E-2</v>
      </c>
      <c r="X9" s="212">
        <f t="shared" si="1"/>
        <v>2.5836228970390174E-2</v>
      </c>
      <c r="Y9" s="212">
        <f t="shared" si="1"/>
        <v>2.5185529854339528E-2</v>
      </c>
      <c r="Z9" s="212">
        <f t="shared" si="1"/>
        <v>2.4566801930877347E-2</v>
      </c>
      <c r="AA9" s="212">
        <f t="shared" si="1"/>
        <v>2.3977745408679585E-2</v>
      </c>
      <c r="AB9" s="212">
        <f t="shared" si="1"/>
        <v>2.3416275906566364E-2</v>
      </c>
      <c r="AC9" s="212">
        <f t="shared" si="1"/>
        <v>2.2880499810137955E-2</v>
      </c>
      <c r="AD9" s="212">
        <f t="shared" si="1"/>
        <v>2.2368692935667456E-2</v>
      </c>
      <c r="AE9" s="212">
        <f t="shared" si="1"/>
        <v>1.8204987667853612E-2</v>
      </c>
      <c r="AF9" s="212">
        <f t="shared" si="1"/>
        <v>1.7879491741200182E-2</v>
      </c>
      <c r="AG9" s="212">
        <f t="shared" si="1"/>
        <v>1.7565430766873336E-2</v>
      </c>
      <c r="AH9" s="212">
        <f t="shared" si="1"/>
        <v>1.7262212567136892E-2</v>
      </c>
      <c r="AI9" s="212">
        <f t="shared" si="1"/>
        <v>1.6969285159604608E-2</v>
      </c>
      <c r="AJ9" s="212">
        <f t="shared" si="1"/>
        <v>1.6686133403666537E-2</v>
      </c>
      <c r="AK9" s="212">
        <f t="shared" si="1"/>
        <v>1.641227597724737E-2</v>
      </c>
      <c r="AL9" s="212">
        <f t="shared" si="1"/>
        <v>1.61472626464223E-2</v>
      </c>
      <c r="AM9" s="212">
        <f t="shared" si="1"/>
        <v>1.5890671795310451E-2</v>
      </c>
      <c r="AN9" s="212">
        <f t="shared" si="1"/>
        <v>1.5642108187913006E-2</v>
      </c>
      <c r="AO9" s="212">
        <f t="shared" si="1"/>
        <v>7.0120325504847703E-3</v>
      </c>
      <c r="AP9" s="212">
        <f t="shared" si="1"/>
        <v>6.9632063211042539E-3</v>
      </c>
      <c r="AQ9" s="212">
        <f t="shared" si="1"/>
        <v>6.9150553638837042E-3</v>
      </c>
      <c r="AR9" s="212">
        <f t="shared" si="1"/>
        <v>6.8675657663916923E-3</v>
      </c>
      <c r="AS9" s="212">
        <f t="shared" si="1"/>
        <v>6.8207239957787102E-3</v>
      </c>
      <c r="AT9" s="212">
        <f t="shared" si="1"/>
        <v>6.7745168858952542E-3</v>
      </c>
      <c r="AU9" s="212">
        <f t="shared" si="1"/>
        <v>6.7289316249776743E-3</v>
      </c>
      <c r="AV9" s="212">
        <f t="shared" si="1"/>
        <v>6.6839557437934349E-3</v>
      </c>
      <c r="AW9" s="212">
        <f t="shared" si="1"/>
        <v>6.6395771042708773E-3</v>
      </c>
      <c r="AX9" s="212">
        <f t="shared" si="1"/>
        <v>6.5957838885779552E-3</v>
      </c>
      <c r="AY9" s="167"/>
    </row>
    <row r="10" spans="1:51" ht="13.5" customHeight="1">
      <c r="A10" s="454" t="s">
        <v>1015</v>
      </c>
      <c r="B10" s="42" t="s">
        <v>197</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5"/>
      <c r="R10" s="215"/>
      <c r="S10" s="149"/>
      <c r="T10" s="149"/>
      <c r="U10" s="149"/>
      <c r="V10" s="149"/>
      <c r="W10" s="149"/>
      <c r="X10" s="149"/>
      <c r="Y10" s="149"/>
      <c r="Z10" s="149"/>
      <c r="AA10" s="149"/>
      <c r="AB10" s="149"/>
      <c r="AC10" s="149"/>
      <c r="AD10" s="149"/>
      <c r="AE10" s="149"/>
      <c r="AF10" s="149"/>
      <c r="AG10" s="149"/>
      <c r="AH10" s="149"/>
      <c r="AI10" s="149"/>
      <c r="AJ10" s="149"/>
      <c r="AK10" s="149"/>
      <c r="AL10" s="149"/>
      <c r="AM10" s="149"/>
      <c r="AN10" s="149"/>
      <c r="AO10" s="149"/>
      <c r="AP10" s="149"/>
      <c r="AQ10" s="149"/>
      <c r="AR10" s="149"/>
      <c r="AS10" s="149"/>
      <c r="AT10" s="149"/>
      <c r="AU10" s="149"/>
      <c r="AV10" s="149"/>
      <c r="AW10" s="149"/>
      <c r="AX10" s="149"/>
      <c r="AY10" s="167"/>
    </row>
    <row r="11" spans="1:51" ht="13.5" customHeight="1">
      <c r="A11" s="454" t="s">
        <v>1065</v>
      </c>
      <c r="B11" s="42" t="s">
        <v>167</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1051</v>
      </c>
      <c r="Q11" s="451">
        <v>24000000</v>
      </c>
      <c r="R11" s="215" t="s">
        <v>1052</v>
      </c>
      <c r="S11" s="149"/>
      <c r="T11" s="149"/>
      <c r="U11" s="149"/>
      <c r="V11" s="149"/>
      <c r="W11" s="149"/>
      <c r="X11" s="149"/>
      <c r="Y11" s="149"/>
      <c r="Z11" s="149"/>
      <c r="AA11" s="149"/>
      <c r="AB11" s="149"/>
      <c r="AC11" s="149"/>
      <c r="AD11" s="149"/>
      <c r="AE11" s="149"/>
      <c r="AF11" s="149"/>
      <c r="AG11" s="149"/>
      <c r="AH11" s="149"/>
      <c r="AI11" s="149"/>
      <c r="AJ11" s="149"/>
      <c r="AK11" s="149"/>
      <c r="AL11" s="149"/>
      <c r="AM11" s="149"/>
      <c r="AN11" s="149"/>
      <c r="AO11" s="149"/>
      <c r="AP11" s="149"/>
      <c r="AQ11" s="149"/>
      <c r="AR11" s="149"/>
      <c r="AS11" s="149"/>
      <c r="AT11" s="149"/>
      <c r="AU11" s="149"/>
      <c r="AV11" s="149"/>
      <c r="AW11" s="149"/>
      <c r="AX11" s="149"/>
      <c r="AY11" s="167"/>
    </row>
    <row r="12" spans="1:51" s="206" customFormat="1" ht="3" customHeight="1">
      <c r="A12" s="455"/>
      <c r="B12" s="50"/>
      <c r="C12" s="51"/>
      <c r="D12" s="51"/>
      <c r="E12" s="52"/>
      <c r="F12" s="52"/>
      <c r="G12" s="52"/>
      <c r="H12" s="52"/>
      <c r="I12" s="52"/>
      <c r="J12" s="52"/>
      <c r="K12" s="54"/>
      <c r="L12" s="54"/>
      <c r="M12" s="54"/>
      <c r="N12" s="55"/>
      <c r="O12" s="55"/>
      <c r="P12" s="213"/>
      <c r="Q12" s="215"/>
      <c r="R12" s="215"/>
      <c r="S12" s="149"/>
      <c r="T12" s="149"/>
      <c r="U12" s="149"/>
      <c r="V12" s="149"/>
      <c r="W12" s="149"/>
      <c r="X12" s="149"/>
      <c r="Y12" s="214"/>
      <c r="Z12" s="149"/>
      <c r="AA12" s="149"/>
      <c r="AB12" s="149"/>
      <c r="AC12" s="149"/>
      <c r="AD12" s="214"/>
      <c r="AE12" s="149"/>
      <c r="AF12" s="149"/>
      <c r="AG12" s="149"/>
      <c r="AH12" s="149"/>
      <c r="AI12" s="214"/>
      <c r="AJ12" s="149"/>
      <c r="AK12" s="149"/>
      <c r="AL12" s="149"/>
      <c r="AM12" s="149"/>
      <c r="AN12" s="214"/>
      <c r="AO12" s="149"/>
      <c r="AP12" s="149"/>
      <c r="AQ12" s="149"/>
      <c r="AR12" s="149"/>
      <c r="AS12" s="149"/>
      <c r="AT12" s="149"/>
      <c r="AU12" s="149"/>
      <c r="AV12" s="149"/>
      <c r="AW12" s="149"/>
      <c r="AX12" s="149"/>
      <c r="AY12" s="167"/>
    </row>
    <row r="13" spans="1:51" ht="13.5" customHeight="1">
      <c r="A13" s="454" t="s">
        <v>1066</v>
      </c>
      <c r="B13" s="37" t="s">
        <v>206</v>
      </c>
      <c r="C13" s="65"/>
      <c r="D13" s="65"/>
      <c r="E13" s="66"/>
      <c r="F13" s="66"/>
      <c r="G13" s="66"/>
      <c r="H13" s="66"/>
      <c r="I13" s="39"/>
      <c r="J13" s="39"/>
      <c r="K13" s="72"/>
      <c r="L13" s="73"/>
      <c r="M13" s="73"/>
      <c r="P13" t="s">
        <v>1077</v>
      </c>
      <c r="T13" s="215">
        <v>1848</v>
      </c>
      <c r="U13" s="215">
        <v>1817</v>
      </c>
      <c r="V13" s="149">
        <v>1514</v>
      </c>
      <c r="W13" s="149">
        <v>2020</v>
      </c>
      <c r="X13" s="149"/>
      <c r="Y13" s="149"/>
      <c r="Z13" s="149"/>
      <c r="AA13" s="149"/>
      <c r="AB13" s="149"/>
      <c r="AC13" s="149"/>
      <c r="AD13" s="149"/>
      <c r="AE13" s="149"/>
      <c r="AF13" s="149"/>
      <c r="AG13" s="149"/>
      <c r="AH13" s="149"/>
      <c r="AI13" s="149"/>
      <c r="AJ13" s="149"/>
      <c r="AK13" s="149"/>
      <c r="AL13" s="149"/>
      <c r="AM13" s="149"/>
      <c r="AN13" s="149"/>
      <c r="AO13" s="149"/>
      <c r="AP13" s="149"/>
      <c r="AQ13" s="149"/>
      <c r="AR13" s="149"/>
      <c r="AS13" s="149"/>
      <c r="AT13" s="149"/>
      <c r="AU13" s="149"/>
      <c r="AV13" s="149"/>
      <c r="AW13" s="149"/>
      <c r="AX13" s="149"/>
      <c r="AY13" s="169"/>
    </row>
    <row r="14" spans="1:51" ht="13.5" customHeight="1">
      <c r="A14" s="454" t="s">
        <v>1067</v>
      </c>
      <c r="B14" s="42" t="s">
        <v>207</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112</v>
      </c>
      <c r="T14" s="215">
        <f>T13*$Q$11*1000</f>
        <v>44352000000000</v>
      </c>
      <c r="U14" s="215">
        <f t="shared" ref="U14:W14" si="2">U13*$Q$11*1000</f>
        <v>43608000000000</v>
      </c>
      <c r="V14" s="215">
        <f t="shared" si="2"/>
        <v>36336000000000</v>
      </c>
      <c r="W14" s="215">
        <f t="shared" si="2"/>
        <v>48480000000000</v>
      </c>
      <c r="X14" s="149"/>
      <c r="Y14" s="149"/>
      <c r="Z14" s="149"/>
      <c r="AA14" s="149"/>
      <c r="AB14" s="149"/>
      <c r="AC14" s="149"/>
      <c r="AD14" s="149"/>
      <c r="AE14" s="149"/>
      <c r="AF14" s="149"/>
      <c r="AG14" s="149"/>
      <c r="AH14" s="149"/>
      <c r="AI14" s="149"/>
      <c r="AJ14" s="149"/>
      <c r="AK14" s="149"/>
      <c r="AL14" s="149"/>
      <c r="AM14" s="149"/>
      <c r="AN14" s="149"/>
      <c r="AO14" s="149"/>
      <c r="AP14" s="149"/>
      <c r="AQ14" s="149"/>
      <c r="AR14" s="149"/>
      <c r="AS14" s="149"/>
      <c r="AT14" s="149"/>
      <c r="AU14" s="149"/>
      <c r="AV14" s="149"/>
      <c r="AW14" s="149"/>
      <c r="AX14" s="149"/>
      <c r="AY14" s="167"/>
    </row>
    <row r="15" spans="1:51" ht="13.5" customHeight="1">
      <c r="A15" s="454" t="s">
        <v>1068</v>
      </c>
      <c r="B15" s="42" t="s">
        <v>208</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5"/>
      <c r="R15" s="215"/>
      <c r="S15" s="149"/>
      <c r="T15" s="149"/>
      <c r="U15" s="149"/>
      <c r="V15" s="149"/>
      <c r="W15" s="149"/>
      <c r="X15" s="149"/>
      <c r="Y15" s="149"/>
      <c r="Z15" s="149"/>
      <c r="AA15" s="149"/>
      <c r="AB15" s="149"/>
      <c r="AC15" s="149"/>
      <c r="AD15" s="149"/>
      <c r="AE15" s="149"/>
      <c r="AF15" s="149"/>
      <c r="AG15" s="149"/>
      <c r="AH15" s="149"/>
      <c r="AI15" s="149"/>
      <c r="AJ15" s="149"/>
      <c r="AK15" s="149"/>
      <c r="AL15" s="149"/>
      <c r="AM15" s="149"/>
      <c r="AN15" s="149"/>
      <c r="AO15" s="149"/>
      <c r="AP15" s="149"/>
      <c r="AQ15" s="149"/>
      <c r="AR15" s="149"/>
      <c r="AS15" s="149"/>
      <c r="AT15" s="149"/>
      <c r="AU15" s="149"/>
      <c r="AV15" s="149"/>
      <c r="AW15" s="149"/>
      <c r="AX15" s="149"/>
      <c r="AY15" s="167"/>
    </row>
    <row r="16" spans="1:51" ht="13.5" customHeight="1">
      <c r="A16" s="454" t="s">
        <v>447</v>
      </c>
      <c r="B16" s="42" t="s">
        <v>164</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5"/>
      <c r="R16" s="215"/>
      <c r="S16" s="149"/>
      <c r="T16" s="149"/>
      <c r="U16" s="149"/>
      <c r="V16" s="149"/>
      <c r="W16" s="149"/>
      <c r="X16" s="149"/>
      <c r="Y16" s="149"/>
      <c r="Z16" s="149"/>
      <c r="AA16" s="149"/>
      <c r="AB16" s="149"/>
      <c r="AC16" s="149"/>
      <c r="AD16" s="149"/>
      <c r="AE16" s="149"/>
      <c r="AF16" s="149"/>
      <c r="AG16" s="149"/>
      <c r="AH16" s="149"/>
      <c r="AI16" s="149"/>
      <c r="AJ16" s="149"/>
      <c r="AK16" s="149"/>
      <c r="AL16" s="149"/>
      <c r="AM16" s="149"/>
      <c r="AN16" s="149"/>
      <c r="AO16" s="149"/>
      <c r="AP16" s="149"/>
      <c r="AQ16" s="149"/>
      <c r="AR16" s="149"/>
      <c r="AS16" s="149"/>
      <c r="AT16" s="149"/>
      <c r="AU16" s="149"/>
      <c r="AV16" s="149"/>
      <c r="AW16" s="149"/>
      <c r="AX16" s="149"/>
      <c r="AY16" s="167"/>
    </row>
    <row r="17" spans="1:51" ht="13.5" customHeight="1">
      <c r="A17" s="454" t="s">
        <v>477</v>
      </c>
      <c r="B17" s="42" t="s">
        <v>209</v>
      </c>
      <c r="C17" s="43">
        <v>0</v>
      </c>
      <c r="D17" s="43">
        <v>1.2390000000000001</v>
      </c>
      <c r="E17" s="44">
        <v>1.452</v>
      </c>
      <c r="F17" s="44">
        <v>1.526</v>
      </c>
      <c r="G17" s="44">
        <v>1.4370000000000001</v>
      </c>
      <c r="H17" s="44">
        <v>1.3149999999999999</v>
      </c>
      <c r="I17" s="45">
        <v>2.3199999999999998</v>
      </c>
      <c r="J17" s="45">
        <v>1.85</v>
      </c>
      <c r="K17" s="46"/>
      <c r="L17" s="47" t="s">
        <v>170</v>
      </c>
      <c r="M17" s="47">
        <v>0.27</v>
      </c>
      <c r="P17" s="42"/>
      <c r="Q17" s="215"/>
      <c r="R17" s="215"/>
      <c r="S17" s="149"/>
      <c r="T17" s="149"/>
      <c r="U17" s="149"/>
      <c r="V17" s="149"/>
      <c r="W17" s="149"/>
      <c r="X17" s="149"/>
      <c r="Y17" s="149"/>
      <c r="Z17" s="149"/>
      <c r="AA17" s="149"/>
      <c r="AB17" s="149"/>
      <c r="AC17" s="149"/>
      <c r="AD17" s="149"/>
      <c r="AE17" s="149"/>
      <c r="AF17" s="149"/>
      <c r="AG17" s="149"/>
      <c r="AH17" s="149"/>
      <c r="AI17" s="149"/>
      <c r="AJ17" s="149"/>
      <c r="AK17" s="149"/>
      <c r="AL17" s="149"/>
      <c r="AM17" s="149"/>
      <c r="AN17" s="149"/>
      <c r="AO17" s="149"/>
      <c r="AP17" s="149"/>
      <c r="AQ17" s="149"/>
      <c r="AR17" s="149"/>
      <c r="AS17" s="149"/>
      <c r="AT17" s="149"/>
      <c r="AU17" s="149"/>
      <c r="AV17" s="149"/>
      <c r="AW17" s="149"/>
      <c r="AX17" s="149"/>
      <c r="AY17" s="167"/>
    </row>
    <row r="18" spans="1:51" ht="13.5" customHeight="1">
      <c r="A18" s="454" t="s">
        <v>1057</v>
      </c>
      <c r="B18" s="42" t="s">
        <v>210</v>
      </c>
      <c r="C18" s="43">
        <v>7.3529999999999998</v>
      </c>
      <c r="D18" s="43">
        <v>10.9</v>
      </c>
      <c r="E18" s="44">
        <v>10.433</v>
      </c>
      <c r="F18" s="44">
        <v>10.444000000000001</v>
      </c>
      <c r="G18" s="44">
        <v>10.455</v>
      </c>
      <c r="H18" s="44">
        <v>10.427</v>
      </c>
      <c r="I18" s="45">
        <v>20.39</v>
      </c>
      <c r="J18" s="45">
        <v>14.66</v>
      </c>
      <c r="K18" s="46"/>
      <c r="L18" s="47">
        <v>2.21</v>
      </c>
      <c r="M18" s="47">
        <v>-0.2</v>
      </c>
      <c r="P18" s="42"/>
      <c r="Q18" s="215"/>
      <c r="R18" s="215"/>
      <c r="S18" s="149"/>
      <c r="T18" s="149"/>
      <c r="U18" s="149"/>
      <c r="V18" s="149"/>
      <c r="W18" s="149"/>
      <c r="X18" s="149"/>
      <c r="Y18" s="149"/>
      <c r="Z18" s="149"/>
      <c r="AA18" s="149"/>
      <c r="AB18" s="149"/>
      <c r="AC18" s="149"/>
      <c r="AD18" s="149"/>
      <c r="AE18" s="149"/>
      <c r="AF18" s="149"/>
      <c r="AG18" s="149"/>
      <c r="AH18" s="149"/>
      <c r="AI18" s="149"/>
      <c r="AJ18" s="149"/>
      <c r="AK18" s="149"/>
      <c r="AL18" s="149"/>
      <c r="AM18" s="149"/>
      <c r="AN18" s="149"/>
      <c r="AO18" s="149"/>
      <c r="AP18" s="149"/>
      <c r="AQ18" s="149"/>
      <c r="AR18" s="149"/>
      <c r="AS18" s="149"/>
      <c r="AT18" s="149"/>
      <c r="AU18" s="149"/>
      <c r="AV18" s="149"/>
      <c r="AW18" s="149"/>
      <c r="AX18" s="149"/>
      <c r="AY18" s="167"/>
    </row>
    <row r="19" spans="1:51" ht="13.5" customHeight="1">
      <c r="A19" s="456" t="s">
        <v>1069</v>
      </c>
      <c r="B19" s="42" t="s">
        <v>211</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5"/>
      <c r="R19" s="215"/>
      <c r="S19" s="149"/>
      <c r="T19" s="149"/>
      <c r="U19" s="149"/>
      <c r="V19" s="149"/>
      <c r="W19" s="149"/>
      <c r="X19" s="149"/>
      <c r="Y19" s="149"/>
      <c r="Z19" s="149"/>
      <c r="AA19" s="149"/>
      <c r="AB19" s="149"/>
      <c r="AC19" s="149"/>
      <c r="AD19" s="149"/>
      <c r="AE19" s="149"/>
      <c r="AF19" s="149"/>
      <c r="AG19" s="149"/>
      <c r="AH19" s="149"/>
      <c r="AI19" s="149"/>
      <c r="AJ19" s="149"/>
      <c r="AK19" s="149"/>
      <c r="AL19" s="149"/>
      <c r="AM19" s="149"/>
      <c r="AN19" s="149"/>
      <c r="AO19" s="149"/>
      <c r="AP19" s="149"/>
      <c r="AQ19" s="149"/>
      <c r="AR19" s="149"/>
      <c r="AS19" s="149"/>
      <c r="AT19" s="149"/>
      <c r="AU19" s="149"/>
      <c r="AV19" s="149"/>
      <c r="AW19" s="149"/>
      <c r="AX19" s="149"/>
      <c r="AY19" s="167"/>
    </row>
    <row r="20" spans="1:51">
      <c r="I20" s="209"/>
      <c r="J20" s="209"/>
      <c r="K20" s="210"/>
      <c r="L20" s="209"/>
      <c r="M20" s="209"/>
    </row>
    <row r="21" spans="1:51">
      <c r="B21" s="252" t="s">
        <v>111</v>
      </c>
      <c r="C21" s="30"/>
      <c r="I21" s="209"/>
      <c r="J21" s="209"/>
      <c r="K21" s="210"/>
      <c r="L21" s="209"/>
      <c r="M21" s="209"/>
      <c r="O21" s="454" t="s">
        <v>1078</v>
      </c>
      <c r="P21" s="31" t="s">
        <v>212</v>
      </c>
      <c r="Q21" s="144"/>
      <c r="R21" s="144"/>
      <c r="S21" s="144"/>
      <c r="T21" s="144"/>
      <c r="U21" s="144"/>
      <c r="V21" s="144"/>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3">
        <f>About!C86</f>
        <v>39656668310000</v>
      </c>
      <c r="C22" s="251" t="s">
        <v>112</v>
      </c>
      <c r="I22" s="209"/>
      <c r="J22" s="209"/>
      <c r="K22" s="210"/>
      <c r="L22" s="209"/>
      <c r="M22" s="209"/>
      <c r="O22" s="455"/>
      <c r="P22" s="31"/>
      <c r="Q22" s="142">
        <v>2000</v>
      </c>
      <c r="R22" s="142">
        <v>2018</v>
      </c>
      <c r="S22" s="154">
        <v>2025</v>
      </c>
      <c r="T22" s="154">
        <v>2030</v>
      </c>
      <c r="U22" s="154">
        <v>2035</v>
      </c>
      <c r="V22" s="154">
        <v>2040</v>
      </c>
      <c r="W22" s="30"/>
      <c r="X22" s="30"/>
      <c r="Y22" s="30"/>
      <c r="Z22" s="30"/>
      <c r="AA22" s="30"/>
      <c r="AB22" s="441"/>
      <c r="AC22" s="30"/>
      <c r="AD22" s="30"/>
      <c r="AE22" s="30"/>
      <c r="AF22" s="30"/>
      <c r="AG22" s="30"/>
      <c r="AH22" s="30"/>
      <c r="AI22" s="30"/>
      <c r="AJ22" s="30"/>
      <c r="AK22" s="30"/>
      <c r="AL22" s="30"/>
      <c r="AM22" s="30"/>
      <c r="AN22" s="30"/>
      <c r="AO22" s="30"/>
      <c r="AP22" s="30"/>
      <c r="AQ22" s="30"/>
      <c r="AR22" s="30"/>
      <c r="AS22" s="30"/>
      <c r="AT22" s="30"/>
      <c r="AU22" s="30"/>
      <c r="AV22" s="442"/>
      <c r="AW22" s="30"/>
      <c r="AX22" s="30"/>
    </row>
    <row r="23" spans="1:51">
      <c r="I23" s="209"/>
      <c r="J23" s="209"/>
      <c r="K23" s="210"/>
      <c r="L23" s="209"/>
      <c r="M23" s="209"/>
      <c r="O23" s="454" t="s">
        <v>1079</v>
      </c>
      <c r="P23" s="37" t="s">
        <v>201</v>
      </c>
      <c r="Q23" s="145">
        <f>Q5</f>
        <v>750304164425200.13</v>
      </c>
      <c r="R23" s="145">
        <f>R5</f>
        <v>2120124801189220.3</v>
      </c>
      <c r="S23" s="146">
        <f>Y5</f>
        <v>2577534727643840</v>
      </c>
      <c r="T23" s="146">
        <f>AD5</f>
        <v>2894143653263800</v>
      </c>
      <c r="U23" s="146">
        <f>AI5</f>
        <v>3157582900847136</v>
      </c>
      <c r="V23" s="146">
        <f>AN5</f>
        <v>3421022148430460</v>
      </c>
      <c r="W23" s="30"/>
      <c r="X23" s="30"/>
      <c r="Y23" s="30"/>
      <c r="Z23" s="30"/>
      <c r="AA23" s="30"/>
      <c r="AB23" s="441"/>
      <c r="AC23" s="30"/>
      <c r="AD23" s="30"/>
      <c r="AE23" s="30"/>
      <c r="AF23" s="30"/>
      <c r="AG23" s="30"/>
      <c r="AH23" s="30"/>
      <c r="AI23" s="30"/>
      <c r="AJ23" s="30"/>
      <c r="AK23" s="30"/>
      <c r="AL23" s="30"/>
      <c r="AM23" s="30"/>
      <c r="AN23" s="30"/>
      <c r="AO23" s="30"/>
      <c r="AP23" s="30"/>
      <c r="AQ23" s="30"/>
      <c r="AR23" s="30"/>
      <c r="AS23" s="30"/>
      <c r="AT23" s="30"/>
      <c r="AU23" s="30"/>
      <c r="AV23" s="168"/>
      <c r="AW23" s="443"/>
      <c r="AX23" s="443"/>
      <c r="AY23" s="167"/>
    </row>
    <row r="24" spans="1:51">
      <c r="B24" s="493" t="s">
        <v>1075</v>
      </c>
      <c r="C24" s="494"/>
      <c r="D24" s="494"/>
      <c r="E24" s="494"/>
      <c r="F24" s="494"/>
      <c r="G24" s="494"/>
      <c r="H24" s="494"/>
      <c r="I24" s="494"/>
      <c r="J24" s="494"/>
      <c r="K24" s="494"/>
      <c r="L24" s="209"/>
      <c r="M24" s="209"/>
      <c r="O24" s="454" t="s">
        <v>1062</v>
      </c>
      <c r="P24" s="42" t="s">
        <v>202</v>
      </c>
      <c r="Q24" s="145">
        <f t="shared" ref="Q24:R25" si="3">Q6</f>
        <v>244562673467770</v>
      </c>
      <c r="R24" s="145">
        <f>R6</f>
        <v>1098093145503900</v>
      </c>
      <c r="S24" s="146">
        <f>Y6</f>
        <v>1359271962993568</v>
      </c>
      <c r="T24" s="146">
        <f t="shared" ref="T24:T25" si="4">AD6</f>
        <v>1576193938649260</v>
      </c>
      <c r="U24" s="146">
        <f t="shared" ref="U24:U25" si="5">AI6</f>
        <v>1808542358277552</v>
      </c>
      <c r="V24" s="146">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500" t="s">
        <v>159</v>
      </c>
      <c r="C25" s="500"/>
      <c r="D25" s="500"/>
      <c r="E25" s="500"/>
      <c r="F25" s="500"/>
      <c r="G25" s="500"/>
      <c r="H25" s="500"/>
      <c r="I25" s="500"/>
      <c r="J25" s="500"/>
      <c r="K25" s="500"/>
      <c r="L25" s="209"/>
      <c r="M25" s="209"/>
      <c r="O25" s="454" t="s">
        <v>1063</v>
      </c>
      <c r="P25" s="42" t="s">
        <v>203</v>
      </c>
      <c r="Q25" s="145">
        <f t="shared" si="3"/>
        <v>504313850898270</v>
      </c>
      <c r="R25" s="145">
        <f t="shared" si="3"/>
        <v>1025719725838150</v>
      </c>
      <c r="S25" s="146">
        <f t="shared" ref="S25" si="7">Y7</f>
        <v>1073971977004344</v>
      </c>
      <c r="T25" s="146">
        <f t="shared" si="4"/>
        <v>1141239600625180</v>
      </c>
      <c r="U25" s="146">
        <f t="shared" si="5"/>
        <v>1178437555499960</v>
      </c>
      <c r="V25" s="146">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495" t="s">
        <v>160</v>
      </c>
      <c r="I26" s="495"/>
      <c r="J26" s="495" t="s">
        <v>161</v>
      </c>
      <c r="K26" s="495"/>
      <c r="O26" s="455"/>
    </row>
    <row r="27" spans="1:51" ht="56.25">
      <c r="B27" s="31"/>
      <c r="C27" s="34">
        <v>2000</v>
      </c>
      <c r="D27" s="34">
        <v>2022</v>
      </c>
      <c r="E27" s="34">
        <v>2030</v>
      </c>
      <c r="F27" s="34">
        <v>2040</v>
      </c>
      <c r="G27" s="34">
        <v>2050</v>
      </c>
      <c r="H27" s="35">
        <v>2022</v>
      </c>
      <c r="I27" s="35">
        <v>2050</v>
      </c>
      <c r="J27" s="35" t="s">
        <v>175</v>
      </c>
      <c r="K27" s="35" t="s">
        <v>176</v>
      </c>
      <c r="O27" s="454" t="s">
        <v>1080</v>
      </c>
      <c r="P27" s="31" t="s">
        <v>213</v>
      </c>
      <c r="Q27" s="144"/>
      <c r="R27" s="144"/>
      <c r="S27" s="144"/>
      <c r="T27" s="144"/>
      <c r="U27" s="144"/>
      <c r="AW27" s="30"/>
      <c r="AX27" s="205"/>
      <c r="AY27" s="205"/>
    </row>
    <row r="28" spans="1:51">
      <c r="A28" s="454" t="s">
        <v>1061</v>
      </c>
      <c r="B28" s="37" t="s">
        <v>201</v>
      </c>
      <c r="C28" s="65">
        <v>18.920000000000002</v>
      </c>
      <c r="D28" s="65">
        <v>60.206000000000003</v>
      </c>
      <c r="E28" s="66">
        <v>72.98</v>
      </c>
      <c r="F28" s="66">
        <v>86.266000000000005</v>
      </c>
      <c r="G28" s="66">
        <v>92.314999999999998</v>
      </c>
      <c r="H28" s="39">
        <v>94.77</v>
      </c>
      <c r="I28" s="39">
        <v>96.210000000000008</v>
      </c>
      <c r="J28" s="73">
        <v>5.4</v>
      </c>
      <c r="K28" s="73">
        <v>1.54</v>
      </c>
      <c r="O28" s="455"/>
      <c r="P28" s="31"/>
      <c r="Q28" s="142">
        <v>2000</v>
      </c>
      <c r="R28" s="142">
        <v>2022</v>
      </c>
      <c r="S28" s="154">
        <v>2030</v>
      </c>
      <c r="T28" s="154">
        <v>2040</v>
      </c>
      <c r="U28" s="142">
        <v>2050</v>
      </c>
      <c r="AW28" s="30"/>
      <c r="AX28" s="205"/>
      <c r="AY28" s="205"/>
    </row>
    <row r="29" spans="1:51">
      <c r="A29" s="454" t="s">
        <v>1062</v>
      </c>
      <c r="B29" s="42" t="s">
        <v>202</v>
      </c>
      <c r="C29" s="43">
        <v>6.1669999999999998</v>
      </c>
      <c r="D29" s="43">
        <v>30.994</v>
      </c>
      <c r="E29" s="44">
        <v>39.746000000000002</v>
      </c>
      <c r="F29" s="44">
        <v>51.463999999999999</v>
      </c>
      <c r="G29" s="44">
        <v>58.578000000000003</v>
      </c>
      <c r="H29" s="45">
        <v>51.48</v>
      </c>
      <c r="I29" s="45">
        <v>63.45</v>
      </c>
      <c r="J29" s="47">
        <v>7.61</v>
      </c>
      <c r="K29" s="47">
        <v>2.2999999999999998</v>
      </c>
      <c r="O29" s="454" t="s">
        <v>1079</v>
      </c>
      <c r="P29" s="37" t="s">
        <v>201</v>
      </c>
      <c r="Q29" s="145">
        <f>Q5</f>
        <v>750304164425200.13</v>
      </c>
      <c r="R29" s="145">
        <f>V5</f>
        <v>2387569372271860</v>
      </c>
      <c r="S29" s="146">
        <f>AD5</f>
        <v>2894143653263800</v>
      </c>
      <c r="T29" s="146">
        <f>AN5</f>
        <v>3421022148430460</v>
      </c>
      <c r="U29" s="146">
        <f>AX5</f>
        <v>3660905335037650</v>
      </c>
      <c r="AW29" s="30"/>
      <c r="AX29" s="205"/>
      <c r="AY29" s="205"/>
    </row>
    <row r="30" spans="1:51">
      <c r="A30" s="454" t="s">
        <v>1063</v>
      </c>
      <c r="B30" s="42" t="s">
        <v>203</v>
      </c>
      <c r="C30" s="43">
        <v>12.717000000000001</v>
      </c>
      <c r="D30" s="43">
        <v>26.064</v>
      </c>
      <c r="E30" s="44">
        <v>28.777999999999999</v>
      </c>
      <c r="F30" s="44">
        <v>30.654</v>
      </c>
      <c r="G30" s="44">
        <v>30.244</v>
      </c>
      <c r="H30" s="45">
        <v>43.29</v>
      </c>
      <c r="I30" s="45">
        <v>32.76</v>
      </c>
      <c r="J30" s="47">
        <v>3.32</v>
      </c>
      <c r="K30" s="47">
        <v>0.53</v>
      </c>
      <c r="O30" s="454" t="s">
        <v>1062</v>
      </c>
      <c r="P30" s="42" t="s">
        <v>202</v>
      </c>
      <c r="Q30" s="145">
        <f>Q6</f>
        <v>244562673467770</v>
      </c>
      <c r="R30" s="145">
        <f>V6</f>
        <v>1229118777600140</v>
      </c>
      <c r="S30" s="146">
        <f>AD6</f>
        <v>1576193938649260</v>
      </c>
      <c r="T30" s="146">
        <f>AN6</f>
        <v>2040890777905840</v>
      </c>
      <c r="U30" s="146">
        <f>AX6</f>
        <v>2323008316263180</v>
      </c>
      <c r="AW30" s="30"/>
      <c r="AX30" s="205"/>
      <c r="AY30" s="205"/>
    </row>
    <row r="31" spans="1:51">
      <c r="A31" s="455"/>
      <c r="B31" s="50"/>
      <c r="C31" s="51"/>
      <c r="D31" s="51"/>
      <c r="E31" s="52"/>
      <c r="F31" s="52"/>
      <c r="G31" s="52"/>
      <c r="H31" s="52"/>
      <c r="I31" s="52"/>
      <c r="J31" s="54"/>
      <c r="K31" s="54"/>
      <c r="O31" s="456" t="s">
        <v>1063</v>
      </c>
      <c r="P31" s="42" t="s">
        <v>203</v>
      </c>
      <c r="Q31" s="145">
        <f>Q7</f>
        <v>504313850898270</v>
      </c>
      <c r="R31" s="145">
        <f>V7</f>
        <v>1033611402831840</v>
      </c>
      <c r="S31" s="146">
        <f>AD7</f>
        <v>1141239600625180</v>
      </c>
      <c r="T31" s="146">
        <f>AN7</f>
        <v>1215635510374740</v>
      </c>
      <c r="U31" s="146">
        <f>AX7</f>
        <v>1199376276367640</v>
      </c>
      <c r="AW31" s="30"/>
      <c r="AX31" s="205"/>
      <c r="AY31" s="205"/>
    </row>
    <row r="32" spans="1:51">
      <c r="A32" s="454" t="s">
        <v>1066</v>
      </c>
      <c r="B32" s="37" t="s">
        <v>206</v>
      </c>
      <c r="C32" s="65"/>
      <c r="D32" s="65"/>
      <c r="E32" s="66"/>
      <c r="F32" s="66"/>
      <c r="G32" s="66"/>
      <c r="H32" s="39"/>
      <c r="I32" s="39"/>
      <c r="J32" s="73"/>
      <c r="K32" s="73"/>
    </row>
    <row r="33" spans="1:11">
      <c r="A33" s="454" t="s">
        <v>1067</v>
      </c>
      <c r="B33" s="42" t="s">
        <v>207</v>
      </c>
      <c r="C33" s="43">
        <v>5.8380000000000001</v>
      </c>
      <c r="D33" s="43">
        <v>14.004</v>
      </c>
      <c r="E33" s="44">
        <v>20.587</v>
      </c>
      <c r="F33" s="44">
        <v>26.1</v>
      </c>
      <c r="G33" s="44">
        <v>29.808</v>
      </c>
      <c r="H33" s="45">
        <v>23.26</v>
      </c>
      <c r="I33" s="45">
        <v>32.29</v>
      </c>
      <c r="J33" s="47">
        <v>4.0599999999999996</v>
      </c>
      <c r="K33" s="47">
        <v>2.73</v>
      </c>
    </row>
    <row r="34" spans="1:11">
      <c r="A34" s="454" t="s">
        <v>1068</v>
      </c>
      <c r="B34" s="42" t="s">
        <v>208</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454" t="s">
        <v>1073</v>
      </c>
      <c r="B35" s="42" t="s">
        <v>214</v>
      </c>
      <c r="C35" s="43">
        <v>0</v>
      </c>
      <c r="D35" s="43">
        <v>0.61</v>
      </c>
      <c r="E35" s="44">
        <v>2.4380000000000002</v>
      </c>
      <c r="F35" s="44">
        <v>7.7519999999999998</v>
      </c>
      <c r="G35" s="44">
        <v>11.093</v>
      </c>
      <c r="H35" s="45">
        <v>1.01</v>
      </c>
      <c r="I35" s="45">
        <v>12.02</v>
      </c>
      <c r="J35" s="47">
        <v>429.64</v>
      </c>
      <c r="K35" s="47">
        <v>10.91</v>
      </c>
    </row>
    <row r="36" spans="1:11">
      <c r="A36" s="454" t="s">
        <v>1074</v>
      </c>
      <c r="B36" s="42" t="s">
        <v>215</v>
      </c>
      <c r="C36" s="43">
        <v>0.438</v>
      </c>
      <c r="D36" s="43">
        <v>2.8029999999999999</v>
      </c>
      <c r="E36" s="44">
        <v>4.0890000000000004</v>
      </c>
      <c r="F36" s="44">
        <v>3.7930000000000001</v>
      </c>
      <c r="G36" s="44">
        <v>3.13</v>
      </c>
      <c r="H36" s="45">
        <v>4.66</v>
      </c>
      <c r="I36" s="45">
        <v>3.39</v>
      </c>
      <c r="J36" s="47">
        <v>8.8000000000000007</v>
      </c>
      <c r="K36" s="47">
        <v>0.39</v>
      </c>
    </row>
    <row r="37" spans="1:11">
      <c r="A37" s="454" t="s">
        <v>447</v>
      </c>
      <c r="B37" s="42" t="s">
        <v>164</v>
      </c>
      <c r="C37" s="43">
        <v>3.516</v>
      </c>
      <c r="D37" s="43">
        <v>10.010999999999999</v>
      </c>
      <c r="E37" s="44">
        <v>12.151</v>
      </c>
      <c r="F37" s="44">
        <v>14.108000000000001</v>
      </c>
      <c r="G37" s="44">
        <v>14.766999999999999</v>
      </c>
      <c r="H37" s="45">
        <v>16.63</v>
      </c>
      <c r="I37" s="45">
        <v>16</v>
      </c>
      <c r="J37" s="47">
        <v>4.87</v>
      </c>
      <c r="K37" s="47">
        <v>1.4</v>
      </c>
    </row>
    <row r="38" spans="1:11">
      <c r="A38" s="454" t="s">
        <v>477</v>
      </c>
      <c r="B38" s="42" t="s">
        <v>209</v>
      </c>
      <c r="C38" s="43">
        <v>0</v>
      </c>
      <c r="D38" s="43">
        <v>1.0249999999999999</v>
      </c>
      <c r="E38" s="44">
        <v>1.419</v>
      </c>
      <c r="F38" s="44">
        <v>0.79100000000000004</v>
      </c>
      <c r="G38" s="44">
        <v>0.129</v>
      </c>
      <c r="H38" s="45">
        <v>1.7</v>
      </c>
      <c r="I38" s="45">
        <v>0.14000000000000001</v>
      </c>
      <c r="J38" s="47" t="s">
        <v>170</v>
      </c>
      <c r="K38" s="47">
        <v>-7.13</v>
      </c>
    </row>
    <row r="39" spans="1:11">
      <c r="A39" s="454" t="s">
        <v>1057</v>
      </c>
      <c r="B39" s="42" t="s">
        <v>210</v>
      </c>
      <c r="C39" s="43">
        <v>7.3529999999999998</v>
      </c>
      <c r="D39" s="43">
        <v>11.468999999999999</v>
      </c>
      <c r="E39" s="44">
        <v>10.622999999999999</v>
      </c>
      <c r="F39" s="44">
        <v>10.084</v>
      </c>
      <c r="G39" s="44">
        <v>9.2029999999999994</v>
      </c>
      <c r="H39" s="45">
        <v>19.05</v>
      </c>
      <c r="I39" s="45">
        <v>9.9700000000000006</v>
      </c>
      <c r="J39" s="47">
        <v>2.04</v>
      </c>
      <c r="K39" s="47">
        <v>-0.78</v>
      </c>
    </row>
    <row r="40" spans="1:11" ht="17.25" thickBot="1">
      <c r="A40" s="456" t="s">
        <v>1069</v>
      </c>
      <c r="B40" s="42" t="s">
        <v>211</v>
      </c>
      <c r="C40" s="43">
        <v>1.849</v>
      </c>
      <c r="D40" s="43">
        <v>3.5579999999999998</v>
      </c>
      <c r="E40" s="44">
        <v>4.5839999999999996</v>
      </c>
      <c r="F40" s="44">
        <v>5.6710000000000003</v>
      </c>
      <c r="G40" s="44">
        <v>6.1449999999999996</v>
      </c>
      <c r="H40" s="45">
        <v>5.91</v>
      </c>
      <c r="I40" s="45">
        <v>6.66</v>
      </c>
      <c r="J40" s="47">
        <v>3.02</v>
      </c>
      <c r="K40" s="47">
        <v>1.97</v>
      </c>
    </row>
    <row r="41" spans="1:11">
      <c r="B41" s="496" t="s">
        <v>216</v>
      </c>
      <c r="C41" s="497"/>
      <c r="D41" s="497"/>
      <c r="E41" s="497"/>
      <c r="F41" s="497"/>
      <c r="G41" s="497"/>
      <c r="H41" s="497"/>
      <c r="I41" s="497"/>
      <c r="J41" s="497"/>
      <c r="K41" s="497"/>
    </row>
  </sheetData>
  <mergeCells count="9">
    <mergeCell ref="B25:K25"/>
    <mergeCell ref="H26:I26"/>
    <mergeCell ref="J26:K26"/>
    <mergeCell ref="B41:K41"/>
    <mergeCell ref="B1:M1"/>
    <mergeCell ref="B2:M2"/>
    <mergeCell ref="I3:J3"/>
    <mergeCell ref="L3:M3"/>
    <mergeCell ref="B24:K24"/>
  </mergeCells>
  <phoneticPr fontId="35"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workbookViewId="0"/>
  </sheetViews>
  <sheetFormatPr defaultColWidth="9.125" defaultRowHeight="16.5"/>
  <cols>
    <col min="1" max="1" width="9.125" style="205"/>
    <col min="2" max="2" width="20.5" style="205" customWidth="1"/>
    <col min="3" max="4" width="6.125" style="205" customWidth="1"/>
    <col min="5" max="5" width="6.125" style="205" customWidth="1" collapsed="1"/>
    <col min="6" max="8" width="6.125" style="205" customWidth="1"/>
    <col min="9" max="10" width="5.5" style="205" customWidth="1"/>
    <col min="11" max="11" width="0.5" style="206" customWidth="1"/>
    <col min="12" max="13" width="5.5" style="205" customWidth="1"/>
    <col min="14" max="14" width="4.375" style="30" customWidth="1"/>
    <col min="15" max="15" width="19.625" style="441" customWidth="1"/>
    <col min="16" max="16" width="20.5" style="30" customWidth="1"/>
    <col min="17" max="50" width="6.125" style="148" customWidth="1"/>
    <col min="51" max="51" width="9.125" style="30"/>
    <col min="52" max="16384" width="9.125" style="205"/>
  </cols>
  <sheetData>
    <row r="1" spans="1:51" ht="30" customHeight="1">
      <c r="B1" s="504" t="s">
        <v>1084</v>
      </c>
      <c r="C1" s="505"/>
      <c r="D1" s="505"/>
      <c r="E1" s="505"/>
      <c r="F1" s="505"/>
      <c r="G1" s="505"/>
      <c r="H1" s="505"/>
      <c r="I1" s="505"/>
      <c r="J1" s="505"/>
      <c r="K1" s="505"/>
      <c r="L1" s="505"/>
      <c r="M1" s="505"/>
      <c r="N1" s="157">
        <v>1</v>
      </c>
      <c r="O1"/>
      <c r="P1" s="158" t="s">
        <v>199</v>
      </c>
      <c r="Q1" s="159" t="s">
        <v>200</v>
      </c>
      <c r="S1" s="160" t="s">
        <v>112</v>
      </c>
      <c r="U1" s="143"/>
      <c r="V1" s="143"/>
      <c r="W1" s="143"/>
      <c r="X1" s="143"/>
      <c r="Z1" s="153"/>
      <c r="AA1" s="153"/>
      <c r="AB1" s="153"/>
      <c r="AC1" s="153"/>
      <c r="AD1" s="153"/>
      <c r="AE1" s="153"/>
      <c r="AF1" s="153"/>
      <c r="AG1" s="153"/>
      <c r="AH1" s="153"/>
      <c r="AI1" s="153"/>
      <c r="AJ1" s="152"/>
      <c r="AK1" s="152"/>
      <c r="AL1" s="152"/>
      <c r="AM1" s="152"/>
      <c r="AO1" s="153"/>
      <c r="AP1" s="153"/>
      <c r="AQ1" s="153"/>
      <c r="AR1" s="153"/>
      <c r="AS1" s="153"/>
      <c r="AT1" s="152"/>
      <c r="AU1" s="152"/>
      <c r="AV1" s="152"/>
      <c r="AW1" s="152"/>
    </row>
    <row r="2" spans="1:51">
      <c r="B2" s="506" t="s">
        <v>159</v>
      </c>
      <c r="C2" s="506"/>
      <c r="D2" s="506"/>
      <c r="E2" s="506"/>
      <c r="F2" s="506"/>
      <c r="G2" s="506"/>
      <c r="H2" s="506"/>
      <c r="I2" s="506"/>
      <c r="J2" s="506"/>
      <c r="K2" s="506"/>
      <c r="L2" s="506"/>
      <c r="M2" s="506"/>
      <c r="P2" s="151" t="s">
        <v>181</v>
      </c>
      <c r="Q2" s="151"/>
      <c r="R2" s="151"/>
      <c r="S2" s="151"/>
      <c r="T2" s="151"/>
      <c r="U2" s="151"/>
      <c r="V2" s="151"/>
      <c r="W2" s="151"/>
      <c r="X2" s="151"/>
      <c r="Y2" s="151"/>
      <c r="Z2" s="151"/>
      <c r="AA2" s="151"/>
      <c r="AB2" s="151"/>
      <c r="AC2" s="151"/>
      <c r="AD2" s="151"/>
      <c r="AE2" s="151"/>
      <c r="AF2" s="151"/>
      <c r="AG2" s="151"/>
      <c r="AH2" s="151"/>
      <c r="AI2" s="151"/>
      <c r="AJ2" s="151"/>
      <c r="AK2" s="151"/>
      <c r="AL2" s="151"/>
      <c r="AM2" s="151"/>
      <c r="AO2" s="151"/>
      <c r="AP2" s="151"/>
      <c r="AQ2" s="151"/>
      <c r="AR2" s="151"/>
      <c r="AS2" s="151"/>
      <c r="AT2" s="151"/>
      <c r="AU2" s="151"/>
      <c r="AV2" s="151"/>
      <c r="AW2" s="151"/>
    </row>
    <row r="3" spans="1:51" ht="15" customHeight="1">
      <c r="B3" s="31"/>
      <c r="C3" s="32"/>
      <c r="D3" s="32"/>
      <c r="E3" s="32"/>
      <c r="F3" s="32"/>
      <c r="G3" s="32"/>
      <c r="H3" s="32"/>
      <c r="I3" s="495" t="s">
        <v>160</v>
      </c>
      <c r="J3" s="495"/>
      <c r="K3" s="33"/>
      <c r="L3" s="495" t="s">
        <v>161</v>
      </c>
      <c r="M3" s="495"/>
      <c r="P3" s="31"/>
      <c r="Q3" s="144"/>
      <c r="R3" s="144"/>
      <c r="S3" s="144"/>
      <c r="T3" s="144"/>
      <c r="U3" s="144"/>
      <c r="V3" s="144"/>
      <c r="W3" s="144"/>
      <c r="X3" s="144"/>
      <c r="Y3" s="144"/>
      <c r="Z3" s="144"/>
      <c r="AA3" s="144"/>
      <c r="AB3" s="144"/>
      <c r="AC3" s="144"/>
      <c r="AD3" s="144"/>
      <c r="AE3" s="144"/>
      <c r="AF3" s="144"/>
      <c r="AG3" s="144"/>
      <c r="AH3" s="144"/>
      <c r="AI3" s="144"/>
      <c r="AJ3" s="144"/>
      <c r="AK3" s="144"/>
      <c r="AL3" s="144"/>
      <c r="AM3" s="144"/>
      <c r="AN3" s="144"/>
      <c r="AO3" s="144"/>
      <c r="AP3" s="144"/>
      <c r="AQ3" s="144"/>
      <c r="AR3" s="144"/>
      <c r="AS3" s="144"/>
      <c r="AT3" s="144"/>
      <c r="AU3" s="144"/>
      <c r="AV3" s="144"/>
      <c r="AW3" s="144"/>
      <c r="AX3" s="144"/>
    </row>
    <row r="4" spans="1:51" ht="15" customHeight="1">
      <c r="B4" s="31"/>
      <c r="C4" s="34">
        <v>2000</v>
      </c>
      <c r="D4" s="34">
        <v>2018</v>
      </c>
      <c r="E4" s="34">
        <v>2025</v>
      </c>
      <c r="F4" s="34">
        <v>2030</v>
      </c>
      <c r="G4" s="34">
        <v>2035</v>
      </c>
      <c r="H4" s="34">
        <v>2040</v>
      </c>
      <c r="I4" s="35">
        <v>2018</v>
      </c>
      <c r="J4" s="35">
        <v>2040</v>
      </c>
      <c r="K4" s="36"/>
      <c r="L4" s="35" t="s">
        <v>162</v>
      </c>
      <c r="M4" s="35" t="s">
        <v>163</v>
      </c>
      <c r="P4" s="31"/>
      <c r="Q4" s="142">
        <v>2000</v>
      </c>
      <c r="R4" s="142">
        <v>2018</v>
      </c>
      <c r="S4" s="142">
        <v>2019</v>
      </c>
      <c r="T4" s="154">
        <v>2020</v>
      </c>
      <c r="U4" s="142">
        <v>2021</v>
      </c>
      <c r="V4" s="142">
        <v>2022</v>
      </c>
      <c r="W4" s="142">
        <v>2023</v>
      </c>
      <c r="X4" s="142">
        <v>2024</v>
      </c>
      <c r="Y4" s="154">
        <v>2025</v>
      </c>
      <c r="Z4" s="142">
        <v>2026</v>
      </c>
      <c r="AA4" s="142">
        <v>2027</v>
      </c>
      <c r="AB4" s="142">
        <v>2028</v>
      </c>
      <c r="AC4" s="142">
        <v>2029</v>
      </c>
      <c r="AD4" s="154">
        <v>2030</v>
      </c>
      <c r="AE4" s="142">
        <v>2031</v>
      </c>
      <c r="AF4" s="142">
        <v>2032</v>
      </c>
      <c r="AG4" s="142">
        <v>2033</v>
      </c>
      <c r="AH4" s="142">
        <v>2034</v>
      </c>
      <c r="AI4" s="154">
        <v>2035</v>
      </c>
      <c r="AJ4" s="142">
        <v>2036</v>
      </c>
      <c r="AK4" s="142">
        <v>2037</v>
      </c>
      <c r="AL4" s="142">
        <v>2038</v>
      </c>
      <c r="AM4" s="142">
        <v>2039</v>
      </c>
      <c r="AN4" s="154">
        <v>2040</v>
      </c>
      <c r="AO4" s="142">
        <v>2041</v>
      </c>
      <c r="AP4" s="142">
        <v>2042</v>
      </c>
      <c r="AQ4" s="142">
        <v>2043</v>
      </c>
      <c r="AR4" s="142">
        <v>2044</v>
      </c>
      <c r="AS4" s="154">
        <v>2045</v>
      </c>
      <c r="AT4" s="142">
        <v>2046</v>
      </c>
      <c r="AU4" s="142">
        <v>2047</v>
      </c>
      <c r="AV4" s="142">
        <v>2048</v>
      </c>
      <c r="AW4" s="142">
        <v>2049</v>
      </c>
      <c r="AX4" s="142">
        <v>2050</v>
      </c>
      <c r="AY4" s="441" t="s">
        <v>182</v>
      </c>
    </row>
    <row r="5" spans="1:51" ht="13.5" customHeight="1">
      <c r="A5" s="454" t="s">
        <v>1061</v>
      </c>
      <c r="B5" s="78" t="s">
        <v>217</v>
      </c>
      <c r="C5" s="65">
        <v>42.924999999999997</v>
      </c>
      <c r="D5" s="65">
        <v>86.650999999999996</v>
      </c>
      <c r="E5" s="66">
        <v>93.97</v>
      </c>
      <c r="F5" s="66">
        <v>95.808999999999997</v>
      </c>
      <c r="G5" s="66">
        <v>94.081999999999994</v>
      </c>
      <c r="H5" s="66">
        <v>84.397000000000006</v>
      </c>
      <c r="I5" s="39">
        <v>100</v>
      </c>
      <c r="J5" s="39">
        <v>100</v>
      </c>
      <c r="K5" s="72"/>
      <c r="L5" s="73">
        <v>3.98</v>
      </c>
      <c r="M5" s="73">
        <v>-0.12</v>
      </c>
      <c r="O5" s="454" t="s">
        <v>1070</v>
      </c>
      <c r="P5" s="37" t="s">
        <v>201</v>
      </c>
      <c r="Q5" s="147">
        <f t="shared" ref="Q5:R7" si="0">C5*$B$24</f>
        <v>1702262487206750</v>
      </c>
      <c r="R5" s="147">
        <f t="shared" si="0"/>
        <v>3436289965729810</v>
      </c>
      <c r="S5" s="149" cm="1">
        <f t="array" ref="S5">TREND($R23:$S23,$R$22:$S$22,S$4)</f>
        <v>3314329423116384</v>
      </c>
      <c r="T5" s="149" cm="1">
        <f t="array" ref="T5">TREND($R23:$S23,$R$22:$S$22,T$4)</f>
        <v>3192368880502912</v>
      </c>
      <c r="U5" s="149" cm="1">
        <f t="array" ref="U5">TREND($R23:$S23,$R$22:$S$22,U$4)</f>
        <v>3070408337889472</v>
      </c>
      <c r="V5" s="395">
        <f>D31*$B$24</f>
        <v>2739680930196350</v>
      </c>
      <c r="W5" s="149" cm="1">
        <f t="array" ref="W5">TREND($R30:$S30,$R$29:$S$29,W$4)</f>
        <v>2687309342609440</v>
      </c>
      <c r="X5" s="149" cm="1">
        <f t="array" ref="X5">TREND($R30:$S30,$R$29:$S$29,X$4)</f>
        <v>2634937755022560</v>
      </c>
      <c r="Y5" s="149" cm="1">
        <f t="array" ref="Y5">TREND($R30:$S30,$R$29:$S$29,Y$4)</f>
        <v>2582566167435664</v>
      </c>
      <c r="Z5" s="149" cm="1">
        <f t="array" ref="Z5">TREND($R30:$S30,$R$29:$S$29,Z$4)</f>
        <v>2530194579848768</v>
      </c>
      <c r="AA5" s="149" cm="1">
        <f t="array" ref="AA5">TREND($R30:$S30,$R$29:$S$29,AA$4)</f>
        <v>2477822992261872</v>
      </c>
      <c r="AB5" s="149" cm="1">
        <f t="array" ref="AB5">TREND($R30:$S30,$R$29:$S$29,AB$4)</f>
        <v>2425451404674976</v>
      </c>
      <c r="AC5" s="149" cm="1">
        <f t="array" ref="AC5">TREND($R30:$S30,$R$29:$S$29,AC$4)</f>
        <v>2373079817088080</v>
      </c>
      <c r="AD5" s="156">
        <f>E31*$B$24</f>
        <v>2320708229501200</v>
      </c>
      <c r="AE5" s="149" cm="1">
        <f t="array" ref="AE5">TREND($S30:$T30,$S$29:$T$29,AE$4)</f>
        <v>2268527985338912</v>
      </c>
      <c r="AF5" s="149" cm="1">
        <f t="array" ref="AF5">TREND($S30:$T30,$S$29:$T$29,AF$4)</f>
        <v>2216347741176608</v>
      </c>
      <c r="AG5" s="149" cm="1">
        <f t="array" ref="AG5">TREND($S30:$T30,$S$29:$T$29,AG$4)</f>
        <v>2164167497014304</v>
      </c>
      <c r="AH5" s="149" cm="1">
        <f t="array" ref="AH5">TREND($S30:$T30,$S$29:$T$29,AH$4)</f>
        <v>2111987252852016</v>
      </c>
      <c r="AI5" s="149" cm="1">
        <f t="array" ref="AI5">TREND($S30:$T30,$S$29:$T$29,AI$4)</f>
        <v>2059807008689712</v>
      </c>
      <c r="AJ5" s="149" cm="1">
        <f t="array" ref="AJ5">TREND($S30:$T30,$S$29:$T$29,AJ$4)</f>
        <v>2007626764527408</v>
      </c>
      <c r="AK5" s="149" cm="1">
        <f t="array" ref="AK5">TREND($S30:$T30,$S$29:$T$29,AK$4)</f>
        <v>1955446520365120</v>
      </c>
      <c r="AL5" s="149" cm="1">
        <f t="array" ref="AL5">TREND($S30:$T30,$S$29:$T$29,AL$4)</f>
        <v>1903266276202816</v>
      </c>
      <c r="AM5" s="149" cm="1">
        <f t="array" ref="AM5">TREND($S30:$T30,$S$29:$T$29,AM$4)</f>
        <v>1851086032040528</v>
      </c>
      <c r="AN5" s="156">
        <f>F31*$B$24</f>
        <v>1798905787878220</v>
      </c>
      <c r="AO5" s="149" cm="1">
        <f t="array" ref="AO5">TREND($T30:$U30,$T$29:$U$29,AO$4)</f>
        <v>1748870969471504</v>
      </c>
      <c r="AP5" s="149" cm="1">
        <f t="array" ref="AP5">TREND($T30:$U30,$T$29:$U$29,AP$4)</f>
        <v>1698836151064784</v>
      </c>
      <c r="AQ5" s="149" cm="1">
        <f t="array" ref="AQ5">TREND($T30:$U30,$T$29:$U$29,AQ$4)</f>
        <v>1648801332658048</v>
      </c>
      <c r="AR5" s="149" cm="1">
        <f t="array" ref="AR5">TREND($T30:$U30,$T$29:$U$29,AR$4)</f>
        <v>1598766514251328</v>
      </c>
      <c r="AS5" s="149" cm="1">
        <f t="array" ref="AS5">TREND($T30:$U30,$T$29:$U$29,AS$4)</f>
        <v>1548731695844592</v>
      </c>
      <c r="AT5" s="149" cm="1">
        <f t="array" ref="AT5">TREND($T30:$U30,$T$29:$U$29,AT$4)</f>
        <v>1498696877437872</v>
      </c>
      <c r="AU5" s="149" cm="1">
        <f t="array" ref="AU5">TREND($T30:$U30,$T$29:$U$29,AU$4)</f>
        <v>1448662059031136</v>
      </c>
      <c r="AV5" s="149" cm="1">
        <f t="array" ref="AV5">TREND($T30:$U30,$T$29:$U$29,AV$4)</f>
        <v>1398627240624416</v>
      </c>
      <c r="AW5" s="149" cm="1">
        <f t="array" ref="AW5">TREND($T30:$U30,$T$29:$U$29,AW$4)</f>
        <v>1348592422217696</v>
      </c>
      <c r="AX5" s="149">
        <f>G31*$B$24</f>
        <v>1298557603810950</v>
      </c>
      <c r="AY5" s="169">
        <f>(AX5/T5)^(1/30)-1</f>
        <v>-2.9538587375182002E-2</v>
      </c>
    </row>
    <row r="6" spans="1:51" ht="13.5" customHeight="1">
      <c r="A6" s="454" t="s">
        <v>1086</v>
      </c>
      <c r="B6" s="222" t="s">
        <v>218</v>
      </c>
      <c r="C6" s="223">
        <v>23.263999999999999</v>
      </c>
      <c r="D6" s="223">
        <v>54.226999999999997</v>
      </c>
      <c r="E6" s="224">
        <v>55.921999999999997</v>
      </c>
      <c r="F6" s="224">
        <v>56.100999999999999</v>
      </c>
      <c r="G6" s="224">
        <v>54.287999999999997</v>
      </c>
      <c r="H6" s="224">
        <v>45.389000000000003</v>
      </c>
      <c r="I6" s="45">
        <v>62.58</v>
      </c>
      <c r="J6" s="45">
        <v>53.78</v>
      </c>
      <c r="K6" s="41"/>
      <c r="L6" s="225">
        <v>4.8099999999999996</v>
      </c>
      <c r="M6" s="225">
        <v>-0.81</v>
      </c>
      <c r="O6" s="454" t="s">
        <v>1071</v>
      </c>
      <c r="P6" s="42" t="s">
        <v>202</v>
      </c>
      <c r="Q6" s="147">
        <f t="shared" si="0"/>
        <v>922572731563840</v>
      </c>
      <c r="R6" s="147">
        <f t="shared" si="0"/>
        <v>2150462152446369.8</v>
      </c>
      <c r="S6" s="149" cm="1">
        <f t="array" ref="S6">TREND($R24:$S24,$R$22:$S$22,S$4)</f>
        <v>2038063823979168</v>
      </c>
      <c r="T6" s="149" cm="1">
        <f t="array" ref="T6">TREND($R24:$S24,$R$22:$S$22,T$4)</f>
        <v>1925665495511968</v>
      </c>
      <c r="U6" s="149" cm="1">
        <f t="array" ref="U6">TREND($R24:$S24,$R$22:$S$22,U$4)</f>
        <v>1813267167044768</v>
      </c>
      <c r="V6" s="395">
        <f>D32*$B$24</f>
        <v>1550456760916070</v>
      </c>
      <c r="W6" s="149" cm="1">
        <f t="array" ref="W6">TREND($R31:$S31,$R$29:$S$29,W$4)</f>
        <v>1488195791669376</v>
      </c>
      <c r="X6" s="149" cm="1">
        <f t="array" ref="X6">TREND($R31:$S31,$R$29:$S$29,X$4)</f>
        <v>1425934822422672</v>
      </c>
      <c r="Y6" s="149" cm="1">
        <f t="array" ref="Y6">TREND($R31:$S31,$R$29:$S$29,Y$4)</f>
        <v>1363673853175968</v>
      </c>
      <c r="Z6" s="149" cm="1">
        <f t="array" ref="Z6">TREND($R31:$S31,$R$29:$S$29,Z$4)</f>
        <v>1301412883929264</v>
      </c>
      <c r="AA6" s="149" cm="1">
        <f t="array" ref="AA6">TREND($R31:$S31,$R$29:$S$29,AA$4)</f>
        <v>1239151914682576</v>
      </c>
      <c r="AB6" s="149" cm="1">
        <f t="array" ref="AB6">TREND($R31:$S31,$R$29:$S$29,AB$4)</f>
        <v>1176890945435872</v>
      </c>
      <c r="AC6" s="149" cm="1">
        <f t="array" ref="AC6">TREND($R31:$S31,$R$29:$S$29,AC$4)</f>
        <v>1114629976189168</v>
      </c>
      <c r="AD6" s="156">
        <f>E32*$B$24</f>
        <v>1052369006942470</v>
      </c>
      <c r="AE6" s="149" cm="1">
        <f t="array" ref="AE6">TREND($S31:$T31,$S$29:$T$29,AE$4)</f>
        <v>1008917195475200</v>
      </c>
      <c r="AF6" s="149" cm="1">
        <f t="array" ref="AF6">TREND($S31:$T31,$S$29:$T$29,AF$4)</f>
        <v>965465384007936</v>
      </c>
      <c r="AG6" s="149" cm="1">
        <f t="array" ref="AG6">TREND($S31:$T31,$S$29:$T$29,AG$4)</f>
        <v>922013572540672</v>
      </c>
      <c r="AH6" s="149" cm="1">
        <f t="array" ref="AH6">TREND($S31:$T31,$S$29:$T$29,AH$4)</f>
        <v>878561761073408</v>
      </c>
      <c r="AI6" s="149" cm="1">
        <f t="array" ref="AI6">TREND($S31:$T31,$S$29:$T$29,AI$4)</f>
        <v>835109949606128</v>
      </c>
      <c r="AJ6" s="149" cm="1">
        <f t="array" ref="AJ6">TREND($S31:$T31,$S$29:$T$29,AJ$4)</f>
        <v>791658138138864</v>
      </c>
      <c r="AK6" s="149" cm="1">
        <f t="array" ref="AK6">TREND($S31:$T31,$S$29:$T$29,AK$4)</f>
        <v>748206326671600</v>
      </c>
      <c r="AL6" s="149" cm="1">
        <f t="array" ref="AL6">TREND($S31:$T31,$S$29:$T$29,AL$4)</f>
        <v>704754515204336</v>
      </c>
      <c r="AM6" s="149" cm="1">
        <f t="array" ref="AM6">TREND($S31:$T31,$S$29:$T$29,AM$4)</f>
        <v>661302703737072</v>
      </c>
      <c r="AN6" s="156">
        <f>F32*$B$24</f>
        <v>617850892269800</v>
      </c>
      <c r="AO6" s="149" cm="1">
        <f t="array" ref="AO6">TREND($T31:$U31,$T$29:$U$29,AO$4)</f>
        <v>579709108689232</v>
      </c>
      <c r="AP6" s="149" cm="1">
        <f t="array" ref="AP6">TREND($T31:$U31,$T$29:$U$29,AP$4)</f>
        <v>541567325108672</v>
      </c>
      <c r="AQ6" s="149" cm="1">
        <f t="array" ref="AQ6">TREND($T31:$U31,$T$29:$U$29,AQ$4)</f>
        <v>503425541528112</v>
      </c>
      <c r="AR6" s="149" cm="1">
        <f t="array" ref="AR6">TREND($T31:$U31,$T$29:$U$29,AR$4)</f>
        <v>465283757947552</v>
      </c>
      <c r="AS6" s="149" cm="1">
        <f t="array" ref="AS6">TREND($T31:$U31,$T$29:$U$29,AS$4)</f>
        <v>427141974367008</v>
      </c>
      <c r="AT6" s="149" cm="1">
        <f t="array" ref="AT6">TREND($T31:$U31,$T$29:$U$29,AT$4)</f>
        <v>389000190786448</v>
      </c>
      <c r="AU6" s="149" cm="1">
        <f t="array" ref="AU6">TREND($T31:$U31,$T$29:$U$29,AU$4)</f>
        <v>350858407205888</v>
      </c>
      <c r="AV6" s="149" cm="1">
        <f t="array" ref="AV6">TREND($T31:$U31,$T$29:$U$29,AV$4)</f>
        <v>312716623625328</v>
      </c>
      <c r="AW6" s="149" cm="1">
        <f t="array" ref="AW6">TREND($T31:$U31,$T$29:$U$29,AW$4)</f>
        <v>274574840044768</v>
      </c>
      <c r="AX6" s="149">
        <f>G32*$B$24</f>
        <v>236433056464220</v>
      </c>
      <c r="AY6" s="169"/>
    </row>
    <row r="7" spans="1:51" ht="13.5" customHeight="1">
      <c r="A7" s="454" t="s">
        <v>1063</v>
      </c>
      <c r="B7" s="222" t="s">
        <v>219</v>
      </c>
      <c r="C7" s="223">
        <v>19.661000000000001</v>
      </c>
      <c r="D7" s="223">
        <v>32.423999999999999</v>
      </c>
      <c r="E7" s="224">
        <v>38.048000000000002</v>
      </c>
      <c r="F7" s="224">
        <v>39.707999999999998</v>
      </c>
      <c r="G7" s="224">
        <v>39.792999999999999</v>
      </c>
      <c r="H7" s="224">
        <v>39.008000000000003</v>
      </c>
      <c r="I7" s="45">
        <v>37.42</v>
      </c>
      <c r="J7" s="45">
        <v>46.22</v>
      </c>
      <c r="K7" s="41"/>
      <c r="L7" s="225">
        <v>2.82</v>
      </c>
      <c r="M7" s="225">
        <v>0.84</v>
      </c>
      <c r="O7" s="454" t="s">
        <v>1072</v>
      </c>
      <c r="P7" s="42" t="s">
        <v>203</v>
      </c>
      <c r="Q7" s="150">
        <f t="shared" si="0"/>
        <v>779689755642910</v>
      </c>
      <c r="R7" s="150">
        <f t="shared" si="0"/>
        <v>1285827813283440</v>
      </c>
      <c r="S7" s="161" cm="1">
        <f t="array" ref="S7">TREND($R25:$S25,$R$22:$S$22,S$4)</f>
        <v>1276265599137188</v>
      </c>
      <c r="T7" s="161" cm="1">
        <f t="array" ref="T7">TREND($R25:$S25,$R$22:$S$22,T$4)</f>
        <v>1266703384990940</v>
      </c>
      <c r="U7" s="161" cm="1">
        <f t="array" ref="U7">TREND($R25:$S25,$R$22:$S$22,U$4)</f>
        <v>1257141170844692</v>
      </c>
      <c r="V7" s="401">
        <f>D33*$B$24</f>
        <v>1189224169280280</v>
      </c>
      <c r="W7" s="161" cm="1">
        <f t="array" ref="W7">TREND($R32:$S32,$R$29:$S$29,W$4)</f>
        <v>1199113550940084</v>
      </c>
      <c r="X7" s="161" cm="1">
        <f t="array" ref="X7">TREND($R32:$S32,$R$29:$S$29,X$4)</f>
        <v>1209002932599888</v>
      </c>
      <c r="Y7" s="161" cm="1">
        <f t="array" ref="Y7">TREND($R32:$S32,$R$29:$S$29,Y$4)</f>
        <v>1218892314259696</v>
      </c>
      <c r="Z7" s="161" cm="1">
        <f t="array" ref="Z7">TREND($R32:$S32,$R$29:$S$29,Z$4)</f>
        <v>1228781695919504</v>
      </c>
      <c r="AA7" s="161" cm="1">
        <f t="array" ref="AA7">TREND($R32:$S32,$R$29:$S$29,AA$4)</f>
        <v>1238671077579308</v>
      </c>
      <c r="AB7" s="161" cm="1">
        <f t="array" ref="AB7">TREND($R32:$S32,$R$29:$S$29,AB$4)</f>
        <v>1248560459239116</v>
      </c>
      <c r="AC7" s="161" cm="1">
        <f t="array" ref="AC7">TREND($R32:$S32,$R$29:$S$29,AC$4)</f>
        <v>1258449840898920</v>
      </c>
      <c r="AD7" s="162">
        <f>E33*$B$24</f>
        <v>1268339222558730</v>
      </c>
      <c r="AE7" s="404" cm="1">
        <f t="array" ref="AE7">TREND($S32:$T32,$S$29:$T$29,AE$4)</f>
        <v>1259610789863700</v>
      </c>
      <c r="AF7" s="161" cm="1">
        <f t="array" ref="AF7">TREND($S32:$T32,$S$29:$T$29,AF$4)</f>
        <v>1250882357168670</v>
      </c>
      <c r="AG7" s="161" cm="1">
        <f t="array" ref="AG7">TREND($S32:$T32,$S$29:$T$29,AG$4)</f>
        <v>1242153924473638</v>
      </c>
      <c r="AH7" s="161" cm="1">
        <f t="array" ref="AH7">TREND($S32:$T32,$S$29:$T$29,AH$4)</f>
        <v>1233425491778608</v>
      </c>
      <c r="AI7" s="161" cm="1">
        <f t="array" ref="AI7">TREND($S32:$T32,$S$29:$T$29,AI$4)</f>
        <v>1224697059083576</v>
      </c>
      <c r="AJ7" s="161" cm="1">
        <f t="array" ref="AJ7">TREND($S32:$T32,$S$29:$T$29,AJ$4)</f>
        <v>1215968626388546</v>
      </c>
      <c r="AK7" s="161" cm="1">
        <f t="array" ref="AK7">TREND($S32:$T32,$S$29:$T$29,AK$4)</f>
        <v>1207240193693514</v>
      </c>
      <c r="AL7" s="161" cm="1">
        <f t="array" ref="AL7">TREND($S32:$T32,$S$29:$T$29,AL$4)</f>
        <v>1198511760998484</v>
      </c>
      <c r="AM7" s="161" cm="1">
        <f t="array" ref="AM7">TREND($S32:$T32,$S$29:$T$29,AM$4)</f>
        <v>1189783328303452</v>
      </c>
      <c r="AN7" s="162">
        <f>F33*$B$24</f>
        <v>1181054895608420</v>
      </c>
      <c r="AO7" s="161" cm="1">
        <f t="array" ref="AO7">TREND($T32:$U32,$T$29:$U$29,AO$4)</f>
        <v>1169165826449080</v>
      </c>
      <c r="AP7" s="161" cm="1">
        <f t="array" ref="AP7">TREND($T32:$U32,$T$29:$U$29,AP$4)</f>
        <v>1157276757289740</v>
      </c>
      <c r="AQ7" s="161" cm="1">
        <f t="array" ref="AQ7">TREND($T32:$U32,$T$29:$U$29,AQ$4)</f>
        <v>1145387688130400</v>
      </c>
      <c r="AR7" s="161" cm="1">
        <f t="array" ref="AR7">TREND($T32:$U32,$T$29:$U$29,AR$4)</f>
        <v>1133498618971064</v>
      </c>
      <c r="AS7" s="161" cm="1">
        <f t="array" ref="AS7">TREND($T32:$U32,$T$29:$U$29,AS$4)</f>
        <v>1121609549811728</v>
      </c>
      <c r="AT7" s="161" cm="1">
        <f t="array" ref="AT7">TREND($T32:$U32,$T$29:$U$29,AT$4)</f>
        <v>1109720480652388</v>
      </c>
      <c r="AU7" s="161" cm="1">
        <f t="array" ref="AU7">TREND($T32:$U32,$T$29:$U$29,AU$4)</f>
        <v>1097831411493048</v>
      </c>
      <c r="AV7" s="161" cm="1">
        <f t="array" ref="AV7">TREND($T32:$U32,$T$29:$U$29,AV$4)</f>
        <v>1085942342333712</v>
      </c>
      <c r="AW7" s="161" cm="1">
        <f t="array" ref="AW7">TREND($T32:$U32,$T$29:$U$29,AW$4)</f>
        <v>1074053273174376</v>
      </c>
      <c r="AX7" s="161">
        <f>G33*$B$24</f>
        <v>1062164204015040</v>
      </c>
      <c r="AY7" s="167"/>
    </row>
    <row r="8" spans="1:51" ht="3" customHeight="1">
      <c r="A8" s="455"/>
      <c r="B8" s="50"/>
      <c r="C8" s="51"/>
      <c r="D8" s="51"/>
      <c r="E8" s="52"/>
      <c r="F8" s="52"/>
      <c r="G8" s="52"/>
      <c r="H8" s="52"/>
      <c r="I8" s="52"/>
      <c r="J8" s="52"/>
      <c r="K8" s="54"/>
      <c r="L8" s="54"/>
      <c r="M8" s="54"/>
      <c r="O8" s="455"/>
      <c r="P8" s="50"/>
      <c r="Q8" s="147"/>
      <c r="R8" s="147"/>
      <c r="S8" s="206"/>
      <c r="T8" s="149"/>
      <c r="U8" s="149"/>
      <c r="V8" s="395"/>
      <c r="W8" s="149"/>
      <c r="X8" s="149"/>
      <c r="Y8" s="156"/>
      <c r="Z8" s="149"/>
      <c r="AA8" s="149"/>
      <c r="AB8" s="149"/>
      <c r="AC8" s="149"/>
      <c r="AD8" s="156"/>
      <c r="AE8" s="149"/>
      <c r="AF8" s="149"/>
      <c r="AG8" s="149"/>
      <c r="AH8" s="149"/>
      <c r="AI8" s="156"/>
      <c r="AJ8" s="149"/>
      <c r="AK8" s="149"/>
      <c r="AL8" s="149"/>
      <c r="AM8" s="149"/>
      <c r="AN8" s="156"/>
      <c r="AO8" s="149"/>
      <c r="AP8" s="149"/>
      <c r="AQ8" s="149"/>
      <c r="AR8" s="149"/>
      <c r="AS8" s="149"/>
      <c r="AT8" s="149"/>
      <c r="AU8" s="149"/>
      <c r="AV8" s="149"/>
      <c r="AW8" s="149"/>
      <c r="AX8" s="149"/>
      <c r="AY8" s="167"/>
    </row>
    <row r="9" spans="1:51" ht="13.5" customHeight="1">
      <c r="A9" s="454" t="s">
        <v>1087</v>
      </c>
      <c r="B9" s="226" t="s">
        <v>220</v>
      </c>
      <c r="C9" s="227"/>
      <c r="D9" s="227"/>
      <c r="E9" s="228"/>
      <c r="F9" s="228"/>
      <c r="G9" s="228"/>
      <c r="H9" s="228"/>
      <c r="I9" s="40"/>
      <c r="J9" s="40"/>
      <c r="K9" s="41"/>
      <c r="L9" s="40"/>
      <c r="M9" s="40"/>
      <c r="O9" s="454"/>
      <c r="P9" s="37" t="s">
        <v>205</v>
      </c>
      <c r="Q9" s="147"/>
      <c r="R9" s="147"/>
      <c r="S9" s="212">
        <f>S5/R5-1</f>
        <v>-3.5491924089567806E-2</v>
      </c>
      <c r="T9" s="212">
        <f t="shared" ref="T9:AX9" si="1">T5/S5-1</f>
        <v>-3.6797954289889301E-2</v>
      </c>
      <c r="U9" s="212">
        <f t="shared" si="1"/>
        <v>-3.8203775058171519E-2</v>
      </c>
      <c r="V9" s="399">
        <f t="shared" si="1"/>
        <v>-0.10771447029109371</v>
      </c>
      <c r="W9" s="212">
        <f t="shared" si="1"/>
        <v>-1.9115944126806284E-2</v>
      </c>
      <c r="X9" s="212">
        <f t="shared" si="1"/>
        <v>-1.9488484915557214E-2</v>
      </c>
      <c r="Y9" s="212">
        <f t="shared" si="1"/>
        <v>-1.9875834822689287E-2</v>
      </c>
      <c r="Z9" s="212">
        <f t="shared" si="1"/>
        <v>-2.0278894785839219E-2</v>
      </c>
      <c r="AA9" s="212">
        <f t="shared" si="1"/>
        <v>-2.0698640335411023E-2</v>
      </c>
      <c r="AB9" s="212">
        <f t="shared" si="1"/>
        <v>-2.1136129477549503E-2</v>
      </c>
      <c r="AC9" s="212">
        <f t="shared" si="1"/>
        <v>-2.1592511598439557E-2</v>
      </c>
      <c r="AD9" s="212">
        <f t="shared" si="1"/>
        <v>-2.2069037547646997E-2</v>
      </c>
      <c r="AE9" s="212">
        <f t="shared" si="1"/>
        <v>-2.2484620642511111E-2</v>
      </c>
      <c r="AF9" s="212">
        <f t="shared" si="1"/>
        <v>-2.3001807559587362E-2</v>
      </c>
      <c r="AG9" s="212">
        <f t="shared" si="1"/>
        <v>-2.3543347098863965E-2</v>
      </c>
      <c r="AH9" s="212">
        <f t="shared" si="1"/>
        <v>-2.4111000758617829E-2</v>
      </c>
      <c r="AI9" s="212">
        <f t="shared" si="1"/>
        <v>-2.4706704120415535E-2</v>
      </c>
      <c r="AJ9" s="212">
        <f t="shared" si="1"/>
        <v>-2.5332588898945962E-2</v>
      </c>
      <c r="AK9" s="212">
        <f t="shared" si="1"/>
        <v>-2.5991008430578999E-2</v>
      </c>
      <c r="AL9" s="212">
        <f t="shared" si="1"/>
        <v>-2.6684567242759916E-2</v>
      </c>
      <c r="AM9" s="212">
        <f t="shared" si="1"/>
        <v>-2.7416155487393068E-2</v>
      </c>
      <c r="AN9" s="212">
        <f t="shared" si="1"/>
        <v>-2.8188989198296488E-2</v>
      </c>
      <c r="AO9" s="212">
        <f t="shared" si="1"/>
        <v>-2.7814029363778525E-2</v>
      </c>
      <c r="AP9" s="212">
        <f t="shared" si="1"/>
        <v>-2.8609782699886788E-2</v>
      </c>
      <c r="AQ9" s="212">
        <f t="shared" si="1"/>
        <v>-2.9452409742620311E-2</v>
      </c>
      <c r="AR9" s="212">
        <f t="shared" si="1"/>
        <v>-3.0346177805459673E-2</v>
      </c>
      <c r="AS9" s="212">
        <f t="shared" si="1"/>
        <v>-3.1295888399417993E-2</v>
      </c>
      <c r="AT9" s="212">
        <f t="shared" si="1"/>
        <v>-3.230696352439133E-2</v>
      </c>
      <c r="AU9" s="212">
        <f t="shared" si="1"/>
        <v>-3.3385549246138457E-2</v>
      </c>
      <c r="AV9" s="212">
        <f t="shared" si="1"/>
        <v>-3.4538640737359572E-2</v>
      </c>
      <c r="AW9" s="212">
        <f t="shared" si="1"/>
        <v>-3.5774234158618246E-2</v>
      </c>
      <c r="AX9" s="212">
        <f t="shared" si="1"/>
        <v>-3.710151234905068E-2</v>
      </c>
      <c r="AY9" s="167"/>
    </row>
    <row r="10" spans="1:51" ht="13.5" customHeight="1">
      <c r="A10" s="454" t="s">
        <v>1088</v>
      </c>
      <c r="B10" s="222" t="s">
        <v>221</v>
      </c>
      <c r="C10" s="223">
        <v>1.871</v>
      </c>
      <c r="D10" s="223">
        <v>0.52</v>
      </c>
      <c r="E10" s="224">
        <v>0.35899999999999999</v>
      </c>
      <c r="F10" s="224">
        <v>0.29199999999999998</v>
      </c>
      <c r="G10" s="224">
        <v>0.245</v>
      </c>
      <c r="H10" s="224">
        <v>0.126</v>
      </c>
      <c r="I10" s="45">
        <v>0.6</v>
      </c>
      <c r="J10" s="45">
        <v>0.15</v>
      </c>
      <c r="K10" s="41"/>
      <c r="L10" s="225">
        <v>-6.87</v>
      </c>
      <c r="M10" s="225">
        <v>-6.23</v>
      </c>
      <c r="O10" s="455"/>
      <c r="P10" s="42"/>
      <c r="Q10" s="215"/>
      <c r="R10" s="215"/>
      <c r="S10" s="149"/>
      <c r="T10" s="149"/>
      <c r="U10" s="149"/>
      <c r="V10" s="149"/>
      <c r="W10" s="149"/>
      <c r="X10" s="149"/>
      <c r="Y10" s="149"/>
      <c r="Z10" s="149"/>
      <c r="AA10" s="149"/>
      <c r="AB10" s="149"/>
      <c r="AC10" s="149"/>
      <c r="AD10" s="149"/>
      <c r="AE10" s="149"/>
      <c r="AF10" s="149"/>
      <c r="AG10" s="149"/>
      <c r="AH10" s="149"/>
      <c r="AI10" s="149"/>
      <c r="AJ10" s="149"/>
      <c r="AK10" s="149"/>
      <c r="AL10" s="149"/>
      <c r="AM10" s="149"/>
      <c r="AN10" s="149"/>
      <c r="AO10" s="149"/>
      <c r="AP10" s="149"/>
      <c r="AQ10" s="149"/>
      <c r="AR10" s="149"/>
      <c r="AS10" s="149"/>
      <c r="AT10" s="149"/>
      <c r="AU10" s="149"/>
      <c r="AV10" s="149"/>
      <c r="AW10" s="149"/>
      <c r="AX10" s="149"/>
      <c r="AY10" s="167"/>
    </row>
    <row r="11" spans="1:51" ht="13.5" customHeight="1">
      <c r="A11" s="454" t="s">
        <v>1089</v>
      </c>
      <c r="B11" s="222" t="s">
        <v>222</v>
      </c>
      <c r="C11" s="223">
        <v>1.2250000000000001</v>
      </c>
      <c r="D11" s="223">
        <v>4.4829999999999997</v>
      </c>
      <c r="E11" s="224">
        <v>5.4269999999999996</v>
      </c>
      <c r="F11" s="224">
        <v>5.8369999999999997</v>
      </c>
      <c r="G11" s="224">
        <v>6.12</v>
      </c>
      <c r="H11" s="224">
        <v>5.9889999999999999</v>
      </c>
      <c r="I11" s="45">
        <v>5.17</v>
      </c>
      <c r="J11" s="45">
        <v>7.1</v>
      </c>
      <c r="K11" s="41"/>
      <c r="L11" s="225">
        <v>7.48</v>
      </c>
      <c r="M11" s="225">
        <v>1.33</v>
      </c>
      <c r="P11" s="42"/>
      <c r="Q11" s="215"/>
      <c r="R11" s="215"/>
      <c r="S11" s="149"/>
      <c r="T11" s="149"/>
      <c r="U11" s="149"/>
      <c r="V11" s="149"/>
      <c r="W11" s="149"/>
      <c r="X11" s="149"/>
      <c r="Y11" s="149"/>
      <c r="Z11" s="149"/>
      <c r="AA11" s="149"/>
      <c r="AB11" s="149"/>
      <c r="AC11" s="149"/>
      <c r="AD11" s="149"/>
      <c r="AE11" s="149"/>
      <c r="AF11" s="149"/>
      <c r="AG11" s="149"/>
      <c r="AH11" s="149"/>
      <c r="AI11" s="149"/>
      <c r="AJ11" s="149"/>
      <c r="AK11" s="149"/>
      <c r="AL11" s="149"/>
      <c r="AM11" s="149"/>
      <c r="AN11" s="149"/>
      <c r="AO11" s="149"/>
      <c r="AP11" s="149"/>
      <c r="AQ11" s="149"/>
      <c r="AR11" s="149"/>
      <c r="AS11" s="149"/>
      <c r="AT11" s="149"/>
      <c r="AU11" s="149"/>
      <c r="AV11" s="149"/>
      <c r="AW11" s="149"/>
      <c r="AX11" s="149"/>
      <c r="AY11" s="167"/>
    </row>
    <row r="12" spans="1:51" ht="13.5" customHeight="1">
      <c r="A12" s="454" t="s">
        <v>1090</v>
      </c>
      <c r="B12" s="222" t="s">
        <v>223</v>
      </c>
      <c r="C12" s="223">
        <v>27.015000000000001</v>
      </c>
      <c r="D12" s="223">
        <v>57.518999999999998</v>
      </c>
      <c r="E12" s="224">
        <v>59.78</v>
      </c>
      <c r="F12" s="224">
        <v>60.097999999999999</v>
      </c>
      <c r="G12" s="224">
        <v>58.343000000000004</v>
      </c>
      <c r="H12" s="224">
        <v>49.865000000000002</v>
      </c>
      <c r="I12" s="45">
        <v>66.38</v>
      </c>
      <c r="J12" s="45">
        <v>59.08</v>
      </c>
      <c r="K12" s="41"/>
      <c r="L12" s="225">
        <v>4.29</v>
      </c>
      <c r="M12" s="225">
        <v>-0.65</v>
      </c>
      <c r="N12" s="55"/>
      <c r="P12" s="213"/>
      <c r="Q12" s="215"/>
      <c r="R12" s="215"/>
      <c r="S12" s="149"/>
      <c r="T12" s="149"/>
      <c r="U12" s="149"/>
      <c r="V12" s="149"/>
      <c r="W12" s="149"/>
      <c r="X12" s="149"/>
      <c r="Y12" s="214"/>
      <c r="Z12" s="149"/>
      <c r="AA12" s="149"/>
      <c r="AB12" s="149"/>
      <c r="AC12" s="149"/>
      <c r="AD12" s="214"/>
      <c r="AE12" s="149"/>
      <c r="AF12" s="149"/>
      <c r="AG12" s="149"/>
      <c r="AH12" s="149"/>
      <c r="AI12" s="214"/>
      <c r="AJ12" s="149"/>
      <c r="AK12" s="149"/>
      <c r="AL12" s="149"/>
      <c r="AM12" s="149"/>
      <c r="AN12" s="214"/>
      <c r="AO12" s="149"/>
      <c r="AP12" s="149"/>
      <c r="AQ12" s="149"/>
      <c r="AR12" s="149"/>
      <c r="AS12" s="149"/>
      <c r="AT12" s="149"/>
      <c r="AU12" s="149"/>
      <c r="AV12" s="149"/>
      <c r="AW12" s="149"/>
      <c r="AX12" s="149"/>
      <c r="AY12" s="167"/>
    </row>
    <row r="13" spans="1:51" ht="13.5" customHeight="1">
      <c r="A13" s="454" t="s">
        <v>1091</v>
      </c>
      <c r="B13" s="222" t="s">
        <v>224</v>
      </c>
      <c r="C13" s="223">
        <v>12.814</v>
      </c>
      <c r="D13" s="223">
        <v>24.129000000000001</v>
      </c>
      <c r="E13" s="224">
        <v>28.402999999999999</v>
      </c>
      <c r="F13" s="224">
        <v>29.582000000000001</v>
      </c>
      <c r="G13" s="224">
        <v>29.373000000000001</v>
      </c>
      <c r="H13" s="224">
        <v>28.417000000000002</v>
      </c>
      <c r="I13" s="45">
        <v>27.85</v>
      </c>
      <c r="J13" s="45">
        <v>33.67</v>
      </c>
      <c r="K13" s="41"/>
      <c r="L13" s="225">
        <v>3.58</v>
      </c>
      <c r="M13" s="225">
        <v>0.75</v>
      </c>
      <c r="P13" s="37"/>
      <c r="Q13" s="215"/>
      <c r="R13" s="215"/>
      <c r="S13" s="149"/>
      <c r="T13" s="149"/>
      <c r="U13" s="149"/>
      <c r="V13" s="149"/>
      <c r="W13" s="149"/>
      <c r="X13" s="149"/>
      <c r="Y13" s="149"/>
      <c r="Z13" s="149"/>
      <c r="AA13" s="149"/>
      <c r="AB13" s="149"/>
      <c r="AC13" s="149"/>
      <c r="AD13" s="149"/>
      <c r="AE13" s="149"/>
      <c r="AF13" s="149"/>
      <c r="AG13" s="149"/>
      <c r="AH13" s="149"/>
      <c r="AI13" s="149"/>
      <c r="AJ13" s="149"/>
      <c r="AK13" s="149"/>
      <c r="AL13" s="149"/>
      <c r="AM13" s="149"/>
      <c r="AN13" s="149"/>
      <c r="AO13" s="149"/>
      <c r="AP13" s="149"/>
      <c r="AQ13" s="149"/>
      <c r="AR13" s="149"/>
      <c r="AS13" s="149"/>
      <c r="AT13" s="149"/>
      <c r="AU13" s="149"/>
      <c r="AV13" s="149"/>
      <c r="AW13" s="149"/>
      <c r="AX13" s="149"/>
      <c r="AY13" s="169"/>
    </row>
    <row r="14" spans="1:51" ht="3" customHeight="1">
      <c r="A14" s="455"/>
      <c r="B14" s="50"/>
      <c r="C14" s="51"/>
      <c r="D14" s="51"/>
      <c r="E14" s="52"/>
      <c r="F14" s="52"/>
      <c r="G14" s="52"/>
      <c r="H14" s="52"/>
      <c r="I14" s="52"/>
      <c r="J14" s="52"/>
      <c r="K14" s="54"/>
      <c r="L14" s="54"/>
      <c r="M14" s="54"/>
      <c r="P14" s="42"/>
      <c r="Q14" s="215"/>
      <c r="R14" s="215"/>
      <c r="S14" s="149"/>
      <c r="T14" s="149"/>
      <c r="U14" s="149"/>
      <c r="V14" s="149"/>
      <c r="W14" s="149"/>
      <c r="X14" s="149"/>
      <c r="Y14" s="149"/>
      <c r="Z14" s="149"/>
      <c r="AA14" s="149"/>
      <c r="AB14" s="149"/>
      <c r="AC14" s="149"/>
      <c r="AD14" s="149"/>
      <c r="AE14" s="149"/>
      <c r="AF14" s="149"/>
      <c r="AG14" s="149"/>
      <c r="AH14" s="149"/>
      <c r="AI14" s="149"/>
      <c r="AJ14" s="149"/>
      <c r="AK14" s="149"/>
      <c r="AL14" s="149"/>
      <c r="AM14" s="149"/>
      <c r="AN14" s="149"/>
      <c r="AO14" s="149"/>
      <c r="AP14" s="149"/>
      <c r="AQ14" s="149"/>
      <c r="AR14" s="149"/>
      <c r="AS14" s="149"/>
      <c r="AT14" s="149"/>
      <c r="AU14" s="149"/>
      <c r="AV14" s="149"/>
      <c r="AW14" s="149"/>
      <c r="AX14" s="149"/>
      <c r="AY14" s="167"/>
    </row>
    <row r="15" spans="1:51" ht="13.5" customHeight="1">
      <c r="A15" s="454" t="s">
        <v>1092</v>
      </c>
      <c r="B15" s="226" t="s">
        <v>225</v>
      </c>
      <c r="C15" s="223"/>
      <c r="D15" s="223"/>
      <c r="E15" s="224"/>
      <c r="F15" s="224"/>
      <c r="G15" s="224"/>
      <c r="H15" s="224"/>
      <c r="I15" s="45"/>
      <c r="J15" s="45"/>
      <c r="K15" s="41"/>
      <c r="L15" s="225"/>
      <c r="M15" s="225"/>
      <c r="P15" s="42"/>
      <c r="Q15" s="215"/>
      <c r="R15" s="215"/>
      <c r="S15" s="149"/>
      <c r="T15" s="149"/>
      <c r="U15" s="149"/>
      <c r="V15" s="149"/>
      <c r="W15" s="149"/>
      <c r="X15" s="149"/>
      <c r="Y15" s="149"/>
      <c r="Z15" s="149"/>
      <c r="AA15" s="149"/>
      <c r="AB15" s="149"/>
      <c r="AC15" s="149"/>
      <c r="AD15" s="149"/>
      <c r="AE15" s="149"/>
      <c r="AF15" s="149"/>
      <c r="AG15" s="149"/>
      <c r="AH15" s="149"/>
      <c r="AI15" s="149"/>
      <c r="AJ15" s="149"/>
      <c r="AK15" s="149"/>
      <c r="AL15" s="149"/>
      <c r="AM15" s="149"/>
      <c r="AN15" s="149"/>
      <c r="AO15" s="149"/>
      <c r="AP15" s="149"/>
      <c r="AQ15" s="149"/>
      <c r="AR15" s="149"/>
      <c r="AS15" s="149"/>
      <c r="AT15" s="149"/>
      <c r="AU15" s="149"/>
      <c r="AV15" s="149"/>
      <c r="AW15" s="149"/>
      <c r="AX15" s="149"/>
      <c r="AY15" s="167"/>
    </row>
    <row r="16" spans="1:51" ht="13.5" customHeight="1">
      <c r="A16" s="454" t="s">
        <v>1093</v>
      </c>
      <c r="B16" s="222" t="s">
        <v>207</v>
      </c>
      <c r="C16" s="223">
        <v>23.263999999999999</v>
      </c>
      <c r="D16" s="223">
        <v>54.226999999999997</v>
      </c>
      <c r="E16" s="224">
        <v>55.921999999999997</v>
      </c>
      <c r="F16" s="224">
        <v>56.100999999999999</v>
      </c>
      <c r="G16" s="224">
        <v>54.287999999999997</v>
      </c>
      <c r="H16" s="224">
        <v>45.389000000000003</v>
      </c>
      <c r="I16" s="45">
        <v>62.58</v>
      </c>
      <c r="J16" s="45">
        <v>53.78</v>
      </c>
      <c r="K16" s="41"/>
      <c r="L16" s="225">
        <v>4.8099999999999996</v>
      </c>
      <c r="M16" s="225">
        <v>-0.81</v>
      </c>
      <c r="P16" s="42"/>
      <c r="Q16" s="215"/>
      <c r="R16" s="215"/>
      <c r="S16" s="149"/>
      <c r="T16" s="149"/>
      <c r="U16" s="149"/>
      <c r="V16" s="149"/>
      <c r="W16" s="149"/>
      <c r="X16" s="149"/>
      <c r="Y16" s="149"/>
      <c r="Z16" s="149"/>
      <c r="AA16" s="149"/>
      <c r="AB16" s="149"/>
      <c r="AC16" s="149"/>
      <c r="AD16" s="149"/>
      <c r="AE16" s="149"/>
      <c r="AF16" s="149"/>
      <c r="AG16" s="149"/>
      <c r="AH16" s="149"/>
      <c r="AI16" s="149"/>
      <c r="AJ16" s="149"/>
      <c r="AK16" s="149"/>
      <c r="AL16" s="149"/>
      <c r="AM16" s="149"/>
      <c r="AN16" s="149"/>
      <c r="AO16" s="149"/>
      <c r="AP16" s="149"/>
      <c r="AQ16" s="149"/>
      <c r="AR16" s="149"/>
      <c r="AS16" s="149"/>
      <c r="AT16" s="149"/>
      <c r="AU16" s="149"/>
      <c r="AV16" s="149"/>
      <c r="AW16" s="149"/>
      <c r="AX16" s="149"/>
      <c r="AY16" s="167"/>
    </row>
    <row r="17" spans="1:51" ht="13.5" customHeight="1">
      <c r="A17" s="454" t="s">
        <v>1094</v>
      </c>
      <c r="B17" s="222" t="s">
        <v>226</v>
      </c>
      <c r="C17" s="223">
        <v>12.814</v>
      </c>
      <c r="D17" s="223">
        <v>24.129000000000001</v>
      </c>
      <c r="E17" s="224">
        <v>28.402999999999999</v>
      </c>
      <c r="F17" s="224">
        <v>29.582000000000001</v>
      </c>
      <c r="G17" s="224">
        <v>29.373000000000001</v>
      </c>
      <c r="H17" s="224">
        <v>28.417000000000002</v>
      </c>
      <c r="I17" s="45">
        <v>27.85</v>
      </c>
      <c r="J17" s="45">
        <v>33.67</v>
      </c>
      <c r="K17" s="41"/>
      <c r="L17" s="225">
        <v>3.58</v>
      </c>
      <c r="M17" s="225">
        <v>0.75</v>
      </c>
      <c r="P17" s="42"/>
      <c r="Q17" s="215"/>
      <c r="R17" s="215"/>
      <c r="S17" s="149"/>
      <c r="T17" s="149"/>
      <c r="U17" s="149"/>
      <c r="V17" s="149"/>
      <c r="W17" s="149"/>
      <c r="X17" s="149"/>
      <c r="Y17" s="149"/>
      <c r="Z17" s="149"/>
      <c r="AA17" s="149"/>
      <c r="AB17" s="149"/>
      <c r="AC17" s="149"/>
      <c r="AD17" s="149"/>
      <c r="AE17" s="149"/>
      <c r="AF17" s="149"/>
      <c r="AG17" s="149"/>
      <c r="AH17" s="149"/>
      <c r="AI17" s="149"/>
      <c r="AJ17" s="149"/>
      <c r="AK17" s="149"/>
      <c r="AL17" s="149"/>
      <c r="AM17" s="149"/>
      <c r="AN17" s="149"/>
      <c r="AO17" s="149"/>
      <c r="AP17" s="149"/>
      <c r="AQ17" s="149"/>
      <c r="AR17" s="149"/>
      <c r="AS17" s="149"/>
      <c r="AT17" s="149"/>
      <c r="AU17" s="149"/>
      <c r="AV17" s="149"/>
      <c r="AW17" s="149"/>
      <c r="AX17" s="149"/>
      <c r="AY17" s="167"/>
    </row>
    <row r="18" spans="1:51" ht="13.5" customHeight="1">
      <c r="A18" s="454" t="s">
        <v>1095</v>
      </c>
      <c r="B18" s="222" t="s">
        <v>227</v>
      </c>
      <c r="C18" s="223">
        <v>3.5030000000000001</v>
      </c>
      <c r="D18" s="223">
        <v>2.1960000000000002</v>
      </c>
      <c r="E18" s="224">
        <v>2.1640000000000001</v>
      </c>
      <c r="F18" s="224">
        <v>2.081</v>
      </c>
      <c r="G18" s="224">
        <v>1.9930000000000001</v>
      </c>
      <c r="H18" s="224">
        <v>1.92</v>
      </c>
      <c r="I18" s="45">
        <v>2.5299999999999998</v>
      </c>
      <c r="J18" s="45">
        <v>2.2799999999999998</v>
      </c>
      <c r="K18" s="41"/>
      <c r="L18" s="225">
        <v>-2.56</v>
      </c>
      <c r="M18" s="225">
        <v>-0.61</v>
      </c>
      <c r="P18" s="42"/>
      <c r="Q18" s="215"/>
      <c r="R18" s="215"/>
      <c r="S18" s="149"/>
      <c r="T18" s="149"/>
      <c r="U18" s="149"/>
      <c r="V18" s="149"/>
      <c r="W18" s="149"/>
      <c r="X18" s="149"/>
      <c r="Y18" s="149"/>
      <c r="Z18" s="149"/>
      <c r="AA18" s="149"/>
      <c r="AB18" s="149"/>
      <c r="AC18" s="149"/>
      <c r="AD18" s="149"/>
      <c r="AE18" s="149"/>
      <c r="AF18" s="149"/>
      <c r="AG18" s="149"/>
      <c r="AH18" s="149"/>
      <c r="AI18" s="149"/>
      <c r="AJ18" s="149"/>
      <c r="AK18" s="149"/>
      <c r="AL18" s="149"/>
      <c r="AM18" s="149"/>
      <c r="AN18" s="149"/>
      <c r="AO18" s="149"/>
      <c r="AP18" s="149"/>
      <c r="AQ18" s="149"/>
      <c r="AR18" s="149"/>
      <c r="AS18" s="149"/>
      <c r="AT18" s="149"/>
      <c r="AU18" s="149"/>
      <c r="AV18" s="149"/>
      <c r="AW18" s="149"/>
      <c r="AX18" s="149"/>
      <c r="AY18" s="167"/>
    </row>
    <row r="19" spans="1:51" ht="13.5" customHeight="1">
      <c r="A19" s="454" t="s">
        <v>1096</v>
      </c>
      <c r="B19" s="222" t="s">
        <v>228</v>
      </c>
      <c r="C19" s="223">
        <v>2.8079999999999998</v>
      </c>
      <c r="D19" s="223">
        <v>5.649</v>
      </c>
      <c r="E19" s="224">
        <v>7.1790000000000003</v>
      </c>
      <c r="F19" s="224">
        <v>7.8140000000000001</v>
      </c>
      <c r="G19" s="224">
        <v>8.2460000000000004</v>
      </c>
      <c r="H19" s="224">
        <v>8.52</v>
      </c>
      <c r="I19" s="45">
        <v>6.52</v>
      </c>
      <c r="J19" s="45">
        <v>10.1</v>
      </c>
      <c r="K19" s="41"/>
      <c r="L19" s="225">
        <v>3.96</v>
      </c>
      <c r="M19" s="225">
        <v>1.89</v>
      </c>
      <c r="N19" s="55"/>
      <c r="P19" s="42"/>
      <c r="Q19" s="215"/>
      <c r="R19" s="215"/>
      <c r="S19" s="149"/>
      <c r="T19" s="149"/>
      <c r="U19" s="149"/>
      <c r="V19" s="149"/>
      <c r="W19" s="149"/>
      <c r="X19" s="149"/>
      <c r="Y19" s="149"/>
      <c r="Z19" s="149"/>
      <c r="AA19" s="149"/>
      <c r="AB19" s="149"/>
      <c r="AC19" s="149"/>
      <c r="AD19" s="149"/>
      <c r="AE19" s="149"/>
      <c r="AF19" s="149"/>
      <c r="AG19" s="149"/>
      <c r="AH19" s="149"/>
      <c r="AI19" s="149"/>
      <c r="AJ19" s="149"/>
      <c r="AK19" s="149"/>
      <c r="AL19" s="149"/>
      <c r="AM19" s="149"/>
      <c r="AN19" s="149"/>
      <c r="AO19" s="149"/>
      <c r="AP19" s="149"/>
      <c r="AQ19" s="149"/>
      <c r="AR19" s="149"/>
      <c r="AS19" s="149"/>
      <c r="AT19" s="149"/>
      <c r="AU19" s="149"/>
      <c r="AV19" s="149"/>
      <c r="AW19" s="149"/>
      <c r="AX19" s="149"/>
      <c r="AY19" s="167"/>
    </row>
    <row r="20" spans="1:51" ht="13.5" customHeight="1" thickBot="1">
      <c r="A20" s="456" t="s">
        <v>1097</v>
      </c>
      <c r="B20" s="222" t="s">
        <v>229</v>
      </c>
      <c r="C20" s="223">
        <v>0.53600000000000003</v>
      </c>
      <c r="D20" s="223">
        <v>0.318</v>
      </c>
      <c r="E20" s="224">
        <v>0.18</v>
      </c>
      <c r="F20" s="224">
        <v>0.114</v>
      </c>
      <c r="G20" s="224">
        <v>7.0000000000000007E-2</v>
      </c>
      <c r="H20" s="224">
        <v>4.2999999999999997E-2</v>
      </c>
      <c r="I20" s="45">
        <v>0.37</v>
      </c>
      <c r="J20" s="45">
        <v>0.05</v>
      </c>
      <c r="K20" s="41"/>
      <c r="L20" s="225">
        <v>-2.86</v>
      </c>
      <c r="M20" s="225">
        <v>-8.7200000000000006</v>
      </c>
    </row>
    <row r="21" spans="1:51" ht="11.25" customHeight="1">
      <c r="B21" s="496"/>
      <c r="C21" s="497"/>
      <c r="D21" s="497"/>
      <c r="E21" s="497"/>
      <c r="F21" s="497"/>
      <c r="G21" s="497"/>
      <c r="H21" s="497"/>
      <c r="I21" s="497"/>
      <c r="J21" s="497"/>
      <c r="K21" s="497"/>
      <c r="L21" s="497"/>
      <c r="M21" s="497"/>
      <c r="O21" s="454" t="s">
        <v>1081</v>
      </c>
      <c r="P21" s="31" t="s">
        <v>230</v>
      </c>
      <c r="Q21" s="144"/>
      <c r="R21" s="144"/>
      <c r="S21" s="144"/>
      <c r="T21" s="144"/>
      <c r="U21" s="144"/>
      <c r="V21" s="144"/>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7"/>
      <c r="J22" s="207"/>
      <c r="K22" s="208"/>
      <c r="L22" s="207"/>
      <c r="M22" s="207"/>
      <c r="O22" s="454" t="s">
        <v>1082</v>
      </c>
      <c r="P22" s="31" t="s">
        <v>195</v>
      </c>
      <c r="Q22" s="142">
        <v>2000</v>
      </c>
      <c r="R22" s="142">
        <v>2018</v>
      </c>
      <c r="S22" s="154">
        <v>2025</v>
      </c>
      <c r="T22" s="154">
        <v>2030</v>
      </c>
      <c r="U22" s="154">
        <v>2035</v>
      </c>
      <c r="V22" s="154">
        <v>2040</v>
      </c>
      <c r="W22" s="30"/>
      <c r="X22" s="30"/>
      <c r="Y22" s="30"/>
      <c r="Z22" s="30"/>
      <c r="AA22" s="30"/>
      <c r="AB22" s="441"/>
      <c r="AC22" s="30"/>
      <c r="AD22" s="30"/>
      <c r="AE22" s="30"/>
      <c r="AF22" s="30"/>
      <c r="AG22" s="30"/>
      <c r="AH22" s="30"/>
      <c r="AI22" s="30"/>
      <c r="AJ22" s="30"/>
      <c r="AK22" s="30"/>
      <c r="AL22" s="30"/>
      <c r="AM22" s="30"/>
      <c r="AN22" s="30"/>
      <c r="AO22" s="30"/>
      <c r="AP22" s="30"/>
      <c r="AQ22" s="30"/>
      <c r="AR22" s="30"/>
      <c r="AS22" s="30"/>
      <c r="AT22" s="30"/>
      <c r="AU22" s="30"/>
      <c r="AV22" s="442"/>
      <c r="AW22" s="30"/>
      <c r="AX22" s="30"/>
    </row>
    <row r="23" spans="1:51" ht="17.25" thickBot="1">
      <c r="B23" s="252" t="s">
        <v>111</v>
      </c>
      <c r="C23" s="347"/>
      <c r="I23" s="207"/>
      <c r="J23" s="207"/>
      <c r="K23" s="208"/>
      <c r="L23" s="207"/>
      <c r="M23" s="207"/>
      <c r="O23" s="454" t="s">
        <v>1070</v>
      </c>
      <c r="P23" s="37" t="s">
        <v>201</v>
      </c>
      <c r="Q23" s="145">
        <f>Q5</f>
        <v>1702262487206750</v>
      </c>
      <c r="R23" s="145">
        <f>R5</f>
        <v>3436289965729810</v>
      </c>
      <c r="S23" s="146">
        <f>Y5</f>
        <v>2582566167435664</v>
      </c>
      <c r="T23" s="146">
        <f>AD5</f>
        <v>2320708229501200</v>
      </c>
      <c r="U23" s="146">
        <f>AI5</f>
        <v>2059807008689712</v>
      </c>
      <c r="V23" s="146">
        <f>AN5</f>
        <v>1798905787878220</v>
      </c>
      <c r="W23" s="30"/>
      <c r="X23" s="30"/>
      <c r="Y23" s="30"/>
      <c r="Z23" s="30"/>
      <c r="AA23" s="30"/>
      <c r="AB23" s="441"/>
      <c r="AC23" s="30"/>
      <c r="AD23" s="30"/>
      <c r="AE23" s="30"/>
      <c r="AF23" s="30"/>
      <c r="AG23" s="30"/>
      <c r="AH23" s="30"/>
      <c r="AI23" s="30"/>
      <c r="AJ23" s="30"/>
      <c r="AK23" s="30"/>
      <c r="AL23" s="30"/>
      <c r="AM23" s="30"/>
      <c r="AN23" s="30"/>
      <c r="AO23" s="30"/>
      <c r="AP23" s="30"/>
      <c r="AQ23" s="30"/>
      <c r="AR23" s="30"/>
      <c r="AS23" s="30"/>
      <c r="AT23" s="30"/>
      <c r="AU23" s="30"/>
      <c r="AV23" s="168"/>
      <c r="AW23" s="443"/>
      <c r="AX23" s="443"/>
      <c r="AY23" s="167"/>
    </row>
    <row r="24" spans="1:51" ht="17.25" thickBot="1">
      <c r="B24" s="384">
        <f>About!C86</f>
        <v>39656668310000</v>
      </c>
      <c r="C24" s="251" t="s">
        <v>112</v>
      </c>
      <c r="I24" s="207"/>
      <c r="J24" s="207"/>
      <c r="K24" s="208"/>
      <c r="L24" s="207"/>
      <c r="M24" s="207"/>
      <c r="O24" s="454" t="s">
        <v>1071</v>
      </c>
      <c r="P24" s="42" t="s">
        <v>202</v>
      </c>
      <c r="Q24" s="145">
        <f t="shared" ref="Q24:R24" si="2">Q6</f>
        <v>922572731563840</v>
      </c>
      <c r="R24" s="145">
        <f t="shared" si="2"/>
        <v>2150462152446369.8</v>
      </c>
      <c r="S24" s="146">
        <f t="shared" ref="S24:S25" si="3">Y6</f>
        <v>1363673853175968</v>
      </c>
      <c r="T24" s="146">
        <f t="shared" ref="T24:T25" si="4">AD6</f>
        <v>1052369006942470</v>
      </c>
      <c r="U24" s="146">
        <f t="shared" ref="U24:U25" si="5">AI6</f>
        <v>835109949606128</v>
      </c>
      <c r="V24" s="146">
        <f t="shared" ref="V24:V25" si="6">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7"/>
      <c r="J25" s="207"/>
      <c r="K25" s="208"/>
      <c r="L25" s="207"/>
      <c r="M25" s="207"/>
      <c r="O25" s="454" t="s">
        <v>1072</v>
      </c>
      <c r="P25" s="42" t="s">
        <v>203</v>
      </c>
      <c r="Q25" s="145">
        <f t="shared" ref="Q25:R25" si="7">Q7</f>
        <v>779689755642910</v>
      </c>
      <c r="R25" s="145">
        <f t="shared" si="7"/>
        <v>1285827813283440</v>
      </c>
      <c r="S25" s="146">
        <f t="shared" si="3"/>
        <v>1218892314259696</v>
      </c>
      <c r="T25" s="146">
        <f t="shared" si="4"/>
        <v>1268339222558730</v>
      </c>
      <c r="U25" s="146">
        <f t="shared" si="5"/>
        <v>1224697059083576</v>
      </c>
      <c r="V25" s="146">
        <f t="shared" si="6"/>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7"/>
      <c r="J26" s="207"/>
      <c r="K26" s="208"/>
      <c r="L26" s="207"/>
      <c r="M26" s="207"/>
      <c r="O26" s="455"/>
    </row>
    <row r="27" spans="1:51">
      <c r="B27" s="493" t="s">
        <v>1085</v>
      </c>
      <c r="C27" s="494"/>
      <c r="D27" s="494"/>
      <c r="E27" s="494"/>
      <c r="F27" s="494"/>
      <c r="G27" s="494"/>
      <c r="H27" s="494"/>
      <c r="I27" s="494"/>
      <c r="J27" s="494"/>
      <c r="K27" s="494"/>
      <c r="L27" s="207"/>
      <c r="M27" s="207"/>
      <c r="AX27" s="30"/>
      <c r="AY27" s="205"/>
    </row>
    <row r="28" spans="1:51">
      <c r="B28" s="500" t="s">
        <v>159</v>
      </c>
      <c r="C28" s="500"/>
      <c r="D28" s="500"/>
      <c r="E28" s="500"/>
      <c r="F28" s="500"/>
      <c r="G28" s="500"/>
      <c r="H28" s="500"/>
      <c r="I28" s="500"/>
      <c r="J28" s="500"/>
      <c r="K28" s="500"/>
      <c r="L28" s="207"/>
      <c r="M28" s="207"/>
      <c r="O28" s="454" t="s">
        <v>1081</v>
      </c>
      <c r="P28" s="31" t="s">
        <v>230</v>
      </c>
      <c r="Q28" s="144"/>
      <c r="R28" s="144"/>
      <c r="S28" s="144"/>
      <c r="T28" s="144"/>
      <c r="U28" s="144"/>
      <c r="AX28" s="30"/>
      <c r="AY28" s="205"/>
    </row>
    <row r="29" spans="1:51">
      <c r="B29" s="31"/>
      <c r="C29" s="32"/>
      <c r="D29" s="32"/>
      <c r="E29" s="32"/>
      <c r="F29" s="32"/>
      <c r="G29" s="32"/>
      <c r="H29" s="495" t="s">
        <v>160</v>
      </c>
      <c r="I29" s="495"/>
      <c r="J29" s="495" t="s">
        <v>161</v>
      </c>
      <c r="K29" s="495"/>
      <c r="L29" s="207"/>
      <c r="M29" s="207"/>
      <c r="O29" s="454" t="s">
        <v>1083</v>
      </c>
      <c r="P29" s="31" t="s">
        <v>231</v>
      </c>
      <c r="Q29" s="142">
        <v>2000</v>
      </c>
      <c r="R29" s="142">
        <v>2022</v>
      </c>
      <c r="S29" s="154">
        <v>2030</v>
      </c>
      <c r="T29" s="154">
        <v>2040</v>
      </c>
      <c r="U29" s="154">
        <v>2050</v>
      </c>
      <c r="AX29" s="30"/>
      <c r="AY29" s="205"/>
    </row>
    <row r="30" spans="1:51">
      <c r="B30" s="31"/>
      <c r="C30" s="34">
        <v>2000</v>
      </c>
      <c r="D30" s="34">
        <v>2022</v>
      </c>
      <c r="E30" s="34">
        <v>2030</v>
      </c>
      <c r="F30" s="34">
        <v>2040</v>
      </c>
      <c r="G30" s="34">
        <v>2050</v>
      </c>
      <c r="H30" s="35">
        <v>2022</v>
      </c>
      <c r="I30" s="35">
        <v>2050</v>
      </c>
      <c r="J30" s="35" t="s">
        <v>175</v>
      </c>
      <c r="K30" s="403" t="s">
        <v>176</v>
      </c>
      <c r="L30" s="209"/>
      <c r="M30" s="209"/>
      <c r="O30" s="454" t="s">
        <v>1070</v>
      </c>
      <c r="P30" s="37" t="s">
        <v>201</v>
      </c>
      <c r="Q30" s="145">
        <f>Q5</f>
        <v>1702262487206750</v>
      </c>
      <c r="R30" s="145">
        <f>V5</f>
        <v>2739680930196350</v>
      </c>
      <c r="S30" s="146">
        <f>AD5</f>
        <v>2320708229501200</v>
      </c>
      <c r="T30" s="146">
        <f>AN5</f>
        <v>1798905787878220</v>
      </c>
      <c r="U30" s="146">
        <f>AX5</f>
        <v>1298557603810950</v>
      </c>
      <c r="AX30" s="30"/>
      <c r="AY30" s="205"/>
    </row>
    <row r="31" spans="1:51">
      <c r="A31" s="454" t="s">
        <v>1061</v>
      </c>
      <c r="B31" s="78" t="s">
        <v>217</v>
      </c>
      <c r="C31" s="65">
        <v>44.204000000000001</v>
      </c>
      <c r="D31" s="65">
        <v>69.084999999999994</v>
      </c>
      <c r="E31" s="66">
        <v>58.52</v>
      </c>
      <c r="F31" s="66">
        <v>45.362000000000002</v>
      </c>
      <c r="G31" s="66">
        <v>32.744999999999997</v>
      </c>
      <c r="H31" s="39">
        <v>100</v>
      </c>
      <c r="I31" s="39">
        <v>100</v>
      </c>
      <c r="J31" s="73">
        <v>2.0499999999999998</v>
      </c>
      <c r="K31" s="73">
        <v>-2.63</v>
      </c>
      <c r="L31" s="209"/>
      <c r="M31" s="209"/>
      <c r="O31" s="454" t="s">
        <v>1071</v>
      </c>
      <c r="P31" s="42" t="s">
        <v>202</v>
      </c>
      <c r="Q31" s="145">
        <f>Q6</f>
        <v>922572731563840</v>
      </c>
      <c r="R31" s="145">
        <f>V6</f>
        <v>1550456760916070</v>
      </c>
      <c r="S31" s="146">
        <f>AD6</f>
        <v>1052369006942470</v>
      </c>
      <c r="T31" s="146">
        <f>AN6</f>
        <v>617850892269800</v>
      </c>
      <c r="U31" s="146">
        <f>AX6</f>
        <v>236433056464220</v>
      </c>
      <c r="AX31" s="30"/>
      <c r="AY31" s="205"/>
    </row>
    <row r="32" spans="1:51">
      <c r="A32" s="454" t="s">
        <v>1086</v>
      </c>
      <c r="B32" s="222" t="s">
        <v>218</v>
      </c>
      <c r="C32" s="223">
        <v>22.988</v>
      </c>
      <c r="D32" s="223">
        <v>39.097000000000001</v>
      </c>
      <c r="E32" s="224">
        <v>26.536999999999999</v>
      </c>
      <c r="F32" s="224">
        <v>15.58</v>
      </c>
      <c r="G32" s="224">
        <v>5.9619999999999997</v>
      </c>
      <c r="H32" s="45">
        <v>56.59</v>
      </c>
      <c r="I32" s="45">
        <v>18.21</v>
      </c>
      <c r="J32" s="225">
        <v>2.44</v>
      </c>
      <c r="K32" s="225">
        <v>-6.5</v>
      </c>
      <c r="L32" s="209"/>
      <c r="M32" s="209"/>
      <c r="O32" s="456" t="s">
        <v>1072</v>
      </c>
      <c r="P32" s="42" t="s">
        <v>203</v>
      </c>
      <c r="Q32" s="145">
        <f>Q7</f>
        <v>779689755642910</v>
      </c>
      <c r="R32" s="145">
        <f>V7</f>
        <v>1189224169280280</v>
      </c>
      <c r="S32" s="146">
        <f>AD7</f>
        <v>1268339222558730</v>
      </c>
      <c r="T32" s="146">
        <f>AN7</f>
        <v>1181054895608420</v>
      </c>
      <c r="U32" s="146">
        <f>AX7</f>
        <v>1062164204015040</v>
      </c>
      <c r="AX32" s="30"/>
      <c r="AY32" s="205"/>
    </row>
    <row r="33" spans="1:51">
      <c r="A33" s="454" t="s">
        <v>1063</v>
      </c>
      <c r="B33" s="222" t="s">
        <v>219</v>
      </c>
      <c r="C33" s="223">
        <v>21.216999999999999</v>
      </c>
      <c r="D33" s="223">
        <v>29.988</v>
      </c>
      <c r="E33" s="224">
        <v>31.983000000000001</v>
      </c>
      <c r="F33" s="224">
        <v>29.782</v>
      </c>
      <c r="G33" s="224">
        <v>26.783999999999999</v>
      </c>
      <c r="H33" s="45">
        <v>43.41</v>
      </c>
      <c r="I33" s="45">
        <v>81.790000000000006</v>
      </c>
      <c r="J33" s="225">
        <v>1.59</v>
      </c>
      <c r="K33" s="225">
        <v>-0.4</v>
      </c>
      <c r="L33" s="209"/>
      <c r="M33" s="209"/>
      <c r="AX33" s="30"/>
      <c r="AY33" s="205"/>
    </row>
    <row r="34" spans="1:51">
      <c r="A34" s="455"/>
      <c r="B34" s="50"/>
      <c r="C34" s="51"/>
      <c r="D34" s="51"/>
      <c r="E34" s="52"/>
      <c r="F34" s="52"/>
      <c r="G34" s="52"/>
      <c r="H34" s="52"/>
      <c r="I34" s="52"/>
      <c r="J34" s="54"/>
      <c r="K34" s="54"/>
      <c r="L34" s="209"/>
      <c r="M34" s="209"/>
    </row>
    <row r="35" spans="1:51">
      <c r="A35" s="454" t="s">
        <v>1087</v>
      </c>
      <c r="B35" s="226" t="s">
        <v>220</v>
      </c>
      <c r="C35" s="227"/>
      <c r="D35" s="227"/>
      <c r="E35" s="228"/>
      <c r="F35" s="228"/>
      <c r="G35" s="228"/>
      <c r="H35" s="40"/>
      <c r="I35" s="40"/>
      <c r="J35" s="40"/>
      <c r="K35" s="40"/>
      <c r="L35" s="209"/>
      <c r="M35" s="209"/>
    </row>
    <row r="36" spans="1:51">
      <c r="A36" s="454" t="s">
        <v>1088</v>
      </c>
      <c r="B36" s="222" t="s">
        <v>221</v>
      </c>
      <c r="C36" s="223">
        <v>0.53600000000000003</v>
      </c>
      <c r="D36" s="223">
        <v>0.2</v>
      </c>
      <c r="E36" s="224">
        <v>0.06</v>
      </c>
      <c r="F36" s="224">
        <v>1.9E-2</v>
      </c>
      <c r="G36" s="224">
        <v>6.0000000000000001E-3</v>
      </c>
      <c r="H36" s="45">
        <v>0.28999999999999998</v>
      </c>
      <c r="I36" s="45">
        <v>0.02</v>
      </c>
      <c r="J36" s="225">
        <v>-4.38</v>
      </c>
      <c r="K36" s="225">
        <v>-11.85</v>
      </c>
      <c r="L36" s="209"/>
      <c r="M36" s="209"/>
    </row>
    <row r="37" spans="1:51">
      <c r="A37" s="454" t="s">
        <v>1089</v>
      </c>
      <c r="B37" s="222" t="s">
        <v>222</v>
      </c>
      <c r="C37" s="223">
        <v>1.2230000000000001</v>
      </c>
      <c r="D37" s="223">
        <v>2.68</v>
      </c>
      <c r="E37" s="224">
        <v>2.7890000000000001</v>
      </c>
      <c r="F37" s="224">
        <v>2.548</v>
      </c>
      <c r="G37" s="224">
        <v>2.024</v>
      </c>
      <c r="H37" s="45">
        <v>3.88</v>
      </c>
      <c r="I37" s="45">
        <v>6.18</v>
      </c>
      <c r="J37" s="225">
        <v>3.63</v>
      </c>
      <c r="K37" s="225">
        <v>-1</v>
      </c>
      <c r="L37" s="209"/>
      <c r="M37" s="209"/>
    </row>
    <row r="38" spans="1:51">
      <c r="A38" s="454" t="s">
        <v>1090</v>
      </c>
      <c r="B38" s="222" t="s">
        <v>223</v>
      </c>
      <c r="C38" s="223">
        <v>28.202000000000002</v>
      </c>
      <c r="D38" s="223">
        <v>49.115000000000002</v>
      </c>
      <c r="E38" s="224">
        <v>36.738999999999997</v>
      </c>
      <c r="F38" s="224">
        <v>25.582999999999998</v>
      </c>
      <c r="G38" s="224">
        <v>14.988</v>
      </c>
      <c r="H38" s="45">
        <v>71.09</v>
      </c>
      <c r="I38" s="45">
        <v>45.77</v>
      </c>
      <c r="J38" s="225">
        <v>2.5499999999999998</v>
      </c>
      <c r="K38" s="225">
        <v>-4.1500000000000004</v>
      </c>
      <c r="L38" s="209"/>
      <c r="M38" s="209"/>
    </row>
    <row r="39" spans="1:51">
      <c r="A39" s="454" t="s">
        <v>1091</v>
      </c>
      <c r="B39" s="222" t="s">
        <v>224</v>
      </c>
      <c r="C39" s="223">
        <v>14.244</v>
      </c>
      <c r="D39" s="223">
        <v>17.09</v>
      </c>
      <c r="E39" s="224">
        <v>18.931000000000001</v>
      </c>
      <c r="F39" s="224">
        <v>17.210999999999999</v>
      </c>
      <c r="G39" s="224">
        <v>15.728</v>
      </c>
      <c r="H39" s="45">
        <v>24.74</v>
      </c>
      <c r="I39" s="45">
        <v>48.03</v>
      </c>
      <c r="J39" s="225">
        <v>0.83</v>
      </c>
      <c r="K39" s="225">
        <v>-0.3</v>
      </c>
      <c r="L39" s="209"/>
      <c r="M39" s="209"/>
    </row>
    <row r="40" spans="1:51">
      <c r="A40" s="455"/>
      <c r="B40" s="50"/>
      <c r="C40" s="51"/>
      <c r="D40" s="51"/>
      <c r="E40" s="52"/>
      <c r="F40" s="52"/>
      <c r="G40" s="52"/>
      <c r="H40" s="52"/>
      <c r="I40" s="52"/>
      <c r="J40" s="54"/>
      <c r="K40" s="54"/>
      <c r="L40" s="209"/>
      <c r="M40" s="209"/>
    </row>
    <row r="41" spans="1:51">
      <c r="A41" s="454" t="s">
        <v>1092</v>
      </c>
      <c r="B41" s="226" t="s">
        <v>225</v>
      </c>
      <c r="C41" s="223"/>
      <c r="D41" s="223"/>
      <c r="E41" s="224"/>
      <c r="F41" s="224"/>
      <c r="G41" s="224"/>
      <c r="H41" s="45"/>
      <c r="I41" s="45"/>
      <c r="J41" s="225"/>
      <c r="K41" s="225"/>
      <c r="L41" s="209"/>
      <c r="M41" s="209"/>
    </row>
    <row r="42" spans="1:51">
      <c r="A42" s="454" t="s">
        <v>1098</v>
      </c>
      <c r="B42" s="222" t="s">
        <v>232</v>
      </c>
      <c r="C42" s="223">
        <v>22.988</v>
      </c>
      <c r="D42" s="223">
        <v>39.097000000000001</v>
      </c>
      <c r="E42" s="224">
        <v>26.536999999999999</v>
      </c>
      <c r="F42" s="224">
        <v>15.58</v>
      </c>
      <c r="G42" s="224">
        <v>5.9619999999999997</v>
      </c>
      <c r="H42" s="45">
        <v>56.59</v>
      </c>
      <c r="I42" s="45">
        <v>18.21</v>
      </c>
      <c r="J42" s="225">
        <v>2.44</v>
      </c>
      <c r="K42" s="225">
        <v>-6.5</v>
      </c>
      <c r="L42" s="209"/>
      <c r="M42" s="209"/>
    </row>
    <row r="43" spans="1:51">
      <c r="A43" s="454" t="s">
        <v>1099</v>
      </c>
      <c r="B43" s="222" t="s">
        <v>226</v>
      </c>
      <c r="C43" s="223">
        <v>12.957000000000001</v>
      </c>
      <c r="D43" s="223">
        <v>16.593</v>
      </c>
      <c r="E43" s="224">
        <v>18.478000000000002</v>
      </c>
      <c r="F43" s="224">
        <v>17.175999999999998</v>
      </c>
      <c r="G43" s="224">
        <v>15.693</v>
      </c>
      <c r="H43" s="45">
        <v>24.02</v>
      </c>
      <c r="I43" s="45">
        <v>47.92</v>
      </c>
      <c r="J43" s="225">
        <v>1.1299999999999999</v>
      </c>
      <c r="K43" s="225">
        <v>-0.2</v>
      </c>
      <c r="L43" s="209"/>
      <c r="M43" s="209"/>
    </row>
    <row r="44" spans="1:51">
      <c r="A44" s="454" t="s">
        <v>1095</v>
      </c>
      <c r="B44" s="222" t="s">
        <v>227</v>
      </c>
      <c r="C44" s="223">
        <v>3.5030000000000001</v>
      </c>
      <c r="D44" s="223">
        <v>2.1419999999999999</v>
      </c>
      <c r="E44" s="224">
        <v>1.847</v>
      </c>
      <c r="F44" s="224">
        <v>1.6359999999999999</v>
      </c>
      <c r="G44" s="224">
        <v>1.365</v>
      </c>
      <c r="H44" s="45">
        <v>3.1</v>
      </c>
      <c r="I44" s="45">
        <v>4.17</v>
      </c>
      <c r="J44" s="225">
        <v>-2.21</v>
      </c>
      <c r="K44" s="225">
        <v>-1.6</v>
      </c>
      <c r="L44" s="209"/>
      <c r="M44" s="209"/>
    </row>
    <row r="45" spans="1:51">
      <c r="A45" s="454" t="s">
        <v>1096</v>
      </c>
      <c r="B45" s="222" t="s">
        <v>228</v>
      </c>
      <c r="C45" s="223">
        <v>4.2169999999999996</v>
      </c>
      <c r="D45" s="223">
        <v>11.026</v>
      </c>
      <c r="E45" s="224">
        <v>11.59</v>
      </c>
      <c r="F45" s="224">
        <v>10.951000000000001</v>
      </c>
      <c r="G45" s="224">
        <v>9.7200000000000006</v>
      </c>
      <c r="H45" s="45">
        <v>15.96</v>
      </c>
      <c r="I45" s="45">
        <v>29.68</v>
      </c>
      <c r="J45" s="225">
        <v>4.47</v>
      </c>
      <c r="K45" s="225">
        <v>-0.45</v>
      </c>
      <c r="L45" s="209"/>
      <c r="M45" s="209"/>
    </row>
    <row r="46" spans="1:51" ht="17.25" thickBot="1">
      <c r="A46" s="456" t="s">
        <v>1097</v>
      </c>
      <c r="B46" s="222" t="s">
        <v>229</v>
      </c>
      <c r="C46" s="223">
        <v>0.45</v>
      </c>
      <c r="D46" s="223">
        <v>0.182</v>
      </c>
      <c r="E46" s="224">
        <v>0.05</v>
      </c>
      <c r="F46" s="224">
        <v>1.4999999999999999E-2</v>
      </c>
      <c r="G46" s="224">
        <v>4.0000000000000001E-3</v>
      </c>
      <c r="H46" s="45">
        <v>0.26</v>
      </c>
      <c r="I46" s="45">
        <v>0.01</v>
      </c>
      <c r="J46" s="225">
        <v>-4.03</v>
      </c>
      <c r="K46" s="225">
        <v>-12.57</v>
      </c>
      <c r="L46" s="209"/>
      <c r="M46" s="209"/>
    </row>
    <row r="47" spans="1:51">
      <c r="B47" s="496"/>
      <c r="C47" s="497"/>
      <c r="D47" s="497"/>
      <c r="E47" s="497"/>
      <c r="F47" s="497"/>
      <c r="G47" s="497"/>
      <c r="H47" s="497"/>
      <c r="I47" s="497"/>
      <c r="J47" s="497"/>
      <c r="K47" s="497"/>
      <c r="L47" s="209"/>
      <c r="M47" s="209"/>
    </row>
    <row r="48" spans="1:51">
      <c r="I48" s="209"/>
      <c r="J48" s="209"/>
      <c r="K48" s="210"/>
      <c r="L48" s="209"/>
      <c r="M48" s="209"/>
    </row>
    <row r="49" spans="9:13">
      <c r="I49" s="209"/>
      <c r="J49" s="209"/>
      <c r="K49" s="210"/>
      <c r="L49" s="209"/>
      <c r="M49" s="209"/>
    </row>
    <row r="50" spans="9:13">
      <c r="I50" s="209"/>
      <c r="J50" s="209"/>
      <c r="K50" s="210"/>
      <c r="L50" s="209"/>
      <c r="M50" s="209"/>
    </row>
    <row r="51" spans="9:13">
      <c r="I51" s="209"/>
      <c r="J51" s="209"/>
      <c r="K51" s="210"/>
      <c r="L51" s="209"/>
      <c r="M51" s="209"/>
    </row>
    <row r="52" spans="9:13">
      <c r="I52" s="209"/>
      <c r="J52" s="209"/>
      <c r="K52" s="210"/>
      <c r="L52" s="209"/>
      <c r="M52" s="209"/>
    </row>
    <row r="53" spans="9:13">
      <c r="I53" s="209"/>
      <c r="J53" s="209"/>
      <c r="K53" s="210"/>
      <c r="L53" s="209"/>
      <c r="M53" s="209"/>
    </row>
    <row r="54" spans="9:13">
      <c r="I54" s="209"/>
      <c r="J54" s="209"/>
      <c r="K54" s="210"/>
      <c r="L54" s="209"/>
      <c r="M54" s="209"/>
    </row>
    <row r="55" spans="9:13">
      <c r="I55" s="209"/>
      <c r="J55" s="209"/>
      <c r="K55" s="210"/>
      <c r="L55" s="209"/>
      <c r="M55" s="209"/>
    </row>
    <row r="56" spans="9:13">
      <c r="I56" s="209"/>
      <c r="J56" s="209"/>
      <c r="K56" s="210"/>
      <c r="L56" s="209"/>
      <c r="M56" s="209"/>
    </row>
    <row r="57" spans="9:13">
      <c r="I57" s="209"/>
      <c r="J57" s="209"/>
      <c r="K57" s="210"/>
      <c r="L57" s="209"/>
      <c r="M57" s="209"/>
    </row>
    <row r="58" spans="9:13">
      <c r="I58" s="209"/>
      <c r="J58" s="209"/>
      <c r="K58" s="210"/>
      <c r="L58" s="209"/>
      <c r="M58" s="209"/>
    </row>
    <row r="59" spans="9:13">
      <c r="I59" s="209"/>
      <c r="J59" s="209"/>
      <c r="K59" s="210"/>
      <c r="L59" s="209"/>
      <c r="M59" s="209"/>
    </row>
    <row r="60" spans="9:13">
      <c r="I60" s="209"/>
      <c r="J60" s="209"/>
      <c r="K60" s="210"/>
      <c r="L60" s="209"/>
      <c r="M60" s="209"/>
    </row>
    <row r="61" spans="9:13">
      <c r="I61" s="209"/>
      <c r="J61" s="209"/>
      <c r="K61" s="210"/>
      <c r="L61" s="209"/>
      <c r="M61" s="209"/>
    </row>
    <row r="62" spans="9:13">
      <c r="I62" s="209"/>
      <c r="J62" s="209"/>
      <c r="K62" s="210"/>
      <c r="L62" s="209"/>
      <c r="M62" s="209"/>
    </row>
    <row r="63" spans="9:13">
      <c r="I63" s="209"/>
      <c r="J63" s="209"/>
      <c r="K63" s="210"/>
      <c r="L63" s="209"/>
      <c r="M63" s="209"/>
    </row>
    <row r="64" spans="9:13">
      <c r="I64" s="209"/>
      <c r="J64" s="209"/>
      <c r="K64" s="210"/>
      <c r="L64" s="209"/>
      <c r="M64" s="209"/>
    </row>
    <row r="65" spans="9:13">
      <c r="I65" s="209"/>
      <c r="J65" s="209"/>
      <c r="K65" s="210"/>
      <c r="L65" s="209"/>
      <c r="M65" s="209"/>
    </row>
    <row r="66" spans="9:13">
      <c r="I66" s="209"/>
      <c r="J66" s="209"/>
      <c r="K66" s="210"/>
      <c r="L66" s="209"/>
      <c r="M66" s="209"/>
    </row>
    <row r="67" spans="9:13">
      <c r="I67" s="209"/>
      <c r="J67" s="209"/>
      <c r="K67" s="210"/>
      <c r="L67" s="209"/>
      <c r="M67" s="209"/>
    </row>
    <row r="68" spans="9:13">
      <c r="I68" s="209"/>
      <c r="J68" s="209"/>
      <c r="K68" s="210"/>
      <c r="L68" s="209"/>
      <c r="M68" s="209"/>
    </row>
    <row r="69" spans="9:13">
      <c r="I69" s="209"/>
      <c r="J69" s="209"/>
      <c r="K69" s="210"/>
      <c r="L69" s="209"/>
      <c r="M69" s="209"/>
    </row>
    <row r="70" spans="9:13">
      <c r="I70" s="209"/>
      <c r="J70" s="209"/>
      <c r="K70" s="210"/>
      <c r="L70" s="209"/>
      <c r="M70" s="209"/>
    </row>
    <row r="71" spans="9:13">
      <c r="I71" s="209"/>
      <c r="J71" s="209"/>
      <c r="K71" s="210"/>
      <c r="L71" s="209"/>
      <c r="M71" s="209"/>
    </row>
    <row r="72" spans="9:13">
      <c r="I72" s="209"/>
      <c r="J72" s="209"/>
      <c r="K72" s="210"/>
      <c r="L72" s="209"/>
      <c r="M72" s="209"/>
    </row>
    <row r="73" spans="9:13">
      <c r="I73" s="209"/>
      <c r="J73" s="209"/>
      <c r="K73" s="210"/>
      <c r="L73" s="209"/>
      <c r="M73" s="209"/>
    </row>
    <row r="74" spans="9:13">
      <c r="I74" s="209"/>
      <c r="J74" s="209"/>
      <c r="K74" s="210"/>
      <c r="L74" s="209"/>
      <c r="M74" s="209"/>
    </row>
    <row r="75" spans="9:13">
      <c r="I75" s="209"/>
      <c r="J75" s="209"/>
      <c r="K75" s="210"/>
      <c r="L75" s="209"/>
      <c r="M75" s="209"/>
    </row>
    <row r="76" spans="9:13">
      <c r="I76" s="209"/>
      <c r="J76" s="209"/>
      <c r="K76" s="210"/>
      <c r="L76" s="209"/>
      <c r="M76" s="209"/>
    </row>
    <row r="77" spans="9:13">
      <c r="I77" s="209"/>
      <c r="J77" s="209"/>
      <c r="K77" s="210"/>
      <c r="L77" s="209"/>
      <c r="M77" s="209"/>
    </row>
    <row r="78" spans="9:13">
      <c r="I78" s="209"/>
      <c r="J78" s="209"/>
      <c r="K78" s="210"/>
      <c r="L78" s="209"/>
      <c r="M78" s="209"/>
    </row>
    <row r="79" spans="9:13">
      <c r="I79" s="209"/>
      <c r="J79" s="209"/>
      <c r="K79" s="210"/>
      <c r="L79" s="209"/>
      <c r="M79" s="209"/>
    </row>
    <row r="80" spans="9:13">
      <c r="I80" s="209"/>
      <c r="J80" s="209"/>
      <c r="K80" s="210"/>
      <c r="L80" s="209"/>
      <c r="M80" s="209"/>
    </row>
    <row r="81" spans="9:13">
      <c r="I81" s="209"/>
      <c r="J81" s="209"/>
      <c r="K81" s="210"/>
      <c r="L81" s="209"/>
      <c r="M81" s="209"/>
    </row>
    <row r="82" spans="9:13">
      <c r="I82" s="209"/>
      <c r="J82" s="209"/>
      <c r="K82" s="210"/>
      <c r="L82" s="209"/>
      <c r="M82" s="209"/>
    </row>
    <row r="83" spans="9:13">
      <c r="I83" s="209"/>
      <c r="J83" s="209"/>
      <c r="K83" s="210"/>
      <c r="L83" s="209"/>
      <c r="M83" s="209"/>
    </row>
    <row r="84" spans="9:13">
      <c r="I84" s="209"/>
      <c r="J84" s="209"/>
      <c r="K84" s="210"/>
      <c r="L84" s="209"/>
      <c r="M84" s="209"/>
    </row>
    <row r="85" spans="9:13">
      <c r="I85" s="209"/>
      <c r="J85" s="209"/>
      <c r="K85" s="210"/>
      <c r="L85" s="209"/>
      <c r="M85" s="209"/>
    </row>
    <row r="86" spans="9:13">
      <c r="I86" s="209"/>
      <c r="J86" s="209"/>
      <c r="K86" s="210"/>
      <c r="L86" s="209"/>
      <c r="M86" s="209"/>
    </row>
    <row r="87" spans="9:13">
      <c r="I87" s="209"/>
      <c r="J87" s="209"/>
      <c r="K87" s="210"/>
      <c r="L87" s="209"/>
      <c r="M87" s="209"/>
    </row>
    <row r="88" spans="9:13">
      <c r="I88" s="209"/>
      <c r="J88" s="209"/>
      <c r="K88" s="210"/>
      <c r="L88" s="209"/>
      <c r="M88" s="209"/>
    </row>
    <row r="89" spans="9:13">
      <c r="I89" s="209"/>
      <c r="J89" s="209"/>
      <c r="K89" s="210"/>
      <c r="L89" s="209"/>
      <c r="M89" s="209"/>
    </row>
    <row r="90" spans="9:13">
      <c r="I90" s="209"/>
      <c r="J90" s="209"/>
      <c r="K90" s="210"/>
      <c r="L90" s="209"/>
      <c r="M90" s="209"/>
    </row>
    <row r="91" spans="9:13">
      <c r="I91" s="209"/>
      <c r="J91" s="209"/>
      <c r="K91" s="210"/>
      <c r="L91" s="209"/>
      <c r="M91" s="209"/>
    </row>
    <row r="92" spans="9:13">
      <c r="I92" s="209"/>
      <c r="J92" s="209"/>
      <c r="K92" s="210"/>
      <c r="L92" s="209"/>
      <c r="M92" s="209"/>
    </row>
    <row r="93" spans="9:13">
      <c r="I93" s="209"/>
      <c r="J93" s="209"/>
      <c r="K93" s="210"/>
      <c r="L93" s="209"/>
      <c r="M93" s="209"/>
    </row>
    <row r="94" spans="9:13">
      <c r="I94" s="209"/>
      <c r="J94" s="209"/>
      <c r="K94" s="210"/>
      <c r="L94" s="209"/>
      <c r="M94" s="209"/>
    </row>
    <row r="95" spans="9:13">
      <c r="I95" s="209"/>
      <c r="J95" s="209"/>
      <c r="K95" s="210"/>
      <c r="L95" s="209"/>
      <c r="M95" s="209"/>
    </row>
    <row r="96" spans="9:13">
      <c r="I96" s="209"/>
      <c r="J96" s="209"/>
      <c r="K96" s="210"/>
      <c r="L96" s="209"/>
      <c r="M96" s="209"/>
    </row>
    <row r="97" spans="9:13">
      <c r="I97" s="209"/>
      <c r="J97" s="209"/>
      <c r="K97" s="210"/>
      <c r="L97" s="209"/>
      <c r="M97" s="209"/>
    </row>
    <row r="98" spans="9:13">
      <c r="I98" s="209"/>
      <c r="J98" s="209"/>
      <c r="K98" s="210"/>
      <c r="L98" s="209"/>
      <c r="M98" s="209"/>
    </row>
    <row r="99" spans="9:13">
      <c r="I99" s="209"/>
      <c r="J99" s="209"/>
      <c r="K99" s="210"/>
      <c r="L99" s="209"/>
      <c r="M99" s="209"/>
    </row>
    <row r="100" spans="9:13">
      <c r="I100" s="209"/>
      <c r="J100" s="209"/>
      <c r="K100" s="210"/>
      <c r="L100" s="209"/>
      <c r="M100" s="209"/>
    </row>
    <row r="101" spans="9:13">
      <c r="I101" s="209"/>
      <c r="J101" s="209"/>
      <c r="K101" s="210"/>
      <c r="L101" s="209"/>
      <c r="M101" s="209"/>
    </row>
    <row r="102" spans="9:13">
      <c r="I102" s="209"/>
      <c r="J102" s="209"/>
      <c r="K102" s="210"/>
      <c r="L102" s="209"/>
      <c r="M102" s="209"/>
    </row>
    <row r="103" spans="9:13">
      <c r="I103" s="209"/>
      <c r="J103" s="209"/>
      <c r="K103" s="210"/>
      <c r="L103" s="209"/>
      <c r="M103" s="209"/>
    </row>
    <row r="104" spans="9:13">
      <c r="I104" s="209"/>
      <c r="J104" s="209"/>
      <c r="K104" s="210"/>
      <c r="L104" s="209"/>
      <c r="M104" s="209"/>
    </row>
    <row r="105" spans="9:13">
      <c r="I105" s="209"/>
      <c r="J105" s="209"/>
      <c r="K105" s="210"/>
      <c r="L105" s="209"/>
      <c r="M105" s="209"/>
    </row>
    <row r="106" spans="9:13">
      <c r="I106" s="209"/>
      <c r="J106" s="209"/>
      <c r="K106" s="210"/>
      <c r="L106" s="209"/>
      <c r="M106" s="209"/>
    </row>
    <row r="107" spans="9:13">
      <c r="I107" s="209"/>
      <c r="J107" s="209"/>
      <c r="K107" s="210"/>
      <c r="L107" s="209"/>
      <c r="M107" s="209"/>
    </row>
    <row r="108" spans="9:13">
      <c r="I108" s="209"/>
      <c r="J108" s="209"/>
      <c r="K108" s="210"/>
      <c r="L108" s="209"/>
      <c r="M108" s="209"/>
    </row>
    <row r="109" spans="9:13">
      <c r="I109" s="209"/>
      <c r="J109" s="209"/>
      <c r="K109" s="210"/>
      <c r="L109" s="209"/>
      <c r="M109" s="209"/>
    </row>
    <row r="110" spans="9:13">
      <c r="I110" s="209"/>
      <c r="J110" s="209"/>
      <c r="K110" s="210"/>
      <c r="L110" s="209"/>
      <c r="M110" s="209"/>
    </row>
    <row r="111" spans="9:13">
      <c r="I111" s="209"/>
      <c r="J111" s="209"/>
      <c r="K111" s="210"/>
      <c r="L111" s="209"/>
      <c r="M111" s="209"/>
    </row>
  </sheetData>
  <mergeCells count="10">
    <mergeCell ref="B1:M1"/>
    <mergeCell ref="B2:M2"/>
    <mergeCell ref="I3:J3"/>
    <mergeCell ref="L3:M3"/>
    <mergeCell ref="B21:M21"/>
    <mergeCell ref="B27:K27"/>
    <mergeCell ref="B28:K28"/>
    <mergeCell ref="H29:I29"/>
    <mergeCell ref="J29:K29"/>
    <mergeCell ref="B47:K47"/>
  </mergeCells>
  <phoneticPr fontId="35"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workbookViewId="0"/>
  </sheetViews>
  <sheetFormatPr defaultColWidth="8.125" defaultRowHeight="13.5"/>
  <cols>
    <col min="1" max="1" width="2.125" style="93" customWidth="1"/>
    <col min="2" max="2" width="25.375" style="93" bestFit="1" customWidth="1"/>
    <col min="3" max="3" width="41.375" style="93" bestFit="1" customWidth="1"/>
    <col min="4" max="15" width="10.375" style="93" customWidth="1"/>
    <col min="16" max="16" width="17.375" style="93" bestFit="1" customWidth="1"/>
    <col min="17" max="42" width="10.375" style="93" customWidth="1"/>
    <col min="43" max="43" width="24.375" style="93" bestFit="1" customWidth="1"/>
    <col min="44" max="44" width="28.125" style="93" bestFit="1" customWidth="1"/>
    <col min="45" max="45" width="18.375" style="93" bestFit="1" customWidth="1"/>
    <col min="46" max="49" width="10.375" style="93" customWidth="1"/>
    <col min="50" max="50" width="18.375" style="93" bestFit="1" customWidth="1"/>
    <col min="51" max="58" width="10.375" style="93" customWidth="1"/>
    <col min="59" max="59" width="11.5" style="93" bestFit="1" customWidth="1"/>
    <col min="60" max="61" width="10.375" style="93" customWidth="1"/>
    <col min="62" max="62" width="22" style="93" bestFit="1" customWidth="1"/>
    <col min="63" max="63" width="16.5" style="93" bestFit="1" customWidth="1"/>
    <col min="64" max="64" width="1.375" style="93" customWidth="1"/>
    <col min="65" max="65" width="9" style="93" bestFit="1" customWidth="1"/>
    <col min="66" max="66" width="14.375" style="93" bestFit="1" customWidth="1"/>
    <col min="67" max="16384" width="8.125" style="93"/>
  </cols>
  <sheetData>
    <row r="1" spans="2:65" ht="18" customHeight="1" thickBot="1">
      <c r="D1" s="507" t="s">
        <v>233</v>
      </c>
      <c r="E1" s="507"/>
      <c r="F1" s="507"/>
      <c r="G1" s="507"/>
      <c r="H1" s="507"/>
      <c r="I1" s="507"/>
      <c r="J1" s="507"/>
      <c r="K1" s="507"/>
      <c r="L1" s="507"/>
      <c r="M1" s="507"/>
      <c r="N1" s="507"/>
      <c r="O1" s="507"/>
      <c r="P1" s="507"/>
      <c r="Q1" s="508" t="s">
        <v>234</v>
      </c>
      <c r="R1" s="508"/>
      <c r="S1" s="140" t="s">
        <v>235</v>
      </c>
      <c r="T1" s="509" t="s">
        <v>236</v>
      </c>
      <c r="U1" s="509"/>
      <c r="V1" s="509"/>
      <c r="W1" s="508" t="s">
        <v>237</v>
      </c>
      <c r="X1" s="508"/>
      <c r="Y1" s="508"/>
      <c r="Z1" s="507" t="s">
        <v>238</v>
      </c>
      <c r="AA1" s="507"/>
      <c r="AB1" s="507"/>
      <c r="AC1" s="507"/>
      <c r="AD1" s="507"/>
      <c r="AE1" s="507"/>
      <c r="AF1" s="508" t="s">
        <v>239</v>
      </c>
      <c r="AG1" s="508"/>
      <c r="AH1" s="508"/>
      <c r="AI1" s="507" t="s">
        <v>240</v>
      </c>
      <c r="AJ1" s="507"/>
      <c r="AK1" s="507"/>
      <c r="AL1" s="507"/>
      <c r="AM1" s="507"/>
      <c r="AN1" s="507"/>
      <c r="AO1" s="507"/>
      <c r="AP1" s="508" t="s">
        <v>241</v>
      </c>
      <c r="AQ1" s="508"/>
      <c r="AR1" s="508"/>
      <c r="AS1" s="508"/>
      <c r="AT1" s="508"/>
      <c r="AU1" s="508"/>
      <c r="AV1" s="508"/>
      <c r="AW1" s="508"/>
      <c r="AX1" s="508"/>
      <c r="AY1" s="507" t="s">
        <v>242</v>
      </c>
      <c r="AZ1" s="507"/>
      <c r="BA1" s="507"/>
      <c r="BB1" s="507"/>
      <c r="BC1" s="507"/>
      <c r="BD1" s="507"/>
      <c r="BE1" s="507"/>
      <c r="BF1" s="507"/>
      <c r="BG1" s="507"/>
      <c r="BH1" s="211" t="s">
        <v>186</v>
      </c>
      <c r="BI1" s="141" t="s">
        <v>243</v>
      </c>
    </row>
    <row r="2" spans="2:65" ht="9.75" customHeight="1" thickBot="1">
      <c r="B2" s="133"/>
      <c r="C2" s="133"/>
      <c r="D2" s="133"/>
      <c r="E2" s="133"/>
      <c r="F2" s="133"/>
      <c r="G2" s="133"/>
      <c r="H2" s="133"/>
      <c r="I2" s="133"/>
      <c r="J2" s="133"/>
      <c r="K2" s="133"/>
      <c r="L2" s="133"/>
      <c r="M2" s="133"/>
      <c r="N2" s="133"/>
      <c r="O2" s="133"/>
      <c r="P2" s="133"/>
      <c r="Q2" s="133"/>
      <c r="R2" s="133"/>
      <c r="S2" s="133"/>
      <c r="T2" s="133"/>
      <c r="U2" s="133"/>
      <c r="V2" s="133"/>
      <c r="W2" s="133"/>
      <c r="X2" s="133"/>
      <c r="Y2" s="133"/>
      <c r="Z2" s="133"/>
      <c r="AA2" s="133"/>
      <c r="AB2" s="133"/>
      <c r="AC2" s="133"/>
      <c r="AD2" s="133"/>
      <c r="AE2" s="133"/>
      <c r="AF2" s="133"/>
      <c r="AG2" s="133"/>
      <c r="AH2" s="133"/>
      <c r="AI2" s="133"/>
      <c r="AJ2" s="133"/>
      <c r="AK2" s="133"/>
      <c r="AL2" s="133"/>
      <c r="AM2" s="133"/>
      <c r="AN2" s="133"/>
      <c r="AO2" s="133"/>
      <c r="AP2" s="133"/>
      <c r="AQ2" s="133"/>
      <c r="AR2" s="133"/>
      <c r="AS2" s="133"/>
      <c r="AT2" s="133"/>
      <c r="AU2" s="133"/>
      <c r="AV2" s="133"/>
      <c r="AW2" s="133"/>
      <c r="AX2" s="133"/>
      <c r="AY2" s="133"/>
      <c r="AZ2" s="133"/>
      <c r="BA2" s="133"/>
      <c r="BB2" s="133"/>
      <c r="BC2" s="133"/>
      <c r="BD2" s="133"/>
      <c r="BE2" s="133"/>
      <c r="BF2" s="133"/>
      <c r="BG2" s="133"/>
      <c r="BH2" s="133"/>
      <c r="BI2" s="133"/>
      <c r="BJ2" s="133"/>
      <c r="BK2" s="133"/>
    </row>
    <row r="3" spans="2:65">
      <c r="B3" s="94" t="s">
        <v>244</v>
      </c>
      <c r="D3" s="95" t="s">
        <v>245</v>
      </c>
      <c r="E3" s="95" t="s">
        <v>246</v>
      </c>
      <c r="F3" s="95" t="s">
        <v>247</v>
      </c>
      <c r="G3" s="95" t="s">
        <v>248</v>
      </c>
      <c r="H3" s="95" t="s">
        <v>249</v>
      </c>
      <c r="I3" s="95" t="s">
        <v>250</v>
      </c>
      <c r="J3" s="95" t="s">
        <v>251</v>
      </c>
      <c r="K3" s="95" t="s">
        <v>252</v>
      </c>
      <c r="L3" s="95" t="s">
        <v>253</v>
      </c>
      <c r="M3" s="95" t="s">
        <v>254</v>
      </c>
      <c r="N3" s="95" t="s">
        <v>255</v>
      </c>
      <c r="O3" s="95" t="s">
        <v>256</v>
      </c>
      <c r="P3" s="95" t="s">
        <v>257</v>
      </c>
      <c r="Q3" s="95" t="s">
        <v>197</v>
      </c>
      <c r="R3" s="95" t="s">
        <v>167</v>
      </c>
      <c r="S3" s="95" t="s">
        <v>258</v>
      </c>
      <c r="T3" s="95" t="s">
        <v>259</v>
      </c>
      <c r="U3" s="95" t="s">
        <v>260</v>
      </c>
      <c r="V3" s="95" t="s">
        <v>261</v>
      </c>
      <c r="W3" s="95" t="s">
        <v>262</v>
      </c>
      <c r="X3" s="95" t="s">
        <v>263</v>
      </c>
      <c r="Y3" s="95" t="s">
        <v>264</v>
      </c>
      <c r="Z3" s="95" t="s">
        <v>265</v>
      </c>
      <c r="AA3" s="95" t="s">
        <v>266</v>
      </c>
      <c r="AB3" s="95" t="s">
        <v>267</v>
      </c>
      <c r="AC3" s="95" t="s">
        <v>268</v>
      </c>
      <c r="AD3" s="95" t="s">
        <v>269</v>
      </c>
      <c r="AE3" s="95" t="s">
        <v>270</v>
      </c>
      <c r="AF3" s="95" t="s">
        <v>271</v>
      </c>
      <c r="AG3" s="95" t="s">
        <v>272</v>
      </c>
      <c r="AH3" s="95" t="s">
        <v>273</v>
      </c>
      <c r="AI3" s="95" t="s">
        <v>274</v>
      </c>
      <c r="AJ3" s="95" t="s">
        <v>275</v>
      </c>
      <c r="AK3" s="95" t="s">
        <v>276</v>
      </c>
      <c r="AL3" s="95" t="s">
        <v>277</v>
      </c>
      <c r="AM3" s="95" t="s">
        <v>278</v>
      </c>
      <c r="AN3" s="95" t="s">
        <v>279</v>
      </c>
      <c r="AO3" s="95" t="s">
        <v>280</v>
      </c>
      <c r="AP3" s="95" t="s">
        <v>281</v>
      </c>
      <c r="AQ3" s="95" t="s">
        <v>282</v>
      </c>
      <c r="AR3" s="95" t="s">
        <v>283</v>
      </c>
      <c r="AS3" s="95" t="s">
        <v>284</v>
      </c>
      <c r="AT3" s="95" t="s">
        <v>285</v>
      </c>
      <c r="AU3" s="95" t="s">
        <v>286</v>
      </c>
      <c r="AV3" s="95" t="s">
        <v>287</v>
      </c>
      <c r="AW3" s="95" t="s">
        <v>288</v>
      </c>
      <c r="AX3" s="95" t="s">
        <v>289</v>
      </c>
      <c r="AY3" s="95" t="s">
        <v>290</v>
      </c>
      <c r="AZ3" s="95" t="s">
        <v>291</v>
      </c>
      <c r="BA3" s="95" t="s">
        <v>292</v>
      </c>
      <c r="BB3" s="95" t="s">
        <v>293</v>
      </c>
      <c r="BC3" s="95" t="s">
        <v>294</v>
      </c>
      <c r="BD3" s="95" t="s">
        <v>295</v>
      </c>
      <c r="BE3" s="95" t="s">
        <v>296</v>
      </c>
      <c r="BF3" s="95" t="s">
        <v>297</v>
      </c>
      <c r="BG3" s="95" t="s">
        <v>298</v>
      </c>
      <c r="BH3" s="95" t="s">
        <v>168</v>
      </c>
      <c r="BI3" s="95" t="s">
        <v>299</v>
      </c>
      <c r="BJ3" s="95" t="s">
        <v>300</v>
      </c>
      <c r="BK3" s="95" t="s">
        <v>301</v>
      </c>
      <c r="BL3" s="92"/>
      <c r="BM3" s="92"/>
    </row>
    <row r="4" spans="2:65">
      <c r="B4" s="94">
        <v>2019</v>
      </c>
      <c r="D4" s="95" t="s">
        <v>302</v>
      </c>
      <c r="E4" s="95" t="s">
        <v>303</v>
      </c>
      <c r="F4" s="95" t="s">
        <v>304</v>
      </c>
      <c r="G4" s="95" t="s">
        <v>305</v>
      </c>
      <c r="H4" s="95" t="s">
        <v>306</v>
      </c>
      <c r="I4" s="95" t="s">
        <v>307</v>
      </c>
      <c r="J4" s="95" t="s">
        <v>308</v>
      </c>
      <c r="K4" s="95" t="s">
        <v>309</v>
      </c>
      <c r="L4" s="95" t="s">
        <v>310</v>
      </c>
      <c r="M4" s="95" t="s">
        <v>311</v>
      </c>
      <c r="N4" s="95" t="s">
        <v>312</v>
      </c>
      <c r="O4" s="95" t="s">
        <v>313</v>
      </c>
      <c r="P4" s="95" t="s">
        <v>314</v>
      </c>
      <c r="Q4" s="95" t="s">
        <v>315</v>
      </c>
      <c r="R4" s="95" t="s">
        <v>316</v>
      </c>
      <c r="S4" s="95" t="s">
        <v>317</v>
      </c>
      <c r="T4" s="95" t="s">
        <v>318</v>
      </c>
      <c r="U4" s="95" t="s">
        <v>319</v>
      </c>
      <c r="V4" s="95" t="s">
        <v>320</v>
      </c>
      <c r="W4" s="95" t="s">
        <v>321</v>
      </c>
      <c r="X4" s="95" t="s">
        <v>322</v>
      </c>
      <c r="Y4" s="95" t="s">
        <v>323</v>
      </c>
      <c r="Z4" s="95" t="s">
        <v>324</v>
      </c>
      <c r="AA4" s="95" t="s">
        <v>325</v>
      </c>
      <c r="AB4" s="95" t="s">
        <v>326</v>
      </c>
      <c r="AC4" s="95" t="s">
        <v>327</v>
      </c>
      <c r="AD4" s="95" t="s">
        <v>328</v>
      </c>
      <c r="AE4" s="95" t="s">
        <v>329</v>
      </c>
      <c r="AF4" s="95" t="s">
        <v>271</v>
      </c>
      <c r="AG4" s="95" t="s">
        <v>272</v>
      </c>
      <c r="AH4" s="95" t="s">
        <v>273</v>
      </c>
      <c r="AI4" s="95" t="s">
        <v>330</v>
      </c>
      <c r="AJ4" s="95" t="s">
        <v>331</v>
      </c>
      <c r="AK4" s="95" t="s">
        <v>332</v>
      </c>
      <c r="AL4" s="95" t="s">
        <v>333</v>
      </c>
      <c r="AM4" s="95" t="s">
        <v>334</v>
      </c>
      <c r="AN4" s="95" t="s">
        <v>335</v>
      </c>
      <c r="AO4" s="95" t="s">
        <v>336</v>
      </c>
      <c r="AP4" s="95" t="s">
        <v>337</v>
      </c>
      <c r="AQ4" s="95" t="s">
        <v>338</v>
      </c>
      <c r="AR4" s="95" t="s">
        <v>339</v>
      </c>
      <c r="AS4" s="95" t="s">
        <v>340</v>
      </c>
      <c r="AT4" s="95" t="s">
        <v>341</v>
      </c>
      <c r="AU4" s="95" t="s">
        <v>342</v>
      </c>
      <c r="AV4" s="95" t="s">
        <v>343</v>
      </c>
      <c r="AW4" s="95" t="s">
        <v>344</v>
      </c>
      <c r="AX4" s="95" t="s">
        <v>345</v>
      </c>
      <c r="AY4" s="95" t="s">
        <v>346</v>
      </c>
      <c r="AZ4" s="95" t="s">
        <v>347</v>
      </c>
      <c r="BA4" s="95" t="s">
        <v>348</v>
      </c>
      <c r="BB4" s="95" t="s">
        <v>349</v>
      </c>
      <c r="BC4" s="95" t="s">
        <v>350</v>
      </c>
      <c r="BD4" s="95" t="s">
        <v>351</v>
      </c>
      <c r="BE4" s="95" t="s">
        <v>352</v>
      </c>
      <c r="BF4" s="95" t="s">
        <v>353</v>
      </c>
      <c r="BG4" s="95" t="s">
        <v>354</v>
      </c>
      <c r="BH4" s="95" t="s">
        <v>355</v>
      </c>
      <c r="BI4" s="95" t="s">
        <v>356</v>
      </c>
      <c r="BJ4" s="95" t="s">
        <v>357</v>
      </c>
      <c r="BK4" s="95" t="s">
        <v>358</v>
      </c>
      <c r="BL4" s="92"/>
      <c r="BM4" s="92"/>
    </row>
    <row r="5" spans="2:65" ht="14.25" thickBot="1">
      <c r="B5" s="96" t="s">
        <v>359</v>
      </c>
      <c r="C5" s="91"/>
      <c r="D5" s="97"/>
      <c r="E5" s="97"/>
      <c r="F5" s="97"/>
      <c r="G5" s="97"/>
      <c r="H5" s="97"/>
      <c r="I5" s="97"/>
      <c r="J5" s="97"/>
      <c r="K5" s="97"/>
      <c r="L5" s="97"/>
      <c r="M5" s="97"/>
      <c r="N5" s="97"/>
      <c r="O5" s="97"/>
      <c r="P5" s="97"/>
      <c r="Q5" s="97"/>
      <c r="R5" s="97"/>
      <c r="S5" s="97"/>
      <c r="T5" s="97"/>
      <c r="U5" s="97"/>
      <c r="V5" s="97"/>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2"/>
      <c r="BM5" s="92"/>
    </row>
    <row r="6" spans="2:65">
      <c r="B6" s="98" t="s">
        <v>360</v>
      </c>
      <c r="C6" s="99" t="s">
        <v>361</v>
      </c>
      <c r="D6" s="100">
        <v>512.73199999999997</v>
      </c>
      <c r="E6" s="100">
        <v>0</v>
      </c>
      <c r="F6" s="100">
        <v>0</v>
      </c>
      <c r="G6" s="100">
        <v>0</v>
      </c>
      <c r="H6" s="100">
        <v>0</v>
      </c>
      <c r="I6" s="100">
        <v>0</v>
      </c>
      <c r="J6" s="100">
        <v>0</v>
      </c>
      <c r="K6" s="100">
        <v>0</v>
      </c>
      <c r="L6" s="100">
        <v>0</v>
      </c>
      <c r="M6" s="100">
        <v>0</v>
      </c>
      <c r="N6" s="100">
        <v>0</v>
      </c>
      <c r="O6" s="100">
        <v>0</v>
      </c>
      <c r="P6" s="100">
        <v>0</v>
      </c>
      <c r="Q6" s="101">
        <v>259.029</v>
      </c>
      <c r="R6" s="100">
        <v>0</v>
      </c>
      <c r="S6" s="101">
        <v>22.725999999999999</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1806.902</v>
      </c>
      <c r="AQ6" s="100">
        <v>974.077</v>
      </c>
      <c r="AR6" s="100">
        <v>669.93399999999997</v>
      </c>
      <c r="AS6" s="100">
        <v>2804.4319999999998</v>
      </c>
      <c r="AT6" s="100">
        <v>96.281000000000006</v>
      </c>
      <c r="AU6" s="100">
        <v>75.518000000000001</v>
      </c>
      <c r="AV6" s="101">
        <v>0</v>
      </c>
      <c r="AW6" s="101">
        <v>687.822</v>
      </c>
      <c r="AX6" s="100">
        <v>488.87700000000001</v>
      </c>
      <c r="AY6" s="100">
        <v>0</v>
      </c>
      <c r="AZ6" s="100">
        <v>31078.76</v>
      </c>
      <c r="BA6" s="100">
        <v>594.49900000000002</v>
      </c>
      <c r="BB6" s="100">
        <v>224.72200000000001</v>
      </c>
      <c r="BC6" s="100">
        <v>2768.152</v>
      </c>
      <c r="BD6" s="100">
        <v>26.911999999999999</v>
      </c>
      <c r="BE6" s="100">
        <v>101.03</v>
      </c>
      <c r="BF6" s="100">
        <v>570.66099999999994</v>
      </c>
      <c r="BG6" s="100">
        <v>0</v>
      </c>
      <c r="BH6" s="100">
        <v>0</v>
      </c>
      <c r="BI6" s="100">
        <v>66.305000000000007</v>
      </c>
      <c r="BJ6" s="100">
        <v>43829.370999999999</v>
      </c>
      <c r="BK6" s="100">
        <v>11889.82</v>
      </c>
      <c r="BL6" s="102"/>
      <c r="BM6" s="102"/>
    </row>
    <row r="7" spans="2:65">
      <c r="B7" s="98" t="s">
        <v>362</v>
      </c>
      <c r="C7" s="99" t="s">
        <v>363</v>
      </c>
      <c r="D7" s="100">
        <v>0</v>
      </c>
      <c r="E7" s="100">
        <v>3470.3240000000001</v>
      </c>
      <c r="F7" s="100">
        <v>15767.758</v>
      </c>
      <c r="G7" s="100">
        <v>65146.572</v>
      </c>
      <c r="H7" s="100">
        <v>955.61199999999997</v>
      </c>
      <c r="I7" s="100">
        <v>3.2000000000000001E-2</v>
      </c>
      <c r="J7" s="100">
        <v>15.407</v>
      </c>
      <c r="K7" s="100">
        <v>3.5190000000000001</v>
      </c>
      <c r="L7" s="100">
        <v>213.29400000000001</v>
      </c>
      <c r="M7" s="100">
        <v>0</v>
      </c>
      <c r="N7" s="100">
        <v>0</v>
      </c>
      <c r="O7" s="100">
        <v>0</v>
      </c>
      <c r="P7" s="100">
        <v>0</v>
      </c>
      <c r="Q7" s="100">
        <v>53217.292000000001</v>
      </c>
      <c r="R7" s="100">
        <v>0</v>
      </c>
      <c r="S7" s="100">
        <v>157205.65700000001</v>
      </c>
      <c r="T7" s="100">
        <v>687.46900000000005</v>
      </c>
      <c r="U7" s="100">
        <v>0</v>
      </c>
      <c r="V7" s="100">
        <v>62.220999999999997</v>
      </c>
      <c r="W7" s="100">
        <v>0</v>
      </c>
      <c r="X7" s="100">
        <v>7255.1239999999998</v>
      </c>
      <c r="Y7" s="100">
        <v>2117.6689999999999</v>
      </c>
      <c r="Z7" s="100">
        <v>16.18</v>
      </c>
      <c r="AA7" s="100">
        <v>0.46</v>
      </c>
      <c r="AB7" s="100">
        <v>0</v>
      </c>
      <c r="AC7" s="100">
        <v>0</v>
      </c>
      <c r="AD7" s="100">
        <v>4.9240000000000004</v>
      </c>
      <c r="AE7" s="100">
        <v>19.757999999999999</v>
      </c>
      <c r="AF7" s="100">
        <v>0</v>
      </c>
      <c r="AG7" s="100">
        <v>0</v>
      </c>
      <c r="AH7" s="100">
        <v>5001.5309999999999</v>
      </c>
      <c r="AI7" s="100">
        <v>27713.692999999999</v>
      </c>
      <c r="AJ7" s="100">
        <v>0.38100000000000001</v>
      </c>
      <c r="AK7" s="100">
        <v>5.2489999999999997</v>
      </c>
      <c r="AL7" s="100">
        <v>0</v>
      </c>
      <c r="AM7" s="100">
        <v>0</v>
      </c>
      <c r="AN7" s="100">
        <v>0</v>
      </c>
      <c r="AO7" s="100">
        <v>6.21</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338886.33600000007</v>
      </c>
      <c r="BK7" s="100">
        <v>0</v>
      </c>
      <c r="BL7" s="102"/>
      <c r="BM7" s="102"/>
    </row>
    <row r="8" spans="2:65">
      <c r="B8" s="98" t="s">
        <v>364</v>
      </c>
      <c r="C8" s="103" t="s">
        <v>365</v>
      </c>
      <c r="D8" s="100">
        <v>0</v>
      </c>
      <c r="E8" s="100">
        <v>-0.20799999999999999</v>
      </c>
      <c r="F8" s="100">
        <v>0</v>
      </c>
      <c r="G8" s="100">
        <v>0</v>
      </c>
      <c r="H8" s="100">
        <v>-8.9999999999999993E-3</v>
      </c>
      <c r="I8" s="100">
        <v>0</v>
      </c>
      <c r="J8" s="100">
        <v>-8.0000000000000002E-3</v>
      </c>
      <c r="K8" s="100">
        <v>0</v>
      </c>
      <c r="L8" s="100">
        <v>-11.66</v>
      </c>
      <c r="M8" s="100">
        <v>0</v>
      </c>
      <c r="N8" s="100">
        <v>0</v>
      </c>
      <c r="O8" s="100">
        <v>0</v>
      </c>
      <c r="P8" s="100">
        <v>0</v>
      </c>
      <c r="Q8" s="100">
        <v>0</v>
      </c>
      <c r="R8" s="100">
        <v>0</v>
      </c>
      <c r="S8" s="100">
        <v>0</v>
      </c>
      <c r="T8" s="100">
        <v>-64.566999999999993</v>
      </c>
      <c r="U8" s="100">
        <v>0</v>
      </c>
      <c r="V8" s="100">
        <v>-73.525000000000006</v>
      </c>
      <c r="W8" s="100">
        <v>0</v>
      </c>
      <c r="X8" s="100">
        <v>-498.541</v>
      </c>
      <c r="Y8" s="100">
        <v>-73.995999999999995</v>
      </c>
      <c r="Z8" s="100">
        <v>-10911.019</v>
      </c>
      <c r="AA8" s="100">
        <v>-26.093</v>
      </c>
      <c r="AB8" s="100">
        <v>0</v>
      </c>
      <c r="AC8" s="100">
        <v>-15896.424000000001</v>
      </c>
      <c r="AD8" s="100">
        <v>-581.63900000000001</v>
      </c>
      <c r="AE8" s="100">
        <v>-28028.460999999999</v>
      </c>
      <c r="AF8" s="100">
        <v>-33.252000000000002</v>
      </c>
      <c r="AG8" s="100">
        <v>0</v>
      </c>
      <c r="AH8" s="100">
        <v>-2731.6669999999999</v>
      </c>
      <c r="AI8" s="100">
        <v>-5808.1030000000001</v>
      </c>
      <c r="AJ8" s="100">
        <v>-156.86699999999999</v>
      </c>
      <c r="AK8" s="100">
        <v>-2416.39</v>
      </c>
      <c r="AL8" s="100">
        <v>-3324.645</v>
      </c>
      <c r="AM8" s="100">
        <v>0</v>
      </c>
      <c r="AN8" s="100">
        <v>0</v>
      </c>
      <c r="AO8" s="100">
        <v>-1888.453</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-72525.527000000002</v>
      </c>
      <c r="BK8" s="100">
        <v>0</v>
      </c>
      <c r="BL8" s="102"/>
      <c r="BM8" s="102"/>
    </row>
    <row r="9" spans="2:65">
      <c r="B9" s="98" t="s">
        <v>366</v>
      </c>
      <c r="C9" s="104" t="s">
        <v>367</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-0.01</v>
      </c>
      <c r="Y9" s="100">
        <v>0</v>
      </c>
      <c r="Z9" s="100">
        <v>-4.0000000000000001E-3</v>
      </c>
      <c r="AA9" s="100">
        <v>0</v>
      </c>
      <c r="AB9" s="100">
        <v>0</v>
      </c>
      <c r="AC9" s="100">
        <v>0</v>
      </c>
      <c r="AD9" s="100">
        <v>-0.10100000000000001</v>
      </c>
      <c r="AE9" s="100">
        <v>-1287.7809999999999</v>
      </c>
      <c r="AF9" s="100">
        <v>-51.720999999999997</v>
      </c>
      <c r="AG9" s="100">
        <v>-2.802</v>
      </c>
      <c r="AH9" s="100">
        <v>-7077.5460000000003</v>
      </c>
      <c r="AI9" s="100">
        <v>0</v>
      </c>
      <c r="AJ9" s="100">
        <v>-3.0000000000000001E-3</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-8419.9680000000008</v>
      </c>
      <c r="BK9" s="100">
        <v>0</v>
      </c>
      <c r="BL9" s="102"/>
      <c r="BM9" s="102"/>
    </row>
    <row r="10" spans="2:65">
      <c r="B10" s="98" t="s">
        <v>368</v>
      </c>
      <c r="C10" s="104" t="s">
        <v>369</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-0.51700000000000002</v>
      </c>
      <c r="AB10" s="100">
        <v>0</v>
      </c>
      <c r="AC10" s="100">
        <v>-4301.7640000000001</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-4302.2809999999999</v>
      </c>
      <c r="BK10" s="100">
        <v>0</v>
      </c>
      <c r="BL10" s="102"/>
      <c r="BM10" s="102"/>
    </row>
    <row r="11" spans="2:65" collapsed="1">
      <c r="B11" s="98" t="s">
        <v>370</v>
      </c>
      <c r="C11" s="99" t="s">
        <v>371</v>
      </c>
      <c r="D11" s="100">
        <v>-55.814</v>
      </c>
      <c r="E11" s="100">
        <v>28.841999999999999</v>
      </c>
      <c r="F11" s="100">
        <v>-1503.068</v>
      </c>
      <c r="G11" s="100">
        <v>347.25</v>
      </c>
      <c r="H11" s="100">
        <v>0</v>
      </c>
      <c r="I11" s="100">
        <v>0</v>
      </c>
      <c r="J11" s="100">
        <v>0</v>
      </c>
      <c r="K11" s="100">
        <v>0</v>
      </c>
      <c r="L11" s="100">
        <v>0</v>
      </c>
      <c r="M11" s="100">
        <v>0</v>
      </c>
      <c r="N11" s="100">
        <v>0</v>
      </c>
      <c r="O11" s="100">
        <v>0</v>
      </c>
      <c r="P11" s="100">
        <v>0</v>
      </c>
      <c r="Q11" s="100">
        <v>1085.29</v>
      </c>
      <c r="R11" s="100">
        <v>0</v>
      </c>
      <c r="S11" s="100">
        <v>954.96</v>
      </c>
      <c r="T11" s="100">
        <v>-140.392</v>
      </c>
      <c r="U11" s="100">
        <v>-0.122</v>
      </c>
      <c r="V11" s="100">
        <v>0.27400000000000002</v>
      </c>
      <c r="W11" s="100">
        <v>0</v>
      </c>
      <c r="X11" s="100">
        <v>56.872</v>
      </c>
      <c r="Y11" s="100">
        <v>56.58</v>
      </c>
      <c r="Z11" s="100">
        <v>129.70099999999999</v>
      </c>
      <c r="AA11" s="100">
        <v>2.476</v>
      </c>
      <c r="AB11" s="100">
        <v>0</v>
      </c>
      <c r="AC11" s="100">
        <v>12.483000000000001</v>
      </c>
      <c r="AD11" s="100">
        <v>-32.713000000000001</v>
      </c>
      <c r="AE11" s="100">
        <v>97.012</v>
      </c>
      <c r="AF11" s="100">
        <v>21.785</v>
      </c>
      <c r="AG11" s="100">
        <v>-0.65300000000000002</v>
      </c>
      <c r="AH11" s="100">
        <v>299.08300000000003</v>
      </c>
      <c r="AI11" s="100">
        <v>429.11900000000003</v>
      </c>
      <c r="AJ11" s="100">
        <v>0.89700000000000002</v>
      </c>
      <c r="AK11" s="100">
        <v>-20.928000000000001</v>
      </c>
      <c r="AL11" s="100">
        <v>19.841999999999999</v>
      </c>
      <c r="AM11" s="100">
        <v>0.57099999999999995</v>
      </c>
      <c r="AN11" s="100">
        <v>-3.1309999999999998</v>
      </c>
      <c r="AO11" s="100">
        <v>-24.824000000000002</v>
      </c>
      <c r="AP11" s="100">
        <v>0</v>
      </c>
      <c r="AQ11" s="100">
        <v>0</v>
      </c>
      <c r="AR11" s="100">
        <v>0</v>
      </c>
      <c r="AS11" s="100">
        <v>0</v>
      </c>
      <c r="AT11" s="100">
        <v>0</v>
      </c>
      <c r="AU11" s="100">
        <v>0</v>
      </c>
      <c r="AV11" s="100">
        <v>0</v>
      </c>
      <c r="AW11" s="100">
        <v>-2.4929999999999999</v>
      </c>
      <c r="AX11" s="100">
        <v>0</v>
      </c>
      <c r="AY11" s="100">
        <v>0</v>
      </c>
      <c r="AZ11" s="100">
        <v>0</v>
      </c>
      <c r="BA11" s="100">
        <v>0</v>
      </c>
      <c r="BB11" s="100">
        <v>0</v>
      </c>
      <c r="BC11" s="100">
        <v>0</v>
      </c>
      <c r="BD11" s="100">
        <v>0</v>
      </c>
      <c r="BE11" s="100">
        <v>0</v>
      </c>
      <c r="BF11" s="100">
        <v>0</v>
      </c>
      <c r="BG11" s="100">
        <v>0</v>
      </c>
      <c r="BH11" s="100">
        <v>0</v>
      </c>
      <c r="BI11" s="100">
        <v>0</v>
      </c>
      <c r="BJ11" s="100">
        <v>1758.8989999999999</v>
      </c>
      <c r="BK11" s="100">
        <v>-2.4929999999999999</v>
      </c>
      <c r="BL11" s="102"/>
      <c r="BM11" s="102"/>
    </row>
    <row r="12" spans="2:65">
      <c r="B12" s="105" t="s">
        <v>372</v>
      </c>
      <c r="C12" s="106" t="s">
        <v>373</v>
      </c>
      <c r="D12" s="107">
        <v>456.91800000000001</v>
      </c>
      <c r="E12" s="107">
        <v>3498.9580000000001</v>
      </c>
      <c r="F12" s="107">
        <v>14264.691000000001</v>
      </c>
      <c r="G12" s="107">
        <v>65493.822</v>
      </c>
      <c r="H12" s="107">
        <v>955.60400000000004</v>
      </c>
      <c r="I12" s="107">
        <v>3.1E-2</v>
      </c>
      <c r="J12" s="107">
        <v>15.398999999999999</v>
      </c>
      <c r="K12" s="107">
        <v>3.5190000000000001</v>
      </c>
      <c r="L12" s="107">
        <v>201.63399999999999</v>
      </c>
      <c r="M12" s="107">
        <v>0</v>
      </c>
      <c r="N12" s="107">
        <v>0</v>
      </c>
      <c r="O12" s="107">
        <v>0</v>
      </c>
      <c r="P12" s="107">
        <v>0</v>
      </c>
      <c r="Q12" s="107">
        <v>54561.612000000001</v>
      </c>
      <c r="R12" s="107">
        <v>0</v>
      </c>
      <c r="S12" s="107">
        <v>158183.34299999999</v>
      </c>
      <c r="T12" s="107">
        <v>482.51</v>
      </c>
      <c r="U12" s="107">
        <v>-0.122</v>
      </c>
      <c r="V12" s="107">
        <v>-11.03</v>
      </c>
      <c r="W12" s="107">
        <v>0</v>
      </c>
      <c r="X12" s="107">
        <v>6813.4440000000004</v>
      </c>
      <c r="Y12" s="107">
        <v>2100.2530000000002</v>
      </c>
      <c r="Z12" s="107">
        <v>-10765.142</v>
      </c>
      <c r="AA12" s="107">
        <v>-23.673999999999999</v>
      </c>
      <c r="AB12" s="107">
        <v>0</v>
      </c>
      <c r="AC12" s="107">
        <v>-20185.705999999998</v>
      </c>
      <c r="AD12" s="107">
        <v>-609.529</v>
      </c>
      <c r="AE12" s="107">
        <v>-29199.472000000002</v>
      </c>
      <c r="AF12" s="107">
        <v>-63.189</v>
      </c>
      <c r="AG12" s="107">
        <v>-3.456</v>
      </c>
      <c r="AH12" s="107">
        <v>-4508.5990000000002</v>
      </c>
      <c r="AI12" s="107">
        <v>22334.708999999999</v>
      </c>
      <c r="AJ12" s="107">
        <v>-155.59200000000001</v>
      </c>
      <c r="AK12" s="107">
        <v>-2432.0700000000002</v>
      </c>
      <c r="AL12" s="107">
        <v>-3304.8029999999999</v>
      </c>
      <c r="AM12" s="107">
        <v>0.57099999999999995</v>
      </c>
      <c r="AN12" s="107">
        <v>-3.1309999999999998</v>
      </c>
      <c r="AO12" s="107">
        <v>-1907.067</v>
      </c>
      <c r="AP12" s="107">
        <v>1806.902</v>
      </c>
      <c r="AQ12" s="107">
        <v>974.077</v>
      </c>
      <c r="AR12" s="107">
        <v>669.93399999999997</v>
      </c>
      <c r="AS12" s="107">
        <v>2804.4319999999998</v>
      </c>
      <c r="AT12" s="107">
        <v>96.281000000000006</v>
      </c>
      <c r="AU12" s="107">
        <v>75.518000000000001</v>
      </c>
      <c r="AV12" s="107">
        <v>0</v>
      </c>
      <c r="AW12" s="107">
        <v>685.32899999999995</v>
      </c>
      <c r="AX12" s="107">
        <v>488.87700000000001</v>
      </c>
      <c r="AY12" s="107">
        <v>0</v>
      </c>
      <c r="AZ12" s="107">
        <v>31078.76</v>
      </c>
      <c r="BA12" s="107">
        <v>594.49900000000002</v>
      </c>
      <c r="BB12" s="107">
        <v>224.72200000000001</v>
      </c>
      <c r="BC12" s="107">
        <v>2768.152</v>
      </c>
      <c r="BD12" s="107">
        <v>26.911999999999999</v>
      </c>
      <c r="BE12" s="107">
        <v>101.03</v>
      </c>
      <c r="BF12" s="107">
        <v>570.66099999999994</v>
      </c>
      <c r="BG12" s="107">
        <v>0</v>
      </c>
      <c r="BH12" s="107">
        <v>0</v>
      </c>
      <c r="BI12" s="107">
        <v>66.305000000000007</v>
      </c>
      <c r="BJ12" s="107">
        <v>299226.82700000011</v>
      </c>
      <c r="BK12" s="107">
        <v>11887.326999999999</v>
      </c>
      <c r="BL12" s="102"/>
      <c r="BM12" s="102"/>
    </row>
    <row r="13" spans="2:65">
      <c r="B13" s="98" t="s">
        <v>374</v>
      </c>
      <c r="C13" s="108" t="s">
        <v>375</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17202.894</v>
      </c>
      <c r="U13" s="100">
        <v>-4.0000000000000001E-3</v>
      </c>
      <c r="V13" s="100">
        <v>0</v>
      </c>
      <c r="W13" s="100">
        <v>3.0000000000000001E-3</v>
      </c>
      <c r="X13" s="100">
        <v>-561.25199999999995</v>
      </c>
      <c r="Y13" s="100">
        <v>173.33099999999999</v>
      </c>
      <c r="Z13" s="100">
        <v>-77.144999999999996</v>
      </c>
      <c r="AA13" s="100">
        <v>12.755000000000001</v>
      </c>
      <c r="AB13" s="100">
        <v>0</v>
      </c>
      <c r="AC13" s="100">
        <v>-241.04599999999999</v>
      </c>
      <c r="AD13" s="100">
        <v>118.598</v>
      </c>
      <c r="AE13" s="100">
        <v>95.725999999999999</v>
      </c>
      <c r="AF13" s="100">
        <v>-39.923000000000002</v>
      </c>
      <c r="AG13" s="100">
        <v>46.680999999999997</v>
      </c>
      <c r="AH13" s="100">
        <v>-2479.6559999999999</v>
      </c>
      <c r="AI13" s="100">
        <v>-8719.1630000000005</v>
      </c>
      <c r="AJ13" s="100">
        <v>-173.88399999999999</v>
      </c>
      <c r="AK13" s="100">
        <v>-13.631</v>
      </c>
      <c r="AL13" s="100">
        <v>0</v>
      </c>
      <c r="AM13" s="100">
        <v>0</v>
      </c>
      <c r="AN13" s="100">
        <v>0</v>
      </c>
      <c r="AO13" s="100">
        <v>0.112</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5344.3960000000025</v>
      </c>
      <c r="BK13" s="100">
        <v>3.0000000000000001E-3</v>
      </c>
      <c r="BL13" s="102"/>
      <c r="BM13" s="102"/>
    </row>
    <row r="14" spans="2:65">
      <c r="B14" s="109" t="s">
        <v>376</v>
      </c>
      <c r="C14" s="110" t="s">
        <v>377</v>
      </c>
      <c r="D14" s="111">
        <v>19.783000000000001</v>
      </c>
      <c r="E14" s="111">
        <v>-10.417999999999999</v>
      </c>
      <c r="F14" s="111">
        <v>3956.212</v>
      </c>
      <c r="G14" s="111">
        <v>-6043.8280000000004</v>
      </c>
      <c r="H14" s="111">
        <v>0</v>
      </c>
      <c r="I14" s="111">
        <v>0</v>
      </c>
      <c r="J14" s="111">
        <v>0</v>
      </c>
      <c r="K14" s="111">
        <v>0</v>
      </c>
      <c r="L14" s="111">
        <v>-37.374000000000002</v>
      </c>
      <c r="M14" s="111">
        <v>0</v>
      </c>
      <c r="N14" s="111">
        <v>0.3</v>
      </c>
      <c r="O14" s="111">
        <v>-2E-3</v>
      </c>
      <c r="P14" s="111">
        <v>0</v>
      </c>
      <c r="Q14" s="111">
        <v>-423.78899999999999</v>
      </c>
      <c r="R14" s="111">
        <v>490.49099999999999</v>
      </c>
      <c r="S14" s="111">
        <v>-2107.828</v>
      </c>
      <c r="T14" s="111">
        <v>-24.091999999999999</v>
      </c>
      <c r="U14" s="111">
        <v>0.14899999999999999</v>
      </c>
      <c r="V14" s="111">
        <v>0.251</v>
      </c>
      <c r="W14" s="111">
        <v>-55.066000000000003</v>
      </c>
      <c r="X14" s="111">
        <v>13.603</v>
      </c>
      <c r="Y14" s="111">
        <v>65.132999999999996</v>
      </c>
      <c r="Z14" s="111">
        <v>-15.268000000000001</v>
      </c>
      <c r="AA14" s="111">
        <v>0</v>
      </c>
      <c r="AB14" s="111">
        <v>0</v>
      </c>
      <c r="AC14" s="111">
        <v>-122.819</v>
      </c>
      <c r="AD14" s="111">
        <v>0.80300000000000005</v>
      </c>
      <c r="AE14" s="111">
        <v>6.0110000000000001</v>
      </c>
      <c r="AF14" s="111">
        <v>-2.286</v>
      </c>
      <c r="AG14" s="111">
        <v>2.1000000000000001E-2</v>
      </c>
      <c r="AH14" s="111">
        <v>3.77</v>
      </c>
      <c r="AI14" s="111">
        <v>27.81</v>
      </c>
      <c r="AJ14" s="111">
        <v>-3.2890000000000001</v>
      </c>
      <c r="AK14" s="111">
        <v>126.46899999999999</v>
      </c>
      <c r="AL14" s="111">
        <v>0.90800000000000003</v>
      </c>
      <c r="AM14" s="111">
        <v>-0.94399999999999995</v>
      </c>
      <c r="AN14" s="111">
        <v>195.95699999999999</v>
      </c>
      <c r="AO14" s="111">
        <v>-94.888999999999996</v>
      </c>
      <c r="AP14" s="111">
        <v>0</v>
      </c>
      <c r="AQ14" s="111">
        <v>0</v>
      </c>
      <c r="AR14" s="111">
        <v>0</v>
      </c>
      <c r="AS14" s="111">
        <v>0</v>
      </c>
      <c r="AT14" s="111">
        <v>0</v>
      </c>
      <c r="AU14" s="111">
        <v>0</v>
      </c>
      <c r="AV14" s="111">
        <v>0</v>
      </c>
      <c r="AW14" s="111">
        <v>9.5000000000000001E-2</v>
      </c>
      <c r="AX14" s="111">
        <v>0</v>
      </c>
      <c r="AY14" s="111">
        <v>0</v>
      </c>
      <c r="AZ14" s="111">
        <v>0</v>
      </c>
      <c r="BA14" s="111">
        <v>0</v>
      </c>
      <c r="BB14" s="111">
        <v>0</v>
      </c>
      <c r="BC14" s="111">
        <v>0</v>
      </c>
      <c r="BD14" s="111">
        <v>0</v>
      </c>
      <c r="BE14" s="111">
        <v>0</v>
      </c>
      <c r="BF14" s="111">
        <v>0</v>
      </c>
      <c r="BG14" s="111">
        <v>0</v>
      </c>
      <c r="BH14" s="111">
        <v>0</v>
      </c>
      <c r="BI14" s="111">
        <v>0</v>
      </c>
      <c r="BJ14" s="111">
        <v>-4034.1259999999984</v>
      </c>
      <c r="BK14" s="111">
        <v>432.21100000000001</v>
      </c>
      <c r="BL14" s="102"/>
      <c r="BM14" s="102"/>
    </row>
    <row r="15" spans="2:65">
      <c r="B15" s="105" t="s">
        <v>378</v>
      </c>
      <c r="C15" s="106" t="s">
        <v>379</v>
      </c>
      <c r="D15" s="107">
        <v>476.70100000000002</v>
      </c>
      <c r="E15" s="107">
        <v>3488.54</v>
      </c>
      <c r="F15" s="107">
        <v>18220.901999999998</v>
      </c>
      <c r="G15" s="107">
        <v>59449.993000000002</v>
      </c>
      <c r="H15" s="107">
        <v>955.60400000000004</v>
      </c>
      <c r="I15" s="107">
        <v>3.1E-2</v>
      </c>
      <c r="J15" s="107">
        <v>15.398999999999999</v>
      </c>
      <c r="K15" s="107">
        <v>3.5190000000000001</v>
      </c>
      <c r="L15" s="107">
        <v>164.26</v>
      </c>
      <c r="M15" s="107">
        <v>0</v>
      </c>
      <c r="N15" s="107">
        <v>0.3</v>
      </c>
      <c r="O15" s="107">
        <v>-2E-3</v>
      </c>
      <c r="P15" s="107">
        <v>0</v>
      </c>
      <c r="Q15" s="107">
        <v>54137.822999999997</v>
      </c>
      <c r="R15" s="107">
        <v>490.49099999999999</v>
      </c>
      <c r="S15" s="107">
        <v>156075.51500000001</v>
      </c>
      <c r="T15" s="107">
        <v>17661.312000000002</v>
      </c>
      <c r="U15" s="107">
        <v>2.1999999999999999E-2</v>
      </c>
      <c r="V15" s="107">
        <v>-10.779</v>
      </c>
      <c r="W15" s="107">
        <v>-55.064</v>
      </c>
      <c r="X15" s="107">
        <v>6265.7950000000001</v>
      </c>
      <c r="Y15" s="107">
        <v>2338.7170000000001</v>
      </c>
      <c r="Z15" s="107">
        <v>-10857.555</v>
      </c>
      <c r="AA15" s="107">
        <v>-10.92</v>
      </c>
      <c r="AB15" s="107">
        <v>0</v>
      </c>
      <c r="AC15" s="107">
        <v>-20549.571</v>
      </c>
      <c r="AD15" s="107">
        <v>-490.12799999999999</v>
      </c>
      <c r="AE15" s="107">
        <v>-29097.734</v>
      </c>
      <c r="AF15" s="107">
        <v>-105.398</v>
      </c>
      <c r="AG15" s="107">
        <v>43.246000000000002</v>
      </c>
      <c r="AH15" s="107">
        <v>-6984.4849999999997</v>
      </c>
      <c r="AI15" s="107">
        <v>13643.356</v>
      </c>
      <c r="AJ15" s="107">
        <v>-332.76499999999999</v>
      </c>
      <c r="AK15" s="107">
        <v>-2319.2310000000002</v>
      </c>
      <c r="AL15" s="107">
        <v>-3303.895</v>
      </c>
      <c r="AM15" s="107">
        <v>-0.373</v>
      </c>
      <c r="AN15" s="107">
        <v>192.82599999999999</v>
      </c>
      <c r="AO15" s="107">
        <v>-2001.8440000000001</v>
      </c>
      <c r="AP15" s="107">
        <v>1806.902</v>
      </c>
      <c r="AQ15" s="107">
        <v>974.077</v>
      </c>
      <c r="AR15" s="107">
        <v>669.93399999999997</v>
      </c>
      <c r="AS15" s="107">
        <v>2804.4319999999998</v>
      </c>
      <c r="AT15" s="107">
        <v>96.281000000000006</v>
      </c>
      <c r="AU15" s="107">
        <v>75.518000000000001</v>
      </c>
      <c r="AV15" s="107">
        <v>0</v>
      </c>
      <c r="AW15" s="107">
        <v>685.42399999999998</v>
      </c>
      <c r="AX15" s="107">
        <v>488.87700000000001</v>
      </c>
      <c r="AY15" s="107">
        <v>0</v>
      </c>
      <c r="AZ15" s="107">
        <v>31078.76</v>
      </c>
      <c r="BA15" s="107">
        <v>594.49900000000002</v>
      </c>
      <c r="BB15" s="107">
        <v>224.72200000000001</v>
      </c>
      <c r="BC15" s="107">
        <v>2768.152</v>
      </c>
      <c r="BD15" s="107">
        <v>26.911999999999999</v>
      </c>
      <c r="BE15" s="107">
        <v>101.03</v>
      </c>
      <c r="BF15" s="107">
        <v>570.66099999999994</v>
      </c>
      <c r="BG15" s="107">
        <v>0</v>
      </c>
      <c r="BH15" s="107">
        <v>0</v>
      </c>
      <c r="BI15" s="107">
        <v>66.305000000000007</v>
      </c>
      <c r="BJ15" s="107">
        <v>300537.09400000004</v>
      </c>
      <c r="BK15" s="107">
        <v>12319.54</v>
      </c>
      <c r="BL15" s="102"/>
      <c r="BM15" s="102"/>
    </row>
    <row r="16" spans="2:65">
      <c r="B16" s="105" t="s">
        <v>380</v>
      </c>
      <c r="C16" s="106" t="s">
        <v>381</v>
      </c>
      <c r="D16" s="107">
        <v>-476.70100000000002</v>
      </c>
      <c r="E16" s="107">
        <v>-405.12200000000001</v>
      </c>
      <c r="F16" s="107">
        <v>-18220.901999999998</v>
      </c>
      <c r="G16" s="107">
        <v>-55771.538999999997</v>
      </c>
      <c r="H16" s="107">
        <v>-955.60400000000004</v>
      </c>
      <c r="I16" s="107">
        <v>0</v>
      </c>
      <c r="J16" s="107">
        <v>0</v>
      </c>
      <c r="K16" s="107">
        <v>469.32799999999997</v>
      </c>
      <c r="L16" s="107">
        <v>555.65099999999995</v>
      </c>
      <c r="M16" s="107">
        <v>560.74099999999999</v>
      </c>
      <c r="N16" s="107">
        <v>2798.7330000000002</v>
      </c>
      <c r="O16" s="107">
        <v>2324.489</v>
      </c>
      <c r="P16" s="107">
        <v>353.68299999999999</v>
      </c>
      <c r="Q16" s="107">
        <v>-51550.464999999997</v>
      </c>
      <c r="R16" s="107">
        <v>23297.991000000002</v>
      </c>
      <c r="S16" s="107">
        <v>-156075.51500000001</v>
      </c>
      <c r="T16" s="107">
        <v>-17661.312000000002</v>
      </c>
      <c r="U16" s="107">
        <v>-2.1999999999999999E-2</v>
      </c>
      <c r="V16" s="107">
        <v>10.779</v>
      </c>
      <c r="W16" s="107">
        <v>8118.4269999999997</v>
      </c>
      <c r="X16" s="107">
        <v>475.77600000000001</v>
      </c>
      <c r="Y16" s="107">
        <v>2412.8789999999999</v>
      </c>
      <c r="Z16" s="107">
        <v>21143.476999999999</v>
      </c>
      <c r="AA16" s="107">
        <v>14.047000000000001</v>
      </c>
      <c r="AB16" s="107">
        <v>0</v>
      </c>
      <c r="AC16" s="107">
        <v>23660.481</v>
      </c>
      <c r="AD16" s="107">
        <v>2822.6039999999998</v>
      </c>
      <c r="AE16" s="107">
        <v>52626.203999999998</v>
      </c>
      <c r="AF16" s="107">
        <v>294.15699999999998</v>
      </c>
      <c r="AG16" s="107">
        <v>20.204999999999998</v>
      </c>
      <c r="AH16" s="107">
        <v>8206.7919999999995</v>
      </c>
      <c r="AI16" s="107">
        <v>30161.062000000002</v>
      </c>
      <c r="AJ16" s="107">
        <v>544.48599999999999</v>
      </c>
      <c r="AK16" s="107">
        <v>3169.39</v>
      </c>
      <c r="AL16" s="107">
        <v>4987.9889999999996</v>
      </c>
      <c r="AM16" s="107">
        <v>20.021999999999998</v>
      </c>
      <c r="AN16" s="107">
        <v>603.70699999999999</v>
      </c>
      <c r="AO16" s="107">
        <v>3106.252</v>
      </c>
      <c r="AP16" s="107">
        <v>-235.06100000000001</v>
      </c>
      <c r="AQ16" s="107">
        <v>-136.214</v>
      </c>
      <c r="AR16" s="107">
        <v>-242.50200000000001</v>
      </c>
      <c r="AS16" s="107">
        <v>-1983.7449999999999</v>
      </c>
      <c r="AT16" s="107">
        <v>-43.473999999999997</v>
      </c>
      <c r="AU16" s="107">
        <v>-68.819999999999993</v>
      </c>
      <c r="AV16" s="107">
        <v>0</v>
      </c>
      <c r="AW16" s="107">
        <v>0</v>
      </c>
      <c r="AX16" s="107">
        <v>-488.87700000000001</v>
      </c>
      <c r="AY16" s="107">
        <v>0</v>
      </c>
      <c r="AZ16" s="107">
        <v>-31078.76</v>
      </c>
      <c r="BA16" s="107">
        <v>-594.49900000000002</v>
      </c>
      <c r="BB16" s="107">
        <v>0</v>
      </c>
      <c r="BC16" s="107">
        <v>-2768.152</v>
      </c>
      <c r="BD16" s="107">
        <v>0</v>
      </c>
      <c r="BE16" s="107">
        <v>-101.03</v>
      </c>
      <c r="BF16" s="107">
        <v>-570.66099999999994</v>
      </c>
      <c r="BG16" s="107">
        <v>0</v>
      </c>
      <c r="BH16" s="107">
        <v>50986.226000000002</v>
      </c>
      <c r="BI16" s="107">
        <v>6427.1840000000002</v>
      </c>
      <c r="BJ16" s="107">
        <v>-89256.215000000069</v>
      </c>
      <c r="BK16" s="107">
        <v>3076.3809999999999</v>
      </c>
      <c r="BL16" s="102"/>
      <c r="BM16" s="102"/>
    </row>
    <row r="17" spans="2:65">
      <c r="B17" s="112" t="s">
        <v>382</v>
      </c>
      <c r="C17" s="113" t="s">
        <v>383</v>
      </c>
      <c r="D17" s="100">
        <v>-189.297</v>
      </c>
      <c r="E17" s="100">
        <v>-386.90600000000001</v>
      </c>
      <c r="F17" s="100">
        <v>0</v>
      </c>
      <c r="G17" s="100">
        <v>-48219.161</v>
      </c>
      <c r="H17" s="100">
        <v>-955.60400000000004</v>
      </c>
      <c r="I17" s="100">
        <v>0</v>
      </c>
      <c r="J17" s="100">
        <v>0</v>
      </c>
      <c r="K17" s="100">
        <v>0</v>
      </c>
      <c r="L17" s="100">
        <v>0</v>
      </c>
      <c r="M17" s="100">
        <v>0</v>
      </c>
      <c r="N17" s="100">
        <v>-810.68100000000004</v>
      </c>
      <c r="O17" s="100">
        <v>-3113.6619999999998</v>
      </c>
      <c r="P17" s="100">
        <v>-786.84900000000005</v>
      </c>
      <c r="Q17" s="100">
        <v>-20563.156999999999</v>
      </c>
      <c r="R17" s="100">
        <v>-7.7789999999999999</v>
      </c>
      <c r="S17" s="100">
        <v>0</v>
      </c>
      <c r="T17" s="100">
        <v>0</v>
      </c>
      <c r="U17" s="100">
        <v>0</v>
      </c>
      <c r="V17" s="100">
        <v>0</v>
      </c>
      <c r="W17" s="100">
        <v>0</v>
      </c>
      <c r="X17" s="100">
        <v>-5.0970000000000004</v>
      </c>
      <c r="Y17" s="100">
        <v>-0.60599999999999998</v>
      </c>
      <c r="Z17" s="100">
        <v>-2E-3</v>
      </c>
      <c r="AA17" s="100">
        <v>0</v>
      </c>
      <c r="AB17" s="100">
        <v>0</v>
      </c>
      <c r="AC17" s="100">
        <v>0</v>
      </c>
      <c r="AD17" s="100">
        <v>-172.43299999999999</v>
      </c>
      <c r="AE17" s="100">
        <v>-139.554</v>
      </c>
      <c r="AF17" s="100">
        <v>0</v>
      </c>
      <c r="AG17" s="100">
        <v>0</v>
      </c>
      <c r="AH17" s="100">
        <v>-518.08100000000002</v>
      </c>
      <c r="AI17" s="100">
        <v>-261.483</v>
      </c>
      <c r="AJ17" s="100">
        <v>0</v>
      </c>
      <c r="AK17" s="100">
        <v>0</v>
      </c>
      <c r="AL17" s="100">
        <v>0</v>
      </c>
      <c r="AM17" s="100">
        <v>0</v>
      </c>
      <c r="AN17" s="100">
        <v>0</v>
      </c>
      <c r="AO17" s="100">
        <v>0</v>
      </c>
      <c r="AP17" s="100">
        <v>-60.975000000000001</v>
      </c>
      <c r="AQ17" s="100">
        <v>-12.438000000000001</v>
      </c>
      <c r="AR17" s="100">
        <v>-47.023000000000003</v>
      </c>
      <c r="AS17" s="100">
        <v>-916.98599999999999</v>
      </c>
      <c r="AT17" s="100">
        <v>-38.752000000000002</v>
      </c>
      <c r="AU17" s="100">
        <v>-51.018999999999998</v>
      </c>
      <c r="AV17" s="100">
        <v>0</v>
      </c>
      <c r="AW17" s="100">
        <v>0</v>
      </c>
      <c r="AX17" s="100">
        <v>-488.87700000000001</v>
      </c>
      <c r="AY17" s="100">
        <v>0</v>
      </c>
      <c r="AZ17" s="100">
        <v>-31078.76</v>
      </c>
      <c r="BA17" s="100">
        <v>-594.49900000000002</v>
      </c>
      <c r="BB17" s="100">
        <v>0</v>
      </c>
      <c r="BC17" s="100">
        <v>-2768.152</v>
      </c>
      <c r="BD17" s="100">
        <v>0</v>
      </c>
      <c r="BE17" s="100">
        <v>-101.03</v>
      </c>
      <c r="BF17" s="100">
        <v>-570.66099999999994</v>
      </c>
      <c r="BG17" s="100">
        <v>-487.18400000000003</v>
      </c>
      <c r="BH17" s="100">
        <v>46273.72</v>
      </c>
      <c r="BI17" s="100">
        <v>0</v>
      </c>
      <c r="BJ17" s="100">
        <v>-67072.987999999954</v>
      </c>
      <c r="BK17" s="100">
        <v>-10744.954</v>
      </c>
      <c r="BL17" s="102"/>
      <c r="BM17" s="102"/>
    </row>
    <row r="18" spans="2:65">
      <c r="B18" s="114" t="s">
        <v>384</v>
      </c>
      <c r="C18" s="115" t="s">
        <v>385</v>
      </c>
      <c r="D18" s="100">
        <v>-189.297</v>
      </c>
      <c r="E18" s="100">
        <v>-386.90600000000001</v>
      </c>
      <c r="F18" s="100">
        <v>0</v>
      </c>
      <c r="G18" s="100">
        <v>-48219.161</v>
      </c>
      <c r="H18" s="100">
        <v>-955.60400000000004</v>
      </c>
      <c r="I18" s="100">
        <v>0</v>
      </c>
      <c r="J18" s="100">
        <v>0</v>
      </c>
      <c r="K18" s="100">
        <v>0</v>
      </c>
      <c r="L18" s="100">
        <v>0</v>
      </c>
      <c r="M18" s="100">
        <v>0</v>
      </c>
      <c r="N18" s="100">
        <v>-446.16800000000001</v>
      </c>
      <c r="O18" s="100">
        <v>-1223.0419999999999</v>
      </c>
      <c r="P18" s="100">
        <v>-389.78699999999998</v>
      </c>
      <c r="Q18" s="100">
        <v>-19885.883000000002</v>
      </c>
      <c r="R18" s="100">
        <v>0</v>
      </c>
      <c r="S18" s="100">
        <v>0</v>
      </c>
      <c r="T18" s="100">
        <v>0</v>
      </c>
      <c r="U18" s="100">
        <v>0</v>
      </c>
      <c r="V18" s="100">
        <v>0</v>
      </c>
      <c r="W18" s="100">
        <v>0</v>
      </c>
      <c r="X18" s="100">
        <v>-5.0970000000000004</v>
      </c>
      <c r="Y18" s="100">
        <v>-0.60599999999999998</v>
      </c>
      <c r="Z18" s="100">
        <v>-2E-3</v>
      </c>
      <c r="AA18" s="100">
        <v>0</v>
      </c>
      <c r="AB18" s="100">
        <v>0</v>
      </c>
      <c r="AC18" s="100">
        <v>0</v>
      </c>
      <c r="AD18" s="100">
        <v>-172.43299999999999</v>
      </c>
      <c r="AE18" s="100">
        <v>-139.392</v>
      </c>
      <c r="AF18" s="100">
        <v>0</v>
      </c>
      <c r="AG18" s="100">
        <v>0</v>
      </c>
      <c r="AH18" s="100">
        <v>-463.57799999999997</v>
      </c>
      <c r="AI18" s="100">
        <v>0</v>
      </c>
      <c r="AJ18" s="100">
        <v>0</v>
      </c>
      <c r="AK18" s="100">
        <v>0</v>
      </c>
      <c r="AL18" s="100">
        <v>0</v>
      </c>
      <c r="AM18" s="100">
        <v>0</v>
      </c>
      <c r="AN18" s="100">
        <v>0</v>
      </c>
      <c r="AO18" s="100">
        <v>0</v>
      </c>
      <c r="AP18" s="100">
        <v>-60.177999999999997</v>
      </c>
      <c r="AQ18" s="100">
        <v>-5.3150000000000004</v>
      </c>
      <c r="AR18" s="100">
        <v>-44.296999999999997</v>
      </c>
      <c r="AS18" s="100">
        <v>-916.197</v>
      </c>
      <c r="AT18" s="100">
        <v>-35.871000000000002</v>
      </c>
      <c r="AU18" s="100">
        <v>-51.018999999999998</v>
      </c>
      <c r="AV18" s="100">
        <v>0</v>
      </c>
      <c r="AW18" s="100">
        <v>0</v>
      </c>
      <c r="AX18" s="100">
        <v>-488.87700000000001</v>
      </c>
      <c r="AY18" s="100">
        <v>0</v>
      </c>
      <c r="AZ18" s="100">
        <v>-31078.76</v>
      </c>
      <c r="BA18" s="100">
        <v>-593.98900000000003</v>
      </c>
      <c r="BB18" s="100">
        <v>0</v>
      </c>
      <c r="BC18" s="100">
        <v>-2513.6060000000002</v>
      </c>
      <c r="BD18" s="100">
        <v>0</v>
      </c>
      <c r="BE18" s="100">
        <v>-101.03</v>
      </c>
      <c r="BF18" s="100">
        <v>-568.59699999999998</v>
      </c>
      <c r="BG18" s="100">
        <v>-480.7</v>
      </c>
      <c r="BH18" s="100">
        <v>44272.879000000001</v>
      </c>
      <c r="BI18" s="100">
        <v>0</v>
      </c>
      <c r="BJ18" s="100">
        <v>-65142.512999999977</v>
      </c>
      <c r="BK18" s="100">
        <v>-8172.866</v>
      </c>
      <c r="BL18" s="102"/>
      <c r="BM18" s="102"/>
    </row>
    <row r="19" spans="2:65" collapsed="1">
      <c r="B19" s="114" t="s">
        <v>386</v>
      </c>
      <c r="C19" s="115" t="s">
        <v>387</v>
      </c>
      <c r="D19" s="100">
        <v>0</v>
      </c>
      <c r="E19" s="100">
        <v>0</v>
      </c>
      <c r="F19" s="100">
        <v>0</v>
      </c>
      <c r="G19" s="100">
        <v>0</v>
      </c>
      <c r="H19" s="100">
        <v>0</v>
      </c>
      <c r="I19" s="100">
        <v>0</v>
      </c>
      <c r="J19" s="100">
        <v>0</v>
      </c>
      <c r="K19" s="100">
        <v>0</v>
      </c>
      <c r="L19" s="100">
        <v>0</v>
      </c>
      <c r="M19" s="100">
        <v>0</v>
      </c>
      <c r="N19" s="100">
        <v>-364.51299999999998</v>
      </c>
      <c r="O19" s="100">
        <v>-1890.6189999999999</v>
      </c>
      <c r="P19" s="100">
        <v>-397.06200000000001</v>
      </c>
      <c r="Q19" s="100">
        <v>-677.274</v>
      </c>
      <c r="R19" s="100">
        <v>-7.7789999999999999</v>
      </c>
      <c r="S19" s="100">
        <v>0</v>
      </c>
      <c r="T19" s="100">
        <v>0</v>
      </c>
      <c r="U19" s="100">
        <v>0</v>
      </c>
      <c r="V19" s="100">
        <v>0</v>
      </c>
      <c r="W19" s="100">
        <v>0</v>
      </c>
      <c r="X19" s="100">
        <v>0</v>
      </c>
      <c r="Y19" s="100">
        <v>0</v>
      </c>
      <c r="Z19" s="100">
        <v>0</v>
      </c>
      <c r="AA19" s="100">
        <v>0</v>
      </c>
      <c r="AB19" s="100">
        <v>0</v>
      </c>
      <c r="AC19" s="100">
        <v>0</v>
      </c>
      <c r="AD19" s="100">
        <v>0</v>
      </c>
      <c r="AE19" s="100">
        <v>-0.16200000000000001</v>
      </c>
      <c r="AF19" s="100">
        <v>0</v>
      </c>
      <c r="AG19" s="100">
        <v>0</v>
      </c>
      <c r="AH19" s="100">
        <v>-54.503</v>
      </c>
      <c r="AI19" s="100">
        <v>-261.483</v>
      </c>
      <c r="AJ19" s="100">
        <v>0</v>
      </c>
      <c r="AK19" s="100">
        <v>0</v>
      </c>
      <c r="AL19" s="100">
        <v>0</v>
      </c>
      <c r="AM19" s="100">
        <v>0</v>
      </c>
      <c r="AN19" s="100">
        <v>0</v>
      </c>
      <c r="AO19" s="100">
        <v>0</v>
      </c>
      <c r="AP19" s="100">
        <v>-0.79800000000000004</v>
      </c>
      <c r="AQ19" s="100">
        <v>-7.1239999999999997</v>
      </c>
      <c r="AR19" s="100">
        <v>-2.726</v>
      </c>
      <c r="AS19" s="100">
        <v>-0.79</v>
      </c>
      <c r="AT19" s="100">
        <v>-2.8809999999999998</v>
      </c>
      <c r="AU19" s="100">
        <v>0</v>
      </c>
      <c r="AV19" s="100">
        <v>0</v>
      </c>
      <c r="AW19" s="100">
        <v>0</v>
      </c>
      <c r="AX19" s="100">
        <v>0</v>
      </c>
      <c r="AY19" s="100">
        <v>0</v>
      </c>
      <c r="AZ19" s="100">
        <v>0</v>
      </c>
      <c r="BA19" s="100">
        <v>-0.51100000000000001</v>
      </c>
      <c r="BB19" s="100">
        <v>0</v>
      </c>
      <c r="BC19" s="100">
        <v>-254.54599999999999</v>
      </c>
      <c r="BD19" s="100">
        <v>0</v>
      </c>
      <c r="BE19" s="100">
        <v>0</v>
      </c>
      <c r="BF19" s="100">
        <v>-2.0640000000000001</v>
      </c>
      <c r="BG19" s="100">
        <v>-6.484</v>
      </c>
      <c r="BH19" s="100">
        <v>2000.8409999999999</v>
      </c>
      <c r="BI19" s="100">
        <v>0</v>
      </c>
      <c r="BJ19" s="100">
        <v>-1930.4779999999992</v>
      </c>
      <c r="BK19" s="100">
        <v>-2572.0880000000002</v>
      </c>
      <c r="BL19" s="102"/>
      <c r="BM19" s="102"/>
    </row>
    <row r="20" spans="2:65">
      <c r="B20" s="112" t="s">
        <v>388</v>
      </c>
      <c r="C20" s="113" t="s">
        <v>389</v>
      </c>
      <c r="D20" s="100">
        <v>0</v>
      </c>
      <c r="E20" s="100">
        <v>0</v>
      </c>
      <c r="F20" s="100">
        <v>0</v>
      </c>
      <c r="G20" s="100">
        <v>-2526.2600000000002</v>
      </c>
      <c r="H20" s="100">
        <v>0</v>
      </c>
      <c r="I20" s="100">
        <v>0</v>
      </c>
      <c r="J20" s="100">
        <v>0</v>
      </c>
      <c r="K20" s="100">
        <v>0</v>
      </c>
      <c r="L20" s="100">
        <v>0</v>
      </c>
      <c r="M20" s="100">
        <v>0</v>
      </c>
      <c r="N20" s="100">
        <v>0</v>
      </c>
      <c r="O20" s="100">
        <v>0</v>
      </c>
      <c r="P20" s="100">
        <v>0</v>
      </c>
      <c r="Q20" s="100">
        <v>-6612.1949999999997</v>
      </c>
      <c r="R20" s="100">
        <v>-560.75800000000004</v>
      </c>
      <c r="S20" s="100">
        <v>0</v>
      </c>
      <c r="T20" s="100">
        <v>0</v>
      </c>
      <c r="U20" s="100">
        <v>0</v>
      </c>
      <c r="V20" s="100">
        <v>0</v>
      </c>
      <c r="W20" s="100">
        <v>-422.47199999999998</v>
      </c>
      <c r="X20" s="100">
        <v>-76.41</v>
      </c>
      <c r="Y20" s="100">
        <v>0</v>
      </c>
      <c r="Z20" s="100">
        <v>-3.0000000000000001E-3</v>
      </c>
      <c r="AA20" s="100">
        <v>0</v>
      </c>
      <c r="AB20" s="100">
        <v>0</v>
      </c>
      <c r="AC20" s="100">
        <v>0</v>
      </c>
      <c r="AD20" s="100">
        <v>-1.1619999999999999</v>
      </c>
      <c r="AE20" s="100">
        <v>0</v>
      </c>
      <c r="AF20" s="100">
        <v>0</v>
      </c>
      <c r="AG20" s="100">
        <v>0</v>
      </c>
      <c r="AH20" s="100">
        <v>-152.37100000000001</v>
      </c>
      <c r="AI20" s="100">
        <v>-755.851</v>
      </c>
      <c r="AJ20" s="100">
        <v>0</v>
      </c>
      <c r="AK20" s="100">
        <v>0</v>
      </c>
      <c r="AL20" s="100">
        <v>0</v>
      </c>
      <c r="AM20" s="100">
        <v>0</v>
      </c>
      <c r="AN20" s="100">
        <v>0</v>
      </c>
      <c r="AO20" s="100">
        <v>-494.00799999999998</v>
      </c>
      <c r="AP20" s="100">
        <v>-71.546999999999997</v>
      </c>
      <c r="AQ20" s="100">
        <v>-123.77500000000001</v>
      </c>
      <c r="AR20" s="100">
        <v>-171.54599999999999</v>
      </c>
      <c r="AS20" s="100">
        <v>-1050.1880000000001</v>
      </c>
      <c r="AT20" s="100">
        <v>-1.5620000000000001</v>
      </c>
      <c r="AU20" s="100">
        <v>0</v>
      </c>
      <c r="AV20" s="100">
        <v>0</v>
      </c>
      <c r="AW20" s="100">
        <v>0</v>
      </c>
      <c r="AX20" s="100">
        <v>0</v>
      </c>
      <c r="AY20" s="100">
        <v>0</v>
      </c>
      <c r="AZ20" s="100">
        <v>0</v>
      </c>
      <c r="BA20" s="100">
        <v>0</v>
      </c>
      <c r="BB20" s="100">
        <v>0</v>
      </c>
      <c r="BC20" s="100">
        <v>0</v>
      </c>
      <c r="BD20" s="100">
        <v>0</v>
      </c>
      <c r="BE20" s="100">
        <v>0</v>
      </c>
      <c r="BF20" s="100">
        <v>0</v>
      </c>
      <c r="BG20" s="100">
        <v>0</v>
      </c>
      <c r="BH20" s="100">
        <v>4698.59</v>
      </c>
      <c r="BI20" s="100">
        <v>5993.451</v>
      </c>
      <c r="BJ20" s="100">
        <v>-2328.067</v>
      </c>
      <c r="BK20" s="100">
        <v>-1841.09</v>
      </c>
      <c r="BL20" s="102"/>
      <c r="BM20" s="102"/>
    </row>
    <row r="21" spans="2:65">
      <c r="B21" s="114" t="s">
        <v>390</v>
      </c>
      <c r="C21" s="115" t="s">
        <v>391</v>
      </c>
      <c r="D21" s="100">
        <v>0</v>
      </c>
      <c r="E21" s="100">
        <v>0</v>
      </c>
      <c r="F21" s="100">
        <v>0</v>
      </c>
      <c r="G21" s="100">
        <v>0</v>
      </c>
      <c r="H21" s="100">
        <v>0</v>
      </c>
      <c r="I21" s="100">
        <v>0</v>
      </c>
      <c r="J21" s="100">
        <v>0</v>
      </c>
      <c r="K21" s="100">
        <v>0</v>
      </c>
      <c r="L21" s="100">
        <v>0</v>
      </c>
      <c r="M21" s="100">
        <v>0</v>
      </c>
      <c r="N21" s="100">
        <v>0</v>
      </c>
      <c r="O21" s="100">
        <v>0</v>
      </c>
      <c r="P21" s="100">
        <v>0</v>
      </c>
      <c r="Q21" s="100">
        <v>-6026.31</v>
      </c>
      <c r="R21" s="100">
        <v>-421.649</v>
      </c>
      <c r="S21" s="100">
        <v>0</v>
      </c>
      <c r="T21" s="100">
        <v>0</v>
      </c>
      <c r="U21" s="100">
        <v>0</v>
      </c>
      <c r="V21" s="100">
        <v>0</v>
      </c>
      <c r="W21" s="100">
        <v>0</v>
      </c>
      <c r="X21" s="100">
        <v>-15.548</v>
      </c>
      <c r="Y21" s="100">
        <v>0</v>
      </c>
      <c r="Z21" s="100">
        <v>-3.0000000000000001E-3</v>
      </c>
      <c r="AA21" s="100">
        <v>0</v>
      </c>
      <c r="AB21" s="100">
        <v>0</v>
      </c>
      <c r="AC21" s="100">
        <v>0</v>
      </c>
      <c r="AD21" s="100">
        <v>-0.59599999999999997</v>
      </c>
      <c r="AE21" s="100">
        <v>0</v>
      </c>
      <c r="AF21" s="100">
        <v>0</v>
      </c>
      <c r="AG21" s="100">
        <v>0</v>
      </c>
      <c r="AH21" s="100">
        <v>-30.007000000000001</v>
      </c>
      <c r="AI21" s="100">
        <v>0</v>
      </c>
      <c r="AJ21" s="100">
        <v>0</v>
      </c>
      <c r="AK21" s="100">
        <v>0</v>
      </c>
      <c r="AL21" s="100">
        <v>0</v>
      </c>
      <c r="AM21" s="100">
        <v>0</v>
      </c>
      <c r="AN21" s="100">
        <v>0</v>
      </c>
      <c r="AO21" s="100">
        <v>0</v>
      </c>
      <c r="AP21" s="100">
        <v>-71.453000000000003</v>
      </c>
      <c r="AQ21" s="100">
        <v>-78.215000000000003</v>
      </c>
      <c r="AR21" s="100">
        <v>-10.877000000000001</v>
      </c>
      <c r="AS21" s="100">
        <v>-66.045000000000002</v>
      </c>
      <c r="AT21" s="100">
        <v>-0.755</v>
      </c>
      <c r="AU21" s="100">
        <v>0</v>
      </c>
      <c r="AV21" s="100">
        <v>0</v>
      </c>
      <c r="AW21" s="100">
        <v>0</v>
      </c>
      <c r="AX21" s="100">
        <v>0</v>
      </c>
      <c r="AY21" s="100">
        <v>0</v>
      </c>
      <c r="AZ21" s="100">
        <v>0</v>
      </c>
      <c r="BA21" s="100">
        <v>0</v>
      </c>
      <c r="BB21" s="100">
        <v>0</v>
      </c>
      <c r="BC21" s="100">
        <v>0</v>
      </c>
      <c r="BD21" s="100">
        <v>0</v>
      </c>
      <c r="BE21" s="100">
        <v>0</v>
      </c>
      <c r="BF21" s="100">
        <v>0</v>
      </c>
      <c r="BG21" s="100">
        <v>0</v>
      </c>
      <c r="BH21" s="100">
        <v>2631.0659999999998</v>
      </c>
      <c r="BI21" s="100">
        <v>2566.6770000000001</v>
      </c>
      <c r="BJ21" s="100">
        <v>-1523.7150000000006</v>
      </c>
      <c r="BK21" s="100">
        <v>-227.34399999999999</v>
      </c>
      <c r="BL21" s="102"/>
      <c r="BM21" s="102"/>
    </row>
    <row r="22" spans="2:65" collapsed="1">
      <c r="B22" s="114" t="s">
        <v>392</v>
      </c>
      <c r="C22" s="115" t="s">
        <v>393</v>
      </c>
      <c r="D22" s="100">
        <v>0</v>
      </c>
      <c r="E22" s="100">
        <v>0</v>
      </c>
      <c r="F22" s="100">
        <v>0</v>
      </c>
      <c r="G22" s="100">
        <v>-2526.2600000000002</v>
      </c>
      <c r="H22" s="100">
        <v>0</v>
      </c>
      <c r="I22" s="100">
        <v>0</v>
      </c>
      <c r="J22" s="100">
        <v>0</v>
      </c>
      <c r="K22" s="100">
        <v>0</v>
      </c>
      <c r="L22" s="100">
        <v>0</v>
      </c>
      <c r="M22" s="100">
        <v>0</v>
      </c>
      <c r="N22" s="100">
        <v>0</v>
      </c>
      <c r="O22" s="100">
        <v>0</v>
      </c>
      <c r="P22" s="100">
        <v>0</v>
      </c>
      <c r="Q22" s="100">
        <v>-585.88499999999999</v>
      </c>
      <c r="R22" s="100">
        <v>-139.10900000000001</v>
      </c>
      <c r="S22" s="100">
        <v>0</v>
      </c>
      <c r="T22" s="100">
        <v>0</v>
      </c>
      <c r="U22" s="100">
        <v>0</v>
      </c>
      <c r="V22" s="100">
        <v>0</v>
      </c>
      <c r="W22" s="100">
        <v>-422.47199999999998</v>
      </c>
      <c r="X22" s="100">
        <v>-60.862000000000002</v>
      </c>
      <c r="Y22" s="100">
        <v>0</v>
      </c>
      <c r="Z22" s="100">
        <v>0</v>
      </c>
      <c r="AA22" s="100">
        <v>0</v>
      </c>
      <c r="AB22" s="100">
        <v>0</v>
      </c>
      <c r="AC22" s="100">
        <v>0</v>
      </c>
      <c r="AD22" s="100">
        <v>-0.56599999999999995</v>
      </c>
      <c r="AE22" s="100">
        <v>0</v>
      </c>
      <c r="AF22" s="100">
        <v>0</v>
      </c>
      <c r="AG22" s="100">
        <v>0</v>
      </c>
      <c r="AH22" s="100">
        <v>-122.364</v>
      </c>
      <c r="AI22" s="100">
        <v>-755.851</v>
      </c>
      <c r="AJ22" s="100">
        <v>0</v>
      </c>
      <c r="AK22" s="100">
        <v>0</v>
      </c>
      <c r="AL22" s="100">
        <v>0</v>
      </c>
      <c r="AM22" s="100">
        <v>0</v>
      </c>
      <c r="AN22" s="100">
        <v>0</v>
      </c>
      <c r="AO22" s="100">
        <v>-494.00799999999998</v>
      </c>
      <c r="AP22" s="100">
        <v>-9.4E-2</v>
      </c>
      <c r="AQ22" s="100">
        <v>-45.56</v>
      </c>
      <c r="AR22" s="100">
        <v>-160.66999999999999</v>
      </c>
      <c r="AS22" s="100">
        <v>-984.14300000000003</v>
      </c>
      <c r="AT22" s="100">
        <v>-0.80700000000000005</v>
      </c>
      <c r="AU22" s="100">
        <v>0</v>
      </c>
      <c r="AV22" s="100">
        <v>0</v>
      </c>
      <c r="AW22" s="100">
        <v>0</v>
      </c>
      <c r="AX22" s="100">
        <v>0</v>
      </c>
      <c r="AY22" s="100">
        <v>0</v>
      </c>
      <c r="AZ22" s="100">
        <v>0</v>
      </c>
      <c r="BA22" s="100">
        <v>0</v>
      </c>
      <c r="BB22" s="100">
        <v>0</v>
      </c>
      <c r="BC22" s="100">
        <v>0</v>
      </c>
      <c r="BD22" s="100">
        <v>0</v>
      </c>
      <c r="BE22" s="100">
        <v>0</v>
      </c>
      <c r="BF22" s="100">
        <v>0</v>
      </c>
      <c r="BG22" s="100">
        <v>0</v>
      </c>
      <c r="BH22" s="100">
        <v>2067.5230000000001</v>
      </c>
      <c r="BI22" s="100">
        <v>3426.7739999999999</v>
      </c>
      <c r="BJ22" s="100">
        <v>-804.35400000000072</v>
      </c>
      <c r="BK22" s="100">
        <v>-1613.7460000000001</v>
      </c>
      <c r="BL22" s="102"/>
      <c r="BM22" s="102"/>
    </row>
    <row r="23" spans="2:65">
      <c r="B23" s="112" t="s">
        <v>394</v>
      </c>
      <c r="C23" s="113" t="s">
        <v>395</v>
      </c>
      <c r="D23" s="100">
        <v>0</v>
      </c>
      <c r="E23" s="100">
        <v>0</v>
      </c>
      <c r="F23" s="100">
        <v>0</v>
      </c>
      <c r="G23" s="100">
        <v>0</v>
      </c>
      <c r="H23" s="100">
        <v>0</v>
      </c>
      <c r="I23" s="100">
        <v>0</v>
      </c>
      <c r="J23" s="100">
        <v>0</v>
      </c>
      <c r="K23" s="100">
        <v>0</v>
      </c>
      <c r="L23" s="100">
        <v>0</v>
      </c>
      <c r="M23" s="100">
        <v>0</v>
      </c>
      <c r="N23" s="100">
        <v>0</v>
      </c>
      <c r="O23" s="100">
        <v>0</v>
      </c>
      <c r="P23" s="100">
        <v>0</v>
      </c>
      <c r="Q23" s="100">
        <v>-40.896000000000001</v>
      </c>
      <c r="R23" s="100">
        <v>-293.99599999999998</v>
      </c>
      <c r="S23" s="100">
        <v>0</v>
      </c>
      <c r="T23" s="100">
        <v>0</v>
      </c>
      <c r="U23" s="100">
        <v>0</v>
      </c>
      <c r="V23" s="100">
        <v>0</v>
      </c>
      <c r="W23" s="100">
        <v>0</v>
      </c>
      <c r="X23" s="100">
        <v>-72.200999999999993</v>
      </c>
      <c r="Y23" s="100">
        <v>0</v>
      </c>
      <c r="Z23" s="100">
        <v>0</v>
      </c>
      <c r="AA23" s="100">
        <v>0</v>
      </c>
      <c r="AB23" s="100">
        <v>0</v>
      </c>
      <c r="AC23" s="100">
        <v>0</v>
      </c>
      <c r="AD23" s="100">
        <v>-0.628</v>
      </c>
      <c r="AE23" s="100">
        <v>-0.29899999999999999</v>
      </c>
      <c r="AF23" s="100">
        <v>-0.16</v>
      </c>
      <c r="AG23" s="100">
        <v>0</v>
      </c>
      <c r="AH23" s="100">
        <v>-200.93799999999999</v>
      </c>
      <c r="AI23" s="100">
        <v>0</v>
      </c>
      <c r="AJ23" s="100">
        <v>0</v>
      </c>
      <c r="AK23" s="100">
        <v>0</v>
      </c>
      <c r="AL23" s="100">
        <v>0</v>
      </c>
      <c r="AM23" s="100">
        <v>0</v>
      </c>
      <c r="AN23" s="100">
        <v>0</v>
      </c>
      <c r="AO23" s="100">
        <v>-16.277000000000001</v>
      </c>
      <c r="AP23" s="100">
        <v>-102.539</v>
      </c>
      <c r="AQ23" s="100">
        <v>0</v>
      </c>
      <c r="AR23" s="100">
        <v>-23.931999999999999</v>
      </c>
      <c r="AS23" s="100">
        <v>-16.57</v>
      </c>
      <c r="AT23" s="100">
        <v>-3.16</v>
      </c>
      <c r="AU23" s="100">
        <v>-17.800999999999998</v>
      </c>
      <c r="AV23" s="100">
        <v>0</v>
      </c>
      <c r="AW23" s="100">
        <v>0</v>
      </c>
      <c r="AX23" s="100">
        <v>0</v>
      </c>
      <c r="AY23" s="100">
        <v>0</v>
      </c>
      <c r="AZ23" s="100">
        <v>0</v>
      </c>
      <c r="BA23" s="100">
        <v>0</v>
      </c>
      <c r="BB23" s="100">
        <v>0</v>
      </c>
      <c r="BC23" s="100">
        <v>0</v>
      </c>
      <c r="BD23" s="100">
        <v>0</v>
      </c>
      <c r="BE23" s="100">
        <v>0</v>
      </c>
      <c r="BF23" s="100">
        <v>0</v>
      </c>
      <c r="BG23" s="100">
        <v>0</v>
      </c>
      <c r="BH23" s="100">
        <v>0</v>
      </c>
      <c r="BI23" s="100">
        <v>500.03899999999999</v>
      </c>
      <c r="BJ23" s="100">
        <v>-289.35800000000006</v>
      </c>
      <c r="BK23" s="100">
        <v>-164.001</v>
      </c>
      <c r="BL23" s="102"/>
      <c r="BM23" s="102"/>
    </row>
    <row r="24" spans="2:65">
      <c r="B24" s="114" t="s">
        <v>396</v>
      </c>
      <c r="C24" s="115" t="s">
        <v>397</v>
      </c>
      <c r="D24" s="100">
        <v>0</v>
      </c>
      <c r="E24" s="100">
        <v>0</v>
      </c>
      <c r="F24" s="100">
        <v>0</v>
      </c>
      <c r="G24" s="100">
        <v>0</v>
      </c>
      <c r="H24" s="100">
        <v>0</v>
      </c>
      <c r="I24" s="100">
        <v>0</v>
      </c>
      <c r="J24" s="100">
        <v>0</v>
      </c>
      <c r="K24" s="100">
        <v>0</v>
      </c>
      <c r="L24" s="100">
        <v>0</v>
      </c>
      <c r="M24" s="100">
        <v>0</v>
      </c>
      <c r="N24" s="100">
        <v>0</v>
      </c>
      <c r="O24" s="100">
        <v>0</v>
      </c>
      <c r="P24" s="100">
        <v>0</v>
      </c>
      <c r="Q24" s="100">
        <v>-40.896000000000001</v>
      </c>
      <c r="R24" s="100">
        <v>-286.411</v>
      </c>
      <c r="S24" s="100">
        <v>0</v>
      </c>
      <c r="T24" s="100">
        <v>0</v>
      </c>
      <c r="U24" s="100">
        <v>0</v>
      </c>
      <c r="V24" s="100">
        <v>0</v>
      </c>
      <c r="W24" s="100">
        <v>0</v>
      </c>
      <c r="X24" s="100">
        <v>-71.036000000000001</v>
      </c>
      <c r="Y24" s="100">
        <v>0</v>
      </c>
      <c r="Z24" s="100">
        <v>0</v>
      </c>
      <c r="AA24" s="100">
        <v>0</v>
      </c>
      <c r="AB24" s="100">
        <v>0</v>
      </c>
      <c r="AC24" s="100">
        <v>0</v>
      </c>
      <c r="AD24" s="100">
        <v>-0.628</v>
      </c>
      <c r="AE24" s="100">
        <v>-1.2E-2</v>
      </c>
      <c r="AF24" s="100">
        <v>-0.16</v>
      </c>
      <c r="AG24" s="100">
        <v>0</v>
      </c>
      <c r="AH24" s="100">
        <v>-158.15700000000001</v>
      </c>
      <c r="AI24" s="100">
        <v>0</v>
      </c>
      <c r="AJ24" s="100">
        <v>0</v>
      </c>
      <c r="AK24" s="100">
        <v>0</v>
      </c>
      <c r="AL24" s="100">
        <v>0</v>
      </c>
      <c r="AM24" s="100">
        <v>0</v>
      </c>
      <c r="AN24" s="100">
        <v>0</v>
      </c>
      <c r="AO24" s="100">
        <v>0</v>
      </c>
      <c r="AP24" s="100">
        <v>0</v>
      </c>
      <c r="AQ24" s="100">
        <v>0</v>
      </c>
      <c r="AR24" s="100">
        <v>0</v>
      </c>
      <c r="AS24" s="100">
        <v>0</v>
      </c>
      <c r="AT24" s="100">
        <v>-3.16</v>
      </c>
      <c r="AU24" s="100">
        <v>-17.800999999999998</v>
      </c>
      <c r="AV24" s="100">
        <v>0</v>
      </c>
      <c r="AW24" s="100">
        <v>0</v>
      </c>
      <c r="AX24" s="100">
        <v>0</v>
      </c>
      <c r="AY24" s="100">
        <v>0</v>
      </c>
      <c r="AZ24" s="100">
        <v>0</v>
      </c>
      <c r="BA24" s="100">
        <v>0</v>
      </c>
      <c r="BB24" s="100">
        <v>0</v>
      </c>
      <c r="BC24" s="100">
        <v>0</v>
      </c>
      <c r="BD24" s="100">
        <v>0</v>
      </c>
      <c r="BE24" s="100">
        <v>0</v>
      </c>
      <c r="BF24" s="100">
        <v>0</v>
      </c>
      <c r="BG24" s="100">
        <v>0</v>
      </c>
      <c r="BH24" s="100">
        <v>0</v>
      </c>
      <c r="BI24" s="100">
        <v>239.30500000000001</v>
      </c>
      <c r="BJ24" s="100">
        <v>-338.95600000000007</v>
      </c>
      <c r="BK24" s="100">
        <v>-20.960999999999999</v>
      </c>
      <c r="BL24" s="102"/>
      <c r="BM24" s="102"/>
    </row>
    <row r="25" spans="2:65" collapsed="1">
      <c r="B25" s="114" t="s">
        <v>398</v>
      </c>
      <c r="C25" s="115" t="s">
        <v>399</v>
      </c>
      <c r="D25" s="100">
        <v>0</v>
      </c>
      <c r="E25" s="100">
        <v>0</v>
      </c>
      <c r="F25" s="100">
        <v>0</v>
      </c>
      <c r="G25" s="100">
        <v>0</v>
      </c>
      <c r="H25" s="100">
        <v>0</v>
      </c>
      <c r="I25" s="100">
        <v>0</v>
      </c>
      <c r="J25" s="100">
        <v>0</v>
      </c>
      <c r="K25" s="100">
        <v>0</v>
      </c>
      <c r="L25" s="100">
        <v>0</v>
      </c>
      <c r="M25" s="100">
        <v>0</v>
      </c>
      <c r="N25" s="100">
        <v>0</v>
      </c>
      <c r="O25" s="100">
        <v>0</v>
      </c>
      <c r="P25" s="100">
        <v>0</v>
      </c>
      <c r="Q25" s="100">
        <v>0</v>
      </c>
      <c r="R25" s="100">
        <v>-7.585</v>
      </c>
      <c r="S25" s="100">
        <v>0</v>
      </c>
      <c r="T25" s="100">
        <v>0</v>
      </c>
      <c r="U25" s="100">
        <v>0</v>
      </c>
      <c r="V25" s="100">
        <v>0</v>
      </c>
      <c r="W25" s="100">
        <v>0</v>
      </c>
      <c r="X25" s="100">
        <v>-1.165</v>
      </c>
      <c r="Y25" s="100">
        <v>0</v>
      </c>
      <c r="Z25" s="100">
        <v>0</v>
      </c>
      <c r="AA25" s="100">
        <v>0</v>
      </c>
      <c r="AB25" s="100">
        <v>0</v>
      </c>
      <c r="AC25" s="100">
        <v>0</v>
      </c>
      <c r="AD25" s="100">
        <v>-1E-3</v>
      </c>
      <c r="AE25" s="100">
        <v>-0.28699999999999998</v>
      </c>
      <c r="AF25" s="100">
        <v>0</v>
      </c>
      <c r="AG25" s="100">
        <v>0</v>
      </c>
      <c r="AH25" s="100">
        <v>-42.780999999999999</v>
      </c>
      <c r="AI25" s="100">
        <v>0</v>
      </c>
      <c r="AJ25" s="100">
        <v>0</v>
      </c>
      <c r="AK25" s="100">
        <v>0</v>
      </c>
      <c r="AL25" s="100">
        <v>0</v>
      </c>
      <c r="AM25" s="100">
        <v>0</v>
      </c>
      <c r="AN25" s="100">
        <v>0</v>
      </c>
      <c r="AO25" s="100">
        <v>-16.277000000000001</v>
      </c>
      <c r="AP25" s="100">
        <v>-102.539</v>
      </c>
      <c r="AQ25" s="100">
        <v>0</v>
      </c>
      <c r="AR25" s="100">
        <v>-23.931999999999999</v>
      </c>
      <c r="AS25" s="100">
        <v>-16.57</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260.733</v>
      </c>
      <c r="BJ25" s="100">
        <v>49.596000000000032</v>
      </c>
      <c r="BK25" s="100">
        <v>-143.041</v>
      </c>
      <c r="BL25" s="102"/>
      <c r="BM25" s="102"/>
    </row>
    <row r="26" spans="2:65">
      <c r="B26" s="112" t="s">
        <v>400</v>
      </c>
      <c r="C26" s="113" t="s">
        <v>401</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13.916</v>
      </c>
      <c r="BI26" s="100">
        <v>-66.305000000000007</v>
      </c>
      <c r="BJ26" s="100">
        <v>-52.38900000000001</v>
      </c>
      <c r="BK26" s="100">
        <v>0</v>
      </c>
      <c r="BL26" s="102"/>
      <c r="BM26" s="102"/>
    </row>
    <row r="27" spans="2:65">
      <c r="B27" s="112" t="s">
        <v>402</v>
      </c>
      <c r="C27" s="113" t="s">
        <v>403</v>
      </c>
      <c r="D27" s="100">
        <v>0</v>
      </c>
      <c r="E27" s="100">
        <v>0</v>
      </c>
      <c r="F27" s="100">
        <v>-17195.615000000002</v>
      </c>
      <c r="G27" s="100">
        <v>0</v>
      </c>
      <c r="H27" s="100">
        <v>0</v>
      </c>
      <c r="I27" s="100">
        <v>0</v>
      </c>
      <c r="J27" s="100">
        <v>0</v>
      </c>
      <c r="K27" s="100">
        <v>0</v>
      </c>
      <c r="L27" s="100">
        <v>11619.746999999999</v>
      </c>
      <c r="M27" s="100">
        <v>560.74099999999999</v>
      </c>
      <c r="N27" s="100">
        <v>3609.4140000000002</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-1405.713000000002</v>
      </c>
      <c r="BK27" s="100">
        <v>0</v>
      </c>
      <c r="BL27" s="102"/>
      <c r="BM27" s="102"/>
    </row>
    <row r="28" spans="2:65">
      <c r="B28" s="112" t="s">
        <v>404</v>
      </c>
      <c r="C28" s="113" t="s">
        <v>405</v>
      </c>
      <c r="D28" s="100">
        <v>0</v>
      </c>
      <c r="E28" s="100">
        <v>0</v>
      </c>
      <c r="F28" s="100">
        <v>-1025.287</v>
      </c>
      <c r="G28" s="100">
        <v>-4839.241</v>
      </c>
      <c r="H28" s="100">
        <v>0</v>
      </c>
      <c r="I28" s="100">
        <v>0</v>
      </c>
      <c r="J28" s="100">
        <v>0</v>
      </c>
      <c r="K28" s="100">
        <v>0</v>
      </c>
      <c r="L28" s="100">
        <v>-11064.096</v>
      </c>
      <c r="M28" s="100">
        <v>0</v>
      </c>
      <c r="N28" s="100">
        <v>0</v>
      </c>
      <c r="O28" s="100">
        <v>5438.1509999999998</v>
      </c>
      <c r="P28" s="100">
        <v>750.745</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-10739.727999999999</v>
      </c>
      <c r="BK28" s="100">
        <v>0</v>
      </c>
      <c r="BL28" s="102"/>
      <c r="BM28" s="102"/>
    </row>
    <row r="29" spans="2:65">
      <c r="B29" s="112" t="s">
        <v>406</v>
      </c>
      <c r="C29" s="113" t="s">
        <v>407</v>
      </c>
      <c r="D29" s="100">
        <v>-287.40499999999997</v>
      </c>
      <c r="E29" s="100">
        <v>-18.216000000000001</v>
      </c>
      <c r="F29" s="100">
        <v>0</v>
      </c>
      <c r="G29" s="100">
        <v>0</v>
      </c>
      <c r="H29" s="100">
        <v>0</v>
      </c>
      <c r="I29" s="100">
        <v>0</v>
      </c>
      <c r="J29" s="100">
        <v>0</v>
      </c>
      <c r="K29" s="100">
        <v>469.32799999999997</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163.70699999999999</v>
      </c>
      <c r="BK29" s="100">
        <v>0</v>
      </c>
      <c r="BL29" s="102"/>
      <c r="BM29" s="102"/>
    </row>
    <row r="30" spans="2:65" s="242" customFormat="1" collapsed="1">
      <c r="B30" s="238" t="s">
        <v>408</v>
      </c>
      <c r="C30" s="239" t="s">
        <v>409</v>
      </c>
      <c r="D30" s="240">
        <v>0</v>
      </c>
      <c r="E30" s="240">
        <v>0</v>
      </c>
      <c r="F30" s="240">
        <v>0</v>
      </c>
      <c r="G30" s="240">
        <v>0</v>
      </c>
      <c r="H30" s="240">
        <v>0</v>
      </c>
      <c r="I30" s="240">
        <v>0</v>
      </c>
      <c r="J30" s="240">
        <v>0</v>
      </c>
      <c r="K30" s="240">
        <v>0</v>
      </c>
      <c r="L30" s="240">
        <v>0</v>
      </c>
      <c r="M30" s="240">
        <v>0</v>
      </c>
      <c r="N30" s="240">
        <v>0</v>
      </c>
      <c r="O30" s="240">
        <v>0</v>
      </c>
      <c r="P30" s="240">
        <v>0</v>
      </c>
      <c r="Q30" s="240">
        <v>0</v>
      </c>
      <c r="R30" s="240">
        <v>0</v>
      </c>
      <c r="S30" s="240">
        <v>-156075.51500000001</v>
      </c>
      <c r="T30" s="240">
        <v>-33101.53</v>
      </c>
      <c r="U30" s="240">
        <v>-2.1999999999999999E-2</v>
      </c>
      <c r="V30" s="240">
        <v>106.89100000000001</v>
      </c>
      <c r="W30" s="240">
        <v>8540.8989999999994</v>
      </c>
      <c r="X30" s="240">
        <v>1425.8810000000001</v>
      </c>
      <c r="Y30" s="240">
        <v>2562.4549999999999</v>
      </c>
      <c r="Z30" s="240">
        <v>21143.481</v>
      </c>
      <c r="AA30" s="240">
        <v>14.047000000000001</v>
      </c>
      <c r="AB30" s="240">
        <v>0</v>
      </c>
      <c r="AC30" s="240">
        <v>23660.481</v>
      </c>
      <c r="AD30" s="240">
        <v>2996.8270000000002</v>
      </c>
      <c r="AE30" s="240">
        <v>52766.057000000001</v>
      </c>
      <c r="AF30" s="240">
        <v>294.31700000000001</v>
      </c>
      <c r="AG30" s="240">
        <v>20.204999999999998</v>
      </c>
      <c r="AH30" s="240">
        <v>9078.1820000000007</v>
      </c>
      <c r="AI30" s="240">
        <v>40147.639000000003</v>
      </c>
      <c r="AJ30" s="240">
        <v>544.48599999999999</v>
      </c>
      <c r="AK30" s="240">
        <v>3169.39</v>
      </c>
      <c r="AL30" s="240">
        <v>4987.9889999999996</v>
      </c>
      <c r="AM30" s="240">
        <v>20.021999999999998</v>
      </c>
      <c r="AN30" s="240">
        <v>603.70699999999999</v>
      </c>
      <c r="AO30" s="240">
        <v>3616.5369999999998</v>
      </c>
      <c r="AP30" s="240">
        <v>0</v>
      </c>
      <c r="AQ30" s="240">
        <v>0</v>
      </c>
      <c r="AR30" s="240">
        <v>0</v>
      </c>
      <c r="AS30" s="240">
        <v>0</v>
      </c>
      <c r="AT30" s="240">
        <v>0</v>
      </c>
      <c r="AU30" s="240">
        <v>0</v>
      </c>
      <c r="AV30" s="240">
        <v>0</v>
      </c>
      <c r="AW30" s="240">
        <v>0</v>
      </c>
      <c r="AX30" s="240">
        <v>0</v>
      </c>
      <c r="AY30" s="240">
        <v>0</v>
      </c>
      <c r="AZ30" s="240">
        <v>0</v>
      </c>
      <c r="BA30" s="240">
        <v>0</v>
      </c>
      <c r="BB30" s="240">
        <v>0</v>
      </c>
      <c r="BC30" s="240">
        <v>0</v>
      </c>
      <c r="BD30" s="240">
        <v>0</v>
      </c>
      <c r="BE30" s="240">
        <v>0</v>
      </c>
      <c r="BF30" s="240">
        <v>0</v>
      </c>
      <c r="BG30" s="240">
        <v>0</v>
      </c>
      <c r="BH30" s="240">
        <v>0</v>
      </c>
      <c r="BI30" s="240">
        <v>0</v>
      </c>
      <c r="BJ30" s="240">
        <v>-13477.574000000026</v>
      </c>
      <c r="BK30" s="240">
        <v>0</v>
      </c>
      <c r="BL30" s="241"/>
      <c r="BM30" s="241"/>
    </row>
    <row r="31" spans="2:65">
      <c r="B31" s="112" t="s">
        <v>193</v>
      </c>
      <c r="C31" s="113" t="s">
        <v>410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15440.218999999999</v>
      </c>
      <c r="U31" s="100">
        <v>0</v>
      </c>
      <c r="V31" s="100">
        <v>-96.111999999999995</v>
      </c>
      <c r="W31" s="100">
        <v>0</v>
      </c>
      <c r="X31" s="100">
        <v>-761.39499999999998</v>
      </c>
      <c r="Y31" s="100">
        <v>-148.96899999999999</v>
      </c>
      <c r="Z31" s="100">
        <v>0</v>
      </c>
      <c r="AA31" s="100">
        <v>0</v>
      </c>
      <c r="AB31" s="100">
        <v>0</v>
      </c>
      <c r="AC31" s="100">
        <v>0</v>
      </c>
      <c r="AD31" s="100">
        <v>0</v>
      </c>
      <c r="AE31" s="100">
        <v>0</v>
      </c>
      <c r="AF31" s="100">
        <v>0</v>
      </c>
      <c r="AG31" s="100">
        <v>0</v>
      </c>
      <c r="AH31" s="100">
        <v>0</v>
      </c>
      <c r="AI31" s="100">
        <v>-8969.2430000000004</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5464.5</v>
      </c>
      <c r="BK31" s="100">
        <v>0</v>
      </c>
      <c r="BL31" s="102"/>
      <c r="BM31" s="102"/>
    </row>
    <row r="32" spans="2:65" s="204" customFormat="1">
      <c r="B32" s="200" t="s">
        <v>411</v>
      </c>
      <c r="C32" s="201" t="s">
        <v>412</v>
      </c>
      <c r="D32" s="202">
        <v>0</v>
      </c>
      <c r="E32" s="202">
        <v>0</v>
      </c>
      <c r="F32" s="202">
        <v>0</v>
      </c>
      <c r="G32" s="202">
        <v>0</v>
      </c>
      <c r="H32" s="202">
        <v>0</v>
      </c>
      <c r="I32" s="202">
        <v>0</v>
      </c>
      <c r="J32" s="202">
        <v>0</v>
      </c>
      <c r="K32" s="202">
        <v>0</v>
      </c>
      <c r="L32" s="202">
        <v>0</v>
      </c>
      <c r="M32" s="202">
        <v>0</v>
      </c>
      <c r="N32" s="202">
        <v>0</v>
      </c>
      <c r="O32" s="202">
        <v>0</v>
      </c>
      <c r="P32" s="202">
        <v>0</v>
      </c>
      <c r="Q32" s="202">
        <v>-24334.217000000001</v>
      </c>
      <c r="R32" s="202">
        <v>24357.826000000001</v>
      </c>
      <c r="S32" s="202">
        <v>0</v>
      </c>
      <c r="T32" s="202">
        <v>0</v>
      </c>
      <c r="U32" s="202">
        <v>0</v>
      </c>
      <c r="V32" s="202">
        <v>0</v>
      </c>
      <c r="W32" s="202">
        <v>0</v>
      </c>
      <c r="X32" s="202">
        <v>-35.002000000000002</v>
      </c>
      <c r="Y32" s="202">
        <v>0</v>
      </c>
      <c r="Z32" s="202">
        <v>0</v>
      </c>
      <c r="AA32" s="202">
        <v>0</v>
      </c>
      <c r="AB32" s="202">
        <v>0</v>
      </c>
      <c r="AC32" s="202">
        <v>0</v>
      </c>
      <c r="AD32" s="202">
        <v>0</v>
      </c>
      <c r="AE32" s="202">
        <v>0</v>
      </c>
      <c r="AF32" s="202">
        <v>0</v>
      </c>
      <c r="AG32" s="202">
        <v>0</v>
      </c>
      <c r="AH32" s="202">
        <v>0</v>
      </c>
      <c r="AI32" s="202">
        <v>0</v>
      </c>
      <c r="AJ32" s="202">
        <v>0</v>
      </c>
      <c r="AK32" s="202">
        <v>0</v>
      </c>
      <c r="AL32" s="202">
        <v>0</v>
      </c>
      <c r="AM32" s="202">
        <v>0</v>
      </c>
      <c r="AN32" s="202">
        <v>0</v>
      </c>
      <c r="AO32" s="202">
        <v>0</v>
      </c>
      <c r="AP32" s="202">
        <v>0</v>
      </c>
      <c r="AQ32" s="202">
        <v>0</v>
      </c>
      <c r="AR32" s="202">
        <v>0</v>
      </c>
      <c r="AS32" s="202">
        <v>0</v>
      </c>
      <c r="AT32" s="202">
        <v>0</v>
      </c>
      <c r="AU32" s="202">
        <v>0</v>
      </c>
      <c r="AV32" s="202">
        <v>0</v>
      </c>
      <c r="AW32" s="202">
        <v>0</v>
      </c>
      <c r="AX32" s="202">
        <v>0</v>
      </c>
      <c r="AY32" s="202">
        <v>0</v>
      </c>
      <c r="AZ32" s="202">
        <v>0</v>
      </c>
      <c r="BA32" s="202">
        <v>0</v>
      </c>
      <c r="BB32" s="202">
        <v>0</v>
      </c>
      <c r="BC32" s="202">
        <v>0</v>
      </c>
      <c r="BD32" s="202">
        <v>0</v>
      </c>
      <c r="BE32" s="202">
        <v>0</v>
      </c>
      <c r="BF32" s="202">
        <v>0</v>
      </c>
      <c r="BG32" s="202">
        <v>0</v>
      </c>
      <c r="BH32" s="202">
        <v>0</v>
      </c>
      <c r="BI32" s="202">
        <v>0</v>
      </c>
      <c r="BJ32" s="202">
        <v>-11.392999999999624</v>
      </c>
      <c r="BK32" s="202">
        <v>0</v>
      </c>
      <c r="BL32" s="203"/>
      <c r="BM32" s="203"/>
    </row>
    <row r="33" spans="2:65">
      <c r="B33" s="112" t="s">
        <v>413</v>
      </c>
      <c r="C33" s="113" t="s">
        <v>414</v>
      </c>
      <c r="D33" s="100">
        <v>0</v>
      </c>
      <c r="E33" s="100">
        <v>0</v>
      </c>
      <c r="F33" s="100">
        <v>0</v>
      </c>
      <c r="G33" s="100">
        <v>-186.87700000000001</v>
      </c>
      <c r="H33" s="100">
        <v>0</v>
      </c>
      <c r="I33" s="100">
        <v>0</v>
      </c>
      <c r="J33" s="100">
        <v>0</v>
      </c>
      <c r="K33" s="100">
        <v>0</v>
      </c>
      <c r="L33" s="100">
        <v>0</v>
      </c>
      <c r="M33" s="100">
        <v>0</v>
      </c>
      <c r="N33" s="100">
        <v>0</v>
      </c>
      <c r="O33" s="100">
        <v>0</v>
      </c>
      <c r="P33" s="100">
        <v>389.78699999999998</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202.90999999999997</v>
      </c>
      <c r="BK33" s="100">
        <v>609.44799999999998</v>
      </c>
      <c r="BL33" s="102"/>
      <c r="BM33" s="102"/>
    </row>
    <row r="34" spans="2:65">
      <c r="B34" s="112" t="s">
        <v>415</v>
      </c>
      <c r="C34" s="113" t="s">
        <v>416</v>
      </c>
      <c r="D34" s="100">
        <v>0</v>
      </c>
      <c r="E34" s="100">
        <v>0</v>
      </c>
      <c r="F34" s="100">
        <v>0</v>
      </c>
      <c r="G34" s="100">
        <v>0</v>
      </c>
      <c r="H34" s="100">
        <v>0</v>
      </c>
      <c r="I34" s="100">
        <v>0</v>
      </c>
      <c r="J34" s="100">
        <v>0</v>
      </c>
      <c r="K34" s="100">
        <v>0</v>
      </c>
      <c r="L34" s="100">
        <v>0</v>
      </c>
      <c r="M34" s="100">
        <v>0</v>
      </c>
      <c r="N34" s="100">
        <v>0</v>
      </c>
      <c r="O34" s="100">
        <v>0</v>
      </c>
      <c r="P34" s="100">
        <v>0</v>
      </c>
      <c r="Q34" s="100">
        <v>0</v>
      </c>
      <c r="R34" s="100">
        <v>-197.30199999999999</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487.18400000000003</v>
      </c>
      <c r="BH34" s="100">
        <v>0</v>
      </c>
      <c r="BI34" s="100">
        <v>0</v>
      </c>
      <c r="BJ34" s="100">
        <v>289.88200000000006</v>
      </c>
      <c r="BK34" s="100">
        <v>487.18400000000003</v>
      </c>
      <c r="BL34" s="102"/>
      <c r="BM34" s="102"/>
    </row>
    <row r="35" spans="2:65">
      <c r="B35" s="116" t="s">
        <v>417</v>
      </c>
      <c r="C35" s="117" t="s">
        <v>418</v>
      </c>
      <c r="D35" s="118">
        <v>0</v>
      </c>
      <c r="E35" s="118">
        <v>0</v>
      </c>
      <c r="F35" s="118">
        <v>0</v>
      </c>
      <c r="G35" s="118">
        <v>0</v>
      </c>
      <c r="H35" s="118">
        <v>0</v>
      </c>
      <c r="I35" s="118">
        <v>0</v>
      </c>
      <c r="J35" s="118">
        <v>0</v>
      </c>
      <c r="K35" s="118">
        <v>0</v>
      </c>
      <c r="L35" s="118">
        <v>0</v>
      </c>
      <c r="M35" s="118">
        <v>0</v>
      </c>
      <c r="N35" s="118">
        <v>-956.91600000000005</v>
      </c>
      <c r="O35" s="118">
        <v>-2279.71</v>
      </c>
      <c r="P35" s="118">
        <v>0</v>
      </c>
      <c r="Q35" s="118">
        <v>-1564.4390000000001</v>
      </c>
      <c r="R35" s="118">
        <v>-851.36300000000006</v>
      </c>
      <c r="S35" s="118">
        <v>0</v>
      </c>
      <c r="T35" s="118">
        <v>0</v>
      </c>
      <c r="U35" s="118">
        <v>0</v>
      </c>
      <c r="V35" s="118">
        <v>0</v>
      </c>
      <c r="W35" s="118">
        <v>-7264.808</v>
      </c>
      <c r="X35" s="118">
        <v>-281.74700000000001</v>
      </c>
      <c r="Y35" s="118">
        <v>-19.548999999999999</v>
      </c>
      <c r="Z35" s="118">
        <v>-0.52200000000000002</v>
      </c>
      <c r="AA35" s="118">
        <v>0</v>
      </c>
      <c r="AB35" s="118">
        <v>0</v>
      </c>
      <c r="AC35" s="118">
        <v>0</v>
      </c>
      <c r="AD35" s="118">
        <v>-3.89</v>
      </c>
      <c r="AE35" s="118">
        <v>-33.676000000000002</v>
      </c>
      <c r="AF35" s="118">
        <v>-0.73599999999999999</v>
      </c>
      <c r="AG35" s="118">
        <v>-0.30599999999999999</v>
      </c>
      <c r="AH35" s="118">
        <v>-247.80799999999999</v>
      </c>
      <c r="AI35" s="118">
        <v>0</v>
      </c>
      <c r="AJ35" s="118">
        <v>0</v>
      </c>
      <c r="AK35" s="118">
        <v>0</v>
      </c>
      <c r="AL35" s="118">
        <v>0</v>
      </c>
      <c r="AM35" s="118">
        <v>0</v>
      </c>
      <c r="AN35" s="118">
        <v>0</v>
      </c>
      <c r="AO35" s="118">
        <v>0</v>
      </c>
      <c r="AP35" s="118">
        <v>0</v>
      </c>
      <c r="AQ35" s="118">
        <v>0</v>
      </c>
      <c r="AR35" s="118">
        <v>-14.236000000000001</v>
      </c>
      <c r="AS35" s="118">
        <v>0</v>
      </c>
      <c r="AT35" s="118">
        <v>0</v>
      </c>
      <c r="AU35" s="118">
        <v>0</v>
      </c>
      <c r="AV35" s="118">
        <v>0</v>
      </c>
      <c r="AW35" s="118">
        <v>0</v>
      </c>
      <c r="AX35" s="118">
        <v>0</v>
      </c>
      <c r="AY35" s="118">
        <v>0</v>
      </c>
      <c r="AZ35" s="118">
        <v>0</v>
      </c>
      <c r="BA35" s="118">
        <v>0</v>
      </c>
      <c r="BB35" s="118">
        <v>0</v>
      </c>
      <c r="BC35" s="118">
        <v>0</v>
      </c>
      <c r="BD35" s="118">
        <v>0</v>
      </c>
      <c r="BE35" s="118">
        <v>0</v>
      </c>
      <c r="BF35" s="118">
        <v>0</v>
      </c>
      <c r="BG35" s="118">
        <v>0</v>
      </c>
      <c r="BH35" s="118">
        <v>-3247.1120000000001</v>
      </c>
      <c r="BI35" s="118">
        <v>-183.09200000000001</v>
      </c>
      <c r="BJ35" s="118">
        <v>-16949.910000000003</v>
      </c>
      <c r="BK35" s="118">
        <v>-9558.7540000000008</v>
      </c>
      <c r="BL35" s="102"/>
      <c r="BM35" s="102"/>
    </row>
    <row r="36" spans="2:65" s="221" customFormat="1">
      <c r="B36" s="217" t="s">
        <v>419</v>
      </c>
      <c r="C36" s="218" t="s">
        <v>420</v>
      </c>
      <c r="D36" s="219">
        <v>0</v>
      </c>
      <c r="E36" s="219">
        <v>0</v>
      </c>
      <c r="F36" s="219">
        <v>0</v>
      </c>
      <c r="G36" s="219">
        <v>0</v>
      </c>
      <c r="H36" s="219">
        <v>0</v>
      </c>
      <c r="I36" s="219">
        <v>0</v>
      </c>
      <c r="J36" s="219">
        <v>0</v>
      </c>
      <c r="K36" s="219">
        <v>0</v>
      </c>
      <c r="L36" s="219">
        <v>0</v>
      </c>
      <c r="M36" s="219">
        <v>0</v>
      </c>
      <c r="N36" s="219">
        <v>0</v>
      </c>
      <c r="O36" s="219">
        <v>0</v>
      </c>
      <c r="P36" s="219">
        <v>0</v>
      </c>
      <c r="Q36" s="219">
        <v>0</v>
      </c>
      <c r="R36" s="219">
        <v>0</v>
      </c>
      <c r="S36" s="219">
        <v>0</v>
      </c>
      <c r="T36" s="219">
        <v>0</v>
      </c>
      <c r="U36" s="219">
        <v>0</v>
      </c>
      <c r="V36" s="219">
        <v>0</v>
      </c>
      <c r="W36" s="219">
        <v>0</v>
      </c>
      <c r="X36" s="219">
        <v>0</v>
      </c>
      <c r="Y36" s="219">
        <v>0</v>
      </c>
      <c r="Z36" s="219">
        <v>-0.02</v>
      </c>
      <c r="AA36" s="219">
        <v>0</v>
      </c>
      <c r="AB36" s="219">
        <v>0</v>
      </c>
      <c r="AC36" s="219">
        <v>0</v>
      </c>
      <c r="AD36" s="219">
        <v>-0.13300000000000001</v>
      </c>
      <c r="AE36" s="219">
        <v>-9.0120000000000005</v>
      </c>
      <c r="AF36" s="219">
        <v>0</v>
      </c>
      <c r="AG36" s="219">
        <v>0</v>
      </c>
      <c r="AH36" s="219">
        <v>-0.378</v>
      </c>
      <c r="AI36" s="219">
        <v>0</v>
      </c>
      <c r="AJ36" s="219">
        <v>0</v>
      </c>
      <c r="AK36" s="219">
        <v>0</v>
      </c>
      <c r="AL36" s="219">
        <v>0</v>
      </c>
      <c r="AM36" s="219">
        <v>0</v>
      </c>
      <c r="AN36" s="219">
        <v>0</v>
      </c>
      <c r="AO36" s="219">
        <v>0</v>
      </c>
      <c r="AP36" s="219">
        <v>0</v>
      </c>
      <c r="AQ36" s="219">
        <v>0</v>
      </c>
      <c r="AR36" s="219">
        <v>0</v>
      </c>
      <c r="AS36" s="219">
        <v>0</v>
      </c>
      <c r="AT36" s="219">
        <v>0</v>
      </c>
      <c r="AU36" s="219">
        <v>0</v>
      </c>
      <c r="AV36" s="219">
        <v>0</v>
      </c>
      <c r="AW36" s="219">
        <v>0</v>
      </c>
      <c r="AX36" s="219">
        <v>0</v>
      </c>
      <c r="AY36" s="219">
        <v>0</v>
      </c>
      <c r="AZ36" s="219">
        <v>0</v>
      </c>
      <c r="BA36" s="219">
        <v>0</v>
      </c>
      <c r="BB36" s="219">
        <v>0</v>
      </c>
      <c r="BC36" s="219">
        <v>0</v>
      </c>
      <c r="BD36" s="219">
        <v>0</v>
      </c>
      <c r="BE36" s="219">
        <v>0</v>
      </c>
      <c r="BF36" s="219">
        <v>0</v>
      </c>
      <c r="BG36" s="219">
        <v>0</v>
      </c>
      <c r="BH36" s="219">
        <v>0</v>
      </c>
      <c r="BI36" s="219">
        <v>0</v>
      </c>
      <c r="BJ36" s="219">
        <v>-9.543000000000001</v>
      </c>
      <c r="BK36" s="219">
        <v>0</v>
      </c>
      <c r="BL36" s="220"/>
      <c r="BM36" s="220"/>
    </row>
    <row r="37" spans="2:65" s="233" customFormat="1">
      <c r="B37" s="229" t="s">
        <v>421</v>
      </c>
      <c r="C37" s="230" t="s">
        <v>422</v>
      </c>
      <c r="D37" s="231">
        <v>0</v>
      </c>
      <c r="E37" s="231">
        <v>0</v>
      </c>
      <c r="F37" s="231">
        <v>0</v>
      </c>
      <c r="G37" s="231">
        <v>0</v>
      </c>
      <c r="H37" s="231">
        <v>0</v>
      </c>
      <c r="I37" s="231">
        <v>0</v>
      </c>
      <c r="J37" s="231">
        <v>0</v>
      </c>
      <c r="K37" s="231">
        <v>0</v>
      </c>
      <c r="L37" s="231">
        <v>0</v>
      </c>
      <c r="M37" s="231">
        <v>0</v>
      </c>
      <c r="N37" s="231">
        <v>0</v>
      </c>
      <c r="O37" s="231">
        <v>0</v>
      </c>
      <c r="P37" s="231">
        <v>0</v>
      </c>
      <c r="Q37" s="231">
        <v>0</v>
      </c>
      <c r="R37" s="231">
        <v>0</v>
      </c>
      <c r="S37" s="231">
        <v>0</v>
      </c>
      <c r="T37" s="231">
        <v>0</v>
      </c>
      <c r="U37" s="231">
        <v>0</v>
      </c>
      <c r="V37" s="231">
        <v>0</v>
      </c>
      <c r="W37" s="231">
        <v>0</v>
      </c>
      <c r="X37" s="231">
        <v>-3.633</v>
      </c>
      <c r="Y37" s="231">
        <v>-8.0000000000000002E-3</v>
      </c>
      <c r="Z37" s="231">
        <v>0</v>
      </c>
      <c r="AA37" s="231">
        <v>0</v>
      </c>
      <c r="AB37" s="231">
        <v>0</v>
      </c>
      <c r="AC37" s="231">
        <v>0</v>
      </c>
      <c r="AD37" s="231">
        <v>0</v>
      </c>
      <c r="AE37" s="231">
        <v>-7.0000000000000001E-3</v>
      </c>
      <c r="AF37" s="231">
        <v>0</v>
      </c>
      <c r="AG37" s="231">
        <v>0</v>
      </c>
      <c r="AH37" s="231">
        <v>0</v>
      </c>
      <c r="AI37" s="231">
        <v>0</v>
      </c>
      <c r="AJ37" s="231">
        <v>0</v>
      </c>
      <c r="AK37" s="231">
        <v>0</v>
      </c>
      <c r="AL37" s="231">
        <v>0</v>
      </c>
      <c r="AM37" s="231">
        <v>0</v>
      </c>
      <c r="AN37" s="231">
        <v>0</v>
      </c>
      <c r="AO37" s="231">
        <v>0</v>
      </c>
      <c r="AP37" s="231">
        <v>0</v>
      </c>
      <c r="AQ37" s="231">
        <v>0</v>
      </c>
      <c r="AR37" s="231">
        <v>0</v>
      </c>
      <c r="AS37" s="231">
        <v>0</v>
      </c>
      <c r="AT37" s="231">
        <v>0</v>
      </c>
      <c r="AU37" s="231">
        <v>0</v>
      </c>
      <c r="AV37" s="231">
        <v>0</v>
      </c>
      <c r="AW37" s="231">
        <v>0</v>
      </c>
      <c r="AX37" s="231">
        <v>0</v>
      </c>
      <c r="AY37" s="231">
        <v>0</v>
      </c>
      <c r="AZ37" s="231">
        <v>0</v>
      </c>
      <c r="BA37" s="231">
        <v>0</v>
      </c>
      <c r="BB37" s="231">
        <v>0</v>
      </c>
      <c r="BC37" s="231">
        <v>0</v>
      </c>
      <c r="BD37" s="231">
        <v>0</v>
      </c>
      <c r="BE37" s="231">
        <v>0</v>
      </c>
      <c r="BF37" s="231">
        <v>0</v>
      </c>
      <c r="BG37" s="231">
        <v>0</v>
      </c>
      <c r="BH37" s="231">
        <v>0</v>
      </c>
      <c r="BI37" s="231">
        <v>0</v>
      </c>
      <c r="BJ37" s="231">
        <v>-3.6480000000000001</v>
      </c>
      <c r="BK37" s="231">
        <v>0</v>
      </c>
      <c r="BL37" s="232"/>
      <c r="BM37" s="232"/>
    </row>
    <row r="38" spans="2:65" collapsed="1">
      <c r="B38" s="112" t="s">
        <v>423</v>
      </c>
      <c r="C38" s="113" t="s">
        <v>424</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-1855.258</v>
      </c>
      <c r="BI38" s="100">
        <v>0</v>
      </c>
      <c r="BJ38" s="100">
        <v>-1855.258</v>
      </c>
      <c r="BK38" s="100">
        <v>0</v>
      </c>
      <c r="BL38" s="102"/>
      <c r="BM38" s="102"/>
    </row>
    <row r="39" spans="2:65">
      <c r="B39" s="112" t="s">
        <v>425</v>
      </c>
      <c r="C39" s="113" t="s">
        <v>426</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-97.114000000000004</v>
      </c>
      <c r="BI39" s="100">
        <v>0</v>
      </c>
      <c r="BJ39" s="100">
        <v>-97.114000000000004</v>
      </c>
      <c r="BK39" s="100">
        <v>0</v>
      </c>
      <c r="BL39" s="102"/>
      <c r="BM39" s="102"/>
    </row>
    <row r="40" spans="2:65">
      <c r="B40" s="112" t="s">
        <v>427</v>
      </c>
      <c r="C40" s="113" t="s">
        <v>428</v>
      </c>
      <c r="D40" s="100">
        <v>0</v>
      </c>
      <c r="E40" s="100">
        <v>0</v>
      </c>
      <c r="F40" s="100">
        <v>0</v>
      </c>
      <c r="G40" s="100">
        <v>0</v>
      </c>
      <c r="H40" s="100">
        <v>0</v>
      </c>
      <c r="I40" s="100">
        <v>0</v>
      </c>
      <c r="J40" s="100">
        <v>0</v>
      </c>
      <c r="K40" s="100">
        <v>0</v>
      </c>
      <c r="L40" s="100">
        <v>0</v>
      </c>
      <c r="M40" s="100">
        <v>0</v>
      </c>
      <c r="N40" s="100">
        <v>-355.536</v>
      </c>
      <c r="O40" s="100">
        <v>-1076.5830000000001</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-1432.1190000000001</v>
      </c>
      <c r="BK40" s="100">
        <v>-1076.5830000000001</v>
      </c>
      <c r="BL40" s="102"/>
      <c r="BM40" s="102"/>
    </row>
    <row r="41" spans="2:65">
      <c r="B41" s="112" t="s">
        <v>429</v>
      </c>
      <c r="C41" s="113" t="s">
        <v>430</v>
      </c>
      <c r="D41" s="100">
        <v>0</v>
      </c>
      <c r="E41" s="100">
        <v>0</v>
      </c>
      <c r="F41" s="100">
        <v>0</v>
      </c>
      <c r="G41" s="100">
        <v>0</v>
      </c>
      <c r="H41" s="100">
        <v>0</v>
      </c>
      <c r="I41" s="100">
        <v>0</v>
      </c>
      <c r="J41" s="100">
        <v>0</v>
      </c>
      <c r="K41" s="100">
        <v>0</v>
      </c>
      <c r="L41" s="100">
        <v>0</v>
      </c>
      <c r="M41" s="100">
        <v>0</v>
      </c>
      <c r="N41" s="100">
        <v>-601.38</v>
      </c>
      <c r="O41" s="100">
        <v>-1203.126</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-1804.5059999999999</v>
      </c>
      <c r="BK41" s="100">
        <v>-1203.126</v>
      </c>
      <c r="BL41" s="102"/>
      <c r="BM41" s="102"/>
    </row>
    <row r="42" spans="2:65">
      <c r="B42" s="112" t="s">
        <v>431</v>
      </c>
      <c r="C42" s="113" t="s">
        <v>432</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2"/>
      <c r="BM42" s="102"/>
    </row>
    <row r="43" spans="2:65" s="242" customFormat="1">
      <c r="B43" s="238" t="s">
        <v>433</v>
      </c>
      <c r="C43" s="243" t="s">
        <v>434</v>
      </c>
      <c r="D43" s="240">
        <v>0</v>
      </c>
      <c r="E43" s="240">
        <v>0</v>
      </c>
      <c r="F43" s="240">
        <v>0</v>
      </c>
      <c r="G43" s="240">
        <v>0</v>
      </c>
      <c r="H43" s="240">
        <v>0</v>
      </c>
      <c r="I43" s="240">
        <v>0</v>
      </c>
      <c r="J43" s="240">
        <v>0</v>
      </c>
      <c r="K43" s="240">
        <v>0</v>
      </c>
      <c r="L43" s="240">
        <v>0</v>
      </c>
      <c r="M43" s="240">
        <v>0</v>
      </c>
      <c r="N43" s="240">
        <v>0</v>
      </c>
      <c r="O43" s="240">
        <v>0</v>
      </c>
      <c r="P43" s="240">
        <v>0</v>
      </c>
      <c r="Q43" s="240">
        <v>-1448.835</v>
      </c>
      <c r="R43" s="240">
        <v>-851.36300000000006</v>
      </c>
      <c r="S43" s="240">
        <v>0</v>
      </c>
      <c r="T43" s="240">
        <v>0</v>
      </c>
      <c r="U43" s="240">
        <v>0</v>
      </c>
      <c r="V43" s="240">
        <v>0</v>
      </c>
      <c r="W43" s="240">
        <v>-7242.2269999999999</v>
      </c>
      <c r="X43" s="240">
        <v>-132.453</v>
      </c>
      <c r="Y43" s="240">
        <v>-0.127</v>
      </c>
      <c r="Z43" s="240">
        <v>-0.27500000000000002</v>
      </c>
      <c r="AA43" s="240">
        <v>0</v>
      </c>
      <c r="AB43" s="240">
        <v>0</v>
      </c>
      <c r="AC43" s="240">
        <v>0</v>
      </c>
      <c r="AD43" s="240">
        <v>-2.218</v>
      </c>
      <c r="AE43" s="240">
        <v>-13.875</v>
      </c>
      <c r="AF43" s="240">
        <v>-0.64700000000000002</v>
      </c>
      <c r="AG43" s="240">
        <v>-0.13200000000000001</v>
      </c>
      <c r="AH43" s="240">
        <v>-230.148</v>
      </c>
      <c r="AI43" s="240">
        <v>0</v>
      </c>
      <c r="AJ43" s="240">
        <v>0</v>
      </c>
      <c r="AK43" s="240">
        <v>0</v>
      </c>
      <c r="AL43" s="240">
        <v>0</v>
      </c>
      <c r="AM43" s="240">
        <v>0</v>
      </c>
      <c r="AN43" s="240">
        <v>0</v>
      </c>
      <c r="AO43" s="240">
        <v>0</v>
      </c>
      <c r="AP43" s="240">
        <v>0</v>
      </c>
      <c r="AQ43" s="240">
        <v>0</v>
      </c>
      <c r="AR43" s="240">
        <v>0</v>
      </c>
      <c r="AS43" s="240">
        <v>0</v>
      </c>
      <c r="AT43" s="240">
        <v>0</v>
      </c>
      <c r="AU43" s="240">
        <v>0</v>
      </c>
      <c r="AV43" s="240">
        <v>0</v>
      </c>
      <c r="AW43" s="240">
        <v>0</v>
      </c>
      <c r="AX43" s="240">
        <v>0</v>
      </c>
      <c r="AY43" s="240">
        <v>0</v>
      </c>
      <c r="AZ43" s="240">
        <v>0</v>
      </c>
      <c r="BA43" s="240">
        <v>0</v>
      </c>
      <c r="BB43" s="240">
        <v>0</v>
      </c>
      <c r="BC43" s="240">
        <v>0</v>
      </c>
      <c r="BD43" s="240">
        <v>0</v>
      </c>
      <c r="BE43" s="240">
        <v>0</v>
      </c>
      <c r="BF43" s="240">
        <v>0</v>
      </c>
      <c r="BG43" s="240">
        <v>0</v>
      </c>
      <c r="BH43" s="240">
        <v>-1245.0450000000001</v>
      </c>
      <c r="BI43" s="240">
        <v>-183.09200000000001</v>
      </c>
      <c r="BJ43" s="240">
        <v>-11350.437</v>
      </c>
      <c r="BK43" s="240">
        <v>-7242.2269999999999</v>
      </c>
      <c r="BL43" s="241"/>
      <c r="BM43" s="241"/>
    </row>
    <row r="44" spans="2:65" s="204" customFormat="1">
      <c r="B44" s="200" t="s">
        <v>435</v>
      </c>
      <c r="C44" s="201" t="s">
        <v>436</v>
      </c>
      <c r="D44" s="202">
        <v>0</v>
      </c>
      <c r="E44" s="202">
        <v>0</v>
      </c>
      <c r="F44" s="202">
        <v>0</v>
      </c>
      <c r="G44" s="202">
        <v>0</v>
      </c>
      <c r="H44" s="202">
        <v>0</v>
      </c>
      <c r="I44" s="202">
        <v>0</v>
      </c>
      <c r="J44" s="202">
        <v>0</v>
      </c>
      <c r="K44" s="202">
        <v>0</v>
      </c>
      <c r="L44" s="202">
        <v>0</v>
      </c>
      <c r="M44" s="202">
        <v>0</v>
      </c>
      <c r="N44" s="202">
        <v>0</v>
      </c>
      <c r="O44" s="202">
        <v>0</v>
      </c>
      <c r="P44" s="202">
        <v>0</v>
      </c>
      <c r="Q44" s="202">
        <v>-115.604</v>
      </c>
      <c r="R44" s="202">
        <v>0</v>
      </c>
      <c r="S44" s="202">
        <v>0</v>
      </c>
      <c r="T44" s="202">
        <v>0</v>
      </c>
      <c r="U44" s="202">
        <v>0</v>
      </c>
      <c r="V44" s="202">
        <v>0</v>
      </c>
      <c r="W44" s="202">
        <v>-22.581</v>
      </c>
      <c r="X44" s="202">
        <v>-60.712000000000003</v>
      </c>
      <c r="Y44" s="202">
        <v>-8.6370000000000005</v>
      </c>
      <c r="Z44" s="202">
        <v>-8.9999999999999993E-3</v>
      </c>
      <c r="AA44" s="202">
        <v>0</v>
      </c>
      <c r="AB44" s="202">
        <v>0</v>
      </c>
      <c r="AC44" s="202">
        <v>0</v>
      </c>
      <c r="AD44" s="202">
        <v>0</v>
      </c>
      <c r="AE44" s="202">
        <v>-5.2999999999999999E-2</v>
      </c>
      <c r="AF44" s="202">
        <v>0</v>
      </c>
      <c r="AG44" s="202">
        <v>0</v>
      </c>
      <c r="AH44" s="202">
        <v>0</v>
      </c>
      <c r="AI44" s="202">
        <v>0</v>
      </c>
      <c r="AJ44" s="202">
        <v>0</v>
      </c>
      <c r="AK44" s="202">
        <v>0</v>
      </c>
      <c r="AL44" s="202">
        <v>0</v>
      </c>
      <c r="AM44" s="202">
        <v>0</v>
      </c>
      <c r="AN44" s="202">
        <v>0</v>
      </c>
      <c r="AO44" s="202">
        <v>0</v>
      </c>
      <c r="AP44" s="202">
        <v>0</v>
      </c>
      <c r="AQ44" s="202">
        <v>0</v>
      </c>
      <c r="AR44" s="202">
        <v>0</v>
      </c>
      <c r="AS44" s="202">
        <v>0</v>
      </c>
      <c r="AT44" s="202">
        <v>0</v>
      </c>
      <c r="AU44" s="202">
        <v>0</v>
      </c>
      <c r="AV44" s="202">
        <v>0</v>
      </c>
      <c r="AW44" s="202">
        <v>0</v>
      </c>
      <c r="AX44" s="202">
        <v>0</v>
      </c>
      <c r="AY44" s="202">
        <v>0</v>
      </c>
      <c r="AZ44" s="202">
        <v>0</v>
      </c>
      <c r="BA44" s="202">
        <v>0</v>
      </c>
      <c r="BB44" s="202">
        <v>0</v>
      </c>
      <c r="BC44" s="202">
        <v>0</v>
      </c>
      <c r="BD44" s="202">
        <v>0</v>
      </c>
      <c r="BE44" s="202">
        <v>0</v>
      </c>
      <c r="BF44" s="202">
        <v>0</v>
      </c>
      <c r="BG44" s="202">
        <v>0</v>
      </c>
      <c r="BH44" s="202">
        <v>0</v>
      </c>
      <c r="BI44" s="202">
        <v>0</v>
      </c>
      <c r="BJ44" s="202">
        <v>-207.59599999999998</v>
      </c>
      <c r="BK44" s="202">
        <v>-22.581</v>
      </c>
      <c r="BL44" s="203"/>
      <c r="BM44" s="203"/>
    </row>
    <row r="45" spans="2:65" collapsed="1">
      <c r="B45" s="112" t="s">
        <v>437</v>
      </c>
      <c r="C45" s="113" t="s">
        <v>438</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2"/>
      <c r="BM45" s="102"/>
    </row>
    <row r="46" spans="2:65" collapsed="1">
      <c r="B46" s="112" t="s">
        <v>439</v>
      </c>
      <c r="C46" s="113" t="s">
        <v>440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-84.948999999999998</v>
      </c>
      <c r="Y46" s="100">
        <v>-10.778</v>
      </c>
      <c r="Z46" s="100">
        <v>-0.217</v>
      </c>
      <c r="AA46" s="100">
        <v>0</v>
      </c>
      <c r="AB46" s="100">
        <v>0</v>
      </c>
      <c r="AC46" s="100">
        <v>0</v>
      </c>
      <c r="AD46" s="100">
        <v>-1.54</v>
      </c>
      <c r="AE46" s="100">
        <v>-10.728999999999999</v>
      </c>
      <c r="AF46" s="100">
        <v>-0.09</v>
      </c>
      <c r="AG46" s="100">
        <v>-0.17399999999999999</v>
      </c>
      <c r="AH46" s="100">
        <v>-17.282</v>
      </c>
      <c r="AI46" s="100">
        <v>0</v>
      </c>
      <c r="AJ46" s="100">
        <v>0</v>
      </c>
      <c r="AK46" s="100">
        <v>0</v>
      </c>
      <c r="AL46" s="100">
        <v>0</v>
      </c>
      <c r="AM46" s="100">
        <v>0</v>
      </c>
      <c r="AN46" s="100">
        <v>0</v>
      </c>
      <c r="AO46" s="100">
        <v>0</v>
      </c>
      <c r="AP46" s="100">
        <v>0</v>
      </c>
      <c r="AQ46" s="100">
        <v>0</v>
      </c>
      <c r="AR46" s="100">
        <v>-14.236000000000001</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-49.695</v>
      </c>
      <c r="BI46" s="100">
        <v>0</v>
      </c>
      <c r="BJ46" s="100">
        <v>-189.69</v>
      </c>
      <c r="BK46" s="100">
        <v>-14.236000000000001</v>
      </c>
      <c r="BL46" s="102"/>
      <c r="BM46" s="102"/>
    </row>
    <row r="47" spans="2:65">
      <c r="B47" s="105" t="s">
        <v>441</v>
      </c>
      <c r="C47" s="119" t="s">
        <v>442</v>
      </c>
      <c r="D47" s="107">
        <v>0</v>
      </c>
      <c r="E47" s="107">
        <v>0</v>
      </c>
      <c r="F47" s="107">
        <v>0</v>
      </c>
      <c r="G47" s="107">
        <v>0</v>
      </c>
      <c r="H47" s="107">
        <v>0</v>
      </c>
      <c r="I47" s="107">
        <v>0</v>
      </c>
      <c r="J47" s="107">
        <v>0</v>
      </c>
      <c r="K47" s="107">
        <v>0</v>
      </c>
      <c r="L47" s="107">
        <v>0</v>
      </c>
      <c r="M47" s="107">
        <v>0</v>
      </c>
      <c r="N47" s="107">
        <v>0</v>
      </c>
      <c r="O47" s="107">
        <v>0</v>
      </c>
      <c r="P47" s="107">
        <v>0</v>
      </c>
      <c r="Q47" s="107">
        <v>-10.571999999999999</v>
      </c>
      <c r="R47" s="107">
        <v>0</v>
      </c>
      <c r="S47" s="107">
        <v>0</v>
      </c>
      <c r="T47" s="107">
        <v>0</v>
      </c>
      <c r="U47" s="107">
        <v>0</v>
      </c>
      <c r="V47" s="107">
        <v>0</v>
      </c>
      <c r="W47" s="107">
        <v>0</v>
      </c>
      <c r="X47" s="107">
        <v>0</v>
      </c>
      <c r="Y47" s="107">
        <v>0</v>
      </c>
      <c r="Z47" s="107">
        <v>0</v>
      </c>
      <c r="AA47" s="107">
        <v>0</v>
      </c>
      <c r="AB47" s="107">
        <v>0</v>
      </c>
      <c r="AC47" s="107">
        <v>0</v>
      </c>
      <c r="AD47" s="107">
        <v>0</v>
      </c>
      <c r="AE47" s="107">
        <v>0</v>
      </c>
      <c r="AF47" s="107">
        <v>0</v>
      </c>
      <c r="AG47" s="107">
        <v>0</v>
      </c>
      <c r="AH47" s="107">
        <v>0</v>
      </c>
      <c r="AI47" s="107">
        <v>0</v>
      </c>
      <c r="AJ47" s="107">
        <v>0</v>
      </c>
      <c r="AK47" s="107">
        <v>0</v>
      </c>
      <c r="AL47" s="107">
        <v>0</v>
      </c>
      <c r="AM47" s="107">
        <v>0</v>
      </c>
      <c r="AN47" s="107">
        <v>0</v>
      </c>
      <c r="AO47" s="107">
        <v>0</v>
      </c>
      <c r="AP47" s="107">
        <v>0</v>
      </c>
      <c r="AQ47" s="107">
        <v>0</v>
      </c>
      <c r="AR47" s="107">
        <v>0</v>
      </c>
      <c r="AS47" s="107">
        <v>0</v>
      </c>
      <c r="AT47" s="107">
        <v>0</v>
      </c>
      <c r="AU47" s="107">
        <v>0</v>
      </c>
      <c r="AV47" s="107">
        <v>0</v>
      </c>
      <c r="AW47" s="107">
        <v>0</v>
      </c>
      <c r="AX47" s="107">
        <v>0</v>
      </c>
      <c r="AY47" s="107">
        <v>0</v>
      </c>
      <c r="AZ47" s="107">
        <v>0</v>
      </c>
      <c r="BA47" s="107">
        <v>0</v>
      </c>
      <c r="BB47" s="107">
        <v>0</v>
      </c>
      <c r="BC47" s="107">
        <v>0</v>
      </c>
      <c r="BD47" s="107">
        <v>0</v>
      </c>
      <c r="BE47" s="107">
        <v>0</v>
      </c>
      <c r="BF47" s="107">
        <v>0</v>
      </c>
      <c r="BG47" s="107">
        <v>0</v>
      </c>
      <c r="BH47" s="107">
        <v>-1373.2840000000001</v>
      </c>
      <c r="BI47" s="107">
        <v>-406.53100000000001</v>
      </c>
      <c r="BJ47" s="107">
        <v>-1790.3869999999999</v>
      </c>
      <c r="BK47" s="107">
        <v>0</v>
      </c>
      <c r="BL47" s="102"/>
      <c r="BM47" s="102"/>
    </row>
    <row r="48" spans="2:65">
      <c r="B48" s="116" t="s">
        <v>443</v>
      </c>
      <c r="C48" s="117" t="s">
        <v>444</v>
      </c>
      <c r="D48" s="118">
        <v>0</v>
      </c>
      <c r="E48" s="118">
        <v>3083.4180000000001</v>
      </c>
      <c r="F48" s="118">
        <v>0</v>
      </c>
      <c r="G48" s="118">
        <v>3678.4540000000002</v>
      </c>
      <c r="H48" s="118">
        <v>0</v>
      </c>
      <c r="I48" s="118">
        <v>3.1E-2</v>
      </c>
      <c r="J48" s="118">
        <v>15.398999999999999</v>
      </c>
      <c r="K48" s="118">
        <v>472.84699999999998</v>
      </c>
      <c r="L48" s="118">
        <v>719.91099999999994</v>
      </c>
      <c r="M48" s="118">
        <v>560.74099999999999</v>
      </c>
      <c r="N48" s="118">
        <v>1842.117</v>
      </c>
      <c r="O48" s="118">
        <v>44.777999999999999</v>
      </c>
      <c r="P48" s="118">
        <v>353.68299999999999</v>
      </c>
      <c r="Q48" s="118">
        <v>1012.348</v>
      </c>
      <c r="R48" s="118">
        <v>22937.118999999999</v>
      </c>
      <c r="S48" s="118">
        <v>0</v>
      </c>
      <c r="T48" s="118">
        <v>0</v>
      </c>
      <c r="U48" s="118">
        <v>0</v>
      </c>
      <c r="V48" s="118">
        <v>0</v>
      </c>
      <c r="W48" s="118">
        <v>798.55499999999995</v>
      </c>
      <c r="X48" s="118">
        <v>6459.8239999999996</v>
      </c>
      <c r="Y48" s="118">
        <v>4732.0469999999996</v>
      </c>
      <c r="Z48" s="118">
        <v>10285.4</v>
      </c>
      <c r="AA48" s="118">
        <v>3.1269999999999998</v>
      </c>
      <c r="AB48" s="118">
        <v>0</v>
      </c>
      <c r="AC48" s="118">
        <v>3110.91</v>
      </c>
      <c r="AD48" s="118">
        <v>2328.5859999999998</v>
      </c>
      <c r="AE48" s="118">
        <v>23494.794000000002</v>
      </c>
      <c r="AF48" s="118">
        <v>188.023</v>
      </c>
      <c r="AG48" s="118">
        <v>63.146000000000001</v>
      </c>
      <c r="AH48" s="118">
        <v>974.49900000000002</v>
      </c>
      <c r="AI48" s="118">
        <v>43804.417999999998</v>
      </c>
      <c r="AJ48" s="118">
        <v>211.721</v>
      </c>
      <c r="AK48" s="118">
        <v>850.15899999999999</v>
      </c>
      <c r="AL48" s="118">
        <v>1684.0940000000001</v>
      </c>
      <c r="AM48" s="118">
        <v>19.649000000000001</v>
      </c>
      <c r="AN48" s="118">
        <v>796.53300000000002</v>
      </c>
      <c r="AO48" s="118">
        <v>1104.4090000000001</v>
      </c>
      <c r="AP48" s="118">
        <v>1571.8409999999999</v>
      </c>
      <c r="AQ48" s="118">
        <v>837.86300000000006</v>
      </c>
      <c r="AR48" s="118">
        <v>413.19600000000003</v>
      </c>
      <c r="AS48" s="118">
        <v>820.68799999999999</v>
      </c>
      <c r="AT48" s="118">
        <v>52.807000000000002</v>
      </c>
      <c r="AU48" s="118">
        <v>6.6980000000000004</v>
      </c>
      <c r="AV48" s="118">
        <v>0</v>
      </c>
      <c r="AW48" s="118">
        <v>685.42399999999998</v>
      </c>
      <c r="AX48" s="118">
        <v>0</v>
      </c>
      <c r="AY48" s="118">
        <v>0</v>
      </c>
      <c r="AZ48" s="118">
        <v>0</v>
      </c>
      <c r="BA48" s="118">
        <v>0</v>
      </c>
      <c r="BB48" s="118">
        <v>224.72200000000001</v>
      </c>
      <c r="BC48" s="118">
        <v>0</v>
      </c>
      <c r="BD48" s="118">
        <v>26.911999999999999</v>
      </c>
      <c r="BE48" s="118">
        <v>0</v>
      </c>
      <c r="BF48" s="118">
        <v>0</v>
      </c>
      <c r="BG48" s="118">
        <v>0</v>
      </c>
      <c r="BH48" s="118">
        <v>46365.828999999998</v>
      </c>
      <c r="BI48" s="118">
        <v>5903.866</v>
      </c>
      <c r="BJ48" s="118">
        <v>192540.58600000004</v>
      </c>
      <c r="BK48" s="118">
        <v>5837.1679999999997</v>
      </c>
      <c r="BL48" s="102"/>
      <c r="BM48" s="102"/>
    </row>
    <row r="49" spans="2:65" collapsed="1">
      <c r="B49" s="112" t="s">
        <v>445</v>
      </c>
      <c r="C49" s="120" t="s">
        <v>446</v>
      </c>
      <c r="D49" s="100">
        <v>0</v>
      </c>
      <c r="E49" s="100">
        <v>3083.4180000000001</v>
      </c>
      <c r="F49" s="100">
        <v>0</v>
      </c>
      <c r="G49" s="100">
        <v>3678.4540000000002</v>
      </c>
      <c r="H49" s="100">
        <v>0</v>
      </c>
      <c r="I49" s="100">
        <v>3.1E-2</v>
      </c>
      <c r="J49" s="100">
        <v>0</v>
      </c>
      <c r="K49" s="100">
        <v>472.84699999999998</v>
      </c>
      <c r="L49" s="100">
        <v>719.91099999999994</v>
      </c>
      <c r="M49" s="100">
        <v>0</v>
      </c>
      <c r="N49" s="100">
        <v>1842.117</v>
      </c>
      <c r="O49" s="100">
        <v>44.777999999999999</v>
      </c>
      <c r="P49" s="100">
        <v>353.68299999999999</v>
      </c>
      <c r="Q49" s="100">
        <v>679.79499999999996</v>
      </c>
      <c r="R49" s="100">
        <v>22937.118999999999</v>
      </c>
      <c r="S49" s="100">
        <v>0</v>
      </c>
      <c r="T49" s="100">
        <v>0</v>
      </c>
      <c r="U49" s="100">
        <v>0</v>
      </c>
      <c r="V49" s="100">
        <v>0</v>
      </c>
      <c r="W49" s="100">
        <v>798.55499999999995</v>
      </c>
      <c r="X49" s="100">
        <v>2584.5749999999998</v>
      </c>
      <c r="Y49" s="100">
        <v>3962.8090000000002</v>
      </c>
      <c r="Z49" s="100">
        <v>10285.4</v>
      </c>
      <c r="AA49" s="100">
        <v>3.1269999999999998</v>
      </c>
      <c r="AB49" s="100">
        <v>0</v>
      </c>
      <c r="AC49" s="100">
        <v>3110.91</v>
      </c>
      <c r="AD49" s="100">
        <v>2328.5859999999998</v>
      </c>
      <c r="AE49" s="100">
        <v>23494.794000000002</v>
      </c>
      <c r="AF49" s="100">
        <v>188.023</v>
      </c>
      <c r="AG49" s="100">
        <v>63.146000000000001</v>
      </c>
      <c r="AH49" s="100">
        <v>974.49900000000002</v>
      </c>
      <c r="AI49" s="100">
        <v>0</v>
      </c>
      <c r="AJ49" s="100">
        <v>0</v>
      </c>
      <c r="AK49" s="100">
        <v>0</v>
      </c>
      <c r="AL49" s="100">
        <v>0</v>
      </c>
      <c r="AM49" s="100">
        <v>0</v>
      </c>
      <c r="AN49" s="100">
        <v>0</v>
      </c>
      <c r="AO49" s="100">
        <v>0</v>
      </c>
      <c r="AP49" s="100">
        <v>1571.8409999999999</v>
      </c>
      <c r="AQ49" s="100">
        <v>837.86300000000006</v>
      </c>
      <c r="AR49" s="100">
        <v>413.19600000000003</v>
      </c>
      <c r="AS49" s="100">
        <v>820.68799999999999</v>
      </c>
      <c r="AT49" s="100">
        <v>52.807000000000002</v>
      </c>
      <c r="AU49" s="100">
        <v>6.6980000000000004</v>
      </c>
      <c r="AV49" s="100">
        <v>0</v>
      </c>
      <c r="AW49" s="100">
        <v>685.42399999999998</v>
      </c>
      <c r="AX49" s="100">
        <v>0</v>
      </c>
      <c r="AY49" s="100">
        <v>0</v>
      </c>
      <c r="AZ49" s="100">
        <v>0</v>
      </c>
      <c r="BA49" s="100">
        <v>0</v>
      </c>
      <c r="BB49" s="100">
        <v>224.72200000000001</v>
      </c>
      <c r="BC49" s="100">
        <v>0</v>
      </c>
      <c r="BD49" s="100">
        <v>26.911999999999999</v>
      </c>
      <c r="BE49" s="100">
        <v>0</v>
      </c>
      <c r="BF49" s="100">
        <v>0</v>
      </c>
      <c r="BG49" s="100">
        <v>0</v>
      </c>
      <c r="BH49" s="100">
        <v>46365.828999999998</v>
      </c>
      <c r="BI49" s="100">
        <v>5903.866</v>
      </c>
      <c r="BJ49" s="100">
        <v>138516.42299999998</v>
      </c>
      <c r="BK49" s="100">
        <v>5837.1679999999997</v>
      </c>
      <c r="BL49" s="102"/>
      <c r="BM49" s="102"/>
    </row>
    <row r="50" spans="2:65" collapsed="1">
      <c r="B50" s="114" t="s">
        <v>164</v>
      </c>
      <c r="C50" s="121" t="s">
        <v>447</v>
      </c>
      <c r="D50" s="100">
        <v>0</v>
      </c>
      <c r="E50" s="100">
        <v>3083.4180000000001</v>
      </c>
      <c r="F50" s="100">
        <v>0</v>
      </c>
      <c r="G50" s="100">
        <v>3678.4540000000002</v>
      </c>
      <c r="H50" s="100">
        <v>0</v>
      </c>
      <c r="I50" s="100">
        <v>3.1E-2</v>
      </c>
      <c r="J50" s="100">
        <v>0</v>
      </c>
      <c r="K50" s="100">
        <v>56.987000000000002</v>
      </c>
      <c r="L50" s="100">
        <v>719.91099999999994</v>
      </c>
      <c r="M50" s="100">
        <v>0</v>
      </c>
      <c r="N50" s="100">
        <v>1842.117</v>
      </c>
      <c r="O50" s="100">
        <v>44.777999999999999</v>
      </c>
      <c r="P50" s="100">
        <v>353.68299999999999</v>
      </c>
      <c r="Q50" s="100">
        <v>679.79499999999996</v>
      </c>
      <c r="R50" s="100">
        <v>7545.7860000000001</v>
      </c>
      <c r="S50" s="100">
        <v>0</v>
      </c>
      <c r="T50" s="100">
        <v>0</v>
      </c>
      <c r="U50" s="100">
        <v>0</v>
      </c>
      <c r="V50" s="100">
        <v>0</v>
      </c>
      <c r="W50" s="100">
        <v>758.91</v>
      </c>
      <c r="X50" s="100">
        <v>839.65</v>
      </c>
      <c r="Y50" s="100">
        <v>244.571</v>
      </c>
      <c r="Z50" s="100">
        <v>190.929</v>
      </c>
      <c r="AA50" s="100">
        <v>3.0000000000000001E-3</v>
      </c>
      <c r="AB50" s="100">
        <v>0</v>
      </c>
      <c r="AC50" s="100">
        <v>3.5000000000000003E-2</v>
      </c>
      <c r="AD50" s="100">
        <v>166.66399999999999</v>
      </c>
      <c r="AE50" s="100">
        <v>2292.2779999999998</v>
      </c>
      <c r="AF50" s="100">
        <v>68.031999999999996</v>
      </c>
      <c r="AG50" s="100">
        <v>31.225000000000001</v>
      </c>
      <c r="AH50" s="100">
        <v>731.93600000000004</v>
      </c>
      <c r="AI50" s="100">
        <v>0</v>
      </c>
      <c r="AJ50" s="100">
        <v>0</v>
      </c>
      <c r="AK50" s="100">
        <v>0</v>
      </c>
      <c r="AL50" s="100">
        <v>0</v>
      </c>
      <c r="AM50" s="100">
        <v>0</v>
      </c>
      <c r="AN50" s="100">
        <v>0</v>
      </c>
      <c r="AO50" s="100">
        <v>0</v>
      </c>
      <c r="AP50" s="100">
        <v>1478.117</v>
      </c>
      <c r="AQ50" s="100">
        <v>133.86099999999999</v>
      </c>
      <c r="AR50" s="100">
        <v>382.60599999999999</v>
      </c>
      <c r="AS50" s="100">
        <v>613.75900000000001</v>
      </c>
      <c r="AT50" s="100">
        <v>18.690000000000001</v>
      </c>
      <c r="AU50" s="100">
        <v>4.7380000000000004</v>
      </c>
      <c r="AV50" s="100">
        <v>0</v>
      </c>
      <c r="AW50" s="100">
        <v>0</v>
      </c>
      <c r="AX50" s="100">
        <v>0</v>
      </c>
      <c r="AY50" s="100">
        <v>0</v>
      </c>
      <c r="AZ50" s="100">
        <v>0</v>
      </c>
      <c r="BA50" s="100">
        <v>0</v>
      </c>
      <c r="BB50" s="100">
        <v>33.826999999999998</v>
      </c>
      <c r="BC50" s="100">
        <v>0</v>
      </c>
      <c r="BD50" s="100">
        <v>1</v>
      </c>
      <c r="BE50" s="100">
        <v>0</v>
      </c>
      <c r="BF50" s="100">
        <v>0</v>
      </c>
      <c r="BG50" s="100">
        <v>0</v>
      </c>
      <c r="BH50" s="100">
        <v>25386.339</v>
      </c>
      <c r="BI50" s="100">
        <v>3372.1770000000001</v>
      </c>
      <c r="BJ50" s="100">
        <v>54754.307000000008</v>
      </c>
      <c r="BK50" s="100">
        <v>3823.97</v>
      </c>
      <c r="BL50" s="102"/>
      <c r="BM50" s="102"/>
    </row>
    <row r="51" spans="2:65" s="86" customFormat="1">
      <c r="B51" s="89" t="s">
        <v>448</v>
      </c>
      <c r="C51" s="134" t="s">
        <v>449</v>
      </c>
      <c r="D51" s="87">
        <v>0</v>
      </c>
      <c r="E51" s="87">
        <v>0</v>
      </c>
      <c r="F51" s="87">
        <v>0</v>
      </c>
      <c r="G51" s="87">
        <v>0</v>
      </c>
      <c r="H51" s="87">
        <v>0</v>
      </c>
      <c r="I51" s="87">
        <v>0</v>
      </c>
      <c r="J51" s="87">
        <v>0</v>
      </c>
      <c r="K51" s="87">
        <v>55.317999999999998</v>
      </c>
      <c r="L51" s="87">
        <v>0</v>
      </c>
      <c r="M51" s="87">
        <v>0</v>
      </c>
      <c r="N51" s="87">
        <v>0</v>
      </c>
      <c r="O51" s="87">
        <v>0</v>
      </c>
      <c r="P51" s="87">
        <v>0</v>
      </c>
      <c r="Q51" s="87">
        <v>0</v>
      </c>
      <c r="R51" s="87">
        <v>4.1000000000000002E-2</v>
      </c>
      <c r="S51" s="87">
        <v>0</v>
      </c>
      <c r="T51" s="87">
        <v>0</v>
      </c>
      <c r="U51" s="87">
        <v>0</v>
      </c>
      <c r="V51" s="87">
        <v>0</v>
      </c>
      <c r="W51" s="87">
        <v>0</v>
      </c>
      <c r="X51" s="87">
        <v>4.585</v>
      </c>
      <c r="Y51" s="87">
        <v>0.13900000000000001</v>
      </c>
      <c r="Z51" s="87">
        <v>38.381</v>
      </c>
      <c r="AA51" s="87">
        <v>0</v>
      </c>
      <c r="AB51" s="87">
        <v>0</v>
      </c>
      <c r="AC51" s="87">
        <v>0</v>
      </c>
      <c r="AD51" s="87">
        <v>93.619</v>
      </c>
      <c r="AE51" s="87">
        <v>169.779</v>
      </c>
      <c r="AF51" s="87">
        <v>13.398999999999999</v>
      </c>
      <c r="AG51" s="87">
        <v>10.746</v>
      </c>
      <c r="AH51" s="87">
        <v>2.64</v>
      </c>
      <c r="AI51" s="87">
        <v>0</v>
      </c>
      <c r="AJ51" s="87">
        <v>0</v>
      </c>
      <c r="AK51" s="87">
        <v>0</v>
      </c>
      <c r="AL51" s="87">
        <v>0</v>
      </c>
      <c r="AM51" s="87">
        <v>0</v>
      </c>
      <c r="AN51" s="87">
        <v>0</v>
      </c>
      <c r="AO51" s="87">
        <v>0</v>
      </c>
      <c r="AP51" s="87">
        <v>0</v>
      </c>
      <c r="AQ51" s="87">
        <v>0.70799999999999996</v>
      </c>
      <c r="AR51" s="87">
        <v>0</v>
      </c>
      <c r="AS51" s="87">
        <v>133.76400000000001</v>
      </c>
      <c r="AT51" s="87">
        <v>0</v>
      </c>
      <c r="AU51" s="87">
        <v>0</v>
      </c>
      <c r="AV51" s="87">
        <v>0</v>
      </c>
      <c r="AW51" s="87">
        <v>0</v>
      </c>
      <c r="AX51" s="87">
        <v>0</v>
      </c>
      <c r="AY51" s="87">
        <v>0</v>
      </c>
      <c r="AZ51" s="87">
        <v>0</v>
      </c>
      <c r="BA51" s="87">
        <v>0</v>
      </c>
      <c r="BB51" s="87">
        <v>29.326000000000001</v>
      </c>
      <c r="BC51" s="87">
        <v>0</v>
      </c>
      <c r="BD51" s="87">
        <v>0</v>
      </c>
      <c r="BE51" s="87">
        <v>0</v>
      </c>
      <c r="BF51" s="87">
        <v>0</v>
      </c>
      <c r="BG51" s="87">
        <v>0</v>
      </c>
      <c r="BH51" s="87">
        <v>1218.249</v>
      </c>
      <c r="BI51" s="87">
        <v>0</v>
      </c>
      <c r="BJ51" s="87">
        <v>1770.694</v>
      </c>
      <c r="BK51" s="87">
        <v>163.798</v>
      </c>
      <c r="BL51" s="88"/>
      <c r="BM51" s="88"/>
    </row>
    <row r="52" spans="2:65" s="86" customFormat="1" collapsed="1">
      <c r="B52" s="89" t="s">
        <v>450</v>
      </c>
      <c r="C52" s="134" t="s">
        <v>451</v>
      </c>
      <c r="D52" s="87">
        <v>0</v>
      </c>
      <c r="E52" s="87">
        <v>0</v>
      </c>
      <c r="F52" s="87">
        <v>0</v>
      </c>
      <c r="G52" s="87">
        <v>0</v>
      </c>
      <c r="H52" s="87">
        <v>0</v>
      </c>
      <c r="I52" s="87">
        <v>0</v>
      </c>
      <c r="J52" s="87">
        <v>0</v>
      </c>
      <c r="K52" s="87">
        <v>0</v>
      </c>
      <c r="L52" s="87">
        <v>0</v>
      </c>
      <c r="M52" s="87">
        <v>0</v>
      </c>
      <c r="N52" s="87">
        <v>0</v>
      </c>
      <c r="O52" s="87">
        <v>0</v>
      </c>
      <c r="P52" s="87">
        <v>0</v>
      </c>
      <c r="Q52" s="87">
        <v>0</v>
      </c>
      <c r="R52" s="87">
        <v>0</v>
      </c>
      <c r="S52" s="87">
        <v>0</v>
      </c>
      <c r="T52" s="87">
        <v>0</v>
      </c>
      <c r="U52" s="87">
        <v>0</v>
      </c>
      <c r="V52" s="87">
        <v>0</v>
      </c>
      <c r="W52" s="87">
        <v>0</v>
      </c>
      <c r="X52" s="87">
        <v>1.1519999999999999</v>
      </c>
      <c r="Y52" s="87">
        <v>0</v>
      </c>
      <c r="Z52" s="87">
        <v>81.397999999999996</v>
      </c>
      <c r="AA52" s="87">
        <v>0</v>
      </c>
      <c r="AB52" s="87">
        <v>0</v>
      </c>
      <c r="AC52" s="87">
        <v>0</v>
      </c>
      <c r="AD52" s="87">
        <v>0.219</v>
      </c>
      <c r="AE52" s="87">
        <v>893.85</v>
      </c>
      <c r="AF52" s="87">
        <v>0.995</v>
      </c>
      <c r="AG52" s="87">
        <v>4.7910000000000004</v>
      </c>
      <c r="AH52" s="87">
        <v>6.6189999999999998</v>
      </c>
      <c r="AI52" s="87">
        <v>0</v>
      </c>
      <c r="AJ52" s="87">
        <v>0</v>
      </c>
      <c r="AK52" s="87">
        <v>0</v>
      </c>
      <c r="AL52" s="87">
        <v>0</v>
      </c>
      <c r="AM52" s="87">
        <v>0</v>
      </c>
      <c r="AN52" s="87">
        <v>0</v>
      </c>
      <c r="AO52" s="87">
        <v>0</v>
      </c>
      <c r="AP52" s="87">
        <v>0</v>
      </c>
      <c r="AQ52" s="87">
        <v>0</v>
      </c>
      <c r="AR52" s="87">
        <v>0</v>
      </c>
      <c r="AS52" s="87">
        <v>0</v>
      </c>
      <c r="AT52" s="87">
        <v>0</v>
      </c>
      <c r="AU52" s="87">
        <v>0</v>
      </c>
      <c r="AV52" s="87">
        <v>0</v>
      </c>
      <c r="AW52" s="87">
        <v>0</v>
      </c>
      <c r="AX52" s="87">
        <v>0</v>
      </c>
      <c r="AY52" s="87">
        <v>0</v>
      </c>
      <c r="AZ52" s="87">
        <v>0</v>
      </c>
      <c r="BA52" s="87">
        <v>0</v>
      </c>
      <c r="BB52" s="87">
        <v>0</v>
      </c>
      <c r="BC52" s="87">
        <v>0</v>
      </c>
      <c r="BD52" s="87">
        <v>0</v>
      </c>
      <c r="BE52" s="87">
        <v>0</v>
      </c>
      <c r="BF52" s="87">
        <v>0</v>
      </c>
      <c r="BG52" s="87">
        <v>0</v>
      </c>
      <c r="BH52" s="87">
        <v>269.952</v>
      </c>
      <c r="BI52" s="87">
        <v>0</v>
      </c>
      <c r="BJ52" s="87">
        <v>1258.9760000000001</v>
      </c>
      <c r="BK52" s="87">
        <v>0</v>
      </c>
      <c r="BL52" s="88"/>
      <c r="BM52" s="88"/>
    </row>
    <row r="53" spans="2:65" s="86" customFormat="1">
      <c r="B53" s="89" t="s">
        <v>452</v>
      </c>
      <c r="C53" s="134" t="s">
        <v>453</v>
      </c>
      <c r="D53" s="87">
        <v>0</v>
      </c>
      <c r="E53" s="87">
        <v>0</v>
      </c>
      <c r="F53" s="87">
        <v>0</v>
      </c>
      <c r="G53" s="87">
        <v>0</v>
      </c>
      <c r="H53" s="87">
        <v>0</v>
      </c>
      <c r="I53" s="87">
        <v>0</v>
      </c>
      <c r="J53" s="87">
        <v>0</v>
      </c>
      <c r="K53" s="87">
        <v>0</v>
      </c>
      <c r="L53" s="87">
        <v>0</v>
      </c>
      <c r="M53" s="87">
        <v>0</v>
      </c>
      <c r="N53" s="87">
        <v>0</v>
      </c>
      <c r="O53" s="87">
        <v>0</v>
      </c>
      <c r="P53" s="87">
        <v>0</v>
      </c>
      <c r="Q53" s="87">
        <v>0</v>
      </c>
      <c r="R53" s="87">
        <v>0</v>
      </c>
      <c r="S53" s="87">
        <v>0</v>
      </c>
      <c r="T53" s="87">
        <v>0</v>
      </c>
      <c r="U53" s="87">
        <v>0</v>
      </c>
      <c r="V53" s="87">
        <v>0</v>
      </c>
      <c r="W53" s="87">
        <v>0</v>
      </c>
      <c r="X53" s="87">
        <v>1.76</v>
      </c>
      <c r="Y53" s="87">
        <v>1E-3</v>
      </c>
      <c r="Z53" s="87">
        <v>0.39800000000000002</v>
      </c>
      <c r="AA53" s="87">
        <v>0</v>
      </c>
      <c r="AB53" s="87">
        <v>0</v>
      </c>
      <c r="AC53" s="87">
        <v>0</v>
      </c>
      <c r="AD53" s="87">
        <v>0.84599999999999997</v>
      </c>
      <c r="AE53" s="87">
        <v>31.888999999999999</v>
      </c>
      <c r="AF53" s="87">
        <v>2.786</v>
      </c>
      <c r="AG53" s="87">
        <v>0.55300000000000005</v>
      </c>
      <c r="AH53" s="87">
        <v>1.802</v>
      </c>
      <c r="AI53" s="87">
        <v>0</v>
      </c>
      <c r="AJ53" s="87">
        <v>0</v>
      </c>
      <c r="AK53" s="87">
        <v>0</v>
      </c>
      <c r="AL53" s="87">
        <v>0</v>
      </c>
      <c r="AM53" s="87">
        <v>0</v>
      </c>
      <c r="AN53" s="87">
        <v>0</v>
      </c>
      <c r="AO53" s="87">
        <v>0</v>
      </c>
      <c r="AP53" s="87">
        <v>0</v>
      </c>
      <c r="AQ53" s="87">
        <v>0</v>
      </c>
      <c r="AR53" s="87">
        <v>0</v>
      </c>
      <c r="AS53" s="87">
        <v>0.06</v>
      </c>
      <c r="AT53" s="87">
        <v>0</v>
      </c>
      <c r="AU53" s="87">
        <v>0</v>
      </c>
      <c r="AV53" s="87">
        <v>0</v>
      </c>
      <c r="AW53" s="87">
        <v>0</v>
      </c>
      <c r="AX53" s="87">
        <v>0</v>
      </c>
      <c r="AY53" s="87">
        <v>0</v>
      </c>
      <c r="AZ53" s="87">
        <v>0</v>
      </c>
      <c r="BA53" s="87">
        <v>0</v>
      </c>
      <c r="BB53" s="87">
        <v>0</v>
      </c>
      <c r="BC53" s="87">
        <v>0</v>
      </c>
      <c r="BD53" s="87">
        <v>0</v>
      </c>
      <c r="BE53" s="87">
        <v>0</v>
      </c>
      <c r="BF53" s="87">
        <v>0</v>
      </c>
      <c r="BG53" s="87">
        <v>0</v>
      </c>
      <c r="BH53" s="87">
        <v>128.35599999999999</v>
      </c>
      <c r="BI53" s="87">
        <v>0</v>
      </c>
      <c r="BJ53" s="87">
        <v>168.45099999999999</v>
      </c>
      <c r="BK53" s="87">
        <v>0.06</v>
      </c>
      <c r="BL53" s="88"/>
      <c r="BM53" s="88"/>
    </row>
    <row r="54" spans="2:65">
      <c r="B54" s="122" t="s">
        <v>454</v>
      </c>
      <c r="C54" s="123" t="s">
        <v>455</v>
      </c>
      <c r="D54" s="100">
        <v>0</v>
      </c>
      <c r="E54" s="100">
        <v>3083.4180000000001</v>
      </c>
      <c r="F54" s="100">
        <v>0</v>
      </c>
      <c r="G54" s="100">
        <v>3678.4540000000002</v>
      </c>
      <c r="H54" s="100">
        <v>0</v>
      </c>
      <c r="I54" s="100">
        <v>0</v>
      </c>
      <c r="J54" s="100">
        <v>0</v>
      </c>
      <c r="K54" s="100">
        <v>1.123</v>
      </c>
      <c r="L54" s="100">
        <v>719.91099999999994</v>
      </c>
      <c r="M54" s="100">
        <v>0</v>
      </c>
      <c r="N54" s="100">
        <v>1842.117</v>
      </c>
      <c r="O54" s="100">
        <v>44.777999999999999</v>
      </c>
      <c r="P54" s="100">
        <v>353.68299999999999</v>
      </c>
      <c r="Q54" s="100">
        <v>679.79499999999996</v>
      </c>
      <c r="R54" s="100">
        <v>7545.6139999999996</v>
      </c>
      <c r="S54" s="100">
        <v>0</v>
      </c>
      <c r="T54" s="100">
        <v>0</v>
      </c>
      <c r="U54" s="100">
        <v>0</v>
      </c>
      <c r="V54" s="100">
        <v>0</v>
      </c>
      <c r="W54" s="100">
        <v>758.91</v>
      </c>
      <c r="X54" s="100">
        <v>812.00599999999997</v>
      </c>
      <c r="Y54" s="100">
        <v>244.43100000000001</v>
      </c>
      <c r="Z54" s="100">
        <v>60.005000000000003</v>
      </c>
      <c r="AA54" s="100">
        <v>3.0000000000000001E-3</v>
      </c>
      <c r="AB54" s="100">
        <v>0</v>
      </c>
      <c r="AC54" s="100">
        <v>3.5000000000000003E-2</v>
      </c>
      <c r="AD54" s="100">
        <v>68.114000000000004</v>
      </c>
      <c r="AE54" s="100">
        <v>491.27100000000002</v>
      </c>
      <c r="AF54" s="100">
        <v>42.412999999999997</v>
      </c>
      <c r="AG54" s="100">
        <v>9.0220000000000002</v>
      </c>
      <c r="AH54" s="100">
        <v>716.73199999999997</v>
      </c>
      <c r="AI54" s="100">
        <v>0</v>
      </c>
      <c r="AJ54" s="100">
        <v>0</v>
      </c>
      <c r="AK54" s="100">
        <v>0</v>
      </c>
      <c r="AL54" s="100">
        <v>0</v>
      </c>
      <c r="AM54" s="100">
        <v>0</v>
      </c>
      <c r="AN54" s="100">
        <v>0</v>
      </c>
      <c r="AO54" s="100">
        <v>0</v>
      </c>
      <c r="AP54" s="100">
        <v>1466.04</v>
      </c>
      <c r="AQ54" s="100">
        <v>111.794</v>
      </c>
      <c r="AR54" s="100">
        <v>382.60599999999999</v>
      </c>
      <c r="AS54" s="100">
        <v>479.93400000000003</v>
      </c>
      <c r="AT54" s="100">
        <v>18.655999999999999</v>
      </c>
      <c r="AU54" s="100">
        <v>4.7380000000000004</v>
      </c>
      <c r="AV54" s="100">
        <v>0</v>
      </c>
      <c r="AW54" s="100">
        <v>0</v>
      </c>
      <c r="AX54" s="100">
        <v>0</v>
      </c>
      <c r="AY54" s="100">
        <v>0</v>
      </c>
      <c r="AZ54" s="100">
        <v>0</v>
      </c>
      <c r="BA54" s="100">
        <v>0</v>
      </c>
      <c r="BB54" s="100">
        <v>4.5010000000000003</v>
      </c>
      <c r="BC54" s="100">
        <v>0</v>
      </c>
      <c r="BD54" s="100">
        <v>1</v>
      </c>
      <c r="BE54" s="100">
        <v>0</v>
      </c>
      <c r="BF54" s="100">
        <v>0</v>
      </c>
      <c r="BG54" s="100">
        <v>0</v>
      </c>
      <c r="BH54" s="100">
        <v>23768.945</v>
      </c>
      <c r="BI54" s="100">
        <v>3372.1770000000001</v>
      </c>
      <c r="BJ54" s="100">
        <v>50762.226000000017</v>
      </c>
      <c r="BK54" s="100">
        <v>3626.6410000000001</v>
      </c>
      <c r="BL54" s="102"/>
      <c r="BM54" s="102"/>
    </row>
    <row r="55" spans="2:65" s="86" customFormat="1">
      <c r="B55" s="135" t="s">
        <v>456</v>
      </c>
      <c r="C55" s="136" t="s">
        <v>457</v>
      </c>
      <c r="D55" s="87">
        <v>0</v>
      </c>
      <c r="E55" s="87">
        <v>0</v>
      </c>
      <c r="F55" s="87">
        <v>0</v>
      </c>
      <c r="G55" s="87">
        <v>0</v>
      </c>
      <c r="H55" s="87">
        <v>0</v>
      </c>
      <c r="I55" s="87">
        <v>0</v>
      </c>
      <c r="J55" s="87">
        <v>0</v>
      </c>
      <c r="K55" s="87">
        <v>0</v>
      </c>
      <c r="L55" s="87">
        <v>0</v>
      </c>
      <c r="M55" s="87">
        <v>0</v>
      </c>
      <c r="N55" s="87">
        <v>0</v>
      </c>
      <c r="O55" s="87">
        <v>0</v>
      </c>
      <c r="P55" s="87">
        <v>0</v>
      </c>
      <c r="Q55" s="87">
        <v>0</v>
      </c>
      <c r="R55" s="87">
        <v>812.44100000000003</v>
      </c>
      <c r="S55" s="87">
        <v>0</v>
      </c>
      <c r="T55" s="87">
        <v>0</v>
      </c>
      <c r="U55" s="87">
        <v>0</v>
      </c>
      <c r="V55" s="87">
        <v>0</v>
      </c>
      <c r="W55" s="87">
        <v>0</v>
      </c>
      <c r="X55" s="87">
        <v>22.867999999999999</v>
      </c>
      <c r="Y55" s="87">
        <v>1.5860000000000001</v>
      </c>
      <c r="Z55" s="87">
        <v>5.0629999999999997</v>
      </c>
      <c r="AA55" s="87">
        <v>0</v>
      </c>
      <c r="AB55" s="87">
        <v>0</v>
      </c>
      <c r="AC55" s="87">
        <v>0</v>
      </c>
      <c r="AD55" s="87">
        <v>4.3049999999999997</v>
      </c>
      <c r="AE55" s="87">
        <v>28.82</v>
      </c>
      <c r="AF55" s="87">
        <v>1.1579999999999999</v>
      </c>
      <c r="AG55" s="87">
        <v>0.28299999999999997</v>
      </c>
      <c r="AH55" s="87">
        <v>21.437000000000001</v>
      </c>
      <c r="AI55" s="87">
        <v>0</v>
      </c>
      <c r="AJ55" s="87">
        <v>0</v>
      </c>
      <c r="AK55" s="87">
        <v>0</v>
      </c>
      <c r="AL55" s="87">
        <v>0</v>
      </c>
      <c r="AM55" s="87">
        <v>0</v>
      </c>
      <c r="AN55" s="87">
        <v>0</v>
      </c>
      <c r="AO55" s="87">
        <v>0</v>
      </c>
      <c r="AP55" s="87">
        <v>24.754000000000001</v>
      </c>
      <c r="AQ55" s="87">
        <v>0</v>
      </c>
      <c r="AR55" s="87">
        <v>0.85499999999999998</v>
      </c>
      <c r="AS55" s="87">
        <v>18.358000000000001</v>
      </c>
      <c r="AT55" s="87">
        <v>6.8419999999999996</v>
      </c>
      <c r="AU55" s="87">
        <v>0</v>
      </c>
      <c r="AV55" s="87">
        <v>0</v>
      </c>
      <c r="AW55" s="87">
        <v>0</v>
      </c>
      <c r="AX55" s="87">
        <v>0</v>
      </c>
      <c r="AY55" s="87">
        <v>0</v>
      </c>
      <c r="AZ55" s="87">
        <v>0</v>
      </c>
      <c r="BA55" s="87">
        <v>0</v>
      </c>
      <c r="BB55" s="87">
        <v>0</v>
      </c>
      <c r="BC55" s="87">
        <v>0</v>
      </c>
      <c r="BD55" s="87">
        <v>0</v>
      </c>
      <c r="BE55" s="87">
        <v>0</v>
      </c>
      <c r="BF55" s="87">
        <v>0</v>
      </c>
      <c r="BG55" s="87">
        <v>0</v>
      </c>
      <c r="BH55" s="87">
        <v>1179.0239999999999</v>
      </c>
      <c r="BI55" s="87">
        <v>133.989</v>
      </c>
      <c r="BJ55" s="87">
        <v>2261.7829999999999</v>
      </c>
      <c r="BK55" s="87">
        <v>50.81</v>
      </c>
      <c r="BL55" s="88"/>
      <c r="BM55" s="88"/>
    </row>
    <row r="56" spans="2:65" s="86" customFormat="1">
      <c r="B56" s="135" t="s">
        <v>458</v>
      </c>
      <c r="C56" s="136" t="s">
        <v>459</v>
      </c>
      <c r="D56" s="87">
        <v>0</v>
      </c>
      <c r="E56" s="87">
        <v>0</v>
      </c>
      <c r="F56" s="87">
        <v>0</v>
      </c>
      <c r="G56" s="87">
        <v>465.971</v>
      </c>
      <c r="H56" s="87">
        <v>0</v>
      </c>
      <c r="I56" s="87">
        <v>0</v>
      </c>
      <c r="J56" s="87">
        <v>0</v>
      </c>
      <c r="K56" s="87">
        <v>0</v>
      </c>
      <c r="L56" s="87">
        <v>0</v>
      </c>
      <c r="M56" s="87">
        <v>0</v>
      </c>
      <c r="N56" s="87">
        <v>0</v>
      </c>
      <c r="O56" s="87">
        <v>0</v>
      </c>
      <c r="P56" s="87">
        <v>0</v>
      </c>
      <c r="Q56" s="87">
        <v>0</v>
      </c>
      <c r="R56" s="87">
        <v>260.96800000000002</v>
      </c>
      <c r="S56" s="87">
        <v>0</v>
      </c>
      <c r="T56" s="87">
        <v>0</v>
      </c>
      <c r="U56" s="87">
        <v>0</v>
      </c>
      <c r="V56" s="87">
        <v>0</v>
      </c>
      <c r="W56" s="87">
        <v>0</v>
      </c>
      <c r="X56" s="87">
        <v>3.6880000000000002</v>
      </c>
      <c r="Y56" s="87">
        <v>0.218</v>
      </c>
      <c r="Z56" s="87">
        <v>8.2000000000000003E-2</v>
      </c>
      <c r="AA56" s="87">
        <v>0</v>
      </c>
      <c r="AB56" s="87">
        <v>0</v>
      </c>
      <c r="AC56" s="87">
        <v>0</v>
      </c>
      <c r="AD56" s="87">
        <v>3.323</v>
      </c>
      <c r="AE56" s="87">
        <v>3.5129999999999999</v>
      </c>
      <c r="AF56" s="87">
        <v>0.56799999999999995</v>
      </c>
      <c r="AG56" s="87">
        <v>0.60299999999999998</v>
      </c>
      <c r="AH56" s="87">
        <v>16.622</v>
      </c>
      <c r="AI56" s="87">
        <v>0</v>
      </c>
      <c r="AJ56" s="87">
        <v>0</v>
      </c>
      <c r="AK56" s="87">
        <v>0</v>
      </c>
      <c r="AL56" s="87">
        <v>0</v>
      </c>
      <c r="AM56" s="87">
        <v>0</v>
      </c>
      <c r="AN56" s="87">
        <v>0</v>
      </c>
      <c r="AO56" s="87">
        <v>0</v>
      </c>
      <c r="AP56" s="87">
        <v>27.902000000000001</v>
      </c>
      <c r="AQ56" s="87">
        <v>1.9179999999999999</v>
      </c>
      <c r="AR56" s="87">
        <v>21.628</v>
      </c>
      <c r="AS56" s="87">
        <v>53.453000000000003</v>
      </c>
      <c r="AT56" s="87">
        <v>0</v>
      </c>
      <c r="AU56" s="87">
        <v>4.7380000000000004</v>
      </c>
      <c r="AV56" s="87">
        <v>0</v>
      </c>
      <c r="AW56" s="87">
        <v>0</v>
      </c>
      <c r="AX56" s="87">
        <v>0</v>
      </c>
      <c r="AY56" s="87">
        <v>0</v>
      </c>
      <c r="AZ56" s="87">
        <v>0</v>
      </c>
      <c r="BA56" s="87">
        <v>0</v>
      </c>
      <c r="BB56" s="87">
        <v>0</v>
      </c>
      <c r="BC56" s="87">
        <v>0</v>
      </c>
      <c r="BD56" s="87">
        <v>0</v>
      </c>
      <c r="BE56" s="87">
        <v>0</v>
      </c>
      <c r="BF56" s="87">
        <v>0</v>
      </c>
      <c r="BG56" s="87">
        <v>0</v>
      </c>
      <c r="BH56" s="87">
        <v>888.39499999999998</v>
      </c>
      <c r="BI56" s="87">
        <v>253.047</v>
      </c>
      <c r="BJ56" s="87">
        <v>2006.6370000000002</v>
      </c>
      <c r="BK56" s="87">
        <v>109.64</v>
      </c>
      <c r="BL56" s="88"/>
      <c r="BM56" s="88"/>
    </row>
    <row r="57" spans="2:65" s="86" customFormat="1">
      <c r="B57" s="135" t="s">
        <v>460</v>
      </c>
      <c r="C57" s="136" t="s">
        <v>461</v>
      </c>
      <c r="D57" s="87">
        <v>0</v>
      </c>
      <c r="E57" s="87">
        <v>0</v>
      </c>
      <c r="F57" s="87">
        <v>0</v>
      </c>
      <c r="G57" s="87">
        <v>0</v>
      </c>
      <c r="H57" s="87">
        <v>0</v>
      </c>
      <c r="I57" s="87">
        <v>0</v>
      </c>
      <c r="J57" s="87">
        <v>0</v>
      </c>
      <c r="K57" s="87">
        <v>0</v>
      </c>
      <c r="L57" s="87">
        <v>0</v>
      </c>
      <c r="M57" s="87">
        <v>0</v>
      </c>
      <c r="N57" s="87">
        <v>0</v>
      </c>
      <c r="O57" s="87">
        <v>0</v>
      </c>
      <c r="P57" s="87">
        <v>0</v>
      </c>
      <c r="Q57" s="87">
        <v>0</v>
      </c>
      <c r="R57" s="87">
        <v>27</v>
      </c>
      <c r="S57" s="87">
        <v>0</v>
      </c>
      <c r="T57" s="87">
        <v>0</v>
      </c>
      <c r="U57" s="87">
        <v>0</v>
      </c>
      <c r="V57" s="87">
        <v>0</v>
      </c>
      <c r="W57" s="87">
        <v>0</v>
      </c>
      <c r="X57" s="87">
        <v>0.24099999999999999</v>
      </c>
      <c r="Y57" s="87">
        <v>0</v>
      </c>
      <c r="Z57" s="87">
        <v>2.4E-2</v>
      </c>
      <c r="AA57" s="87">
        <v>0</v>
      </c>
      <c r="AB57" s="87">
        <v>0</v>
      </c>
      <c r="AC57" s="87">
        <v>0</v>
      </c>
      <c r="AD57" s="87">
        <v>1.7999999999999999E-2</v>
      </c>
      <c r="AE57" s="87">
        <v>1.0409999999999999</v>
      </c>
      <c r="AF57" s="87">
        <v>0</v>
      </c>
      <c r="AG57" s="87">
        <v>7.3999999999999996E-2</v>
      </c>
      <c r="AH57" s="87">
        <v>1.18</v>
      </c>
      <c r="AI57" s="87">
        <v>0</v>
      </c>
      <c r="AJ57" s="87">
        <v>0</v>
      </c>
      <c r="AK57" s="87">
        <v>0</v>
      </c>
      <c r="AL57" s="87">
        <v>0</v>
      </c>
      <c r="AM57" s="87">
        <v>0</v>
      </c>
      <c r="AN57" s="87">
        <v>0</v>
      </c>
      <c r="AO57" s="87">
        <v>0</v>
      </c>
      <c r="AP57" s="87">
        <v>0</v>
      </c>
      <c r="AQ57" s="87">
        <v>0</v>
      </c>
      <c r="AR57" s="87">
        <v>5.806</v>
      </c>
      <c r="AS57" s="87">
        <v>61.811</v>
      </c>
      <c r="AT57" s="87">
        <v>0</v>
      </c>
      <c r="AU57" s="87">
        <v>0</v>
      </c>
      <c r="AV57" s="87">
        <v>0</v>
      </c>
      <c r="AW57" s="87">
        <v>0</v>
      </c>
      <c r="AX57" s="87">
        <v>0</v>
      </c>
      <c r="AY57" s="87">
        <v>0</v>
      </c>
      <c r="AZ57" s="87">
        <v>0</v>
      </c>
      <c r="BA57" s="87">
        <v>0</v>
      </c>
      <c r="BB57" s="87">
        <v>0</v>
      </c>
      <c r="BC57" s="87">
        <v>0</v>
      </c>
      <c r="BD57" s="87">
        <v>0</v>
      </c>
      <c r="BE57" s="87">
        <v>0</v>
      </c>
      <c r="BF57" s="87">
        <v>0</v>
      </c>
      <c r="BG57" s="87">
        <v>0</v>
      </c>
      <c r="BH57" s="87">
        <v>149.17099999999999</v>
      </c>
      <c r="BI57" s="87">
        <v>8.7420000000000009</v>
      </c>
      <c r="BJ57" s="87">
        <v>255.10799999999998</v>
      </c>
      <c r="BK57" s="87">
        <v>67.617000000000004</v>
      </c>
      <c r="BL57" s="88"/>
      <c r="BM57" s="88"/>
    </row>
    <row r="58" spans="2:65" s="86" customFormat="1" collapsed="1">
      <c r="B58" s="135" t="s">
        <v>462</v>
      </c>
      <c r="C58" s="136" t="s">
        <v>463</v>
      </c>
      <c r="D58" s="87">
        <v>0</v>
      </c>
      <c r="E58" s="87">
        <v>0</v>
      </c>
      <c r="F58" s="87">
        <v>0</v>
      </c>
      <c r="G58" s="87">
        <v>0</v>
      </c>
      <c r="H58" s="87">
        <v>0</v>
      </c>
      <c r="I58" s="87">
        <v>0</v>
      </c>
      <c r="J58" s="87">
        <v>0</v>
      </c>
      <c r="K58" s="87">
        <v>0</v>
      </c>
      <c r="L58" s="87">
        <v>0</v>
      </c>
      <c r="M58" s="87">
        <v>0</v>
      </c>
      <c r="N58" s="87">
        <v>0</v>
      </c>
      <c r="O58" s="87">
        <v>0</v>
      </c>
      <c r="P58" s="87">
        <v>0</v>
      </c>
      <c r="Q58" s="87">
        <v>0</v>
      </c>
      <c r="R58" s="87">
        <v>292.65300000000002</v>
      </c>
      <c r="S58" s="87">
        <v>0</v>
      </c>
      <c r="T58" s="87">
        <v>0</v>
      </c>
      <c r="U58" s="87">
        <v>0</v>
      </c>
      <c r="V58" s="87">
        <v>0</v>
      </c>
      <c r="W58" s="87">
        <v>0</v>
      </c>
      <c r="X58" s="87">
        <v>5.32</v>
      </c>
      <c r="Y58" s="87">
        <v>0</v>
      </c>
      <c r="Z58" s="87">
        <v>1.4E-2</v>
      </c>
      <c r="AA58" s="87">
        <v>0</v>
      </c>
      <c r="AB58" s="87">
        <v>0</v>
      </c>
      <c r="AC58" s="87">
        <v>0</v>
      </c>
      <c r="AD58" s="87">
        <v>0.189</v>
      </c>
      <c r="AE58" s="87">
        <v>3.1560000000000001</v>
      </c>
      <c r="AF58" s="87">
        <v>0</v>
      </c>
      <c r="AG58" s="87">
        <v>0.41099999999999998</v>
      </c>
      <c r="AH58" s="87">
        <v>17.802</v>
      </c>
      <c r="AI58" s="87">
        <v>0</v>
      </c>
      <c r="AJ58" s="87">
        <v>0</v>
      </c>
      <c r="AK58" s="87">
        <v>0</v>
      </c>
      <c r="AL58" s="87">
        <v>0</v>
      </c>
      <c r="AM58" s="87">
        <v>0</v>
      </c>
      <c r="AN58" s="87">
        <v>0</v>
      </c>
      <c r="AO58" s="87">
        <v>0</v>
      </c>
      <c r="AP58" s="87">
        <v>282.18599999999998</v>
      </c>
      <c r="AQ58" s="87">
        <v>20.359000000000002</v>
      </c>
      <c r="AR58" s="87">
        <v>116.846</v>
      </c>
      <c r="AS58" s="87">
        <v>178.86699999999999</v>
      </c>
      <c r="AT58" s="87">
        <v>1.9139999999999999</v>
      </c>
      <c r="AU58" s="87">
        <v>0</v>
      </c>
      <c r="AV58" s="87">
        <v>0</v>
      </c>
      <c r="AW58" s="87">
        <v>0</v>
      </c>
      <c r="AX58" s="87">
        <v>0</v>
      </c>
      <c r="AY58" s="87">
        <v>0</v>
      </c>
      <c r="AZ58" s="87">
        <v>0</v>
      </c>
      <c r="BA58" s="87">
        <v>0</v>
      </c>
      <c r="BB58" s="87">
        <v>0</v>
      </c>
      <c r="BC58" s="87">
        <v>0</v>
      </c>
      <c r="BD58" s="87">
        <v>0</v>
      </c>
      <c r="BE58" s="87">
        <v>0</v>
      </c>
      <c r="BF58" s="87">
        <v>0</v>
      </c>
      <c r="BG58" s="87">
        <v>0</v>
      </c>
      <c r="BH58" s="87">
        <v>851.62599999999998</v>
      </c>
      <c r="BI58" s="87">
        <v>255.476</v>
      </c>
      <c r="BJ58" s="87">
        <v>2026.819</v>
      </c>
      <c r="BK58" s="87">
        <v>600.17200000000003</v>
      </c>
      <c r="BL58" s="88"/>
      <c r="BM58" s="88"/>
    </row>
    <row r="59" spans="2:65" s="178" customFormat="1">
      <c r="B59" s="174" t="s">
        <v>464</v>
      </c>
      <c r="C59" s="175" t="s">
        <v>465</v>
      </c>
      <c r="D59" s="176">
        <v>0</v>
      </c>
      <c r="E59" s="176">
        <v>0</v>
      </c>
      <c r="F59" s="176">
        <v>0</v>
      </c>
      <c r="G59" s="176">
        <v>657.60400000000004</v>
      </c>
      <c r="H59" s="176">
        <v>0</v>
      </c>
      <c r="I59" s="176">
        <v>0</v>
      </c>
      <c r="J59" s="176">
        <v>0</v>
      </c>
      <c r="K59" s="176">
        <v>0</v>
      </c>
      <c r="L59" s="176">
        <v>0</v>
      </c>
      <c r="M59" s="176">
        <v>0</v>
      </c>
      <c r="N59" s="176">
        <v>0</v>
      </c>
      <c r="O59" s="176">
        <v>0</v>
      </c>
      <c r="P59" s="176">
        <v>0</v>
      </c>
      <c r="Q59" s="176">
        <v>0</v>
      </c>
      <c r="R59" s="176">
        <v>1788.0070000000001</v>
      </c>
      <c r="S59" s="176">
        <v>0</v>
      </c>
      <c r="T59" s="176">
        <v>0</v>
      </c>
      <c r="U59" s="176">
        <v>0</v>
      </c>
      <c r="V59" s="176">
        <v>0</v>
      </c>
      <c r="W59" s="176">
        <v>673.02599999999995</v>
      </c>
      <c r="X59" s="176">
        <v>32.597000000000001</v>
      </c>
      <c r="Y59" s="176">
        <v>83.509</v>
      </c>
      <c r="Z59" s="176">
        <v>23.651</v>
      </c>
      <c r="AA59" s="176">
        <v>0</v>
      </c>
      <c r="AB59" s="176">
        <v>0</v>
      </c>
      <c r="AC59" s="176">
        <v>0</v>
      </c>
      <c r="AD59" s="176">
        <v>9.4329999999999998</v>
      </c>
      <c r="AE59" s="176">
        <v>17.648</v>
      </c>
      <c r="AF59" s="176">
        <v>11.587999999999999</v>
      </c>
      <c r="AG59" s="176">
        <v>1.4870000000000001</v>
      </c>
      <c r="AH59" s="176">
        <v>161.374</v>
      </c>
      <c r="AI59" s="176">
        <v>0</v>
      </c>
      <c r="AJ59" s="176">
        <v>0</v>
      </c>
      <c r="AK59" s="176">
        <v>0</v>
      </c>
      <c r="AL59" s="176">
        <v>0</v>
      </c>
      <c r="AM59" s="176">
        <v>0</v>
      </c>
      <c r="AN59" s="176">
        <v>0</v>
      </c>
      <c r="AO59" s="176">
        <v>0</v>
      </c>
      <c r="AP59" s="176">
        <v>215.827</v>
      </c>
      <c r="AQ59" s="176">
        <v>6.6619999999999999</v>
      </c>
      <c r="AR59" s="176">
        <v>190.392</v>
      </c>
      <c r="AS59" s="176">
        <v>35.686999999999998</v>
      </c>
      <c r="AT59" s="176">
        <v>6.1980000000000004</v>
      </c>
      <c r="AU59" s="176">
        <v>0</v>
      </c>
      <c r="AV59" s="176">
        <v>0</v>
      </c>
      <c r="AW59" s="176">
        <v>0</v>
      </c>
      <c r="AX59" s="176">
        <v>0</v>
      </c>
      <c r="AY59" s="176">
        <v>0</v>
      </c>
      <c r="AZ59" s="176">
        <v>0</v>
      </c>
      <c r="BA59" s="176">
        <v>0</v>
      </c>
      <c r="BB59" s="176">
        <v>0</v>
      </c>
      <c r="BC59" s="176">
        <v>0</v>
      </c>
      <c r="BD59" s="176">
        <v>0</v>
      </c>
      <c r="BE59" s="176">
        <v>0</v>
      </c>
      <c r="BF59" s="176">
        <v>0</v>
      </c>
      <c r="BG59" s="176">
        <v>0</v>
      </c>
      <c r="BH59" s="176">
        <v>4716.4110000000001</v>
      </c>
      <c r="BI59" s="176">
        <v>2357.7649999999999</v>
      </c>
      <c r="BJ59" s="176">
        <v>10988.865999999998</v>
      </c>
      <c r="BK59" s="176">
        <v>1127.7929999999999</v>
      </c>
      <c r="BL59" s="177"/>
      <c r="BM59" s="177"/>
    </row>
    <row r="60" spans="2:65" s="86" customFormat="1">
      <c r="B60" s="135" t="s">
        <v>466</v>
      </c>
      <c r="C60" s="136" t="s">
        <v>467</v>
      </c>
      <c r="D60" s="87">
        <v>0</v>
      </c>
      <c r="E60" s="87">
        <v>0</v>
      </c>
      <c r="F60" s="87">
        <v>0</v>
      </c>
      <c r="G60" s="87">
        <v>2361.35</v>
      </c>
      <c r="H60" s="87">
        <v>0</v>
      </c>
      <c r="I60" s="87">
        <v>0</v>
      </c>
      <c r="J60" s="87">
        <v>0</v>
      </c>
      <c r="K60" s="87">
        <v>0</v>
      </c>
      <c r="L60" s="87">
        <v>0</v>
      </c>
      <c r="M60" s="87">
        <v>0</v>
      </c>
      <c r="N60" s="87">
        <v>0</v>
      </c>
      <c r="O60" s="87">
        <v>0</v>
      </c>
      <c r="P60" s="87">
        <v>0</v>
      </c>
      <c r="Q60" s="87">
        <v>0</v>
      </c>
      <c r="R60" s="87">
        <v>598.26900000000001</v>
      </c>
      <c r="S60" s="87">
        <v>0</v>
      </c>
      <c r="T60" s="87">
        <v>0</v>
      </c>
      <c r="U60" s="87">
        <v>0</v>
      </c>
      <c r="V60" s="87">
        <v>0</v>
      </c>
      <c r="W60" s="87">
        <v>0</v>
      </c>
      <c r="X60" s="87">
        <v>16.216000000000001</v>
      </c>
      <c r="Y60" s="87">
        <v>5.0000000000000001E-3</v>
      </c>
      <c r="Z60" s="87">
        <v>0.22900000000000001</v>
      </c>
      <c r="AA60" s="87">
        <v>0</v>
      </c>
      <c r="AB60" s="87">
        <v>0</v>
      </c>
      <c r="AC60" s="87">
        <v>0</v>
      </c>
      <c r="AD60" s="87">
        <v>1.6879999999999999</v>
      </c>
      <c r="AE60" s="87">
        <v>136.75</v>
      </c>
      <c r="AF60" s="87">
        <v>2.9169999999999998</v>
      </c>
      <c r="AG60" s="87">
        <v>4</v>
      </c>
      <c r="AH60" s="87">
        <v>257.04700000000003</v>
      </c>
      <c r="AI60" s="87">
        <v>0</v>
      </c>
      <c r="AJ60" s="87">
        <v>0</v>
      </c>
      <c r="AK60" s="87">
        <v>0</v>
      </c>
      <c r="AL60" s="87">
        <v>0</v>
      </c>
      <c r="AM60" s="87">
        <v>0</v>
      </c>
      <c r="AN60" s="87">
        <v>0</v>
      </c>
      <c r="AO60" s="87">
        <v>0</v>
      </c>
      <c r="AP60" s="87">
        <v>699.05100000000004</v>
      </c>
      <c r="AQ60" s="87">
        <v>0</v>
      </c>
      <c r="AR60" s="87">
        <v>0</v>
      </c>
      <c r="AS60" s="87">
        <v>0.44900000000000001</v>
      </c>
      <c r="AT60" s="87">
        <v>0</v>
      </c>
      <c r="AU60" s="87">
        <v>0</v>
      </c>
      <c r="AV60" s="87">
        <v>0</v>
      </c>
      <c r="AW60" s="87">
        <v>0</v>
      </c>
      <c r="AX60" s="87">
        <v>0</v>
      </c>
      <c r="AY60" s="87">
        <v>0</v>
      </c>
      <c r="AZ60" s="87">
        <v>0</v>
      </c>
      <c r="BA60" s="87">
        <v>0</v>
      </c>
      <c r="BB60" s="87">
        <v>0</v>
      </c>
      <c r="BC60" s="87">
        <v>0</v>
      </c>
      <c r="BD60" s="87">
        <v>0</v>
      </c>
      <c r="BE60" s="87">
        <v>0</v>
      </c>
      <c r="BF60" s="87">
        <v>0</v>
      </c>
      <c r="BG60" s="87">
        <v>0</v>
      </c>
      <c r="BH60" s="87">
        <v>1008.274</v>
      </c>
      <c r="BI60" s="87">
        <v>0.33400000000000002</v>
      </c>
      <c r="BJ60" s="87">
        <v>5086.5789999999997</v>
      </c>
      <c r="BK60" s="87">
        <v>699.5</v>
      </c>
      <c r="BL60" s="88"/>
      <c r="BM60" s="88"/>
    </row>
    <row r="61" spans="2:65" s="184" customFormat="1">
      <c r="B61" s="180" t="s">
        <v>194</v>
      </c>
      <c r="C61" s="181" t="s">
        <v>468</v>
      </c>
      <c r="D61" s="182">
        <v>0</v>
      </c>
      <c r="E61" s="182">
        <v>900.23</v>
      </c>
      <c r="F61" s="182">
        <v>0</v>
      </c>
      <c r="G61" s="182">
        <v>0</v>
      </c>
      <c r="H61" s="182">
        <v>0</v>
      </c>
      <c r="I61" s="182">
        <v>0</v>
      </c>
      <c r="J61" s="182">
        <v>0</v>
      </c>
      <c r="K61" s="182">
        <v>0</v>
      </c>
      <c r="L61" s="182">
        <v>719.91099999999994</v>
      </c>
      <c r="M61" s="182">
        <v>0</v>
      </c>
      <c r="N61" s="182">
        <v>1842.117</v>
      </c>
      <c r="O61" s="182">
        <v>44.777999999999999</v>
      </c>
      <c r="P61" s="182">
        <v>353.68299999999999</v>
      </c>
      <c r="Q61" s="182">
        <v>416.21199999999999</v>
      </c>
      <c r="R61" s="182">
        <v>1247.2249999999999</v>
      </c>
      <c r="S61" s="182">
        <v>0</v>
      </c>
      <c r="T61" s="182">
        <v>0</v>
      </c>
      <c r="U61" s="182">
        <v>0</v>
      </c>
      <c r="V61" s="182">
        <v>0</v>
      </c>
      <c r="W61" s="182">
        <v>0</v>
      </c>
      <c r="X61" s="182">
        <v>26.753</v>
      </c>
      <c r="Y61" s="182">
        <v>19.042999999999999</v>
      </c>
      <c r="Z61" s="182">
        <v>0.13100000000000001</v>
      </c>
      <c r="AA61" s="182">
        <v>0</v>
      </c>
      <c r="AB61" s="182">
        <v>0</v>
      </c>
      <c r="AC61" s="182">
        <v>7.0000000000000001E-3</v>
      </c>
      <c r="AD61" s="182">
        <v>0.33500000000000002</v>
      </c>
      <c r="AE61" s="182">
        <v>12.895</v>
      </c>
      <c r="AF61" s="182">
        <v>6.7489999999999997</v>
      </c>
      <c r="AG61" s="182">
        <v>3.0000000000000001E-3</v>
      </c>
      <c r="AH61" s="182">
        <v>11.083</v>
      </c>
      <c r="AI61" s="182">
        <v>0</v>
      </c>
      <c r="AJ61" s="182">
        <v>0</v>
      </c>
      <c r="AK61" s="182">
        <v>0</v>
      </c>
      <c r="AL61" s="182">
        <v>0</v>
      </c>
      <c r="AM61" s="182">
        <v>0</v>
      </c>
      <c r="AN61" s="182">
        <v>0</v>
      </c>
      <c r="AO61" s="182">
        <v>0</v>
      </c>
      <c r="AP61" s="182">
        <v>3.984</v>
      </c>
      <c r="AQ61" s="182">
        <v>0</v>
      </c>
      <c r="AR61" s="182">
        <v>0</v>
      </c>
      <c r="AS61" s="182">
        <v>7.2869999999999999</v>
      </c>
      <c r="AT61" s="182">
        <v>0</v>
      </c>
      <c r="AU61" s="182">
        <v>0</v>
      </c>
      <c r="AV61" s="182">
        <v>0</v>
      </c>
      <c r="AW61" s="182">
        <v>0</v>
      </c>
      <c r="AX61" s="182">
        <v>0</v>
      </c>
      <c r="AY61" s="182">
        <v>0</v>
      </c>
      <c r="AZ61" s="182">
        <v>0</v>
      </c>
      <c r="BA61" s="182">
        <v>0</v>
      </c>
      <c r="BB61" s="182">
        <v>0</v>
      </c>
      <c r="BC61" s="182">
        <v>0</v>
      </c>
      <c r="BD61" s="182">
        <v>0</v>
      </c>
      <c r="BE61" s="182">
        <v>0</v>
      </c>
      <c r="BF61" s="182">
        <v>0</v>
      </c>
      <c r="BG61" s="182">
        <v>0</v>
      </c>
      <c r="BH61" s="182">
        <v>4556.7380000000003</v>
      </c>
      <c r="BI61" s="182">
        <v>6.2039999999999997</v>
      </c>
      <c r="BJ61" s="182">
        <v>10175.367999999999</v>
      </c>
      <c r="BK61" s="182">
        <v>409.733</v>
      </c>
      <c r="BL61" s="183"/>
      <c r="BM61" s="183"/>
    </row>
    <row r="62" spans="2:65" s="189" customFormat="1">
      <c r="B62" s="185" t="s">
        <v>469</v>
      </c>
      <c r="C62" s="186" t="s">
        <v>470</v>
      </c>
      <c r="D62" s="187">
        <v>0</v>
      </c>
      <c r="E62" s="187">
        <v>148.309</v>
      </c>
      <c r="F62" s="187">
        <v>0</v>
      </c>
      <c r="G62" s="187">
        <v>193.52799999999999</v>
      </c>
      <c r="H62" s="187">
        <v>0</v>
      </c>
      <c r="I62" s="187">
        <v>0</v>
      </c>
      <c r="J62" s="187">
        <v>0</v>
      </c>
      <c r="K62" s="187">
        <v>0</v>
      </c>
      <c r="L62" s="187">
        <v>0</v>
      </c>
      <c r="M62" s="187">
        <v>0</v>
      </c>
      <c r="N62" s="187">
        <v>0</v>
      </c>
      <c r="O62" s="187">
        <v>0</v>
      </c>
      <c r="P62" s="187">
        <v>0</v>
      </c>
      <c r="Q62" s="187">
        <v>0</v>
      </c>
      <c r="R62" s="187">
        <v>382.57400000000001</v>
      </c>
      <c r="S62" s="187">
        <v>0</v>
      </c>
      <c r="T62" s="187">
        <v>0</v>
      </c>
      <c r="U62" s="187">
        <v>0</v>
      </c>
      <c r="V62" s="187">
        <v>0</v>
      </c>
      <c r="W62" s="187">
        <v>0</v>
      </c>
      <c r="X62" s="187">
        <v>12.01</v>
      </c>
      <c r="Y62" s="187">
        <v>0.158</v>
      </c>
      <c r="Z62" s="187">
        <v>0</v>
      </c>
      <c r="AA62" s="187">
        <v>0</v>
      </c>
      <c r="AB62" s="187">
        <v>0</v>
      </c>
      <c r="AC62" s="187">
        <v>0</v>
      </c>
      <c r="AD62" s="187">
        <v>0.10299999999999999</v>
      </c>
      <c r="AE62" s="187">
        <v>3.1560000000000001</v>
      </c>
      <c r="AF62" s="187">
        <v>0.06</v>
      </c>
      <c r="AG62" s="187">
        <v>4.5999999999999999E-2</v>
      </c>
      <c r="AH62" s="187">
        <v>12.161</v>
      </c>
      <c r="AI62" s="187">
        <v>0</v>
      </c>
      <c r="AJ62" s="187">
        <v>0</v>
      </c>
      <c r="AK62" s="187">
        <v>0</v>
      </c>
      <c r="AL62" s="187">
        <v>0</v>
      </c>
      <c r="AM62" s="187">
        <v>0</v>
      </c>
      <c r="AN62" s="187">
        <v>0</v>
      </c>
      <c r="AO62" s="187">
        <v>0</v>
      </c>
      <c r="AP62" s="187">
        <v>0</v>
      </c>
      <c r="AQ62" s="187">
        <v>0</v>
      </c>
      <c r="AR62" s="187">
        <v>0</v>
      </c>
      <c r="AS62" s="187">
        <v>0</v>
      </c>
      <c r="AT62" s="187">
        <v>0</v>
      </c>
      <c r="AU62" s="187">
        <v>0</v>
      </c>
      <c r="AV62" s="187">
        <v>0</v>
      </c>
      <c r="AW62" s="187">
        <v>0</v>
      </c>
      <c r="AX62" s="187">
        <v>0</v>
      </c>
      <c r="AY62" s="187">
        <v>0</v>
      </c>
      <c r="AZ62" s="187">
        <v>0</v>
      </c>
      <c r="BA62" s="187">
        <v>0</v>
      </c>
      <c r="BB62" s="187">
        <v>0</v>
      </c>
      <c r="BC62" s="187">
        <v>0</v>
      </c>
      <c r="BD62" s="187">
        <v>0</v>
      </c>
      <c r="BE62" s="187">
        <v>0</v>
      </c>
      <c r="BF62" s="187">
        <v>0</v>
      </c>
      <c r="BG62" s="187">
        <v>0</v>
      </c>
      <c r="BH62" s="187">
        <v>841.06600000000003</v>
      </c>
      <c r="BI62" s="187">
        <v>3.9249999999999998</v>
      </c>
      <c r="BJ62" s="187">
        <v>1597.0959999999998</v>
      </c>
      <c r="BK62" s="187">
        <v>0</v>
      </c>
      <c r="BL62" s="188"/>
      <c r="BM62" s="188"/>
    </row>
    <row r="63" spans="2:65" s="194" customFormat="1">
      <c r="B63" s="190" t="s">
        <v>190</v>
      </c>
      <c r="C63" s="191" t="s">
        <v>471</v>
      </c>
      <c r="D63" s="192">
        <v>0</v>
      </c>
      <c r="E63" s="192">
        <v>0</v>
      </c>
      <c r="F63" s="192">
        <v>0</v>
      </c>
      <c r="G63" s="192">
        <v>0</v>
      </c>
      <c r="H63" s="192">
        <v>0</v>
      </c>
      <c r="I63" s="192">
        <v>0</v>
      </c>
      <c r="J63" s="192">
        <v>0</v>
      </c>
      <c r="K63" s="192">
        <v>0</v>
      </c>
      <c r="L63" s="192">
        <v>0</v>
      </c>
      <c r="M63" s="192">
        <v>0</v>
      </c>
      <c r="N63" s="192">
        <v>0</v>
      </c>
      <c r="O63" s="192">
        <v>0</v>
      </c>
      <c r="P63" s="192">
        <v>0</v>
      </c>
      <c r="Q63" s="192">
        <v>0</v>
      </c>
      <c r="R63" s="192">
        <v>1285.3109999999999</v>
      </c>
      <c r="S63" s="192">
        <v>0</v>
      </c>
      <c r="T63" s="192">
        <v>0</v>
      </c>
      <c r="U63" s="192">
        <v>0</v>
      </c>
      <c r="V63" s="192">
        <v>0</v>
      </c>
      <c r="W63" s="192">
        <v>0</v>
      </c>
      <c r="X63" s="192">
        <v>26.971</v>
      </c>
      <c r="Y63" s="192">
        <v>0.52300000000000002</v>
      </c>
      <c r="Z63" s="192">
        <v>3.3759999999999999</v>
      </c>
      <c r="AA63" s="192">
        <v>0</v>
      </c>
      <c r="AB63" s="192">
        <v>0</v>
      </c>
      <c r="AC63" s="192">
        <v>2.8000000000000001E-2</v>
      </c>
      <c r="AD63" s="192">
        <v>5.1710000000000003</v>
      </c>
      <c r="AE63" s="192">
        <v>27.882000000000001</v>
      </c>
      <c r="AF63" s="192">
        <v>3.5649999999999999</v>
      </c>
      <c r="AG63" s="192">
        <v>0.41599999999999998</v>
      </c>
      <c r="AH63" s="192">
        <v>5.1280000000000001</v>
      </c>
      <c r="AI63" s="192">
        <v>0</v>
      </c>
      <c r="AJ63" s="192">
        <v>0</v>
      </c>
      <c r="AK63" s="192">
        <v>0</v>
      </c>
      <c r="AL63" s="192">
        <v>0</v>
      </c>
      <c r="AM63" s="192">
        <v>0</v>
      </c>
      <c r="AN63" s="192">
        <v>0</v>
      </c>
      <c r="AO63" s="192">
        <v>0</v>
      </c>
      <c r="AP63" s="192">
        <v>0</v>
      </c>
      <c r="AQ63" s="192">
        <v>0</v>
      </c>
      <c r="AR63" s="192">
        <v>1.6379999999999999</v>
      </c>
      <c r="AS63" s="192">
        <v>79.453000000000003</v>
      </c>
      <c r="AT63" s="192">
        <v>0</v>
      </c>
      <c r="AU63" s="192">
        <v>0</v>
      </c>
      <c r="AV63" s="192">
        <v>0</v>
      </c>
      <c r="AW63" s="192">
        <v>0</v>
      </c>
      <c r="AX63" s="192">
        <v>0</v>
      </c>
      <c r="AY63" s="192">
        <v>0</v>
      </c>
      <c r="AZ63" s="192">
        <v>0</v>
      </c>
      <c r="BA63" s="192">
        <v>0</v>
      </c>
      <c r="BB63" s="192">
        <v>0</v>
      </c>
      <c r="BC63" s="192">
        <v>0</v>
      </c>
      <c r="BD63" s="192">
        <v>0</v>
      </c>
      <c r="BE63" s="192">
        <v>0</v>
      </c>
      <c r="BF63" s="192">
        <v>0</v>
      </c>
      <c r="BG63" s="192">
        <v>0</v>
      </c>
      <c r="BH63" s="192">
        <v>7321.2389999999996</v>
      </c>
      <c r="BI63" s="192">
        <v>305.09800000000001</v>
      </c>
      <c r="BJ63" s="192">
        <v>9065.7989999999991</v>
      </c>
      <c r="BK63" s="192">
        <v>81.090999999999994</v>
      </c>
      <c r="BL63" s="193"/>
      <c r="BM63" s="193"/>
    </row>
    <row r="64" spans="2:65" s="194" customFormat="1">
      <c r="B64" s="190" t="s">
        <v>191</v>
      </c>
      <c r="C64" s="191" t="s">
        <v>472</v>
      </c>
      <c r="D64" s="192">
        <v>0</v>
      </c>
      <c r="E64" s="192">
        <v>0</v>
      </c>
      <c r="F64" s="192">
        <v>0</v>
      </c>
      <c r="G64" s="192">
        <v>0</v>
      </c>
      <c r="H64" s="192">
        <v>0</v>
      </c>
      <c r="I64" s="192">
        <v>0</v>
      </c>
      <c r="J64" s="192">
        <v>0</v>
      </c>
      <c r="K64" s="192">
        <v>0</v>
      </c>
      <c r="L64" s="192">
        <v>0</v>
      </c>
      <c r="M64" s="192">
        <v>0</v>
      </c>
      <c r="N64" s="192">
        <v>0</v>
      </c>
      <c r="O64" s="192">
        <v>0</v>
      </c>
      <c r="P64" s="192">
        <v>0</v>
      </c>
      <c r="Q64" s="192">
        <v>33.320999999999998</v>
      </c>
      <c r="R64" s="192">
        <v>699.03399999999999</v>
      </c>
      <c r="S64" s="192">
        <v>0</v>
      </c>
      <c r="T64" s="192">
        <v>0</v>
      </c>
      <c r="U64" s="192">
        <v>0</v>
      </c>
      <c r="V64" s="192">
        <v>0</v>
      </c>
      <c r="W64" s="192">
        <v>0</v>
      </c>
      <c r="X64" s="192">
        <v>28.260999999999999</v>
      </c>
      <c r="Y64" s="192">
        <v>1.8819999999999999</v>
      </c>
      <c r="Z64" s="192">
        <v>23.181000000000001</v>
      </c>
      <c r="AA64" s="192">
        <v>3.0000000000000001E-3</v>
      </c>
      <c r="AB64" s="192">
        <v>0</v>
      </c>
      <c r="AC64" s="192">
        <v>0</v>
      </c>
      <c r="AD64" s="192">
        <v>0.96099999999999997</v>
      </c>
      <c r="AE64" s="192">
        <v>101.648</v>
      </c>
      <c r="AF64" s="192">
        <v>12.209</v>
      </c>
      <c r="AG64" s="192">
        <v>0.27100000000000002</v>
      </c>
      <c r="AH64" s="192">
        <v>62.631999999999998</v>
      </c>
      <c r="AI64" s="192">
        <v>0</v>
      </c>
      <c r="AJ64" s="192">
        <v>0</v>
      </c>
      <c r="AK64" s="192">
        <v>0</v>
      </c>
      <c r="AL64" s="192">
        <v>0</v>
      </c>
      <c r="AM64" s="192">
        <v>0</v>
      </c>
      <c r="AN64" s="192">
        <v>0</v>
      </c>
      <c r="AO64" s="192">
        <v>0</v>
      </c>
      <c r="AP64" s="192">
        <v>0</v>
      </c>
      <c r="AQ64" s="192">
        <v>0</v>
      </c>
      <c r="AR64" s="192">
        <v>12.000999999999999</v>
      </c>
      <c r="AS64" s="192">
        <v>0.19500000000000001</v>
      </c>
      <c r="AT64" s="192">
        <v>0</v>
      </c>
      <c r="AU64" s="192">
        <v>0</v>
      </c>
      <c r="AV64" s="192">
        <v>0</v>
      </c>
      <c r="AW64" s="192">
        <v>0</v>
      </c>
      <c r="AX64" s="192">
        <v>0</v>
      </c>
      <c r="AY64" s="192">
        <v>0</v>
      </c>
      <c r="AZ64" s="192">
        <v>0</v>
      </c>
      <c r="BA64" s="192">
        <v>0</v>
      </c>
      <c r="BB64" s="192">
        <v>0</v>
      </c>
      <c r="BC64" s="192">
        <v>0</v>
      </c>
      <c r="BD64" s="192">
        <v>0</v>
      </c>
      <c r="BE64" s="192">
        <v>0</v>
      </c>
      <c r="BF64" s="192">
        <v>0</v>
      </c>
      <c r="BG64" s="192">
        <v>0</v>
      </c>
      <c r="BH64" s="192">
        <v>1881.2349999999999</v>
      </c>
      <c r="BI64" s="192">
        <v>47.548000000000002</v>
      </c>
      <c r="BJ64" s="192">
        <v>2904.3819999999996</v>
      </c>
      <c r="BK64" s="192">
        <v>12.196</v>
      </c>
      <c r="BL64" s="193"/>
      <c r="BM64" s="193"/>
    </row>
    <row r="65" spans="2:65" s="86" customFormat="1">
      <c r="B65" s="135" t="s">
        <v>473</v>
      </c>
      <c r="C65" s="136" t="s">
        <v>474</v>
      </c>
      <c r="D65" s="87">
        <v>0</v>
      </c>
      <c r="E65" s="87">
        <v>2034.8789999999999</v>
      </c>
      <c r="F65" s="87">
        <v>0</v>
      </c>
      <c r="G65" s="87">
        <v>0</v>
      </c>
      <c r="H65" s="87">
        <v>0</v>
      </c>
      <c r="I65" s="87">
        <v>0</v>
      </c>
      <c r="J65" s="87">
        <v>0</v>
      </c>
      <c r="K65" s="87">
        <v>1.123</v>
      </c>
      <c r="L65" s="87">
        <v>0</v>
      </c>
      <c r="M65" s="87">
        <v>0</v>
      </c>
      <c r="N65" s="87">
        <v>0</v>
      </c>
      <c r="O65" s="87">
        <v>0</v>
      </c>
      <c r="P65" s="87">
        <v>0</v>
      </c>
      <c r="Q65" s="87">
        <v>230.262</v>
      </c>
      <c r="R65" s="87">
        <v>152.13300000000001</v>
      </c>
      <c r="S65" s="87">
        <v>0</v>
      </c>
      <c r="T65" s="87">
        <v>0</v>
      </c>
      <c r="U65" s="87">
        <v>0</v>
      </c>
      <c r="V65" s="87">
        <v>0</v>
      </c>
      <c r="W65" s="87">
        <v>85.884</v>
      </c>
      <c r="X65" s="87">
        <v>637.08000000000004</v>
      </c>
      <c r="Y65" s="87">
        <v>137.50700000000001</v>
      </c>
      <c r="Z65" s="87">
        <v>4.2539999999999996</v>
      </c>
      <c r="AA65" s="87">
        <v>0</v>
      </c>
      <c r="AB65" s="87">
        <v>0</v>
      </c>
      <c r="AC65" s="87">
        <v>0</v>
      </c>
      <c r="AD65" s="87">
        <v>42.588999999999999</v>
      </c>
      <c r="AE65" s="87">
        <v>154.76</v>
      </c>
      <c r="AF65" s="87">
        <v>3.5979999999999999</v>
      </c>
      <c r="AG65" s="87">
        <v>1.427</v>
      </c>
      <c r="AH65" s="87">
        <v>150.268</v>
      </c>
      <c r="AI65" s="87">
        <v>0</v>
      </c>
      <c r="AJ65" s="87">
        <v>0</v>
      </c>
      <c r="AK65" s="87">
        <v>0</v>
      </c>
      <c r="AL65" s="87">
        <v>0</v>
      </c>
      <c r="AM65" s="87">
        <v>0</v>
      </c>
      <c r="AN65" s="87">
        <v>0</v>
      </c>
      <c r="AO65" s="87">
        <v>0</v>
      </c>
      <c r="AP65" s="87">
        <v>212.33500000000001</v>
      </c>
      <c r="AQ65" s="87">
        <v>82.855000000000004</v>
      </c>
      <c r="AR65" s="87">
        <v>33.439</v>
      </c>
      <c r="AS65" s="87">
        <v>44.372999999999998</v>
      </c>
      <c r="AT65" s="87">
        <v>3.702</v>
      </c>
      <c r="AU65" s="87">
        <v>0</v>
      </c>
      <c r="AV65" s="87">
        <v>0</v>
      </c>
      <c r="AW65" s="87">
        <v>0</v>
      </c>
      <c r="AX65" s="87">
        <v>0</v>
      </c>
      <c r="AY65" s="87">
        <v>0</v>
      </c>
      <c r="AZ65" s="87">
        <v>0</v>
      </c>
      <c r="BA65" s="87">
        <v>0</v>
      </c>
      <c r="BB65" s="87">
        <v>4.5010000000000003</v>
      </c>
      <c r="BC65" s="87">
        <v>0</v>
      </c>
      <c r="BD65" s="87">
        <v>1</v>
      </c>
      <c r="BE65" s="87">
        <v>0</v>
      </c>
      <c r="BF65" s="87">
        <v>0</v>
      </c>
      <c r="BG65" s="87">
        <v>0</v>
      </c>
      <c r="BH65" s="87">
        <v>375.76600000000002</v>
      </c>
      <c r="BI65" s="87">
        <v>4.9000000000000002E-2</v>
      </c>
      <c r="BJ65" s="87">
        <v>4393.7839999999997</v>
      </c>
      <c r="BK65" s="87">
        <v>468.089</v>
      </c>
      <c r="BL65" s="88"/>
      <c r="BM65" s="88"/>
    </row>
    <row r="66" spans="2:65" s="86" customFormat="1">
      <c r="B66" s="89" t="s">
        <v>475</v>
      </c>
      <c r="C66" s="134" t="s">
        <v>476</v>
      </c>
      <c r="D66" s="87">
        <v>0</v>
      </c>
      <c r="E66" s="87">
        <v>0</v>
      </c>
      <c r="F66" s="87">
        <v>0</v>
      </c>
      <c r="G66" s="87">
        <v>0</v>
      </c>
      <c r="H66" s="87">
        <v>0</v>
      </c>
      <c r="I66" s="87">
        <v>3.1E-2</v>
      </c>
      <c r="J66" s="87">
        <v>0</v>
      </c>
      <c r="K66" s="87">
        <v>0.54600000000000004</v>
      </c>
      <c r="L66" s="87">
        <v>0</v>
      </c>
      <c r="M66" s="87">
        <v>0</v>
      </c>
      <c r="N66" s="87">
        <v>0</v>
      </c>
      <c r="O66" s="87">
        <v>0</v>
      </c>
      <c r="P66" s="87">
        <v>0</v>
      </c>
      <c r="Q66" s="87">
        <v>0</v>
      </c>
      <c r="R66" s="87">
        <v>0.13</v>
      </c>
      <c r="S66" s="87">
        <v>0</v>
      </c>
      <c r="T66" s="87">
        <v>0</v>
      </c>
      <c r="U66" s="87">
        <v>0</v>
      </c>
      <c r="V66" s="87">
        <v>0</v>
      </c>
      <c r="W66" s="87">
        <v>0</v>
      </c>
      <c r="X66" s="87">
        <v>20.148</v>
      </c>
      <c r="Y66" s="87">
        <v>0</v>
      </c>
      <c r="Z66" s="87">
        <v>10.747</v>
      </c>
      <c r="AA66" s="87">
        <v>0</v>
      </c>
      <c r="AB66" s="87">
        <v>0</v>
      </c>
      <c r="AC66" s="87">
        <v>0</v>
      </c>
      <c r="AD66" s="87">
        <v>3.8650000000000002</v>
      </c>
      <c r="AE66" s="87">
        <v>705.48800000000006</v>
      </c>
      <c r="AF66" s="87">
        <v>8.4380000000000006</v>
      </c>
      <c r="AG66" s="87">
        <v>6.1130000000000004</v>
      </c>
      <c r="AH66" s="87">
        <v>4.1440000000000001</v>
      </c>
      <c r="AI66" s="87">
        <v>0</v>
      </c>
      <c r="AJ66" s="87">
        <v>0</v>
      </c>
      <c r="AK66" s="87">
        <v>0</v>
      </c>
      <c r="AL66" s="87">
        <v>0</v>
      </c>
      <c r="AM66" s="87">
        <v>0</v>
      </c>
      <c r="AN66" s="87">
        <v>0</v>
      </c>
      <c r="AO66" s="87">
        <v>0</v>
      </c>
      <c r="AP66" s="87">
        <v>12.077</v>
      </c>
      <c r="AQ66" s="87">
        <v>21.359000000000002</v>
      </c>
      <c r="AR66" s="87">
        <v>0</v>
      </c>
      <c r="AS66" s="87">
        <v>0</v>
      </c>
      <c r="AT66" s="87">
        <v>3.4000000000000002E-2</v>
      </c>
      <c r="AU66" s="87">
        <v>0</v>
      </c>
      <c r="AV66" s="87">
        <v>0</v>
      </c>
      <c r="AW66" s="87">
        <v>0</v>
      </c>
      <c r="AX66" s="87">
        <v>0</v>
      </c>
      <c r="AY66" s="87">
        <v>0</v>
      </c>
      <c r="AZ66" s="87">
        <v>0</v>
      </c>
      <c r="BA66" s="87">
        <v>0</v>
      </c>
      <c r="BB66" s="87">
        <v>0</v>
      </c>
      <c r="BC66" s="87">
        <v>0</v>
      </c>
      <c r="BD66" s="87">
        <v>0</v>
      </c>
      <c r="BE66" s="87">
        <v>0</v>
      </c>
      <c r="BF66" s="87">
        <v>0</v>
      </c>
      <c r="BG66" s="87">
        <v>0</v>
      </c>
      <c r="BH66" s="87">
        <v>0.83599999999999997</v>
      </c>
      <c r="BI66" s="87">
        <v>0</v>
      </c>
      <c r="BJ66" s="87">
        <v>793.95600000000013</v>
      </c>
      <c r="BK66" s="87">
        <v>33.47</v>
      </c>
      <c r="BL66" s="88"/>
      <c r="BM66" s="88"/>
    </row>
    <row r="67" spans="2:65">
      <c r="B67" s="114" t="s">
        <v>172</v>
      </c>
      <c r="C67" s="115" t="s">
        <v>477</v>
      </c>
      <c r="D67" s="100">
        <v>0</v>
      </c>
      <c r="E67" s="100">
        <v>0</v>
      </c>
      <c r="F67" s="100">
        <v>0</v>
      </c>
      <c r="G67" s="100">
        <v>0</v>
      </c>
      <c r="H67" s="100">
        <v>0</v>
      </c>
      <c r="I67" s="100">
        <v>0</v>
      </c>
      <c r="J67" s="100">
        <v>0</v>
      </c>
      <c r="K67" s="100">
        <v>0</v>
      </c>
      <c r="L67" s="100">
        <v>0</v>
      </c>
      <c r="M67" s="100">
        <v>0</v>
      </c>
      <c r="N67" s="100">
        <v>0</v>
      </c>
      <c r="O67" s="100">
        <v>0</v>
      </c>
      <c r="P67" s="100">
        <v>0</v>
      </c>
      <c r="Q67" s="100">
        <v>0</v>
      </c>
      <c r="R67" s="100">
        <v>1215.556</v>
      </c>
      <c r="S67" s="100">
        <v>0</v>
      </c>
      <c r="T67" s="100">
        <v>0</v>
      </c>
      <c r="U67" s="100">
        <v>0</v>
      </c>
      <c r="V67" s="100">
        <v>0</v>
      </c>
      <c r="W67" s="100">
        <v>0</v>
      </c>
      <c r="X67" s="100">
        <v>5.2140000000000004</v>
      </c>
      <c r="Y67" s="100">
        <v>3586.989</v>
      </c>
      <c r="Z67" s="100">
        <v>10007.453</v>
      </c>
      <c r="AA67" s="100">
        <v>0.01</v>
      </c>
      <c r="AB67" s="100">
        <v>0</v>
      </c>
      <c r="AC67" s="100">
        <v>2657.922</v>
      </c>
      <c r="AD67" s="100">
        <v>24.895</v>
      </c>
      <c r="AE67" s="100">
        <v>19447.017</v>
      </c>
      <c r="AF67" s="100">
        <v>81.055999999999997</v>
      </c>
      <c r="AG67" s="100">
        <v>14.747999999999999</v>
      </c>
      <c r="AH67" s="100">
        <v>130.364</v>
      </c>
      <c r="AI67" s="100">
        <v>0</v>
      </c>
      <c r="AJ67" s="100">
        <v>0</v>
      </c>
      <c r="AK67" s="100">
        <v>0</v>
      </c>
      <c r="AL67" s="100">
        <v>0</v>
      </c>
      <c r="AM67" s="100">
        <v>0</v>
      </c>
      <c r="AN67" s="100">
        <v>0</v>
      </c>
      <c r="AO67" s="100">
        <v>0</v>
      </c>
      <c r="AP67" s="100">
        <v>0</v>
      </c>
      <c r="AQ67" s="100">
        <v>0</v>
      </c>
      <c r="AR67" s="100">
        <v>0</v>
      </c>
      <c r="AS67" s="100">
        <v>0</v>
      </c>
      <c r="AT67" s="100">
        <v>0</v>
      </c>
      <c r="AU67" s="100">
        <v>0</v>
      </c>
      <c r="AV67" s="100">
        <v>0</v>
      </c>
      <c r="AW67" s="100">
        <v>685.42399999999998</v>
      </c>
      <c r="AX67" s="100">
        <v>0</v>
      </c>
      <c r="AY67" s="100">
        <v>0</v>
      </c>
      <c r="AZ67" s="100">
        <v>0</v>
      </c>
      <c r="BA67" s="100">
        <v>0</v>
      </c>
      <c r="BB67" s="100">
        <v>0</v>
      </c>
      <c r="BC67" s="100">
        <v>0</v>
      </c>
      <c r="BD67" s="100">
        <v>0</v>
      </c>
      <c r="BE67" s="100">
        <v>0</v>
      </c>
      <c r="BF67" s="100">
        <v>0</v>
      </c>
      <c r="BG67" s="100">
        <v>0</v>
      </c>
      <c r="BH67" s="100">
        <v>250.14599999999999</v>
      </c>
      <c r="BI67" s="100">
        <v>0</v>
      </c>
      <c r="BJ67" s="100">
        <v>38106.793999999994</v>
      </c>
      <c r="BK67" s="100">
        <v>685.42399999999998</v>
      </c>
      <c r="BL67" s="102"/>
      <c r="BM67" s="102"/>
    </row>
    <row r="68" spans="2:65">
      <c r="B68" s="122" t="s">
        <v>478</v>
      </c>
      <c r="C68" s="124" t="s">
        <v>479</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7.0000000000000001E-3</v>
      </c>
      <c r="Y68" s="100">
        <v>0</v>
      </c>
      <c r="Z68" s="100">
        <v>0</v>
      </c>
      <c r="AA68" s="100">
        <v>0</v>
      </c>
      <c r="AB68" s="100">
        <v>0</v>
      </c>
      <c r="AC68" s="100">
        <v>0</v>
      </c>
      <c r="AD68" s="100">
        <v>0</v>
      </c>
      <c r="AE68" s="100">
        <v>95.352000000000004</v>
      </c>
      <c r="AF68" s="100">
        <v>0</v>
      </c>
      <c r="AG68" s="100">
        <v>0</v>
      </c>
      <c r="AH68" s="100">
        <v>0</v>
      </c>
      <c r="AI68" s="100">
        <v>0</v>
      </c>
      <c r="AJ68" s="100">
        <v>0</v>
      </c>
      <c r="AK68" s="100">
        <v>0</v>
      </c>
      <c r="AL68" s="100">
        <v>0</v>
      </c>
      <c r="AM68" s="100">
        <v>0</v>
      </c>
      <c r="AN68" s="100">
        <v>0</v>
      </c>
      <c r="AO68" s="100">
        <v>0</v>
      </c>
      <c r="AP68" s="100">
        <v>0</v>
      </c>
      <c r="AQ68" s="100">
        <v>0</v>
      </c>
      <c r="AR68" s="100">
        <v>0</v>
      </c>
      <c r="AS68" s="100">
        <v>0</v>
      </c>
      <c r="AT68" s="100">
        <v>0</v>
      </c>
      <c r="AU68" s="100">
        <v>0</v>
      </c>
      <c r="AV68" s="100">
        <v>0</v>
      </c>
      <c r="AW68" s="100">
        <v>0</v>
      </c>
      <c r="AX68" s="100">
        <v>0</v>
      </c>
      <c r="AY68" s="100">
        <v>0</v>
      </c>
      <c r="AZ68" s="100">
        <v>0</v>
      </c>
      <c r="BA68" s="100">
        <v>0</v>
      </c>
      <c r="BB68" s="100">
        <v>0</v>
      </c>
      <c r="BC68" s="100">
        <v>0</v>
      </c>
      <c r="BD68" s="100">
        <v>0</v>
      </c>
      <c r="BE68" s="100">
        <v>0</v>
      </c>
      <c r="BF68" s="100">
        <v>0</v>
      </c>
      <c r="BG68" s="100">
        <v>0</v>
      </c>
      <c r="BH68" s="100">
        <v>250.14599999999999</v>
      </c>
      <c r="BI68" s="100">
        <v>0</v>
      </c>
      <c r="BJ68" s="100">
        <v>345.505</v>
      </c>
      <c r="BK68" s="100">
        <v>0</v>
      </c>
      <c r="BL68" s="102"/>
      <c r="BM68" s="102"/>
    </row>
    <row r="69" spans="2:65">
      <c r="B69" s="122" t="s">
        <v>480</v>
      </c>
      <c r="C69" s="124" t="s">
        <v>481</v>
      </c>
      <c r="D69" s="100">
        <v>0</v>
      </c>
      <c r="E69" s="100">
        <v>0</v>
      </c>
      <c r="F69" s="100">
        <v>0</v>
      </c>
      <c r="G69" s="100">
        <v>0</v>
      </c>
      <c r="H69" s="100">
        <v>0</v>
      </c>
      <c r="I69" s="100">
        <v>0</v>
      </c>
      <c r="J69" s="100">
        <v>0</v>
      </c>
      <c r="K69" s="100">
        <v>0</v>
      </c>
      <c r="L69" s="100">
        <v>0</v>
      </c>
      <c r="M69" s="100">
        <v>0</v>
      </c>
      <c r="N69" s="100">
        <v>0</v>
      </c>
      <c r="O69" s="100">
        <v>0</v>
      </c>
      <c r="P69" s="100">
        <v>0</v>
      </c>
      <c r="Q69" s="100">
        <v>0</v>
      </c>
      <c r="R69" s="100">
        <v>1215.556</v>
      </c>
      <c r="S69" s="100">
        <v>0</v>
      </c>
      <c r="T69" s="100">
        <v>0</v>
      </c>
      <c r="U69" s="100">
        <v>0</v>
      </c>
      <c r="V69" s="100">
        <v>0</v>
      </c>
      <c r="W69" s="100">
        <v>0</v>
      </c>
      <c r="X69" s="100">
        <v>3.9460000000000002</v>
      </c>
      <c r="Y69" s="100">
        <v>3586.989</v>
      </c>
      <c r="Z69" s="100">
        <v>10004.41</v>
      </c>
      <c r="AA69" s="100">
        <v>0</v>
      </c>
      <c r="AB69" s="100">
        <v>0</v>
      </c>
      <c r="AC69" s="100">
        <v>0</v>
      </c>
      <c r="AD69" s="100">
        <v>20.71</v>
      </c>
      <c r="AE69" s="100">
        <v>19211.644</v>
      </c>
      <c r="AF69" s="100">
        <v>0.97299999999999998</v>
      </c>
      <c r="AG69" s="100">
        <v>3.6999999999999998E-2</v>
      </c>
      <c r="AH69" s="100">
        <v>3.6339999999999999</v>
      </c>
      <c r="AI69" s="100">
        <v>0</v>
      </c>
      <c r="AJ69" s="100">
        <v>0</v>
      </c>
      <c r="AK69" s="100">
        <v>0</v>
      </c>
      <c r="AL69" s="100">
        <v>0</v>
      </c>
      <c r="AM69" s="100">
        <v>0</v>
      </c>
      <c r="AN69" s="100">
        <v>0</v>
      </c>
      <c r="AO69" s="100">
        <v>0</v>
      </c>
      <c r="AP69" s="100">
        <v>0</v>
      </c>
      <c r="AQ69" s="100">
        <v>0</v>
      </c>
      <c r="AR69" s="100">
        <v>0</v>
      </c>
      <c r="AS69" s="100">
        <v>0</v>
      </c>
      <c r="AT69" s="100">
        <v>0</v>
      </c>
      <c r="AU69" s="100">
        <v>0</v>
      </c>
      <c r="AV69" s="100">
        <v>0</v>
      </c>
      <c r="AW69" s="100">
        <v>685.42399999999998</v>
      </c>
      <c r="AX69" s="100">
        <v>0</v>
      </c>
      <c r="AY69" s="100">
        <v>0</v>
      </c>
      <c r="AZ69" s="100">
        <v>0</v>
      </c>
      <c r="BA69" s="100">
        <v>0</v>
      </c>
      <c r="BB69" s="100">
        <v>0</v>
      </c>
      <c r="BC69" s="100">
        <v>0</v>
      </c>
      <c r="BD69" s="100">
        <v>0</v>
      </c>
      <c r="BE69" s="100">
        <v>0</v>
      </c>
      <c r="BF69" s="100">
        <v>0</v>
      </c>
      <c r="BG69" s="100">
        <v>0</v>
      </c>
      <c r="BH69" s="100">
        <v>0</v>
      </c>
      <c r="BI69" s="100">
        <v>0</v>
      </c>
      <c r="BJ69" s="100">
        <v>34733.322999999989</v>
      </c>
      <c r="BK69" s="100">
        <v>685.42399999999998</v>
      </c>
      <c r="BL69" s="102"/>
      <c r="BM69" s="102"/>
    </row>
    <row r="70" spans="2:65">
      <c r="B70" s="122" t="s">
        <v>482</v>
      </c>
      <c r="C70" s="124" t="s">
        <v>483</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0.93899999999999995</v>
      </c>
      <c r="Y70" s="100">
        <v>0</v>
      </c>
      <c r="Z70" s="100">
        <v>3.04</v>
      </c>
      <c r="AA70" s="100">
        <v>0</v>
      </c>
      <c r="AB70" s="100">
        <v>0</v>
      </c>
      <c r="AC70" s="100">
        <v>0</v>
      </c>
      <c r="AD70" s="100">
        <v>3.9990000000000001</v>
      </c>
      <c r="AE70" s="100">
        <v>138.947</v>
      </c>
      <c r="AF70" s="100">
        <v>80.082999999999998</v>
      </c>
      <c r="AG70" s="100">
        <v>14.711</v>
      </c>
      <c r="AH70" s="100">
        <v>126.73</v>
      </c>
      <c r="AI70" s="100">
        <v>0</v>
      </c>
      <c r="AJ70" s="100">
        <v>0</v>
      </c>
      <c r="AK70" s="100">
        <v>0</v>
      </c>
      <c r="AL70" s="100">
        <v>0</v>
      </c>
      <c r="AM70" s="100">
        <v>0</v>
      </c>
      <c r="AN70" s="100">
        <v>0</v>
      </c>
      <c r="AO70" s="100">
        <v>0</v>
      </c>
      <c r="AP70" s="100">
        <v>0</v>
      </c>
      <c r="AQ70" s="100">
        <v>0</v>
      </c>
      <c r="AR70" s="100">
        <v>0</v>
      </c>
      <c r="AS70" s="100">
        <v>0</v>
      </c>
      <c r="AT70" s="100">
        <v>0</v>
      </c>
      <c r="AU70" s="100">
        <v>0</v>
      </c>
      <c r="AV70" s="100">
        <v>0</v>
      </c>
      <c r="AW70" s="100">
        <v>0</v>
      </c>
      <c r="AX70" s="100">
        <v>0</v>
      </c>
      <c r="AY70" s="100">
        <v>0</v>
      </c>
      <c r="AZ70" s="100">
        <v>0</v>
      </c>
      <c r="BA70" s="100">
        <v>0</v>
      </c>
      <c r="BB70" s="100">
        <v>0</v>
      </c>
      <c r="BC70" s="100">
        <v>0</v>
      </c>
      <c r="BD70" s="100">
        <v>0</v>
      </c>
      <c r="BE70" s="100">
        <v>0</v>
      </c>
      <c r="BF70" s="100">
        <v>0</v>
      </c>
      <c r="BG70" s="100">
        <v>0</v>
      </c>
      <c r="BH70" s="100">
        <v>0</v>
      </c>
      <c r="BI70" s="100">
        <v>0</v>
      </c>
      <c r="BJ70" s="100">
        <v>368.44900000000001</v>
      </c>
      <c r="BK70" s="100">
        <v>0</v>
      </c>
      <c r="BL70" s="102"/>
      <c r="BM70" s="102"/>
    </row>
    <row r="71" spans="2:65">
      <c r="B71" s="122" t="s">
        <v>484</v>
      </c>
      <c r="C71" s="124" t="s">
        <v>485</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0.32200000000000001</v>
      </c>
      <c r="Y71" s="100">
        <v>0</v>
      </c>
      <c r="Z71" s="100">
        <v>3.0000000000000001E-3</v>
      </c>
      <c r="AA71" s="100">
        <v>0.01</v>
      </c>
      <c r="AB71" s="100">
        <v>0</v>
      </c>
      <c r="AC71" s="100">
        <v>2657.922</v>
      </c>
      <c r="AD71" s="100">
        <v>0.186</v>
      </c>
      <c r="AE71" s="100">
        <v>1.075</v>
      </c>
      <c r="AF71" s="100">
        <v>0</v>
      </c>
      <c r="AG71" s="100">
        <v>0</v>
      </c>
      <c r="AH71" s="100">
        <v>0</v>
      </c>
      <c r="AI71" s="100">
        <v>0</v>
      </c>
      <c r="AJ71" s="100">
        <v>0</v>
      </c>
      <c r="AK71" s="100">
        <v>0</v>
      </c>
      <c r="AL71" s="100">
        <v>0</v>
      </c>
      <c r="AM71" s="100">
        <v>0</v>
      </c>
      <c r="AN71" s="100">
        <v>0</v>
      </c>
      <c r="AO71" s="100">
        <v>0</v>
      </c>
      <c r="AP71" s="100">
        <v>0</v>
      </c>
      <c r="AQ71" s="100">
        <v>0</v>
      </c>
      <c r="AR71" s="100">
        <v>0</v>
      </c>
      <c r="AS71" s="100">
        <v>0</v>
      </c>
      <c r="AT71" s="100">
        <v>0</v>
      </c>
      <c r="AU71" s="100">
        <v>0</v>
      </c>
      <c r="AV71" s="100">
        <v>0</v>
      </c>
      <c r="AW71" s="100">
        <v>0</v>
      </c>
      <c r="AX71" s="100">
        <v>0</v>
      </c>
      <c r="AY71" s="100">
        <v>0</v>
      </c>
      <c r="AZ71" s="100">
        <v>0</v>
      </c>
      <c r="BA71" s="100">
        <v>0</v>
      </c>
      <c r="BB71" s="100">
        <v>0</v>
      </c>
      <c r="BC71" s="100">
        <v>0</v>
      </c>
      <c r="BD71" s="100">
        <v>0</v>
      </c>
      <c r="BE71" s="100">
        <v>0</v>
      </c>
      <c r="BF71" s="100">
        <v>0</v>
      </c>
      <c r="BG71" s="100">
        <v>0</v>
      </c>
      <c r="BH71" s="100">
        <v>0</v>
      </c>
      <c r="BI71" s="100">
        <v>0</v>
      </c>
      <c r="BJ71" s="100">
        <v>2659.518</v>
      </c>
      <c r="BK71" s="100">
        <v>0</v>
      </c>
      <c r="BL71" s="102"/>
      <c r="BM71" s="102"/>
    </row>
    <row r="72" spans="2:65">
      <c r="B72" s="114" t="s">
        <v>173</v>
      </c>
      <c r="C72" s="121" t="s">
        <v>486</v>
      </c>
      <c r="D72" s="100">
        <v>0</v>
      </c>
      <c r="E72" s="100">
        <v>0</v>
      </c>
      <c r="F72" s="100">
        <v>0</v>
      </c>
      <c r="G72" s="100">
        <v>0</v>
      </c>
      <c r="H72" s="100">
        <v>0</v>
      </c>
      <c r="I72" s="100">
        <v>0</v>
      </c>
      <c r="J72" s="100">
        <v>0</v>
      </c>
      <c r="K72" s="100">
        <v>285.10599999999999</v>
      </c>
      <c r="L72" s="100">
        <v>0</v>
      </c>
      <c r="M72" s="100">
        <v>0</v>
      </c>
      <c r="N72" s="100">
        <v>0</v>
      </c>
      <c r="O72" s="100">
        <v>0</v>
      </c>
      <c r="P72" s="100">
        <v>0</v>
      </c>
      <c r="Q72" s="100">
        <v>0</v>
      </c>
      <c r="R72" s="100">
        <v>10475.422</v>
      </c>
      <c r="S72" s="100">
        <v>0</v>
      </c>
      <c r="T72" s="100">
        <v>0</v>
      </c>
      <c r="U72" s="100">
        <v>0</v>
      </c>
      <c r="V72" s="100">
        <v>0</v>
      </c>
      <c r="W72" s="100">
        <v>0</v>
      </c>
      <c r="X72" s="100">
        <v>561.08600000000001</v>
      </c>
      <c r="Y72" s="100">
        <v>21.033999999999999</v>
      </c>
      <c r="Z72" s="100">
        <v>3.1459999999999999</v>
      </c>
      <c r="AA72" s="100">
        <v>0</v>
      </c>
      <c r="AB72" s="100">
        <v>0</v>
      </c>
      <c r="AC72" s="100">
        <v>0</v>
      </c>
      <c r="AD72" s="100">
        <v>1491.3879999999999</v>
      </c>
      <c r="AE72" s="100">
        <v>37.040999999999997</v>
      </c>
      <c r="AF72" s="100">
        <v>0.85799999999999998</v>
      </c>
      <c r="AG72" s="100">
        <v>1.7000000000000001E-2</v>
      </c>
      <c r="AH72" s="100">
        <v>25.635000000000002</v>
      </c>
      <c r="AI72" s="100">
        <v>0</v>
      </c>
      <c r="AJ72" s="100">
        <v>0</v>
      </c>
      <c r="AK72" s="100">
        <v>0</v>
      </c>
      <c r="AL72" s="100">
        <v>0</v>
      </c>
      <c r="AM72" s="100">
        <v>0</v>
      </c>
      <c r="AN72" s="100">
        <v>0</v>
      </c>
      <c r="AO72" s="100">
        <v>0</v>
      </c>
      <c r="AP72" s="100">
        <v>0</v>
      </c>
      <c r="AQ72" s="100">
        <v>0</v>
      </c>
      <c r="AR72" s="100">
        <v>0</v>
      </c>
      <c r="AS72" s="100">
        <v>126.70699999999999</v>
      </c>
      <c r="AT72" s="100">
        <v>3.9140000000000001</v>
      </c>
      <c r="AU72" s="100">
        <v>1.96</v>
      </c>
      <c r="AV72" s="100">
        <v>0</v>
      </c>
      <c r="AW72" s="100">
        <v>0</v>
      </c>
      <c r="AX72" s="100">
        <v>0</v>
      </c>
      <c r="AY72" s="100">
        <v>0</v>
      </c>
      <c r="AZ72" s="100">
        <v>0</v>
      </c>
      <c r="BA72" s="100">
        <v>0</v>
      </c>
      <c r="BB72" s="100">
        <v>36.151000000000003</v>
      </c>
      <c r="BC72" s="100">
        <v>0</v>
      </c>
      <c r="BD72" s="100">
        <v>11.957000000000001</v>
      </c>
      <c r="BE72" s="100">
        <v>0</v>
      </c>
      <c r="BF72" s="100">
        <v>0</v>
      </c>
      <c r="BG72" s="100">
        <v>0</v>
      </c>
      <c r="BH72" s="100">
        <v>6114.9340000000002</v>
      </c>
      <c r="BI72" s="100">
        <v>2136.1489999999999</v>
      </c>
      <c r="BJ72" s="100">
        <v>21332.505000000001</v>
      </c>
      <c r="BK72" s="100">
        <v>180.68899999999999</v>
      </c>
      <c r="BL72" s="102"/>
      <c r="BM72" s="102"/>
    </row>
    <row r="73" spans="2:65">
      <c r="B73" s="114" t="s">
        <v>487</v>
      </c>
      <c r="C73" s="115" t="s">
        <v>488</v>
      </c>
      <c r="D73" s="100">
        <v>0</v>
      </c>
      <c r="E73" s="100">
        <v>0</v>
      </c>
      <c r="F73" s="100">
        <v>0</v>
      </c>
      <c r="G73" s="100">
        <v>0</v>
      </c>
      <c r="H73" s="100">
        <v>0</v>
      </c>
      <c r="I73" s="100">
        <v>0</v>
      </c>
      <c r="J73" s="100">
        <v>0</v>
      </c>
      <c r="K73" s="100">
        <v>116.02500000000001</v>
      </c>
      <c r="L73" s="100">
        <v>0</v>
      </c>
      <c r="M73" s="100">
        <v>0</v>
      </c>
      <c r="N73" s="100">
        <v>0</v>
      </c>
      <c r="O73" s="100">
        <v>0</v>
      </c>
      <c r="P73" s="100">
        <v>0</v>
      </c>
      <c r="Q73" s="100">
        <v>0</v>
      </c>
      <c r="R73" s="100">
        <v>3622.4290000000001</v>
      </c>
      <c r="S73" s="100">
        <v>0</v>
      </c>
      <c r="T73" s="100">
        <v>0</v>
      </c>
      <c r="U73" s="100">
        <v>0</v>
      </c>
      <c r="V73" s="100">
        <v>0</v>
      </c>
      <c r="W73" s="100">
        <v>39.645000000000003</v>
      </c>
      <c r="X73" s="100">
        <v>1155.1479999999999</v>
      </c>
      <c r="Y73" s="100">
        <v>110.038</v>
      </c>
      <c r="Z73" s="100">
        <v>45.99</v>
      </c>
      <c r="AA73" s="100">
        <v>0.78</v>
      </c>
      <c r="AB73" s="100">
        <v>0</v>
      </c>
      <c r="AC73" s="100">
        <v>13.807</v>
      </c>
      <c r="AD73" s="100">
        <v>508.43400000000003</v>
      </c>
      <c r="AE73" s="100">
        <v>1023.514</v>
      </c>
      <c r="AF73" s="100">
        <v>35.231999999999999</v>
      </c>
      <c r="AG73" s="100">
        <v>16.95</v>
      </c>
      <c r="AH73" s="100">
        <v>79.638999999999996</v>
      </c>
      <c r="AI73" s="100">
        <v>0</v>
      </c>
      <c r="AJ73" s="100">
        <v>0</v>
      </c>
      <c r="AK73" s="100">
        <v>0</v>
      </c>
      <c r="AL73" s="100">
        <v>0</v>
      </c>
      <c r="AM73" s="100">
        <v>0</v>
      </c>
      <c r="AN73" s="100">
        <v>0</v>
      </c>
      <c r="AO73" s="100">
        <v>0</v>
      </c>
      <c r="AP73" s="100">
        <v>32.323999999999998</v>
      </c>
      <c r="AQ73" s="100">
        <v>19.146999999999998</v>
      </c>
      <c r="AR73" s="100">
        <v>15.054</v>
      </c>
      <c r="AS73" s="100">
        <v>52.610999999999997</v>
      </c>
      <c r="AT73" s="100">
        <v>0</v>
      </c>
      <c r="AU73" s="100">
        <v>0</v>
      </c>
      <c r="AV73" s="100">
        <v>0</v>
      </c>
      <c r="AW73" s="100">
        <v>0</v>
      </c>
      <c r="AX73" s="100">
        <v>0</v>
      </c>
      <c r="AY73" s="100">
        <v>0</v>
      </c>
      <c r="AZ73" s="100">
        <v>0</v>
      </c>
      <c r="BA73" s="100">
        <v>0</v>
      </c>
      <c r="BB73" s="100">
        <v>3.8450000000000002</v>
      </c>
      <c r="BC73" s="100">
        <v>0</v>
      </c>
      <c r="BD73" s="100">
        <v>1.796</v>
      </c>
      <c r="BE73" s="100">
        <v>0</v>
      </c>
      <c r="BF73" s="100">
        <v>0</v>
      </c>
      <c r="BG73" s="100">
        <v>0</v>
      </c>
      <c r="BH73" s="100">
        <v>12392.861999999999</v>
      </c>
      <c r="BI73" s="100">
        <v>326.06700000000001</v>
      </c>
      <c r="BJ73" s="100">
        <v>19611.336999999996</v>
      </c>
      <c r="BK73" s="100">
        <v>164.423</v>
      </c>
      <c r="BL73" s="102"/>
      <c r="BM73" s="102"/>
    </row>
    <row r="74" spans="2:65" s="263" customFormat="1">
      <c r="B74" s="259" t="s">
        <v>489</v>
      </c>
      <c r="C74" s="260" t="s">
        <v>490</v>
      </c>
      <c r="D74" s="261">
        <v>0</v>
      </c>
      <c r="E74" s="261">
        <v>0</v>
      </c>
      <c r="F74" s="261">
        <v>0</v>
      </c>
      <c r="G74" s="261">
        <v>0</v>
      </c>
      <c r="H74" s="261">
        <v>0</v>
      </c>
      <c r="I74" s="261">
        <v>0</v>
      </c>
      <c r="J74" s="261">
        <v>0</v>
      </c>
      <c r="K74" s="261">
        <v>14.728999999999999</v>
      </c>
      <c r="L74" s="261">
        <v>0</v>
      </c>
      <c r="M74" s="261">
        <v>0</v>
      </c>
      <c r="N74" s="261">
        <v>0</v>
      </c>
      <c r="O74" s="261">
        <v>0</v>
      </c>
      <c r="P74" s="261">
        <v>0</v>
      </c>
      <c r="Q74" s="261">
        <v>0</v>
      </c>
      <c r="R74" s="261">
        <v>77.927000000000007</v>
      </c>
      <c r="S74" s="261">
        <v>0</v>
      </c>
      <c r="T74" s="261">
        <v>0</v>
      </c>
      <c r="U74" s="261">
        <v>0</v>
      </c>
      <c r="V74" s="261">
        <v>0</v>
      </c>
      <c r="W74" s="261">
        <v>0</v>
      </c>
      <c r="X74" s="261">
        <v>23.475999999999999</v>
      </c>
      <c r="Y74" s="261">
        <v>0.17699999999999999</v>
      </c>
      <c r="Z74" s="261">
        <v>37.881</v>
      </c>
      <c r="AA74" s="261">
        <v>2.335</v>
      </c>
      <c r="AB74" s="261">
        <v>0</v>
      </c>
      <c r="AC74" s="261">
        <v>439.14600000000002</v>
      </c>
      <c r="AD74" s="261">
        <v>137.20500000000001</v>
      </c>
      <c r="AE74" s="261">
        <v>694.94399999999996</v>
      </c>
      <c r="AF74" s="261">
        <v>2.8450000000000002</v>
      </c>
      <c r="AG74" s="261">
        <v>0.20599999999999999</v>
      </c>
      <c r="AH74" s="261">
        <v>6.9240000000000004</v>
      </c>
      <c r="AI74" s="261">
        <v>0</v>
      </c>
      <c r="AJ74" s="261">
        <v>0</v>
      </c>
      <c r="AK74" s="261">
        <v>0</v>
      </c>
      <c r="AL74" s="261">
        <v>0</v>
      </c>
      <c r="AM74" s="261">
        <v>0</v>
      </c>
      <c r="AN74" s="261">
        <v>0</v>
      </c>
      <c r="AO74" s="261">
        <v>0</v>
      </c>
      <c r="AP74" s="261">
        <v>61.4</v>
      </c>
      <c r="AQ74" s="261">
        <v>684.85500000000002</v>
      </c>
      <c r="AR74" s="261">
        <v>15.536</v>
      </c>
      <c r="AS74" s="261">
        <v>27.611000000000001</v>
      </c>
      <c r="AT74" s="261">
        <v>30.202999999999999</v>
      </c>
      <c r="AU74" s="261">
        <v>0</v>
      </c>
      <c r="AV74" s="261">
        <v>0</v>
      </c>
      <c r="AW74" s="261">
        <v>0</v>
      </c>
      <c r="AX74" s="261">
        <v>0</v>
      </c>
      <c r="AY74" s="261">
        <v>0</v>
      </c>
      <c r="AZ74" s="261">
        <v>0</v>
      </c>
      <c r="BA74" s="261">
        <v>0</v>
      </c>
      <c r="BB74" s="261">
        <v>150.899</v>
      </c>
      <c r="BC74" s="261">
        <v>0</v>
      </c>
      <c r="BD74" s="261">
        <v>12.157999999999999</v>
      </c>
      <c r="BE74" s="261">
        <v>0</v>
      </c>
      <c r="BF74" s="261">
        <v>0</v>
      </c>
      <c r="BG74" s="261">
        <v>0</v>
      </c>
      <c r="BH74" s="261">
        <v>2221.5479999999998</v>
      </c>
      <c r="BI74" s="261">
        <v>69.474000000000004</v>
      </c>
      <c r="BJ74" s="261">
        <v>4711.4789999999994</v>
      </c>
      <c r="BK74" s="261">
        <v>982.66200000000003</v>
      </c>
      <c r="BL74" s="262"/>
      <c r="BM74" s="262"/>
    </row>
    <row r="75" spans="2:65">
      <c r="B75" s="125" t="s">
        <v>491</v>
      </c>
      <c r="C75" s="126" t="s">
        <v>492</v>
      </c>
      <c r="D75" s="127">
        <v>0</v>
      </c>
      <c r="E75" s="127">
        <v>0</v>
      </c>
      <c r="F75" s="127">
        <v>0</v>
      </c>
      <c r="G75" s="127">
        <v>0</v>
      </c>
      <c r="H75" s="127">
        <v>0</v>
      </c>
      <c r="I75" s="127">
        <v>0</v>
      </c>
      <c r="J75" s="127">
        <v>15.398999999999999</v>
      </c>
      <c r="K75" s="127">
        <v>0</v>
      </c>
      <c r="L75" s="127">
        <v>0</v>
      </c>
      <c r="M75" s="127">
        <v>560.74099999999999</v>
      </c>
      <c r="N75" s="127">
        <v>0</v>
      </c>
      <c r="O75" s="127">
        <v>0</v>
      </c>
      <c r="P75" s="127">
        <v>0</v>
      </c>
      <c r="Q75" s="127">
        <v>332.553</v>
      </c>
      <c r="R75" s="127">
        <v>0</v>
      </c>
      <c r="S75" s="127">
        <v>0</v>
      </c>
      <c r="T75" s="127">
        <v>0</v>
      </c>
      <c r="U75" s="127">
        <v>0</v>
      </c>
      <c r="V75" s="127">
        <v>0</v>
      </c>
      <c r="W75" s="127">
        <v>0</v>
      </c>
      <c r="X75" s="127">
        <v>3875.25</v>
      </c>
      <c r="Y75" s="127">
        <v>769.23800000000006</v>
      </c>
      <c r="Z75" s="127">
        <v>0</v>
      </c>
      <c r="AA75" s="127">
        <v>0</v>
      </c>
      <c r="AB75" s="127">
        <v>0</v>
      </c>
      <c r="AC75" s="127">
        <v>0</v>
      </c>
      <c r="AD75" s="127">
        <v>0</v>
      </c>
      <c r="AE75" s="127">
        <v>0</v>
      </c>
      <c r="AF75" s="127">
        <v>0</v>
      </c>
      <c r="AG75" s="127">
        <v>0</v>
      </c>
      <c r="AH75" s="127">
        <v>0</v>
      </c>
      <c r="AI75" s="127">
        <v>43804.417999999998</v>
      </c>
      <c r="AJ75" s="127">
        <v>211.721</v>
      </c>
      <c r="AK75" s="127">
        <v>850.15899999999999</v>
      </c>
      <c r="AL75" s="127">
        <v>1684.0940000000001</v>
      </c>
      <c r="AM75" s="127">
        <v>19.649000000000001</v>
      </c>
      <c r="AN75" s="127">
        <v>796.53300000000002</v>
      </c>
      <c r="AO75" s="127">
        <v>1104.4090000000001</v>
      </c>
      <c r="AP75" s="127">
        <v>0</v>
      </c>
      <c r="AQ75" s="127">
        <v>0</v>
      </c>
      <c r="AR75" s="127">
        <v>0</v>
      </c>
      <c r="AS75" s="127">
        <v>0</v>
      </c>
      <c r="AT75" s="127">
        <v>0</v>
      </c>
      <c r="AU75" s="127">
        <v>0</v>
      </c>
      <c r="AV75" s="127">
        <v>0</v>
      </c>
      <c r="AW75" s="127">
        <v>0</v>
      </c>
      <c r="AX75" s="127">
        <v>0</v>
      </c>
      <c r="AY75" s="127">
        <v>0</v>
      </c>
      <c r="AZ75" s="127">
        <v>0</v>
      </c>
      <c r="BA75" s="127">
        <v>0</v>
      </c>
      <c r="BB75" s="127">
        <v>0</v>
      </c>
      <c r="BC75" s="127">
        <v>0</v>
      </c>
      <c r="BD75" s="127">
        <v>0</v>
      </c>
      <c r="BE75" s="127">
        <v>0</v>
      </c>
      <c r="BF75" s="127">
        <v>0</v>
      </c>
      <c r="BG75" s="127">
        <v>0</v>
      </c>
      <c r="BH75" s="127">
        <v>0</v>
      </c>
      <c r="BI75" s="127">
        <v>0</v>
      </c>
      <c r="BJ75" s="127">
        <v>54024.163999999997</v>
      </c>
      <c r="BK75" s="127">
        <v>0</v>
      </c>
      <c r="BL75" s="102"/>
      <c r="BM75" s="102"/>
    </row>
    <row r="76" spans="2:65" collapsed="1">
      <c r="B76" s="114" t="s">
        <v>493</v>
      </c>
      <c r="C76" s="128" t="s">
        <v>494</v>
      </c>
      <c r="D76" s="100">
        <v>0</v>
      </c>
      <c r="E76" s="100">
        <v>0</v>
      </c>
      <c r="F76" s="100">
        <v>0</v>
      </c>
      <c r="G76" s="100">
        <v>0</v>
      </c>
      <c r="H76" s="100">
        <v>0</v>
      </c>
      <c r="I76" s="100">
        <v>0</v>
      </c>
      <c r="J76" s="100">
        <v>15.398999999999999</v>
      </c>
      <c r="K76" s="100">
        <v>0</v>
      </c>
      <c r="L76" s="100">
        <v>0</v>
      </c>
      <c r="M76" s="100">
        <v>560.74099999999999</v>
      </c>
      <c r="N76" s="100">
        <v>0</v>
      </c>
      <c r="O76" s="100">
        <v>0</v>
      </c>
      <c r="P76" s="100">
        <v>0</v>
      </c>
      <c r="Q76" s="100">
        <v>332.553</v>
      </c>
      <c r="R76" s="100">
        <v>0</v>
      </c>
      <c r="S76" s="100">
        <v>0</v>
      </c>
      <c r="T76" s="100">
        <v>0</v>
      </c>
      <c r="U76" s="100">
        <v>0</v>
      </c>
      <c r="V76" s="100">
        <v>0</v>
      </c>
      <c r="W76" s="100">
        <v>0</v>
      </c>
      <c r="X76" s="100">
        <v>3875.25</v>
      </c>
      <c r="Y76" s="100">
        <v>769.23800000000006</v>
      </c>
      <c r="Z76" s="100">
        <v>0</v>
      </c>
      <c r="AA76" s="100">
        <v>0</v>
      </c>
      <c r="AB76" s="100">
        <v>0</v>
      </c>
      <c r="AC76" s="100">
        <v>0</v>
      </c>
      <c r="AD76" s="100">
        <v>0</v>
      </c>
      <c r="AE76" s="100">
        <v>0</v>
      </c>
      <c r="AF76" s="100">
        <v>0</v>
      </c>
      <c r="AG76" s="100">
        <v>0</v>
      </c>
      <c r="AH76" s="100">
        <v>0</v>
      </c>
      <c r="AI76" s="100">
        <v>43804.417999999998</v>
      </c>
      <c r="AJ76" s="100">
        <v>181.26</v>
      </c>
      <c r="AK76" s="100">
        <v>850.15899999999999</v>
      </c>
      <c r="AL76" s="100">
        <v>1684.0940000000001</v>
      </c>
      <c r="AM76" s="100">
        <v>19.649000000000001</v>
      </c>
      <c r="AN76" s="100">
        <v>796.53300000000002</v>
      </c>
      <c r="AO76" s="100">
        <v>1016.807</v>
      </c>
      <c r="AP76" s="100">
        <v>0</v>
      </c>
      <c r="AQ76" s="100">
        <v>0</v>
      </c>
      <c r="AR76" s="100">
        <v>0</v>
      </c>
      <c r="AS76" s="100">
        <v>0</v>
      </c>
      <c r="AT76" s="100">
        <v>0</v>
      </c>
      <c r="AU76" s="100">
        <v>0</v>
      </c>
      <c r="AV76" s="100">
        <v>0</v>
      </c>
      <c r="AW76" s="100">
        <v>0</v>
      </c>
      <c r="AX76" s="100">
        <v>0</v>
      </c>
      <c r="AY76" s="100">
        <v>0</v>
      </c>
      <c r="AZ76" s="100">
        <v>0</v>
      </c>
      <c r="BA76" s="100">
        <v>0</v>
      </c>
      <c r="BB76" s="100">
        <v>0</v>
      </c>
      <c r="BC76" s="100">
        <v>0</v>
      </c>
      <c r="BD76" s="100">
        <v>0</v>
      </c>
      <c r="BE76" s="100">
        <v>0</v>
      </c>
      <c r="BF76" s="100">
        <v>0</v>
      </c>
      <c r="BG76" s="100">
        <v>0</v>
      </c>
      <c r="BH76" s="100">
        <v>0</v>
      </c>
      <c r="BI76" s="100">
        <v>0</v>
      </c>
      <c r="BJ76" s="100">
        <v>53906.101000000002</v>
      </c>
      <c r="BK76" s="100">
        <v>0</v>
      </c>
      <c r="BL76" s="102"/>
      <c r="BM76" s="102"/>
    </row>
    <row r="77" spans="2:65">
      <c r="B77" s="114" t="s">
        <v>495</v>
      </c>
      <c r="C77" s="128" t="s">
        <v>496</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0">
        <v>0</v>
      </c>
      <c r="AH77" s="100">
        <v>0</v>
      </c>
      <c r="AI77" s="100">
        <v>0</v>
      </c>
      <c r="AJ77" s="100">
        <v>1E-3</v>
      </c>
      <c r="AK77" s="100">
        <v>0</v>
      </c>
      <c r="AL77" s="100">
        <v>0</v>
      </c>
      <c r="AM77" s="100">
        <v>0</v>
      </c>
      <c r="AN77" s="100">
        <v>0</v>
      </c>
      <c r="AO77" s="100">
        <v>0</v>
      </c>
      <c r="AP77" s="100">
        <v>0</v>
      </c>
      <c r="AQ77" s="100">
        <v>0</v>
      </c>
      <c r="AR77" s="100">
        <v>0</v>
      </c>
      <c r="AS77" s="100">
        <v>0</v>
      </c>
      <c r="AT77" s="100">
        <v>0</v>
      </c>
      <c r="AU77" s="100">
        <v>0</v>
      </c>
      <c r="AV77" s="100">
        <v>0</v>
      </c>
      <c r="AW77" s="100">
        <v>0</v>
      </c>
      <c r="AX77" s="100">
        <v>0</v>
      </c>
      <c r="AY77" s="100">
        <v>0</v>
      </c>
      <c r="AZ77" s="100">
        <v>0</v>
      </c>
      <c r="BA77" s="100">
        <v>0</v>
      </c>
      <c r="BB77" s="100">
        <v>0</v>
      </c>
      <c r="BC77" s="100">
        <v>0</v>
      </c>
      <c r="BD77" s="100">
        <v>0</v>
      </c>
      <c r="BE77" s="100">
        <v>0</v>
      </c>
      <c r="BF77" s="100">
        <v>0</v>
      </c>
      <c r="BG77" s="100">
        <v>0</v>
      </c>
      <c r="BH77" s="100">
        <v>0</v>
      </c>
      <c r="BI77" s="100">
        <v>0</v>
      </c>
      <c r="BJ77" s="100">
        <v>1E-3</v>
      </c>
      <c r="BK77" s="100">
        <v>0</v>
      </c>
      <c r="BL77" s="102"/>
      <c r="BM77" s="102"/>
    </row>
    <row r="78" spans="2:65">
      <c r="B78" s="114" t="s">
        <v>497</v>
      </c>
      <c r="C78" s="128" t="s">
        <v>498</v>
      </c>
      <c r="D78" s="100">
        <v>0</v>
      </c>
      <c r="E78" s="100">
        <v>0</v>
      </c>
      <c r="F78" s="100">
        <v>0</v>
      </c>
      <c r="G78" s="100">
        <v>0</v>
      </c>
      <c r="H78" s="100">
        <v>0</v>
      </c>
      <c r="I78" s="100">
        <v>0</v>
      </c>
      <c r="J78" s="100">
        <v>0</v>
      </c>
      <c r="K78" s="100">
        <v>0</v>
      </c>
      <c r="L78" s="100">
        <v>0</v>
      </c>
      <c r="M78" s="100">
        <v>0</v>
      </c>
      <c r="N78" s="100">
        <v>0</v>
      </c>
      <c r="O78" s="100">
        <v>0</v>
      </c>
      <c r="P78" s="100">
        <v>0</v>
      </c>
      <c r="Q78" s="100">
        <v>0</v>
      </c>
      <c r="R78" s="100">
        <v>0</v>
      </c>
      <c r="S78" s="100">
        <v>0</v>
      </c>
      <c r="T78" s="100">
        <v>0</v>
      </c>
      <c r="U78" s="100">
        <v>0</v>
      </c>
      <c r="V78" s="100">
        <v>0</v>
      </c>
      <c r="W78" s="100">
        <v>0</v>
      </c>
      <c r="X78" s="100">
        <v>0</v>
      </c>
      <c r="Y78" s="100">
        <v>0</v>
      </c>
      <c r="Z78" s="100">
        <v>0</v>
      </c>
      <c r="AA78" s="100">
        <v>0</v>
      </c>
      <c r="AB78" s="100">
        <v>0</v>
      </c>
      <c r="AC78" s="100">
        <v>0</v>
      </c>
      <c r="AD78" s="100">
        <v>0</v>
      </c>
      <c r="AE78" s="100">
        <v>0</v>
      </c>
      <c r="AF78" s="100">
        <v>0</v>
      </c>
      <c r="AG78" s="100">
        <v>0</v>
      </c>
      <c r="AH78" s="100">
        <v>0</v>
      </c>
      <c r="AI78" s="100">
        <v>0</v>
      </c>
      <c r="AJ78" s="100">
        <v>0</v>
      </c>
      <c r="AK78" s="100">
        <v>0</v>
      </c>
      <c r="AL78" s="100">
        <v>0</v>
      </c>
      <c r="AM78" s="100">
        <v>0</v>
      </c>
      <c r="AN78" s="100">
        <v>0</v>
      </c>
      <c r="AO78" s="100">
        <v>0</v>
      </c>
      <c r="AP78" s="100">
        <v>0</v>
      </c>
      <c r="AQ78" s="100">
        <v>0</v>
      </c>
      <c r="AR78" s="100">
        <v>0</v>
      </c>
      <c r="AS78" s="100">
        <v>0</v>
      </c>
      <c r="AT78" s="100">
        <v>0</v>
      </c>
      <c r="AU78" s="100">
        <v>0</v>
      </c>
      <c r="AV78" s="100">
        <v>0</v>
      </c>
      <c r="AW78" s="100">
        <v>0</v>
      </c>
      <c r="AX78" s="100">
        <v>0</v>
      </c>
      <c r="AY78" s="100">
        <v>0</v>
      </c>
      <c r="AZ78" s="100">
        <v>0</v>
      </c>
      <c r="BA78" s="100">
        <v>0</v>
      </c>
      <c r="BB78" s="100">
        <v>0</v>
      </c>
      <c r="BC78" s="100">
        <v>0</v>
      </c>
      <c r="BD78" s="100">
        <v>0</v>
      </c>
      <c r="BE78" s="100">
        <v>0</v>
      </c>
      <c r="BF78" s="100">
        <v>0</v>
      </c>
      <c r="BG78" s="100">
        <v>0</v>
      </c>
      <c r="BH78" s="100">
        <v>0</v>
      </c>
      <c r="BI78" s="100">
        <v>0</v>
      </c>
      <c r="BJ78" s="100">
        <v>0</v>
      </c>
      <c r="BK78" s="100">
        <v>0</v>
      </c>
      <c r="BL78" s="102"/>
      <c r="BM78" s="102"/>
    </row>
    <row r="79" spans="2:65">
      <c r="B79" s="114" t="s">
        <v>499</v>
      </c>
      <c r="C79" s="128" t="s">
        <v>500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0">
        <v>0</v>
      </c>
      <c r="AH79" s="100">
        <v>0</v>
      </c>
      <c r="AI79" s="100">
        <v>0</v>
      </c>
      <c r="AJ79" s="100">
        <v>30.202999999999999</v>
      </c>
      <c r="AK79" s="100">
        <v>0</v>
      </c>
      <c r="AL79" s="100">
        <v>0</v>
      </c>
      <c r="AM79" s="100">
        <v>0</v>
      </c>
      <c r="AN79" s="100">
        <v>0</v>
      </c>
      <c r="AO79" s="100">
        <v>87.602000000000004</v>
      </c>
      <c r="AP79" s="100">
        <v>0</v>
      </c>
      <c r="AQ79" s="100">
        <v>0</v>
      </c>
      <c r="AR79" s="100">
        <v>0</v>
      </c>
      <c r="AS79" s="100">
        <v>0</v>
      </c>
      <c r="AT79" s="100">
        <v>0</v>
      </c>
      <c r="AU79" s="100">
        <v>0</v>
      </c>
      <c r="AV79" s="100">
        <v>0</v>
      </c>
      <c r="AW79" s="100">
        <v>0</v>
      </c>
      <c r="AX79" s="100">
        <v>0</v>
      </c>
      <c r="AY79" s="100">
        <v>0</v>
      </c>
      <c r="AZ79" s="100">
        <v>0</v>
      </c>
      <c r="BA79" s="100">
        <v>0</v>
      </c>
      <c r="BB79" s="100">
        <v>0</v>
      </c>
      <c r="BC79" s="100">
        <v>0</v>
      </c>
      <c r="BD79" s="100">
        <v>0</v>
      </c>
      <c r="BE79" s="100">
        <v>0</v>
      </c>
      <c r="BF79" s="100">
        <v>0</v>
      </c>
      <c r="BG79" s="100">
        <v>0</v>
      </c>
      <c r="BH79" s="100">
        <v>0</v>
      </c>
      <c r="BI79" s="100">
        <v>0</v>
      </c>
      <c r="BJ79" s="100">
        <v>117.80500000000001</v>
      </c>
      <c r="BK79" s="100">
        <v>0</v>
      </c>
      <c r="BL79" s="102"/>
      <c r="BM79" s="102"/>
    </row>
    <row r="80" spans="2:65" collapsed="1">
      <c r="B80" s="114" t="s">
        <v>501</v>
      </c>
      <c r="C80" s="128" t="s">
        <v>502</v>
      </c>
      <c r="D80" s="100">
        <v>0</v>
      </c>
      <c r="E80" s="100">
        <v>0</v>
      </c>
      <c r="F80" s="100">
        <v>0</v>
      </c>
      <c r="G80" s="100">
        <v>0</v>
      </c>
      <c r="H80" s="100">
        <v>0</v>
      </c>
      <c r="I80" s="100">
        <v>0</v>
      </c>
      <c r="J80" s="100">
        <v>0</v>
      </c>
      <c r="K80" s="100">
        <v>0</v>
      </c>
      <c r="L80" s="100">
        <v>0</v>
      </c>
      <c r="M80" s="100">
        <v>0</v>
      </c>
      <c r="N80" s="100">
        <v>0</v>
      </c>
      <c r="O80" s="100">
        <v>0</v>
      </c>
      <c r="P80" s="100">
        <v>0</v>
      </c>
      <c r="Q80" s="100">
        <v>0</v>
      </c>
      <c r="R80" s="100">
        <v>0</v>
      </c>
      <c r="S80" s="100">
        <v>0</v>
      </c>
      <c r="T80" s="100">
        <v>0</v>
      </c>
      <c r="U80" s="100">
        <v>0</v>
      </c>
      <c r="V80" s="100">
        <v>0</v>
      </c>
      <c r="W80" s="100">
        <v>0</v>
      </c>
      <c r="X80" s="100">
        <v>0</v>
      </c>
      <c r="Y80" s="100">
        <v>0</v>
      </c>
      <c r="Z80" s="100">
        <v>0</v>
      </c>
      <c r="AA80" s="100">
        <v>0</v>
      </c>
      <c r="AB80" s="100">
        <v>0</v>
      </c>
      <c r="AC80" s="100">
        <v>0</v>
      </c>
      <c r="AD80" s="100">
        <v>0</v>
      </c>
      <c r="AE80" s="100">
        <v>0</v>
      </c>
      <c r="AF80" s="100">
        <v>0</v>
      </c>
      <c r="AG80" s="100">
        <v>0</v>
      </c>
      <c r="AH80" s="100">
        <v>0</v>
      </c>
      <c r="AI80" s="100">
        <v>0</v>
      </c>
      <c r="AJ80" s="100">
        <v>0.25600000000000001</v>
      </c>
      <c r="AK80" s="100">
        <v>0</v>
      </c>
      <c r="AL80" s="100">
        <v>0</v>
      </c>
      <c r="AM80" s="100">
        <v>0</v>
      </c>
      <c r="AN80" s="100">
        <v>0</v>
      </c>
      <c r="AO80" s="100">
        <v>0</v>
      </c>
      <c r="AP80" s="100">
        <v>0</v>
      </c>
      <c r="AQ80" s="100">
        <v>0</v>
      </c>
      <c r="AR80" s="100">
        <v>0</v>
      </c>
      <c r="AS80" s="100">
        <v>0</v>
      </c>
      <c r="AT80" s="100">
        <v>0</v>
      </c>
      <c r="AU80" s="100">
        <v>0</v>
      </c>
      <c r="AV80" s="100">
        <v>0</v>
      </c>
      <c r="AW80" s="100">
        <v>0</v>
      </c>
      <c r="AX80" s="100">
        <v>0</v>
      </c>
      <c r="AY80" s="100">
        <v>0</v>
      </c>
      <c r="AZ80" s="100">
        <v>0</v>
      </c>
      <c r="BA80" s="100">
        <v>0</v>
      </c>
      <c r="BB80" s="100">
        <v>0</v>
      </c>
      <c r="BC80" s="100">
        <v>0</v>
      </c>
      <c r="BD80" s="100">
        <v>0</v>
      </c>
      <c r="BE80" s="100">
        <v>0</v>
      </c>
      <c r="BF80" s="100">
        <v>0</v>
      </c>
      <c r="BG80" s="100">
        <v>0</v>
      </c>
      <c r="BH80" s="100">
        <v>0</v>
      </c>
      <c r="BI80" s="100">
        <v>0</v>
      </c>
      <c r="BJ80" s="100">
        <v>0.25600000000000001</v>
      </c>
      <c r="BK80" s="100">
        <v>0</v>
      </c>
      <c r="BL80" s="102"/>
      <c r="BM80" s="102"/>
    </row>
    <row r="81" spans="2:65">
      <c r="B81" s="114" t="s">
        <v>503</v>
      </c>
      <c r="C81" s="128" t="s">
        <v>504</v>
      </c>
      <c r="D81" s="100">
        <v>0</v>
      </c>
      <c r="E81" s="100">
        <v>0</v>
      </c>
      <c r="F81" s="100">
        <v>0</v>
      </c>
      <c r="G81" s="100">
        <v>0</v>
      </c>
      <c r="H81" s="100">
        <v>0</v>
      </c>
      <c r="I81" s="100">
        <v>0</v>
      </c>
      <c r="J81" s="100">
        <v>0</v>
      </c>
      <c r="K81" s="100">
        <v>0</v>
      </c>
      <c r="L81" s="100">
        <v>0</v>
      </c>
      <c r="M81" s="100">
        <v>560.74099999999999</v>
      </c>
      <c r="N81" s="100">
        <v>0</v>
      </c>
      <c r="O81" s="100">
        <v>0</v>
      </c>
      <c r="P81" s="100">
        <v>0</v>
      </c>
      <c r="Q81" s="100">
        <v>0</v>
      </c>
      <c r="R81" s="100">
        <v>0</v>
      </c>
      <c r="S81" s="100">
        <v>0</v>
      </c>
      <c r="T81" s="100">
        <v>0</v>
      </c>
      <c r="U81" s="100">
        <v>0</v>
      </c>
      <c r="V81" s="100">
        <v>0</v>
      </c>
      <c r="W81" s="100">
        <v>0</v>
      </c>
      <c r="X81" s="100">
        <v>3875.25</v>
      </c>
      <c r="Y81" s="100">
        <v>769.23800000000006</v>
      </c>
      <c r="Z81" s="100">
        <v>0</v>
      </c>
      <c r="AA81" s="100">
        <v>0</v>
      </c>
      <c r="AB81" s="100">
        <v>0</v>
      </c>
      <c r="AC81" s="100">
        <v>0</v>
      </c>
      <c r="AD81" s="100">
        <v>0</v>
      </c>
      <c r="AE81" s="100">
        <v>0</v>
      </c>
      <c r="AF81" s="100">
        <v>0</v>
      </c>
      <c r="AG81" s="100">
        <v>0</v>
      </c>
      <c r="AH81" s="100">
        <v>0</v>
      </c>
      <c r="AI81" s="100">
        <v>44795.69</v>
      </c>
      <c r="AJ81" s="100">
        <v>0</v>
      </c>
      <c r="AK81" s="100">
        <v>0</v>
      </c>
      <c r="AL81" s="100">
        <v>0</v>
      </c>
      <c r="AM81" s="100">
        <v>0</v>
      </c>
      <c r="AN81" s="100">
        <v>0</v>
      </c>
      <c r="AO81" s="100">
        <v>0</v>
      </c>
      <c r="AP81" s="100">
        <v>0</v>
      </c>
      <c r="AQ81" s="100">
        <v>0</v>
      </c>
      <c r="AR81" s="100">
        <v>0</v>
      </c>
      <c r="AS81" s="100">
        <v>0</v>
      </c>
      <c r="AT81" s="100">
        <v>0</v>
      </c>
      <c r="AU81" s="100">
        <v>0</v>
      </c>
      <c r="AV81" s="100">
        <v>0</v>
      </c>
      <c r="AW81" s="100">
        <v>0</v>
      </c>
      <c r="AX81" s="100">
        <v>0</v>
      </c>
      <c r="AY81" s="100">
        <v>0</v>
      </c>
      <c r="AZ81" s="100">
        <v>0</v>
      </c>
      <c r="BA81" s="100">
        <v>0</v>
      </c>
      <c r="BB81" s="100">
        <v>0</v>
      </c>
      <c r="BC81" s="100">
        <v>0</v>
      </c>
      <c r="BD81" s="100">
        <v>0</v>
      </c>
      <c r="BE81" s="100">
        <v>0</v>
      </c>
      <c r="BF81" s="100">
        <v>0</v>
      </c>
      <c r="BG81" s="100">
        <v>0</v>
      </c>
      <c r="BH81" s="100">
        <v>0</v>
      </c>
      <c r="BI81" s="100">
        <v>0</v>
      </c>
      <c r="BJ81" s="100">
        <v>50000.919000000002</v>
      </c>
      <c r="BK81" s="100">
        <v>0</v>
      </c>
      <c r="BL81" s="102"/>
      <c r="BM81" s="102"/>
    </row>
    <row r="82" spans="2:65">
      <c r="B82" s="129" t="s">
        <v>505</v>
      </c>
      <c r="C82" s="130" t="s">
        <v>506</v>
      </c>
      <c r="D82" s="131">
        <v>817.97</v>
      </c>
      <c r="E82" s="131">
        <v>1671.86</v>
      </c>
      <c r="F82" s="131">
        <v>0</v>
      </c>
      <c r="G82" s="131">
        <v>222875.106</v>
      </c>
      <c r="H82" s="131">
        <v>3969.067</v>
      </c>
      <c r="I82" s="131">
        <v>0</v>
      </c>
      <c r="J82" s="131">
        <v>0</v>
      </c>
      <c r="K82" s="131">
        <v>0</v>
      </c>
      <c r="L82" s="131">
        <v>0</v>
      </c>
      <c r="M82" s="131">
        <v>0</v>
      </c>
      <c r="N82" s="131">
        <v>4061.6709999999998</v>
      </c>
      <c r="O82" s="131">
        <v>16735.858</v>
      </c>
      <c r="P82" s="131">
        <v>4202.3329999999996</v>
      </c>
      <c r="Q82" s="131">
        <v>148751.098</v>
      </c>
      <c r="R82" s="131">
        <v>1401.6759999999999</v>
      </c>
      <c r="S82" s="131">
        <v>0</v>
      </c>
      <c r="T82" s="131">
        <v>0</v>
      </c>
      <c r="U82" s="131">
        <v>0</v>
      </c>
      <c r="V82" s="131">
        <v>0</v>
      </c>
      <c r="W82" s="131">
        <v>806.94399999999996</v>
      </c>
      <c r="X82" s="131">
        <v>74.757000000000005</v>
      </c>
      <c r="Y82" s="131">
        <v>0</v>
      </c>
      <c r="Z82" s="131">
        <v>0</v>
      </c>
      <c r="AA82" s="131">
        <v>0</v>
      </c>
      <c r="AB82" s="131">
        <v>0</v>
      </c>
      <c r="AC82" s="131">
        <v>0</v>
      </c>
      <c r="AD82" s="131">
        <v>2.1589999999999998</v>
      </c>
      <c r="AE82" s="131">
        <v>1294.366</v>
      </c>
      <c r="AF82" s="131">
        <v>0</v>
      </c>
      <c r="AG82" s="131">
        <v>0</v>
      </c>
      <c r="AH82" s="131">
        <v>2423.366</v>
      </c>
      <c r="AI82" s="131">
        <v>4691.8599999999997</v>
      </c>
      <c r="AJ82" s="131">
        <v>0</v>
      </c>
      <c r="AK82" s="131">
        <v>0</v>
      </c>
      <c r="AL82" s="131">
        <v>0</v>
      </c>
      <c r="AM82" s="131">
        <v>0</v>
      </c>
      <c r="AN82" s="131">
        <v>0</v>
      </c>
      <c r="AO82" s="131">
        <v>332.53</v>
      </c>
      <c r="AP82" s="131">
        <v>398.06400000000002</v>
      </c>
      <c r="AQ82" s="131">
        <v>362.12700000000001</v>
      </c>
      <c r="AR82" s="131">
        <v>490.59899999999999</v>
      </c>
      <c r="AS82" s="131">
        <v>7473.0770000000002</v>
      </c>
      <c r="AT82" s="131">
        <v>195.24700000000001</v>
      </c>
      <c r="AU82" s="131">
        <v>239.52699999999999</v>
      </c>
      <c r="AV82" s="131">
        <v>0</v>
      </c>
      <c r="AW82" s="131">
        <v>0</v>
      </c>
      <c r="AX82" s="131">
        <v>2295.1979999999999</v>
      </c>
      <c r="AY82" s="131">
        <v>0</v>
      </c>
      <c r="AZ82" s="131">
        <v>145909.66899999999</v>
      </c>
      <c r="BA82" s="131">
        <v>2791.076</v>
      </c>
      <c r="BB82" s="131">
        <v>0</v>
      </c>
      <c r="BC82" s="131">
        <v>12996.018</v>
      </c>
      <c r="BD82" s="131">
        <v>0</v>
      </c>
      <c r="BE82" s="131">
        <v>474.32100000000003</v>
      </c>
      <c r="BF82" s="131">
        <v>2679.1579999999999</v>
      </c>
      <c r="BG82" s="131">
        <v>2284.5709999999999</v>
      </c>
      <c r="BH82" s="131">
        <v>0</v>
      </c>
      <c r="BI82" s="131">
        <v>161.815</v>
      </c>
      <c r="BJ82" s="131">
        <v>592863.08799999987</v>
      </c>
      <c r="BK82" s="131">
        <v>57739.961000000003</v>
      </c>
      <c r="BL82" s="102"/>
      <c r="BM82" s="102"/>
    </row>
    <row r="83" spans="2:65" collapsed="1">
      <c r="B83" s="112" t="s">
        <v>507</v>
      </c>
      <c r="C83" s="113" t="s">
        <v>508</v>
      </c>
      <c r="D83" s="100">
        <v>817.97</v>
      </c>
      <c r="E83" s="100">
        <v>1671.86</v>
      </c>
      <c r="F83" s="100">
        <v>0</v>
      </c>
      <c r="G83" s="100">
        <v>211591.46799999999</v>
      </c>
      <c r="H83" s="100">
        <v>3969.067</v>
      </c>
      <c r="I83" s="100">
        <v>0</v>
      </c>
      <c r="J83" s="100">
        <v>0</v>
      </c>
      <c r="K83" s="100">
        <v>0</v>
      </c>
      <c r="L83" s="100">
        <v>0</v>
      </c>
      <c r="M83" s="100">
        <v>0</v>
      </c>
      <c r="N83" s="100">
        <v>1850.5029999999999</v>
      </c>
      <c r="O83" s="100">
        <v>5086.2160000000003</v>
      </c>
      <c r="P83" s="100">
        <v>1740.922</v>
      </c>
      <c r="Q83" s="100">
        <v>111870.136</v>
      </c>
      <c r="R83" s="100">
        <v>0</v>
      </c>
      <c r="S83" s="100">
        <v>0</v>
      </c>
      <c r="T83" s="100">
        <v>0</v>
      </c>
      <c r="U83" s="100">
        <v>0</v>
      </c>
      <c r="V83" s="100">
        <v>0</v>
      </c>
      <c r="W83" s="100">
        <v>0</v>
      </c>
      <c r="X83" s="100">
        <v>0</v>
      </c>
      <c r="Y83" s="100">
        <v>0</v>
      </c>
      <c r="Z83" s="100">
        <v>0</v>
      </c>
      <c r="AA83" s="100">
        <v>0</v>
      </c>
      <c r="AB83" s="100">
        <v>0</v>
      </c>
      <c r="AC83" s="100">
        <v>0</v>
      </c>
      <c r="AD83" s="100">
        <v>0</v>
      </c>
      <c r="AE83" s="100">
        <v>1293.652</v>
      </c>
      <c r="AF83" s="100">
        <v>0</v>
      </c>
      <c r="AG83" s="100">
        <v>0</v>
      </c>
      <c r="AH83" s="100">
        <v>1644.45</v>
      </c>
      <c r="AI83" s="100">
        <v>0</v>
      </c>
      <c r="AJ83" s="100">
        <v>0</v>
      </c>
      <c r="AK83" s="100">
        <v>0</v>
      </c>
      <c r="AL83" s="100">
        <v>0</v>
      </c>
      <c r="AM83" s="100">
        <v>0</v>
      </c>
      <c r="AN83" s="100">
        <v>0</v>
      </c>
      <c r="AO83" s="100">
        <v>0</v>
      </c>
      <c r="AP83" s="100">
        <v>305.56599999999997</v>
      </c>
      <c r="AQ83" s="100">
        <v>24.951000000000001</v>
      </c>
      <c r="AR83" s="100">
        <v>219.62</v>
      </c>
      <c r="AS83" s="100">
        <v>4111.4870000000001</v>
      </c>
      <c r="AT83" s="100">
        <v>168.40899999999999</v>
      </c>
      <c r="AU83" s="100">
        <v>239.52699999999999</v>
      </c>
      <c r="AV83" s="100">
        <v>0</v>
      </c>
      <c r="AW83" s="100">
        <v>0</v>
      </c>
      <c r="AX83" s="100">
        <v>2295.1979999999999</v>
      </c>
      <c r="AY83" s="100">
        <v>0</v>
      </c>
      <c r="AZ83" s="100">
        <v>145909.66899999999</v>
      </c>
      <c r="BA83" s="100">
        <v>2788.6790000000001</v>
      </c>
      <c r="BB83" s="100">
        <v>0</v>
      </c>
      <c r="BC83" s="100">
        <v>11800.967000000001</v>
      </c>
      <c r="BD83" s="100">
        <v>0</v>
      </c>
      <c r="BE83" s="100">
        <v>474.32100000000003</v>
      </c>
      <c r="BF83" s="100">
        <v>2669.4690000000001</v>
      </c>
      <c r="BG83" s="100">
        <v>2256.808</v>
      </c>
      <c r="BH83" s="100">
        <v>0</v>
      </c>
      <c r="BI83" s="100">
        <v>0</v>
      </c>
      <c r="BJ83" s="100">
        <v>514800.91499999998</v>
      </c>
      <c r="BK83" s="100">
        <v>37470.218999999997</v>
      </c>
      <c r="BL83" s="102"/>
      <c r="BM83" s="102"/>
    </row>
    <row r="84" spans="2:65" collapsed="1">
      <c r="B84" s="112" t="s">
        <v>509</v>
      </c>
      <c r="C84" s="113" t="s">
        <v>510</v>
      </c>
      <c r="D84" s="100">
        <v>0</v>
      </c>
      <c r="E84" s="100">
        <v>0</v>
      </c>
      <c r="F84" s="100">
        <v>0</v>
      </c>
      <c r="G84" s="100">
        <v>0</v>
      </c>
      <c r="H84" s="100">
        <v>0</v>
      </c>
      <c r="I84" s="100">
        <v>0</v>
      </c>
      <c r="J84" s="100">
        <v>0</v>
      </c>
      <c r="K84" s="100">
        <v>0</v>
      </c>
      <c r="L84" s="100">
        <v>0</v>
      </c>
      <c r="M84" s="100">
        <v>0</v>
      </c>
      <c r="N84" s="100">
        <v>2211.1689999999999</v>
      </c>
      <c r="O84" s="100">
        <v>11649.642</v>
      </c>
      <c r="P84" s="100">
        <v>2461.4110000000001</v>
      </c>
      <c r="Q84" s="100">
        <v>4175.6980000000003</v>
      </c>
      <c r="R84" s="100">
        <v>65.995999999999995</v>
      </c>
      <c r="S84" s="100">
        <v>0</v>
      </c>
      <c r="T84" s="100">
        <v>0</v>
      </c>
      <c r="U84" s="100">
        <v>0</v>
      </c>
      <c r="V84" s="100">
        <v>0</v>
      </c>
      <c r="W84" s="100">
        <v>0</v>
      </c>
      <c r="X84" s="100">
        <v>0</v>
      </c>
      <c r="Y84" s="100">
        <v>0</v>
      </c>
      <c r="Z84" s="100">
        <v>0</v>
      </c>
      <c r="AA84" s="100">
        <v>0</v>
      </c>
      <c r="AB84" s="100">
        <v>0</v>
      </c>
      <c r="AC84" s="100">
        <v>0</v>
      </c>
      <c r="AD84" s="100">
        <v>0</v>
      </c>
      <c r="AE84" s="100">
        <v>0.71399999999999997</v>
      </c>
      <c r="AF84" s="100">
        <v>0</v>
      </c>
      <c r="AG84" s="100">
        <v>0</v>
      </c>
      <c r="AH84" s="100">
        <v>240.827</v>
      </c>
      <c r="AI84" s="100">
        <v>1155.3879999999999</v>
      </c>
      <c r="AJ84" s="100">
        <v>0</v>
      </c>
      <c r="AK84" s="100">
        <v>0</v>
      </c>
      <c r="AL84" s="100">
        <v>0</v>
      </c>
      <c r="AM84" s="100">
        <v>0</v>
      </c>
      <c r="AN84" s="100">
        <v>0</v>
      </c>
      <c r="AO84" s="100">
        <v>0</v>
      </c>
      <c r="AP84" s="100">
        <v>55.747</v>
      </c>
      <c r="AQ84" s="100">
        <v>33.478000000000002</v>
      </c>
      <c r="AR84" s="100">
        <v>10.989000000000001</v>
      </c>
      <c r="AS84" s="100">
        <v>4.7409999999999997</v>
      </c>
      <c r="AT84" s="100">
        <v>16.457999999999998</v>
      </c>
      <c r="AU84" s="100">
        <v>0</v>
      </c>
      <c r="AV84" s="100">
        <v>0</v>
      </c>
      <c r="AW84" s="100">
        <v>0</v>
      </c>
      <c r="AX84" s="100">
        <v>0</v>
      </c>
      <c r="AY84" s="100">
        <v>0</v>
      </c>
      <c r="AZ84" s="100">
        <v>0</v>
      </c>
      <c r="BA84" s="100">
        <v>2.3969999999999998</v>
      </c>
      <c r="BB84" s="100">
        <v>0</v>
      </c>
      <c r="BC84" s="100">
        <v>1195.0509999999999</v>
      </c>
      <c r="BD84" s="100">
        <v>0</v>
      </c>
      <c r="BE84" s="100">
        <v>0</v>
      </c>
      <c r="BF84" s="100">
        <v>9.6890000000000001</v>
      </c>
      <c r="BG84" s="100">
        <v>27.763999999999999</v>
      </c>
      <c r="BH84" s="100">
        <v>0</v>
      </c>
      <c r="BI84" s="100">
        <v>0</v>
      </c>
      <c r="BJ84" s="100">
        <v>23317.158999999996</v>
      </c>
      <c r="BK84" s="100">
        <v>15495.129000000001</v>
      </c>
      <c r="BL84" s="102"/>
      <c r="BM84" s="102"/>
    </row>
    <row r="85" spans="2:65">
      <c r="B85" s="112" t="s">
        <v>511</v>
      </c>
      <c r="C85" s="113" t="s">
        <v>512</v>
      </c>
      <c r="D85" s="100">
        <v>0</v>
      </c>
      <c r="E85" s="100">
        <v>0</v>
      </c>
      <c r="F85" s="100">
        <v>0</v>
      </c>
      <c r="G85" s="100">
        <v>0</v>
      </c>
      <c r="H85" s="100">
        <v>0</v>
      </c>
      <c r="I85" s="100">
        <v>0</v>
      </c>
      <c r="J85" s="100">
        <v>0</v>
      </c>
      <c r="K85" s="100">
        <v>0</v>
      </c>
      <c r="L85" s="100">
        <v>0</v>
      </c>
      <c r="M85" s="100">
        <v>0</v>
      </c>
      <c r="N85" s="100">
        <v>0</v>
      </c>
      <c r="O85" s="100">
        <v>0</v>
      </c>
      <c r="P85" s="100">
        <v>0</v>
      </c>
      <c r="Q85" s="100">
        <v>29072.046999999999</v>
      </c>
      <c r="R85" s="100">
        <v>1006.412</v>
      </c>
      <c r="S85" s="100">
        <v>0</v>
      </c>
      <c r="T85" s="100">
        <v>0</v>
      </c>
      <c r="U85" s="100">
        <v>0</v>
      </c>
      <c r="V85" s="100">
        <v>0</v>
      </c>
      <c r="W85" s="100">
        <v>0</v>
      </c>
      <c r="X85" s="100">
        <v>0</v>
      </c>
      <c r="Y85" s="100">
        <v>0</v>
      </c>
      <c r="Z85" s="100">
        <v>0</v>
      </c>
      <c r="AA85" s="100">
        <v>0</v>
      </c>
      <c r="AB85" s="100">
        <v>0</v>
      </c>
      <c r="AC85" s="100">
        <v>0</v>
      </c>
      <c r="AD85" s="100">
        <v>0.17599999999999999</v>
      </c>
      <c r="AE85" s="100">
        <v>0</v>
      </c>
      <c r="AF85" s="100">
        <v>0</v>
      </c>
      <c r="AG85" s="100">
        <v>0</v>
      </c>
      <c r="AH85" s="100">
        <v>302.89299999999997</v>
      </c>
      <c r="AI85" s="100">
        <v>0</v>
      </c>
      <c r="AJ85" s="100">
        <v>0</v>
      </c>
      <c r="AK85" s="100">
        <v>0</v>
      </c>
      <c r="AL85" s="100">
        <v>0</v>
      </c>
      <c r="AM85" s="100">
        <v>0</v>
      </c>
      <c r="AN85" s="100">
        <v>0</v>
      </c>
      <c r="AO85" s="100">
        <v>0</v>
      </c>
      <c r="AP85" s="100">
        <v>19.803000000000001</v>
      </c>
      <c r="AQ85" s="100">
        <v>113.67400000000001</v>
      </c>
      <c r="AR85" s="100">
        <v>3.4000000000000002E-2</v>
      </c>
      <c r="AS85" s="100">
        <v>77.599999999999994</v>
      </c>
      <c r="AT85" s="100">
        <v>1.157</v>
      </c>
      <c r="AU85" s="100">
        <v>0</v>
      </c>
      <c r="AV85" s="100">
        <v>0</v>
      </c>
      <c r="AW85" s="100">
        <v>0</v>
      </c>
      <c r="AX85" s="100">
        <v>0</v>
      </c>
      <c r="AY85" s="100">
        <v>0</v>
      </c>
      <c r="AZ85" s="100">
        <v>0</v>
      </c>
      <c r="BA85" s="100">
        <v>0</v>
      </c>
      <c r="BB85" s="100">
        <v>0</v>
      </c>
      <c r="BC85" s="100">
        <v>0</v>
      </c>
      <c r="BD85" s="100">
        <v>0</v>
      </c>
      <c r="BE85" s="100">
        <v>0</v>
      </c>
      <c r="BF85" s="100">
        <v>0</v>
      </c>
      <c r="BG85" s="100">
        <v>0</v>
      </c>
      <c r="BH85" s="100">
        <v>0</v>
      </c>
      <c r="BI85" s="100">
        <v>0</v>
      </c>
      <c r="BJ85" s="100">
        <v>30593.795999999995</v>
      </c>
      <c r="BK85" s="100">
        <v>212.267</v>
      </c>
      <c r="BL85" s="102"/>
      <c r="BM85" s="102"/>
    </row>
    <row r="86" spans="2:65" collapsed="1">
      <c r="B86" s="112" t="s">
        <v>513</v>
      </c>
      <c r="C86" s="113" t="s">
        <v>514</v>
      </c>
      <c r="D86" s="100">
        <v>0</v>
      </c>
      <c r="E86" s="100">
        <v>0</v>
      </c>
      <c r="F86" s="100">
        <v>0</v>
      </c>
      <c r="G86" s="100">
        <v>11283.638000000001</v>
      </c>
      <c r="H86" s="100">
        <v>0</v>
      </c>
      <c r="I86" s="100">
        <v>0</v>
      </c>
      <c r="J86" s="100">
        <v>0</v>
      </c>
      <c r="K86" s="100">
        <v>0</v>
      </c>
      <c r="L86" s="100">
        <v>0</v>
      </c>
      <c r="M86" s="100">
        <v>0</v>
      </c>
      <c r="N86" s="100">
        <v>0</v>
      </c>
      <c r="O86" s="100">
        <v>0</v>
      </c>
      <c r="P86" s="100">
        <v>0</v>
      </c>
      <c r="Q86" s="100">
        <v>3633.2170000000001</v>
      </c>
      <c r="R86" s="100">
        <v>329.26799999999997</v>
      </c>
      <c r="S86" s="100">
        <v>0</v>
      </c>
      <c r="T86" s="100">
        <v>0</v>
      </c>
      <c r="U86" s="100">
        <v>0</v>
      </c>
      <c r="V86" s="100">
        <v>0</v>
      </c>
      <c r="W86" s="100">
        <v>806.94399999999996</v>
      </c>
      <c r="X86" s="100">
        <v>74.757000000000005</v>
      </c>
      <c r="Y86" s="100">
        <v>0</v>
      </c>
      <c r="Z86" s="100">
        <v>0</v>
      </c>
      <c r="AA86" s="100">
        <v>0</v>
      </c>
      <c r="AB86" s="100">
        <v>0</v>
      </c>
      <c r="AC86" s="100">
        <v>0</v>
      </c>
      <c r="AD86" s="100">
        <v>1.9830000000000001</v>
      </c>
      <c r="AE86" s="100">
        <v>0</v>
      </c>
      <c r="AF86" s="100">
        <v>0</v>
      </c>
      <c r="AG86" s="100">
        <v>0</v>
      </c>
      <c r="AH86" s="100">
        <v>235.196</v>
      </c>
      <c r="AI86" s="100">
        <v>3536.4720000000002</v>
      </c>
      <c r="AJ86" s="100">
        <v>0</v>
      </c>
      <c r="AK86" s="100">
        <v>0</v>
      </c>
      <c r="AL86" s="100">
        <v>0</v>
      </c>
      <c r="AM86" s="100">
        <v>0</v>
      </c>
      <c r="AN86" s="100">
        <v>0</v>
      </c>
      <c r="AO86" s="100">
        <v>332.53</v>
      </c>
      <c r="AP86" s="100">
        <v>16.948</v>
      </c>
      <c r="AQ86" s="100">
        <v>190.024</v>
      </c>
      <c r="AR86" s="100">
        <v>259.95699999999999</v>
      </c>
      <c r="AS86" s="100">
        <v>3279.2489999999998</v>
      </c>
      <c r="AT86" s="100">
        <v>9.2230000000000008</v>
      </c>
      <c r="AU86" s="100">
        <v>0</v>
      </c>
      <c r="AV86" s="100">
        <v>0</v>
      </c>
      <c r="AW86" s="100">
        <v>0</v>
      </c>
      <c r="AX86" s="100">
        <v>0</v>
      </c>
      <c r="AY86" s="100">
        <v>0</v>
      </c>
      <c r="AZ86" s="100">
        <v>0</v>
      </c>
      <c r="BA86" s="100">
        <v>0</v>
      </c>
      <c r="BB86" s="100">
        <v>0</v>
      </c>
      <c r="BC86" s="100">
        <v>0</v>
      </c>
      <c r="BD86" s="100">
        <v>0</v>
      </c>
      <c r="BE86" s="100">
        <v>0</v>
      </c>
      <c r="BF86" s="100">
        <v>0</v>
      </c>
      <c r="BG86" s="100">
        <v>0</v>
      </c>
      <c r="BH86" s="100">
        <v>0</v>
      </c>
      <c r="BI86" s="100">
        <v>0</v>
      </c>
      <c r="BJ86" s="100">
        <v>23989.406000000003</v>
      </c>
      <c r="BK86" s="100">
        <v>4562.3450000000003</v>
      </c>
      <c r="BL86" s="102"/>
      <c r="BM86" s="102"/>
    </row>
    <row r="87" spans="2:65">
      <c r="B87" s="112" t="s">
        <v>515</v>
      </c>
      <c r="C87" s="113" t="s">
        <v>516</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0">
        <v>0</v>
      </c>
      <c r="AH87" s="100">
        <v>0</v>
      </c>
      <c r="AI87" s="100">
        <v>0</v>
      </c>
      <c r="AJ87" s="100">
        <v>0</v>
      </c>
      <c r="AK87" s="100">
        <v>0</v>
      </c>
      <c r="AL87" s="100">
        <v>0</v>
      </c>
      <c r="AM87" s="100">
        <v>0</v>
      </c>
      <c r="AN87" s="100">
        <v>0</v>
      </c>
      <c r="AO87" s="100">
        <v>0</v>
      </c>
      <c r="AP87" s="100">
        <v>0</v>
      </c>
      <c r="AQ87" s="100">
        <v>0</v>
      </c>
      <c r="AR87" s="100">
        <v>0</v>
      </c>
      <c r="AS87" s="100">
        <v>0</v>
      </c>
      <c r="AT87" s="100">
        <v>0</v>
      </c>
      <c r="AU87" s="100">
        <v>0</v>
      </c>
      <c r="AV87" s="100">
        <v>0</v>
      </c>
      <c r="AW87" s="100">
        <v>0</v>
      </c>
      <c r="AX87" s="100">
        <v>0</v>
      </c>
      <c r="AY87" s="100">
        <v>0</v>
      </c>
      <c r="AZ87" s="100">
        <v>0</v>
      </c>
      <c r="BA87" s="100">
        <v>0</v>
      </c>
      <c r="BB87" s="100">
        <v>0</v>
      </c>
      <c r="BC87" s="100">
        <v>0</v>
      </c>
      <c r="BD87" s="100">
        <v>0</v>
      </c>
      <c r="BE87" s="100">
        <v>0</v>
      </c>
      <c r="BF87" s="100">
        <v>0</v>
      </c>
      <c r="BG87" s="100">
        <v>0</v>
      </c>
      <c r="BH87" s="100">
        <v>0</v>
      </c>
      <c r="BI87" s="100">
        <v>161.815</v>
      </c>
      <c r="BJ87" s="100">
        <v>161.815</v>
      </c>
      <c r="BK87" s="100">
        <v>0</v>
      </c>
      <c r="BL87" s="102"/>
      <c r="BM87" s="102"/>
    </row>
    <row r="88" spans="2:65">
      <c r="B88" s="98" t="s">
        <v>517</v>
      </c>
      <c r="C88" s="132" t="s">
        <v>518</v>
      </c>
      <c r="D88" s="100">
        <v>0</v>
      </c>
      <c r="E88" s="100">
        <v>0</v>
      </c>
      <c r="F88" s="100">
        <v>0</v>
      </c>
      <c r="G88" s="100">
        <v>73459.394</v>
      </c>
      <c r="H88" s="100">
        <v>0</v>
      </c>
      <c r="I88" s="100">
        <v>0</v>
      </c>
      <c r="J88" s="100">
        <v>0</v>
      </c>
      <c r="K88" s="100">
        <v>0</v>
      </c>
      <c r="L88" s="100">
        <v>0</v>
      </c>
      <c r="M88" s="100">
        <v>0</v>
      </c>
      <c r="N88" s="100">
        <v>0</v>
      </c>
      <c r="O88" s="100">
        <v>0</v>
      </c>
      <c r="P88" s="100">
        <v>0</v>
      </c>
      <c r="Q88" s="100">
        <v>48750.644999999997</v>
      </c>
      <c r="R88" s="100">
        <v>18294.847000000002</v>
      </c>
      <c r="S88" s="100">
        <v>0</v>
      </c>
      <c r="T88" s="100">
        <v>0</v>
      </c>
      <c r="U88" s="100">
        <v>0</v>
      </c>
      <c r="V88" s="100">
        <v>0</v>
      </c>
      <c r="W88" s="100">
        <v>10315.831</v>
      </c>
      <c r="X88" s="100">
        <v>2268.9029999999998</v>
      </c>
      <c r="Y88" s="100">
        <v>0</v>
      </c>
      <c r="Z88" s="100">
        <v>0</v>
      </c>
      <c r="AA88" s="100">
        <v>0</v>
      </c>
      <c r="AB88" s="100">
        <v>0</v>
      </c>
      <c r="AC88" s="100">
        <v>0</v>
      </c>
      <c r="AD88" s="100">
        <v>1069.4349999999999</v>
      </c>
      <c r="AE88" s="100">
        <v>6.8659999999999997</v>
      </c>
      <c r="AF88" s="100">
        <v>0</v>
      </c>
      <c r="AG88" s="100">
        <v>0</v>
      </c>
      <c r="AH88" s="100">
        <v>8946.3459999999995</v>
      </c>
      <c r="AI88" s="100">
        <v>11716.834000000001</v>
      </c>
      <c r="AJ88" s="100">
        <v>0</v>
      </c>
      <c r="AK88" s="100">
        <v>0</v>
      </c>
      <c r="AL88" s="100">
        <v>0</v>
      </c>
      <c r="AM88" s="100">
        <v>0</v>
      </c>
      <c r="AN88" s="100">
        <v>0</v>
      </c>
      <c r="AO88" s="100">
        <v>23983.702000000001</v>
      </c>
      <c r="AP88" s="100">
        <v>7618.4210000000003</v>
      </c>
      <c r="AQ88" s="100">
        <v>3766.8009999999999</v>
      </c>
      <c r="AR88" s="100">
        <v>4862.5450000000001</v>
      </c>
      <c r="AS88" s="100">
        <v>14056.771000000001</v>
      </c>
      <c r="AT88" s="100">
        <v>169.44800000000001</v>
      </c>
      <c r="AU88" s="100">
        <v>661.18499999999995</v>
      </c>
      <c r="AV88" s="100">
        <v>0</v>
      </c>
      <c r="AW88" s="100">
        <v>0</v>
      </c>
      <c r="AX88" s="100">
        <v>0</v>
      </c>
      <c r="AY88" s="100">
        <v>0</v>
      </c>
      <c r="AZ88" s="100">
        <v>0</v>
      </c>
      <c r="BA88" s="100">
        <v>0</v>
      </c>
      <c r="BB88" s="100">
        <v>0</v>
      </c>
      <c r="BC88" s="100">
        <v>0</v>
      </c>
      <c r="BD88" s="100">
        <v>0</v>
      </c>
      <c r="BE88" s="100">
        <v>0</v>
      </c>
      <c r="BF88" s="100">
        <v>0</v>
      </c>
      <c r="BG88" s="100">
        <v>0</v>
      </c>
      <c r="BH88" s="100">
        <v>0</v>
      </c>
      <c r="BI88" s="100">
        <v>53788.718999999997</v>
      </c>
      <c r="BJ88" s="100">
        <v>283736.69300000003</v>
      </c>
      <c r="BK88" s="100">
        <v>41451.002</v>
      </c>
      <c r="BL88" s="102"/>
      <c r="BM88" s="102"/>
    </row>
    <row r="89" spans="2:65">
      <c r="B89" s="112" t="s">
        <v>519</v>
      </c>
      <c r="C89" s="113" t="s">
        <v>512</v>
      </c>
      <c r="D89" s="100">
        <v>0</v>
      </c>
      <c r="E89" s="100">
        <v>0</v>
      </c>
      <c r="F89" s="100">
        <v>0</v>
      </c>
      <c r="G89" s="100">
        <v>0</v>
      </c>
      <c r="H89" s="100">
        <v>0</v>
      </c>
      <c r="I89" s="100">
        <v>0</v>
      </c>
      <c r="J89" s="100">
        <v>0</v>
      </c>
      <c r="K89" s="100">
        <v>0</v>
      </c>
      <c r="L89" s="100">
        <v>0</v>
      </c>
      <c r="M89" s="100">
        <v>0</v>
      </c>
      <c r="N89" s="100">
        <v>0</v>
      </c>
      <c r="O89" s="100">
        <v>0</v>
      </c>
      <c r="P89" s="100">
        <v>0</v>
      </c>
      <c r="Q89" s="100">
        <v>46915.595000000001</v>
      </c>
      <c r="R89" s="100">
        <v>6002.2439999999997</v>
      </c>
      <c r="S89" s="100">
        <v>0</v>
      </c>
      <c r="T89" s="100">
        <v>0</v>
      </c>
      <c r="U89" s="100">
        <v>0</v>
      </c>
      <c r="V89" s="100">
        <v>0</v>
      </c>
      <c r="W89" s="100">
        <v>0</v>
      </c>
      <c r="X89" s="100">
        <v>0</v>
      </c>
      <c r="Y89" s="100">
        <v>0</v>
      </c>
      <c r="Z89" s="100">
        <v>0</v>
      </c>
      <c r="AA89" s="100">
        <v>0</v>
      </c>
      <c r="AB89" s="100">
        <v>0</v>
      </c>
      <c r="AC89" s="100">
        <v>0</v>
      </c>
      <c r="AD89" s="100">
        <v>1.579</v>
      </c>
      <c r="AE89" s="100">
        <v>0</v>
      </c>
      <c r="AF89" s="100">
        <v>0</v>
      </c>
      <c r="AG89" s="100">
        <v>0</v>
      </c>
      <c r="AH89" s="100">
        <v>2644.5439999999999</v>
      </c>
      <c r="AI89" s="100">
        <v>0</v>
      </c>
      <c r="AJ89" s="100">
        <v>0</v>
      </c>
      <c r="AK89" s="100">
        <v>0</v>
      </c>
      <c r="AL89" s="100">
        <v>0</v>
      </c>
      <c r="AM89" s="100">
        <v>0</v>
      </c>
      <c r="AN89" s="100">
        <v>0</v>
      </c>
      <c r="AO89" s="100">
        <v>0</v>
      </c>
      <c r="AP89" s="100">
        <v>2815.0070000000001</v>
      </c>
      <c r="AQ89" s="100">
        <v>2624.75</v>
      </c>
      <c r="AR89" s="100">
        <v>455.07799999999997</v>
      </c>
      <c r="AS89" s="100">
        <v>2016.98</v>
      </c>
      <c r="AT89" s="100">
        <v>37.625999999999998</v>
      </c>
      <c r="AU89" s="100">
        <v>0</v>
      </c>
      <c r="AV89" s="100">
        <v>0</v>
      </c>
      <c r="AW89" s="100">
        <v>0</v>
      </c>
      <c r="AX89" s="100">
        <v>0</v>
      </c>
      <c r="AY89" s="100">
        <v>0</v>
      </c>
      <c r="AZ89" s="100">
        <v>0</v>
      </c>
      <c r="BA89" s="100">
        <v>0</v>
      </c>
      <c r="BB89" s="100">
        <v>0</v>
      </c>
      <c r="BC89" s="100">
        <v>0</v>
      </c>
      <c r="BD89" s="100">
        <v>0</v>
      </c>
      <c r="BE89" s="100">
        <v>0</v>
      </c>
      <c r="BF89" s="100">
        <v>0</v>
      </c>
      <c r="BG89" s="100">
        <v>0</v>
      </c>
      <c r="BH89" s="100">
        <v>0</v>
      </c>
      <c r="BI89" s="100">
        <v>43948.228999999999</v>
      </c>
      <c r="BJ89" s="100">
        <v>107461.632</v>
      </c>
      <c r="BK89" s="100">
        <v>7949.4409999999998</v>
      </c>
      <c r="BL89" s="102"/>
      <c r="BM89" s="102"/>
    </row>
    <row r="90" spans="2:65" collapsed="1">
      <c r="B90" s="112" t="s">
        <v>520</v>
      </c>
      <c r="C90" s="113" t="s">
        <v>514</v>
      </c>
      <c r="D90" s="100">
        <v>0</v>
      </c>
      <c r="E90" s="100">
        <v>0</v>
      </c>
      <c r="F90" s="100">
        <v>0</v>
      </c>
      <c r="G90" s="100">
        <v>73459.394</v>
      </c>
      <c r="H90" s="100">
        <v>0</v>
      </c>
      <c r="I90" s="100">
        <v>0</v>
      </c>
      <c r="J90" s="100">
        <v>0</v>
      </c>
      <c r="K90" s="100">
        <v>0</v>
      </c>
      <c r="L90" s="100">
        <v>0</v>
      </c>
      <c r="M90" s="100">
        <v>0</v>
      </c>
      <c r="N90" s="100">
        <v>0</v>
      </c>
      <c r="O90" s="100">
        <v>0</v>
      </c>
      <c r="P90" s="100">
        <v>0</v>
      </c>
      <c r="Q90" s="100">
        <v>723.45</v>
      </c>
      <c r="R90" s="100">
        <v>5197.3370000000004</v>
      </c>
      <c r="S90" s="100">
        <v>0</v>
      </c>
      <c r="T90" s="100">
        <v>0</v>
      </c>
      <c r="U90" s="100">
        <v>0</v>
      </c>
      <c r="V90" s="100">
        <v>0</v>
      </c>
      <c r="W90" s="100">
        <v>10315.831</v>
      </c>
      <c r="X90" s="100">
        <v>2197.6759999999999</v>
      </c>
      <c r="Y90" s="100">
        <v>0</v>
      </c>
      <c r="Z90" s="100">
        <v>0</v>
      </c>
      <c r="AA90" s="100">
        <v>0</v>
      </c>
      <c r="AB90" s="100">
        <v>0</v>
      </c>
      <c r="AC90" s="100">
        <v>0</v>
      </c>
      <c r="AD90" s="100">
        <v>0.20399999999999999</v>
      </c>
      <c r="AE90" s="100">
        <v>0</v>
      </c>
      <c r="AF90" s="100">
        <v>0</v>
      </c>
      <c r="AG90" s="100">
        <v>0</v>
      </c>
      <c r="AH90" s="100">
        <v>3310.6329999999998</v>
      </c>
      <c r="AI90" s="100">
        <v>11716.834000000001</v>
      </c>
      <c r="AJ90" s="100">
        <v>0</v>
      </c>
      <c r="AK90" s="100">
        <v>0</v>
      </c>
      <c r="AL90" s="100">
        <v>0</v>
      </c>
      <c r="AM90" s="100">
        <v>0</v>
      </c>
      <c r="AN90" s="100">
        <v>0</v>
      </c>
      <c r="AO90" s="100">
        <v>23387.542000000001</v>
      </c>
      <c r="AP90" s="100">
        <v>0</v>
      </c>
      <c r="AQ90" s="100">
        <v>1142.05</v>
      </c>
      <c r="AR90" s="100">
        <v>3832.7310000000002</v>
      </c>
      <c r="AS90" s="100">
        <v>11439.884</v>
      </c>
      <c r="AT90" s="100">
        <v>0</v>
      </c>
      <c r="AU90" s="100">
        <v>0</v>
      </c>
      <c r="AV90" s="100">
        <v>0</v>
      </c>
      <c r="AW90" s="100">
        <v>0</v>
      </c>
      <c r="AX90" s="100">
        <v>0</v>
      </c>
      <c r="AY90" s="100">
        <v>0</v>
      </c>
      <c r="AZ90" s="100">
        <v>0</v>
      </c>
      <c r="BA90" s="100">
        <v>0</v>
      </c>
      <c r="BB90" s="100">
        <v>0</v>
      </c>
      <c r="BC90" s="100">
        <v>0</v>
      </c>
      <c r="BD90" s="100">
        <v>0</v>
      </c>
      <c r="BE90" s="100">
        <v>0</v>
      </c>
      <c r="BF90" s="100">
        <v>0</v>
      </c>
      <c r="BG90" s="100">
        <v>0</v>
      </c>
      <c r="BH90" s="100">
        <v>0</v>
      </c>
      <c r="BI90" s="100">
        <v>7064.4309999999996</v>
      </c>
      <c r="BJ90" s="100">
        <v>153787.997</v>
      </c>
      <c r="BK90" s="100">
        <v>26730.495999999999</v>
      </c>
      <c r="BL90" s="102"/>
      <c r="BM90" s="102"/>
    </row>
    <row r="91" spans="2:65">
      <c r="B91" s="112" t="s">
        <v>521</v>
      </c>
      <c r="C91" s="113" t="s">
        <v>522</v>
      </c>
      <c r="D91" s="100">
        <v>0</v>
      </c>
      <c r="E91" s="100">
        <v>0</v>
      </c>
      <c r="F91" s="100">
        <v>0</v>
      </c>
      <c r="G91" s="100">
        <v>0</v>
      </c>
      <c r="H91" s="100">
        <v>0</v>
      </c>
      <c r="I91" s="100">
        <v>0</v>
      </c>
      <c r="J91" s="100">
        <v>0</v>
      </c>
      <c r="K91" s="100">
        <v>0</v>
      </c>
      <c r="L91" s="100">
        <v>0</v>
      </c>
      <c r="M91" s="100">
        <v>0</v>
      </c>
      <c r="N91" s="100">
        <v>0</v>
      </c>
      <c r="O91" s="100">
        <v>0</v>
      </c>
      <c r="P91" s="100">
        <v>0</v>
      </c>
      <c r="Q91" s="100">
        <v>1111.5999999999999</v>
      </c>
      <c r="R91" s="100">
        <v>6695.299</v>
      </c>
      <c r="S91" s="100">
        <v>0</v>
      </c>
      <c r="T91" s="100">
        <v>0</v>
      </c>
      <c r="U91" s="100">
        <v>0</v>
      </c>
      <c r="V91" s="100">
        <v>0</v>
      </c>
      <c r="W91" s="100">
        <v>0</v>
      </c>
      <c r="X91" s="100">
        <v>30.082999999999998</v>
      </c>
      <c r="Y91" s="100">
        <v>0</v>
      </c>
      <c r="Z91" s="100">
        <v>0</v>
      </c>
      <c r="AA91" s="100">
        <v>0</v>
      </c>
      <c r="AB91" s="100">
        <v>0</v>
      </c>
      <c r="AC91" s="100">
        <v>0</v>
      </c>
      <c r="AD91" s="100">
        <v>9.8249999999999993</v>
      </c>
      <c r="AE91" s="100">
        <v>0.30299999999999999</v>
      </c>
      <c r="AF91" s="100">
        <v>0</v>
      </c>
      <c r="AG91" s="100">
        <v>0</v>
      </c>
      <c r="AH91" s="100">
        <v>1379.1120000000001</v>
      </c>
      <c r="AI91" s="100">
        <v>0</v>
      </c>
      <c r="AJ91" s="100">
        <v>0</v>
      </c>
      <c r="AK91" s="100">
        <v>0</v>
      </c>
      <c r="AL91" s="100">
        <v>0</v>
      </c>
      <c r="AM91" s="100">
        <v>0</v>
      </c>
      <c r="AN91" s="100">
        <v>0</v>
      </c>
      <c r="AO91" s="100">
        <v>0</v>
      </c>
      <c r="AP91" s="100">
        <v>0</v>
      </c>
      <c r="AQ91" s="100">
        <v>0</v>
      </c>
      <c r="AR91" s="100">
        <v>0</v>
      </c>
      <c r="AS91" s="100">
        <v>0</v>
      </c>
      <c r="AT91" s="100">
        <v>131.82300000000001</v>
      </c>
      <c r="AU91" s="100">
        <v>661.18499999999995</v>
      </c>
      <c r="AV91" s="100">
        <v>0</v>
      </c>
      <c r="AW91" s="100">
        <v>0</v>
      </c>
      <c r="AX91" s="100">
        <v>0</v>
      </c>
      <c r="AY91" s="100">
        <v>0</v>
      </c>
      <c r="AZ91" s="100">
        <v>0</v>
      </c>
      <c r="BA91" s="100">
        <v>0</v>
      </c>
      <c r="BB91" s="100">
        <v>0</v>
      </c>
      <c r="BC91" s="100">
        <v>0</v>
      </c>
      <c r="BD91" s="100">
        <v>0</v>
      </c>
      <c r="BE91" s="100">
        <v>0</v>
      </c>
      <c r="BF91" s="100">
        <v>0</v>
      </c>
      <c r="BG91" s="100">
        <v>0</v>
      </c>
      <c r="BH91" s="100">
        <v>0</v>
      </c>
      <c r="BI91" s="100">
        <v>0</v>
      </c>
      <c r="BJ91" s="100">
        <v>10019.229999999998</v>
      </c>
      <c r="BK91" s="100">
        <v>793.00800000000004</v>
      </c>
      <c r="BL91" s="102"/>
      <c r="BM91" s="102"/>
    </row>
    <row r="92" spans="2:65" collapsed="1">
      <c r="B92" s="112" t="s">
        <v>523</v>
      </c>
      <c r="C92" s="113" t="s">
        <v>524</v>
      </c>
      <c r="D92" s="100">
        <v>0</v>
      </c>
      <c r="E92" s="100">
        <v>0</v>
      </c>
      <c r="F92" s="100">
        <v>0</v>
      </c>
      <c r="G92" s="100">
        <v>0</v>
      </c>
      <c r="H92" s="100">
        <v>0</v>
      </c>
      <c r="I92" s="100">
        <v>0</v>
      </c>
      <c r="J92" s="100">
        <v>0</v>
      </c>
      <c r="K92" s="100">
        <v>0</v>
      </c>
      <c r="L92" s="100">
        <v>0</v>
      </c>
      <c r="M92" s="100">
        <v>0</v>
      </c>
      <c r="N92" s="100">
        <v>0</v>
      </c>
      <c r="O92" s="100">
        <v>0</v>
      </c>
      <c r="P92" s="100">
        <v>0</v>
      </c>
      <c r="Q92" s="100">
        <v>0</v>
      </c>
      <c r="R92" s="100">
        <v>399.96699999999998</v>
      </c>
      <c r="S92" s="100">
        <v>0</v>
      </c>
      <c r="T92" s="100">
        <v>0</v>
      </c>
      <c r="U92" s="100">
        <v>0</v>
      </c>
      <c r="V92" s="100">
        <v>0</v>
      </c>
      <c r="W92" s="100">
        <v>0</v>
      </c>
      <c r="X92" s="100">
        <v>41.145000000000003</v>
      </c>
      <c r="Y92" s="100">
        <v>0</v>
      </c>
      <c r="Z92" s="100">
        <v>0</v>
      </c>
      <c r="AA92" s="100">
        <v>0</v>
      </c>
      <c r="AB92" s="100">
        <v>0</v>
      </c>
      <c r="AC92" s="100">
        <v>0</v>
      </c>
      <c r="AD92" s="100">
        <v>1057.828</v>
      </c>
      <c r="AE92" s="100">
        <v>6.5629999999999997</v>
      </c>
      <c r="AF92" s="100">
        <v>0</v>
      </c>
      <c r="AG92" s="100">
        <v>0</v>
      </c>
      <c r="AH92" s="100">
        <v>1612.056</v>
      </c>
      <c r="AI92" s="100">
        <v>0</v>
      </c>
      <c r="AJ92" s="100">
        <v>0</v>
      </c>
      <c r="AK92" s="100">
        <v>0</v>
      </c>
      <c r="AL92" s="100">
        <v>0</v>
      </c>
      <c r="AM92" s="100">
        <v>0</v>
      </c>
      <c r="AN92" s="100">
        <v>0</v>
      </c>
      <c r="AO92" s="100">
        <v>596.16</v>
      </c>
      <c r="AP92" s="100">
        <v>4803.4139999999998</v>
      </c>
      <c r="AQ92" s="100">
        <v>0</v>
      </c>
      <c r="AR92" s="100">
        <v>574.73500000000001</v>
      </c>
      <c r="AS92" s="100">
        <v>599.90800000000002</v>
      </c>
      <c r="AT92" s="100">
        <v>0</v>
      </c>
      <c r="AU92" s="100">
        <v>0</v>
      </c>
      <c r="AV92" s="100">
        <v>0</v>
      </c>
      <c r="AW92" s="100">
        <v>0</v>
      </c>
      <c r="AX92" s="100">
        <v>0</v>
      </c>
      <c r="AY92" s="100">
        <v>0</v>
      </c>
      <c r="AZ92" s="100">
        <v>0</v>
      </c>
      <c r="BA92" s="100">
        <v>0</v>
      </c>
      <c r="BB92" s="100">
        <v>0</v>
      </c>
      <c r="BC92" s="100">
        <v>0</v>
      </c>
      <c r="BD92" s="100">
        <v>0</v>
      </c>
      <c r="BE92" s="100">
        <v>0</v>
      </c>
      <c r="BF92" s="100">
        <v>0</v>
      </c>
      <c r="BG92" s="100">
        <v>0</v>
      </c>
      <c r="BH92" s="100">
        <v>0</v>
      </c>
      <c r="BI92" s="100">
        <v>0</v>
      </c>
      <c r="BJ92" s="100">
        <v>9691.7759999999998</v>
      </c>
      <c r="BK92" s="100">
        <v>5978.058</v>
      </c>
      <c r="BL92" s="102"/>
      <c r="BM92" s="102"/>
    </row>
    <row r="93" spans="2:65">
      <c r="B93" s="112" t="s">
        <v>525</v>
      </c>
      <c r="C93" s="113" t="s">
        <v>526</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0">
        <v>0</v>
      </c>
      <c r="AH93" s="100">
        <v>0</v>
      </c>
      <c r="AI93" s="100">
        <v>0</v>
      </c>
      <c r="AJ93" s="100">
        <v>0</v>
      </c>
      <c r="AK93" s="100">
        <v>0</v>
      </c>
      <c r="AL93" s="100">
        <v>0</v>
      </c>
      <c r="AM93" s="100">
        <v>0</v>
      </c>
      <c r="AN93" s="100">
        <v>0</v>
      </c>
      <c r="AO93" s="100">
        <v>0</v>
      </c>
      <c r="AP93" s="100">
        <v>0</v>
      </c>
      <c r="AQ93" s="100">
        <v>0</v>
      </c>
      <c r="AR93" s="100">
        <v>0</v>
      </c>
      <c r="AS93" s="100">
        <v>0</v>
      </c>
      <c r="AT93" s="100">
        <v>0</v>
      </c>
      <c r="AU93" s="100">
        <v>0</v>
      </c>
      <c r="AV93" s="100">
        <v>0</v>
      </c>
      <c r="AW93" s="100">
        <v>0</v>
      </c>
      <c r="AX93" s="100">
        <v>0</v>
      </c>
      <c r="AY93" s="100">
        <v>0</v>
      </c>
      <c r="AZ93" s="100">
        <v>0</v>
      </c>
      <c r="BA93" s="100">
        <v>0</v>
      </c>
      <c r="BB93" s="100">
        <v>0</v>
      </c>
      <c r="BC93" s="100">
        <v>0</v>
      </c>
      <c r="BD93" s="100">
        <v>0</v>
      </c>
      <c r="BE93" s="100">
        <v>0</v>
      </c>
      <c r="BF93" s="100">
        <v>0</v>
      </c>
      <c r="BG93" s="100">
        <v>0</v>
      </c>
      <c r="BH93" s="100">
        <v>0</v>
      </c>
      <c r="BI93" s="100">
        <v>2776.0590000000002</v>
      </c>
      <c r="BJ93" s="100">
        <v>2776.0590000000002</v>
      </c>
      <c r="BK93" s="100">
        <v>0</v>
      </c>
      <c r="BL93" s="102"/>
      <c r="BM93" s="102"/>
    </row>
  </sheetData>
  <mergeCells count="9">
    <mergeCell ref="AY1:BG1"/>
    <mergeCell ref="D1:P1"/>
    <mergeCell ref="Q1:R1"/>
    <mergeCell ref="AP1:AX1"/>
    <mergeCell ref="AI1:AO1"/>
    <mergeCell ref="T1:V1"/>
    <mergeCell ref="Z1:AE1"/>
    <mergeCell ref="AF1:AH1"/>
    <mergeCell ref="W1:Y1"/>
  </mergeCells>
  <phoneticPr fontId="3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workbookViewId="0"/>
  </sheetViews>
  <sheetFormatPr defaultRowHeight="16.5"/>
  <cols>
    <col min="1" max="1" width="6.125" customWidth="1"/>
    <col min="2" max="2" width="25.5" customWidth="1"/>
    <col min="3" max="3" width="36.5" customWidth="1"/>
    <col min="4" max="4" width="9.375" bestFit="1" customWidth="1"/>
    <col min="5" max="5" width="10.125" bestFit="1" customWidth="1"/>
    <col min="6" max="7" width="12.375" bestFit="1" customWidth="1"/>
    <col min="8" max="8" width="9.375" bestFit="1" customWidth="1"/>
    <col min="9" max="11" width="8.625" bestFit="1" customWidth="1"/>
    <col min="12" max="12" width="9.5" bestFit="1" customWidth="1"/>
    <col min="13" max="13" width="8.625" bestFit="1" customWidth="1"/>
    <col min="14" max="15" width="10.125" bestFit="1" customWidth="1"/>
    <col min="16" max="16" width="8.625" bestFit="1" customWidth="1"/>
    <col min="17" max="17" width="12.375" bestFit="1" customWidth="1"/>
    <col min="18" max="18" width="11.5" bestFit="1" customWidth="1"/>
    <col min="19" max="19" width="13.5" bestFit="1" customWidth="1"/>
    <col min="20" max="20" width="12.375" bestFit="1" customWidth="1"/>
    <col min="21" max="21" width="8.625" bestFit="1" customWidth="1"/>
    <col min="22" max="22" width="9.375" bestFit="1" customWidth="1"/>
    <col min="23" max="25" width="10.125" bestFit="1" customWidth="1"/>
    <col min="26" max="26" width="12.375" bestFit="1" customWidth="1"/>
    <col min="27" max="28" width="8.625" bestFit="1" customWidth="1"/>
    <col min="29" max="29" width="12.375" bestFit="1" customWidth="1"/>
    <col min="30" max="30" width="11.125" bestFit="1" customWidth="1"/>
    <col min="31" max="31" width="12.375" bestFit="1" customWidth="1"/>
  </cols>
  <sheetData>
    <row r="1" spans="1:65" ht="17.25" thickBot="1">
      <c r="C1" s="2"/>
      <c r="D1" s="507" t="s">
        <v>233</v>
      </c>
      <c r="E1" s="507"/>
      <c r="F1" s="507"/>
      <c r="G1" s="507"/>
      <c r="H1" s="507"/>
      <c r="I1" s="507"/>
      <c r="J1" s="507"/>
      <c r="K1" s="507"/>
      <c r="L1" s="507"/>
      <c r="M1" s="507"/>
      <c r="N1" s="507"/>
      <c r="O1" s="507"/>
      <c r="P1" s="507"/>
      <c r="Q1" s="508" t="s">
        <v>234</v>
      </c>
      <c r="R1" s="508"/>
      <c r="S1" s="140" t="s">
        <v>235</v>
      </c>
      <c r="T1" s="509" t="s">
        <v>236</v>
      </c>
      <c r="U1" s="509"/>
      <c r="V1" s="509"/>
      <c r="W1" s="508" t="s">
        <v>237</v>
      </c>
      <c r="X1" s="508"/>
      <c r="Y1" s="508"/>
      <c r="Z1" s="507" t="s">
        <v>238</v>
      </c>
      <c r="AA1" s="507"/>
      <c r="AB1" s="507"/>
      <c r="AC1" s="507"/>
      <c r="AD1" s="507"/>
      <c r="AE1" s="507"/>
      <c r="AF1" s="508" t="s">
        <v>239</v>
      </c>
      <c r="AG1" s="508"/>
      <c r="AH1" s="508"/>
      <c r="AI1" s="507" t="s">
        <v>240</v>
      </c>
      <c r="AJ1" s="507"/>
      <c r="AK1" s="507"/>
      <c r="AL1" s="507"/>
      <c r="AM1" s="507"/>
      <c r="AN1" s="507"/>
      <c r="AO1" s="507"/>
      <c r="AP1" s="508" t="s">
        <v>241</v>
      </c>
      <c r="AQ1" s="508"/>
      <c r="AR1" s="508"/>
      <c r="AS1" s="508"/>
      <c r="AT1" s="508"/>
      <c r="AU1" s="508"/>
      <c r="AV1" s="508"/>
      <c r="AW1" s="508"/>
      <c r="AX1" s="508"/>
      <c r="AY1" s="507" t="s">
        <v>242</v>
      </c>
      <c r="AZ1" s="507"/>
      <c r="BA1" s="507"/>
      <c r="BB1" s="507"/>
      <c r="BC1" s="507"/>
      <c r="BD1" s="507"/>
      <c r="BE1" s="507"/>
      <c r="BF1" s="507"/>
      <c r="BG1" s="507"/>
      <c r="BH1" s="211" t="s">
        <v>186</v>
      </c>
      <c r="BI1" s="141" t="s">
        <v>243</v>
      </c>
    </row>
    <row r="2" spans="1:65">
      <c r="C2" s="2"/>
      <c r="D2" s="95"/>
      <c r="E2" s="95"/>
      <c r="F2" s="95"/>
      <c r="G2" s="95"/>
      <c r="H2" s="95"/>
      <c r="I2" s="95"/>
      <c r="J2" s="95"/>
      <c r="K2" s="95"/>
      <c r="L2" s="95"/>
      <c r="M2" s="95"/>
      <c r="N2" s="95"/>
      <c r="O2" s="95"/>
      <c r="P2" s="95"/>
      <c r="Q2" s="95"/>
      <c r="R2" s="95"/>
      <c r="S2" s="95"/>
      <c r="T2" s="95"/>
      <c r="U2" s="95"/>
      <c r="V2" s="95"/>
      <c r="W2" s="95"/>
      <c r="X2" s="95"/>
      <c r="Y2" s="95"/>
      <c r="Z2" s="95"/>
      <c r="AA2" s="95"/>
      <c r="AB2" s="95"/>
      <c r="AC2" s="95"/>
      <c r="AD2" s="95"/>
      <c r="AE2" s="95"/>
      <c r="AF2" s="95"/>
      <c r="AG2" s="95"/>
      <c r="AH2" s="95"/>
      <c r="AI2" s="95"/>
      <c r="AJ2" s="95"/>
      <c r="AK2" s="95"/>
      <c r="AL2" s="95"/>
      <c r="AM2" s="95"/>
      <c r="AN2" s="95"/>
      <c r="AO2" s="95"/>
      <c r="AP2" s="95"/>
      <c r="AQ2" s="95"/>
      <c r="AR2" s="95"/>
      <c r="AS2" s="95"/>
      <c r="AT2" s="95"/>
      <c r="AU2" s="95"/>
      <c r="AV2" s="95"/>
      <c r="AW2" s="95"/>
      <c r="AX2" s="95"/>
      <c r="AY2" s="95"/>
      <c r="AZ2" s="95"/>
      <c r="BA2" s="95"/>
      <c r="BB2" s="95"/>
      <c r="BC2" s="95"/>
      <c r="BD2" s="95"/>
      <c r="BE2" s="95"/>
      <c r="BF2" s="95"/>
      <c r="BG2" s="95"/>
      <c r="BH2" s="95"/>
      <c r="BI2" s="95"/>
      <c r="BJ2" s="95"/>
      <c r="BK2" s="95"/>
    </row>
    <row r="3" spans="1:65">
      <c r="A3" s="405"/>
      <c r="B3" s="94" t="s">
        <v>527</v>
      </c>
      <c r="C3" s="95"/>
      <c r="D3" s="95" t="s">
        <v>528</v>
      </c>
      <c r="E3" s="95" t="s">
        <v>222</v>
      </c>
      <c r="F3" s="95" t="s">
        <v>529</v>
      </c>
      <c r="G3" s="95" t="s">
        <v>530</v>
      </c>
      <c r="H3" s="95" t="s">
        <v>531</v>
      </c>
      <c r="I3" s="95" t="s">
        <v>532</v>
      </c>
      <c r="J3" s="95" t="s">
        <v>533</v>
      </c>
      <c r="K3" s="95" t="s">
        <v>534</v>
      </c>
      <c r="L3" s="95" t="s">
        <v>535</v>
      </c>
      <c r="M3" s="95" t="s">
        <v>536</v>
      </c>
      <c r="N3" s="95" t="s">
        <v>537</v>
      </c>
      <c r="O3" s="95" t="s">
        <v>538</v>
      </c>
      <c r="P3" s="95" t="s">
        <v>539</v>
      </c>
      <c r="Q3" s="95" t="s">
        <v>540</v>
      </c>
      <c r="R3" s="95" t="s">
        <v>541</v>
      </c>
      <c r="S3" s="95" t="s">
        <v>542</v>
      </c>
      <c r="T3" s="95" t="s">
        <v>543</v>
      </c>
      <c r="U3" s="95" t="s">
        <v>544</v>
      </c>
      <c r="V3" s="95" t="s">
        <v>545</v>
      </c>
      <c r="W3" s="95" t="s">
        <v>546</v>
      </c>
      <c r="X3" s="95" t="s">
        <v>547</v>
      </c>
      <c r="Y3" s="95" t="s">
        <v>548</v>
      </c>
      <c r="Z3" s="95" t="s">
        <v>549</v>
      </c>
      <c r="AA3" s="95" t="s">
        <v>550</v>
      </c>
      <c r="AB3" s="95" t="s">
        <v>551</v>
      </c>
      <c r="AC3" s="95" t="s">
        <v>552</v>
      </c>
      <c r="AD3" s="95" t="s">
        <v>553</v>
      </c>
      <c r="AE3" s="95" t="s">
        <v>554</v>
      </c>
      <c r="AF3" s="95" t="s">
        <v>555</v>
      </c>
      <c r="AG3" s="95" t="s">
        <v>556</v>
      </c>
      <c r="AH3" s="95" t="s">
        <v>557</v>
      </c>
      <c r="AI3" s="95" t="s">
        <v>558</v>
      </c>
      <c r="AJ3" s="95" t="s">
        <v>559</v>
      </c>
      <c r="AK3" s="95" t="s">
        <v>560</v>
      </c>
      <c r="AL3" s="95" t="s">
        <v>561</v>
      </c>
      <c r="AM3" s="95" t="s">
        <v>562</v>
      </c>
      <c r="AN3" s="95" t="s">
        <v>563</v>
      </c>
      <c r="AO3" s="95" t="s">
        <v>564</v>
      </c>
      <c r="AP3" s="95" t="s">
        <v>565</v>
      </c>
      <c r="AQ3" s="95" t="s">
        <v>566</v>
      </c>
      <c r="AR3" s="95" t="s">
        <v>567</v>
      </c>
      <c r="AS3" s="95" t="s">
        <v>568</v>
      </c>
      <c r="AT3" s="95" t="s">
        <v>569</v>
      </c>
      <c r="AU3" s="95" t="s">
        <v>570</v>
      </c>
      <c r="AV3" s="95" t="s">
        <v>571</v>
      </c>
      <c r="AW3" s="95" t="s">
        <v>572</v>
      </c>
      <c r="AX3" s="95" t="s">
        <v>573</v>
      </c>
      <c r="AY3" s="95" t="s">
        <v>574</v>
      </c>
      <c r="AZ3" s="95" t="s">
        <v>575</v>
      </c>
      <c r="BA3" s="95" t="s">
        <v>576</v>
      </c>
      <c r="BB3" s="95" t="s">
        <v>577</v>
      </c>
      <c r="BC3" s="95" t="s">
        <v>578</v>
      </c>
      <c r="BD3" s="95" t="s">
        <v>579</v>
      </c>
      <c r="BE3" s="95" t="s">
        <v>580</v>
      </c>
      <c r="BF3" s="95" t="s">
        <v>581</v>
      </c>
      <c r="BG3" s="95" t="s">
        <v>582</v>
      </c>
      <c r="BH3" s="95" t="s">
        <v>583</v>
      </c>
      <c r="BI3" s="95" t="s">
        <v>584</v>
      </c>
      <c r="BJ3" s="95" t="s">
        <v>585</v>
      </c>
      <c r="BK3" s="95" t="s">
        <v>586</v>
      </c>
      <c r="BL3" s="92"/>
      <c r="BM3" s="92"/>
    </row>
    <row r="4" spans="1:65">
      <c r="A4" s="405"/>
      <c r="B4" s="94">
        <v>2022</v>
      </c>
      <c r="C4" s="95"/>
      <c r="D4" s="95" t="s">
        <v>587</v>
      </c>
      <c r="E4" s="95" t="s">
        <v>588</v>
      </c>
      <c r="F4" s="95" t="s">
        <v>589</v>
      </c>
      <c r="G4" s="95" t="s">
        <v>590</v>
      </c>
      <c r="H4" s="95" t="s">
        <v>591</v>
      </c>
      <c r="I4" s="95" t="s">
        <v>592</v>
      </c>
      <c r="J4" s="95" t="s">
        <v>593</v>
      </c>
      <c r="K4" s="95" t="s">
        <v>594</v>
      </c>
      <c r="L4" s="95" t="s">
        <v>595</v>
      </c>
      <c r="M4" s="95" t="s">
        <v>596</v>
      </c>
      <c r="N4" s="95" t="s">
        <v>597</v>
      </c>
      <c r="O4" s="95" t="s">
        <v>598</v>
      </c>
      <c r="P4" s="95" t="s">
        <v>599</v>
      </c>
      <c r="Q4" s="95" t="s">
        <v>600</v>
      </c>
      <c r="R4" s="95" t="s">
        <v>601</v>
      </c>
      <c r="S4" s="95" t="s">
        <v>602</v>
      </c>
      <c r="T4" s="95" t="s">
        <v>603</v>
      </c>
      <c r="U4" s="95" t="s">
        <v>604</v>
      </c>
      <c r="V4" s="95" t="s">
        <v>605</v>
      </c>
      <c r="W4" s="95" t="s">
        <v>606</v>
      </c>
      <c r="X4" s="95" t="s">
        <v>607</v>
      </c>
      <c r="Y4" s="95" t="s">
        <v>608</v>
      </c>
      <c r="Z4" s="95" t="s">
        <v>609</v>
      </c>
      <c r="AA4" s="95" t="s">
        <v>610</v>
      </c>
      <c r="AB4" s="95" t="s">
        <v>611</v>
      </c>
      <c r="AC4" s="95" t="s">
        <v>612</v>
      </c>
      <c r="AD4" s="95" t="s">
        <v>613</v>
      </c>
      <c r="AE4" s="95" t="s">
        <v>614</v>
      </c>
      <c r="AF4" s="95" t="s">
        <v>555</v>
      </c>
      <c r="AG4" s="95" t="s">
        <v>556</v>
      </c>
      <c r="AH4" s="95" t="s">
        <v>557</v>
      </c>
      <c r="AI4" s="95" t="s">
        <v>615</v>
      </c>
      <c r="AJ4" s="95" t="s">
        <v>616</v>
      </c>
      <c r="AK4" s="95" t="s">
        <v>617</v>
      </c>
      <c r="AL4" s="95" t="s">
        <v>618</v>
      </c>
      <c r="AM4" s="95" t="s">
        <v>619</v>
      </c>
      <c r="AN4" s="95" t="s">
        <v>620</v>
      </c>
      <c r="AO4" s="95" t="s">
        <v>621</v>
      </c>
      <c r="AP4" s="95" t="s">
        <v>622</v>
      </c>
      <c r="AQ4" s="95" t="s">
        <v>623</v>
      </c>
      <c r="AR4" s="95" t="s">
        <v>624</v>
      </c>
      <c r="AS4" s="95" t="s">
        <v>625</v>
      </c>
      <c r="AT4" s="95" t="s">
        <v>626</v>
      </c>
      <c r="AU4" s="95" t="s">
        <v>627</v>
      </c>
      <c r="AV4" s="95" t="s">
        <v>628</v>
      </c>
      <c r="AW4" s="95" t="s">
        <v>629</v>
      </c>
      <c r="AX4" s="95" t="s">
        <v>630</v>
      </c>
      <c r="AY4" s="95" t="s">
        <v>631</v>
      </c>
      <c r="AZ4" s="95" t="s">
        <v>632</v>
      </c>
      <c r="BA4" s="95" t="s">
        <v>633</v>
      </c>
      <c r="BB4" s="95" t="s">
        <v>634</v>
      </c>
      <c r="BC4" s="95" t="s">
        <v>635</v>
      </c>
      <c r="BD4" s="95" t="s">
        <v>636</v>
      </c>
      <c r="BE4" s="95" t="s">
        <v>637</v>
      </c>
      <c r="BF4" s="95" t="s">
        <v>638</v>
      </c>
      <c r="BG4" s="95" t="s">
        <v>639</v>
      </c>
      <c r="BH4" s="95" t="s">
        <v>640</v>
      </c>
      <c r="BI4" s="95" t="s">
        <v>641</v>
      </c>
      <c r="BJ4" s="95" t="s">
        <v>642</v>
      </c>
      <c r="BK4" s="95" t="s">
        <v>643</v>
      </c>
      <c r="BL4" s="92"/>
      <c r="BM4" s="92"/>
    </row>
    <row r="5" spans="1:65" ht="17.25" thickBot="1">
      <c r="A5" s="405"/>
      <c r="B5" s="96" t="s">
        <v>644</v>
      </c>
      <c r="C5" s="97"/>
      <c r="D5" s="97"/>
      <c r="E5" s="97"/>
      <c r="F5" s="97"/>
      <c r="G5" s="97"/>
      <c r="H5" s="97"/>
      <c r="I5" s="97"/>
      <c r="J5" s="97"/>
      <c r="K5" s="97"/>
      <c r="L5" s="97"/>
      <c r="M5" s="97"/>
      <c r="N5" s="97"/>
      <c r="O5" s="97"/>
      <c r="P5" s="97"/>
      <c r="Q5" s="97"/>
      <c r="R5" s="97"/>
      <c r="S5" s="97"/>
      <c r="T5" s="97"/>
      <c r="U5" s="97"/>
      <c r="V5" s="97"/>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2"/>
      <c r="BM5" s="92"/>
    </row>
    <row r="6" spans="1:65">
      <c r="A6" s="406"/>
      <c r="B6" s="407" t="s">
        <v>645</v>
      </c>
      <c r="C6" s="132" t="s">
        <v>646</v>
      </c>
      <c r="D6" s="100">
        <v>386.22</v>
      </c>
      <c r="E6" s="100">
        <v>0</v>
      </c>
      <c r="F6" s="100">
        <v>0</v>
      </c>
      <c r="G6" s="100">
        <v>0</v>
      </c>
      <c r="H6" s="100">
        <v>0</v>
      </c>
      <c r="I6" s="100">
        <v>0</v>
      </c>
      <c r="J6" s="100">
        <v>0</v>
      </c>
      <c r="K6" s="100">
        <v>0</v>
      </c>
      <c r="L6" s="100">
        <v>0</v>
      </c>
      <c r="M6" s="100">
        <v>0</v>
      </c>
      <c r="N6" s="100">
        <v>0</v>
      </c>
      <c r="O6" s="100">
        <v>0</v>
      </c>
      <c r="P6" s="100">
        <v>0</v>
      </c>
      <c r="Q6" s="101">
        <v>0</v>
      </c>
      <c r="R6" s="100">
        <v>0</v>
      </c>
      <c r="S6" s="101">
        <v>2.4980000000000002</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2153.37</v>
      </c>
      <c r="AQ6" s="100">
        <v>984.68200000000002</v>
      </c>
      <c r="AR6" s="100">
        <v>742.01400000000001</v>
      </c>
      <c r="AS6" s="100">
        <v>3166.317</v>
      </c>
      <c r="AT6" s="100">
        <v>101.807</v>
      </c>
      <c r="AU6" s="100">
        <v>69.388999999999996</v>
      </c>
      <c r="AV6" s="101">
        <v>0</v>
      </c>
      <c r="AW6" s="101">
        <v>681.101</v>
      </c>
      <c r="AX6" s="100">
        <v>352.34</v>
      </c>
      <c r="AY6" s="100">
        <v>0</v>
      </c>
      <c r="AZ6" s="100">
        <v>37499.504999999997</v>
      </c>
      <c r="BA6" s="100">
        <v>755.05600000000004</v>
      </c>
      <c r="BB6" s="100">
        <v>279.64999999999998</v>
      </c>
      <c r="BC6" s="100">
        <v>6544.6930000000002</v>
      </c>
      <c r="BD6" s="100">
        <v>25.035</v>
      </c>
      <c r="BE6" s="100">
        <v>90.278999999999996</v>
      </c>
      <c r="BF6" s="100">
        <v>717.69399999999996</v>
      </c>
      <c r="BG6" s="100">
        <v>0</v>
      </c>
      <c r="BH6" s="100">
        <v>0</v>
      </c>
      <c r="BI6" s="100">
        <v>69.334000000000003</v>
      </c>
      <c r="BJ6" s="100">
        <v>54620.984000000004</v>
      </c>
      <c r="BK6" s="100">
        <v>16663.427</v>
      </c>
      <c r="BL6" s="102"/>
      <c r="BM6" s="102"/>
    </row>
    <row r="7" spans="1:65">
      <c r="A7" s="406"/>
      <c r="B7" s="407" t="s">
        <v>647</v>
      </c>
      <c r="C7" s="132" t="s">
        <v>648</v>
      </c>
      <c r="D7" s="100">
        <v>0</v>
      </c>
      <c r="E7" s="100">
        <v>2961.2620000000002</v>
      </c>
      <c r="F7" s="100">
        <v>15653.102000000001</v>
      </c>
      <c r="G7" s="100">
        <v>55954.497000000003</v>
      </c>
      <c r="H7" s="100">
        <v>991.73</v>
      </c>
      <c r="I7" s="100">
        <v>3.2000000000000001E-2</v>
      </c>
      <c r="J7" s="100">
        <v>27.039000000000001</v>
      </c>
      <c r="K7" s="100">
        <v>2.1999999999999999E-2</v>
      </c>
      <c r="L7" s="100">
        <v>205.84299999999999</v>
      </c>
      <c r="M7" s="100">
        <v>0</v>
      </c>
      <c r="N7" s="100">
        <v>0</v>
      </c>
      <c r="O7" s="100">
        <v>0</v>
      </c>
      <c r="P7" s="100">
        <v>0</v>
      </c>
      <c r="Q7" s="100">
        <v>60683.487000000001</v>
      </c>
      <c r="R7" s="100">
        <v>0</v>
      </c>
      <c r="S7" s="100">
        <v>153637.247</v>
      </c>
      <c r="T7" s="100">
        <v>3030.3789999999999</v>
      </c>
      <c r="U7" s="100">
        <v>0</v>
      </c>
      <c r="V7" s="100">
        <v>22.119</v>
      </c>
      <c r="W7" s="100">
        <v>0</v>
      </c>
      <c r="X7" s="100">
        <v>8321.0339999999997</v>
      </c>
      <c r="Y7" s="100">
        <v>2300.2489999999998</v>
      </c>
      <c r="Z7" s="100">
        <v>10.536</v>
      </c>
      <c r="AA7" s="100">
        <v>0.34200000000000003</v>
      </c>
      <c r="AB7" s="100">
        <v>0</v>
      </c>
      <c r="AC7" s="100">
        <v>0</v>
      </c>
      <c r="AD7" s="100">
        <v>5.242</v>
      </c>
      <c r="AE7" s="100">
        <v>42.991</v>
      </c>
      <c r="AF7" s="100">
        <v>0</v>
      </c>
      <c r="AG7" s="100">
        <v>0</v>
      </c>
      <c r="AH7" s="100">
        <v>3300.33</v>
      </c>
      <c r="AI7" s="100">
        <v>28965.014999999999</v>
      </c>
      <c r="AJ7" s="100">
        <v>1.159</v>
      </c>
      <c r="AK7" s="100">
        <v>241.143</v>
      </c>
      <c r="AL7" s="100">
        <v>87.983999999999995</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336442.78400000004</v>
      </c>
      <c r="BK7" s="100">
        <v>0</v>
      </c>
      <c r="BL7" s="102"/>
      <c r="BM7" s="102"/>
    </row>
    <row r="8" spans="1:65">
      <c r="A8" s="406"/>
      <c r="B8" s="407" t="s">
        <v>649</v>
      </c>
      <c r="C8" s="132" t="s">
        <v>650</v>
      </c>
      <c r="D8" s="100">
        <v>0</v>
      </c>
      <c r="E8" s="100">
        <v>-0.20599999999999999</v>
      </c>
      <c r="F8" s="100">
        <v>0</v>
      </c>
      <c r="G8" s="100">
        <v>0</v>
      </c>
      <c r="H8" s="100">
        <v>-4.0000000000000001E-3</v>
      </c>
      <c r="I8" s="100">
        <v>0</v>
      </c>
      <c r="J8" s="100">
        <v>-5.0000000000000001E-3</v>
      </c>
      <c r="K8" s="100">
        <v>0</v>
      </c>
      <c r="L8" s="100">
        <v>-19.279</v>
      </c>
      <c r="M8" s="100">
        <v>0</v>
      </c>
      <c r="N8" s="100">
        <v>0</v>
      </c>
      <c r="O8" s="100">
        <v>0</v>
      </c>
      <c r="P8" s="100">
        <v>0</v>
      </c>
      <c r="Q8" s="100">
        <v>0</v>
      </c>
      <c r="R8" s="100">
        <v>0</v>
      </c>
      <c r="S8" s="100">
        <v>0</v>
      </c>
      <c r="T8" s="100">
        <v>-147.87700000000001</v>
      </c>
      <c r="U8" s="100">
        <v>0</v>
      </c>
      <c r="V8" s="100">
        <v>-183.434</v>
      </c>
      <c r="W8" s="100">
        <v>0</v>
      </c>
      <c r="X8" s="100">
        <v>-58.795000000000002</v>
      </c>
      <c r="Y8" s="100">
        <v>-10.414999999999999</v>
      </c>
      <c r="Z8" s="100">
        <v>-12362.558000000001</v>
      </c>
      <c r="AA8" s="100">
        <v>-14.483000000000001</v>
      </c>
      <c r="AB8" s="100">
        <v>0</v>
      </c>
      <c r="AC8" s="100">
        <v>-11876.423000000001</v>
      </c>
      <c r="AD8" s="100">
        <v>-696.69500000000005</v>
      </c>
      <c r="AE8" s="100">
        <v>-29186.992999999999</v>
      </c>
      <c r="AF8" s="100">
        <v>-4.6429999999999998</v>
      </c>
      <c r="AG8" s="100">
        <v>0</v>
      </c>
      <c r="AH8" s="100">
        <v>-2020.3230000000001</v>
      </c>
      <c r="AI8" s="100">
        <v>-4155.384</v>
      </c>
      <c r="AJ8" s="100">
        <v>-137.154</v>
      </c>
      <c r="AK8" s="100">
        <v>-3817.942</v>
      </c>
      <c r="AL8" s="100">
        <v>-2204.4029999999998</v>
      </c>
      <c r="AM8" s="100">
        <v>0</v>
      </c>
      <c r="AN8" s="100">
        <v>0</v>
      </c>
      <c r="AO8" s="100">
        <v>-2440.924</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-69337.94</v>
      </c>
      <c r="BK8" s="100">
        <v>0</v>
      </c>
      <c r="BL8" s="102"/>
      <c r="BM8" s="102"/>
    </row>
    <row r="9" spans="1:65">
      <c r="A9" s="406"/>
      <c r="B9" s="407" t="s">
        <v>651</v>
      </c>
      <c r="C9" s="132" t="s">
        <v>652</v>
      </c>
      <c r="D9" s="100">
        <v>0</v>
      </c>
      <c r="E9" s="100">
        <v>0</v>
      </c>
      <c r="F9" s="100">
        <v>0</v>
      </c>
      <c r="G9" s="100">
        <v>0</v>
      </c>
      <c r="H9" s="100">
        <v>0</v>
      </c>
      <c r="I9" s="100">
        <v>0</v>
      </c>
      <c r="J9" s="100">
        <v>0</v>
      </c>
      <c r="K9" s="100">
        <v>0</v>
      </c>
      <c r="L9" s="100">
        <v>0</v>
      </c>
      <c r="M9" s="100">
        <v>0</v>
      </c>
      <c r="N9" s="100">
        <v>0</v>
      </c>
      <c r="O9" s="100">
        <v>0</v>
      </c>
      <c r="P9" s="100">
        <v>0</v>
      </c>
      <c r="Q9" s="100">
        <v>-10.452</v>
      </c>
      <c r="R9" s="100">
        <v>0</v>
      </c>
      <c r="S9" s="100">
        <v>0</v>
      </c>
      <c r="T9" s="100">
        <v>0</v>
      </c>
      <c r="U9" s="100">
        <v>0</v>
      </c>
      <c r="V9" s="100">
        <v>0</v>
      </c>
      <c r="W9" s="100">
        <v>0</v>
      </c>
      <c r="X9" s="100">
        <v>-1.0999999999999999E-2</v>
      </c>
      <c r="Y9" s="100">
        <v>0</v>
      </c>
      <c r="Z9" s="100">
        <v>-1.9E-2</v>
      </c>
      <c r="AA9" s="100">
        <v>0</v>
      </c>
      <c r="AB9" s="100">
        <v>0</v>
      </c>
      <c r="AC9" s="100">
        <v>0</v>
      </c>
      <c r="AD9" s="100">
        <v>0</v>
      </c>
      <c r="AE9" s="100">
        <v>-2208.7840000000001</v>
      </c>
      <c r="AF9" s="100">
        <v>-15.345000000000001</v>
      </c>
      <c r="AG9" s="100">
        <v>-2.8000000000000001E-2</v>
      </c>
      <c r="AH9" s="100">
        <v>-9833.6560000000009</v>
      </c>
      <c r="AI9" s="100">
        <v>0</v>
      </c>
      <c r="AJ9" s="100">
        <v>-3.0000000000000001E-3</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-12068.298000000001</v>
      </c>
      <c r="BK9" s="100">
        <v>0</v>
      </c>
      <c r="BL9" s="102"/>
      <c r="BM9" s="102"/>
    </row>
    <row r="10" spans="1:65">
      <c r="A10" s="406"/>
      <c r="B10" s="407" t="s">
        <v>653</v>
      </c>
      <c r="C10" s="132" t="s">
        <v>654</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-3445.0129999999999</v>
      </c>
      <c r="AD10" s="100">
        <v>0</v>
      </c>
      <c r="AE10" s="100">
        <v>-0.20499999999999999</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-3445.2179999999998</v>
      </c>
      <c r="BK10" s="100">
        <v>0</v>
      </c>
      <c r="BL10" s="102"/>
      <c r="BM10" s="102"/>
    </row>
    <row r="11" spans="1:65">
      <c r="A11" s="406"/>
      <c r="B11" s="407" t="s">
        <v>655</v>
      </c>
      <c r="C11" s="132" t="s">
        <v>656</v>
      </c>
      <c r="D11" s="100">
        <v>1.413</v>
      </c>
      <c r="E11" s="100">
        <v>0</v>
      </c>
      <c r="F11" s="100">
        <v>-47.689</v>
      </c>
      <c r="G11" s="100">
        <v>-245.435</v>
      </c>
      <c r="H11" s="100">
        <v>0</v>
      </c>
      <c r="I11" s="100">
        <v>0</v>
      </c>
      <c r="J11" s="100">
        <v>0</v>
      </c>
      <c r="K11" s="100">
        <v>0</v>
      </c>
      <c r="L11" s="100">
        <v>-49.68</v>
      </c>
      <c r="M11" s="100">
        <v>0</v>
      </c>
      <c r="N11" s="100">
        <v>0</v>
      </c>
      <c r="O11" s="100">
        <v>0</v>
      </c>
      <c r="P11" s="100">
        <v>0</v>
      </c>
      <c r="Q11" s="100">
        <v>-1470.182</v>
      </c>
      <c r="R11" s="100">
        <v>0</v>
      </c>
      <c r="S11" s="100">
        <v>-343.67399999999998</v>
      </c>
      <c r="T11" s="100">
        <v>-171.101</v>
      </c>
      <c r="U11" s="100">
        <v>-0.752</v>
      </c>
      <c r="V11" s="100">
        <v>-10.385999999999999</v>
      </c>
      <c r="W11" s="100">
        <v>0</v>
      </c>
      <c r="X11" s="100">
        <v>-78.953999999999994</v>
      </c>
      <c r="Y11" s="100">
        <v>-45.512</v>
      </c>
      <c r="Z11" s="100">
        <v>-48.762999999999998</v>
      </c>
      <c r="AA11" s="100">
        <v>-1.2090000000000001</v>
      </c>
      <c r="AB11" s="100">
        <v>0</v>
      </c>
      <c r="AC11" s="100">
        <v>-6.8440000000000003</v>
      </c>
      <c r="AD11" s="100">
        <v>53.709000000000003</v>
      </c>
      <c r="AE11" s="100">
        <v>-75.7</v>
      </c>
      <c r="AF11" s="100">
        <v>13.414</v>
      </c>
      <c r="AG11" s="100">
        <v>-0.63700000000000001</v>
      </c>
      <c r="AH11" s="100">
        <v>96.212000000000003</v>
      </c>
      <c r="AI11" s="100">
        <v>130.797</v>
      </c>
      <c r="AJ11" s="100">
        <v>9.625</v>
      </c>
      <c r="AK11" s="100">
        <v>-46.926000000000002</v>
      </c>
      <c r="AL11" s="100">
        <v>52.652000000000001</v>
      </c>
      <c r="AM11" s="100">
        <v>-5.0999999999999997E-2</v>
      </c>
      <c r="AN11" s="100">
        <v>-6.0140000000000002</v>
      </c>
      <c r="AO11" s="100">
        <v>9.5489999999999995</v>
      </c>
      <c r="AP11" s="100">
        <v>0</v>
      </c>
      <c r="AQ11" s="100">
        <v>0</v>
      </c>
      <c r="AR11" s="100">
        <v>0</v>
      </c>
      <c r="AS11" s="100">
        <v>0</v>
      </c>
      <c r="AT11" s="100">
        <v>0</v>
      </c>
      <c r="AU11" s="100">
        <v>0</v>
      </c>
      <c r="AV11" s="100">
        <v>0</v>
      </c>
      <c r="AW11" s="100">
        <v>0.52200000000000002</v>
      </c>
      <c r="AX11" s="100">
        <v>0</v>
      </c>
      <c r="AY11" s="100">
        <v>0</v>
      </c>
      <c r="AZ11" s="100">
        <v>0</v>
      </c>
      <c r="BA11" s="100">
        <v>0</v>
      </c>
      <c r="BB11" s="100">
        <v>0</v>
      </c>
      <c r="BC11" s="100">
        <v>0</v>
      </c>
      <c r="BD11" s="100">
        <v>0</v>
      </c>
      <c r="BE11" s="100">
        <v>0</v>
      </c>
      <c r="BF11" s="100">
        <v>0</v>
      </c>
      <c r="BG11" s="100">
        <v>0</v>
      </c>
      <c r="BH11" s="100">
        <v>0</v>
      </c>
      <c r="BI11" s="100">
        <v>0</v>
      </c>
      <c r="BJ11" s="100">
        <v>-2281.6160000000004</v>
      </c>
      <c r="BK11" s="100">
        <v>0.52200000000000002</v>
      </c>
      <c r="BL11" s="102"/>
      <c r="BM11" s="102"/>
    </row>
    <row r="12" spans="1:65">
      <c r="A12" s="406"/>
      <c r="B12" s="408" t="s">
        <v>657</v>
      </c>
      <c r="C12" s="119" t="s">
        <v>658</v>
      </c>
      <c r="D12" s="107">
        <v>387.63299999999998</v>
      </c>
      <c r="E12" s="107">
        <v>2961.056</v>
      </c>
      <c r="F12" s="107">
        <v>15605.413</v>
      </c>
      <c r="G12" s="107">
        <v>55709.061999999998</v>
      </c>
      <c r="H12" s="107">
        <v>991.72699999999998</v>
      </c>
      <c r="I12" s="107">
        <v>3.2000000000000001E-2</v>
      </c>
      <c r="J12" s="107">
        <v>27.033999999999999</v>
      </c>
      <c r="K12" s="107">
        <v>2.1999999999999999E-2</v>
      </c>
      <c r="L12" s="107">
        <v>136.88300000000001</v>
      </c>
      <c r="M12" s="107">
        <v>0</v>
      </c>
      <c r="N12" s="107">
        <v>0</v>
      </c>
      <c r="O12" s="107">
        <v>0</v>
      </c>
      <c r="P12" s="107">
        <v>0</v>
      </c>
      <c r="Q12" s="107">
        <v>59202.853000000003</v>
      </c>
      <c r="R12" s="107">
        <v>0</v>
      </c>
      <c r="S12" s="107">
        <v>153296.071</v>
      </c>
      <c r="T12" s="107">
        <v>2711.4</v>
      </c>
      <c r="U12" s="107">
        <v>-0.752</v>
      </c>
      <c r="V12" s="107">
        <v>-171.70099999999999</v>
      </c>
      <c r="W12" s="107">
        <v>0</v>
      </c>
      <c r="X12" s="107">
        <v>8183.2740000000003</v>
      </c>
      <c r="Y12" s="107">
        <v>2244.3220000000001</v>
      </c>
      <c r="Z12" s="107">
        <v>-12400.803</v>
      </c>
      <c r="AA12" s="107">
        <v>-15.35</v>
      </c>
      <c r="AB12" s="107">
        <v>0</v>
      </c>
      <c r="AC12" s="107">
        <v>-15328.281000000001</v>
      </c>
      <c r="AD12" s="107">
        <v>-637.745</v>
      </c>
      <c r="AE12" s="107">
        <v>-31428.691999999999</v>
      </c>
      <c r="AF12" s="107">
        <v>-6.5739999999999998</v>
      </c>
      <c r="AG12" s="107">
        <v>-0.66500000000000004</v>
      </c>
      <c r="AH12" s="107">
        <v>-8457.4369999999999</v>
      </c>
      <c r="AI12" s="107">
        <v>24940.428</v>
      </c>
      <c r="AJ12" s="107">
        <v>-126.373</v>
      </c>
      <c r="AK12" s="107">
        <v>-3623.7249999999999</v>
      </c>
      <c r="AL12" s="107">
        <v>-2063.7669999999998</v>
      </c>
      <c r="AM12" s="107">
        <v>-5.0999999999999997E-2</v>
      </c>
      <c r="AN12" s="107">
        <v>-6.0140000000000002</v>
      </c>
      <c r="AO12" s="107">
        <v>-2431.3760000000002</v>
      </c>
      <c r="AP12" s="107">
        <v>2153.37</v>
      </c>
      <c r="AQ12" s="107">
        <v>984.68200000000002</v>
      </c>
      <c r="AR12" s="107">
        <v>742.01400000000001</v>
      </c>
      <c r="AS12" s="107">
        <v>3166.317</v>
      </c>
      <c r="AT12" s="107">
        <v>101.807</v>
      </c>
      <c r="AU12" s="107">
        <v>69.388999999999996</v>
      </c>
      <c r="AV12" s="107">
        <v>0</v>
      </c>
      <c r="AW12" s="107">
        <v>681.62300000000005</v>
      </c>
      <c r="AX12" s="107">
        <v>352.34</v>
      </c>
      <c r="AY12" s="107">
        <v>0</v>
      </c>
      <c r="AZ12" s="107">
        <v>37499.504999999997</v>
      </c>
      <c r="BA12" s="107">
        <v>755.05600000000004</v>
      </c>
      <c r="BB12" s="107">
        <v>279.64999999999998</v>
      </c>
      <c r="BC12" s="107">
        <v>6544.6930000000002</v>
      </c>
      <c r="BD12" s="107">
        <v>25.035</v>
      </c>
      <c r="BE12" s="107">
        <v>90.278999999999996</v>
      </c>
      <c r="BF12" s="107">
        <v>717.69399999999996</v>
      </c>
      <c r="BG12" s="107">
        <v>0</v>
      </c>
      <c r="BH12" s="107">
        <v>0</v>
      </c>
      <c r="BI12" s="107">
        <v>69.334000000000003</v>
      </c>
      <c r="BJ12" s="107">
        <v>303930.69199999992</v>
      </c>
      <c r="BK12" s="107">
        <v>16663.949000000001</v>
      </c>
      <c r="BL12" s="102"/>
      <c r="BM12" s="102"/>
    </row>
    <row r="13" spans="1:65">
      <c r="A13" s="406"/>
      <c r="B13" s="407" t="s">
        <v>659</v>
      </c>
      <c r="C13" s="419" t="s">
        <v>660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21681.38</v>
      </c>
      <c r="U13" s="100">
        <v>0</v>
      </c>
      <c r="V13" s="100">
        <v>0</v>
      </c>
      <c r="W13" s="100">
        <v>-8.8510000000000009</v>
      </c>
      <c r="X13" s="100">
        <v>-403.68700000000001</v>
      </c>
      <c r="Y13" s="100">
        <v>-113.39700000000001</v>
      </c>
      <c r="Z13" s="100">
        <v>612.34299999999996</v>
      </c>
      <c r="AA13" s="100">
        <v>16.663</v>
      </c>
      <c r="AB13" s="100">
        <v>0</v>
      </c>
      <c r="AC13" s="100">
        <v>446.423</v>
      </c>
      <c r="AD13" s="100">
        <v>-3628.9059999999999</v>
      </c>
      <c r="AE13" s="100">
        <v>1198</v>
      </c>
      <c r="AF13" s="100">
        <v>4.7590000000000003</v>
      </c>
      <c r="AG13" s="100">
        <v>10.423</v>
      </c>
      <c r="AH13" s="100">
        <v>-4929.8040000000001</v>
      </c>
      <c r="AI13" s="100">
        <v>-8778.7929999999997</v>
      </c>
      <c r="AJ13" s="100">
        <v>-119.721</v>
      </c>
      <c r="AK13" s="100">
        <v>-265.50799999999998</v>
      </c>
      <c r="AL13" s="100">
        <v>597.67700000000002</v>
      </c>
      <c r="AM13" s="100">
        <v>-8.3339999999999996</v>
      </c>
      <c r="AN13" s="100">
        <v>0</v>
      </c>
      <c r="AO13" s="100">
        <v>-61.962000000000003</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6248.7049999999981</v>
      </c>
      <c r="BK13" s="100">
        <v>-8.8510000000000009</v>
      </c>
      <c r="BL13" s="102"/>
      <c r="BM13" s="102"/>
    </row>
    <row r="14" spans="1:65">
      <c r="A14" s="406"/>
      <c r="B14" s="409" t="s">
        <v>661</v>
      </c>
      <c r="C14" s="420" t="s">
        <v>662</v>
      </c>
      <c r="D14" s="111">
        <v>0.94199999999999995</v>
      </c>
      <c r="E14" s="111">
        <v>0.20599999999999999</v>
      </c>
      <c r="F14" s="111">
        <v>987.30200000000002</v>
      </c>
      <c r="G14" s="410">
        <v>-1723.2139999999999</v>
      </c>
      <c r="H14" s="111">
        <v>4.0000000000000001E-3</v>
      </c>
      <c r="I14" s="111">
        <v>0</v>
      </c>
      <c r="J14" s="111">
        <v>0</v>
      </c>
      <c r="K14" s="111">
        <v>0</v>
      </c>
      <c r="L14" s="111">
        <v>47.948</v>
      </c>
      <c r="M14" s="111">
        <v>0</v>
      </c>
      <c r="N14" s="111">
        <v>0</v>
      </c>
      <c r="O14" s="111">
        <v>0</v>
      </c>
      <c r="P14" s="111">
        <v>0</v>
      </c>
      <c r="Q14" s="111">
        <v>279.09399999999999</v>
      </c>
      <c r="R14" s="111">
        <v>-66.091999999999999</v>
      </c>
      <c r="S14" s="111">
        <v>-430.61099999999999</v>
      </c>
      <c r="T14" s="111">
        <v>-41.933</v>
      </c>
      <c r="U14" s="111">
        <v>-0.185</v>
      </c>
      <c r="V14" s="111">
        <v>0.68400000000000005</v>
      </c>
      <c r="W14" s="111">
        <v>412.36799999999999</v>
      </c>
      <c r="X14" s="111">
        <v>345.42200000000003</v>
      </c>
      <c r="Y14" s="111">
        <v>0.48099999999999998</v>
      </c>
      <c r="Z14" s="111">
        <v>25.585999999999999</v>
      </c>
      <c r="AA14" s="111">
        <v>-7.0999999999999994E-2</v>
      </c>
      <c r="AB14" s="111">
        <v>0</v>
      </c>
      <c r="AC14" s="111">
        <v>12.255000000000001</v>
      </c>
      <c r="AD14" s="111">
        <v>-6.21</v>
      </c>
      <c r="AE14" s="111">
        <v>16.036999999999999</v>
      </c>
      <c r="AF14" s="111">
        <v>-0.2</v>
      </c>
      <c r="AG14" s="111">
        <v>6.0999999999999999E-2</v>
      </c>
      <c r="AH14" s="111">
        <v>13.275</v>
      </c>
      <c r="AI14" s="111">
        <v>-66.192999999999998</v>
      </c>
      <c r="AJ14" s="111">
        <v>-0.191</v>
      </c>
      <c r="AK14" s="111">
        <v>-65.823999999999998</v>
      </c>
      <c r="AL14" s="111">
        <v>12.909000000000001</v>
      </c>
      <c r="AM14" s="111">
        <v>7.0999999999999994E-2</v>
      </c>
      <c r="AN14" s="111">
        <v>-0.40400000000000003</v>
      </c>
      <c r="AO14" s="111">
        <v>-3.109</v>
      </c>
      <c r="AP14" s="111">
        <v>0</v>
      </c>
      <c r="AQ14" s="111">
        <v>0</v>
      </c>
      <c r="AR14" s="111">
        <v>0</v>
      </c>
      <c r="AS14" s="111">
        <v>0</v>
      </c>
      <c r="AT14" s="111">
        <v>0</v>
      </c>
      <c r="AU14" s="111">
        <v>0</v>
      </c>
      <c r="AV14" s="111">
        <v>0</v>
      </c>
      <c r="AW14" s="111">
        <v>8.9999999999999993E-3</v>
      </c>
      <c r="AX14" s="111">
        <v>0</v>
      </c>
      <c r="AY14" s="111">
        <v>0</v>
      </c>
      <c r="AZ14" s="111">
        <v>0</v>
      </c>
      <c r="BA14" s="111">
        <v>0</v>
      </c>
      <c r="BB14" s="111">
        <v>0</v>
      </c>
      <c r="BC14" s="111">
        <v>0</v>
      </c>
      <c r="BD14" s="111">
        <v>0</v>
      </c>
      <c r="BE14" s="111">
        <v>0</v>
      </c>
      <c r="BF14" s="111">
        <v>0</v>
      </c>
      <c r="BG14" s="111">
        <v>0</v>
      </c>
      <c r="BH14" s="111">
        <v>0</v>
      </c>
      <c r="BI14" s="111">
        <v>0</v>
      </c>
      <c r="BJ14" s="410">
        <v>-249.58299999999983</v>
      </c>
      <c r="BK14" s="111">
        <v>412.37700000000001</v>
      </c>
      <c r="BL14" s="102"/>
      <c r="BM14" s="102"/>
    </row>
    <row r="15" spans="1:65">
      <c r="A15" s="406"/>
      <c r="B15" s="408" t="s">
        <v>663</v>
      </c>
      <c r="C15" s="119" t="s">
        <v>664</v>
      </c>
      <c r="D15" s="107">
        <v>388.57499999999999</v>
      </c>
      <c r="E15" s="107">
        <v>2961.2620000000002</v>
      </c>
      <c r="F15" s="107">
        <v>16592.715</v>
      </c>
      <c r="G15" s="411">
        <v>53985.847999999998</v>
      </c>
      <c r="H15" s="107">
        <v>991.73</v>
      </c>
      <c r="I15" s="107">
        <v>3.2000000000000001E-2</v>
      </c>
      <c r="J15" s="107">
        <v>27.033999999999999</v>
      </c>
      <c r="K15" s="107">
        <v>2.1999999999999999E-2</v>
      </c>
      <c r="L15" s="107">
        <v>184.83199999999999</v>
      </c>
      <c r="M15" s="107">
        <v>0</v>
      </c>
      <c r="N15" s="107">
        <v>0</v>
      </c>
      <c r="O15" s="107">
        <v>0</v>
      </c>
      <c r="P15" s="107">
        <v>0</v>
      </c>
      <c r="Q15" s="107">
        <v>59481.947</v>
      </c>
      <c r="R15" s="107">
        <v>-66.091999999999999</v>
      </c>
      <c r="S15" s="107">
        <v>152865.46</v>
      </c>
      <c r="T15" s="107">
        <v>24350.847000000002</v>
      </c>
      <c r="U15" s="107">
        <v>-0.93700000000000006</v>
      </c>
      <c r="V15" s="107">
        <v>-171.018</v>
      </c>
      <c r="W15" s="107">
        <v>403.517</v>
      </c>
      <c r="X15" s="107">
        <v>8125.009</v>
      </c>
      <c r="Y15" s="107">
        <v>2131.4050000000002</v>
      </c>
      <c r="Z15" s="107">
        <v>-11762.874</v>
      </c>
      <c r="AA15" s="107">
        <v>1.2410000000000001</v>
      </c>
      <c r="AB15" s="107">
        <v>0</v>
      </c>
      <c r="AC15" s="107">
        <v>-14869.602999999999</v>
      </c>
      <c r="AD15" s="107">
        <v>-4272.8599999999997</v>
      </c>
      <c r="AE15" s="107">
        <v>-30214.654999999999</v>
      </c>
      <c r="AF15" s="107">
        <v>-2.0150000000000001</v>
      </c>
      <c r="AG15" s="107">
        <v>9.8190000000000008</v>
      </c>
      <c r="AH15" s="107">
        <v>-13373.967000000001</v>
      </c>
      <c r="AI15" s="107">
        <v>16095.442999999999</v>
      </c>
      <c r="AJ15" s="107">
        <v>-246.285</v>
      </c>
      <c r="AK15" s="107">
        <v>-3955.056</v>
      </c>
      <c r="AL15" s="107">
        <v>-1453.181</v>
      </c>
      <c r="AM15" s="107">
        <v>-8.3140000000000001</v>
      </c>
      <c r="AN15" s="107">
        <v>-6.4189999999999996</v>
      </c>
      <c r="AO15" s="107">
        <v>-2496.4459999999999</v>
      </c>
      <c r="AP15" s="107">
        <v>2153.37</v>
      </c>
      <c r="AQ15" s="107">
        <v>984.68200000000002</v>
      </c>
      <c r="AR15" s="107">
        <v>742.01400000000001</v>
      </c>
      <c r="AS15" s="107">
        <v>3166.317</v>
      </c>
      <c r="AT15" s="107">
        <v>101.807</v>
      </c>
      <c r="AU15" s="107">
        <v>69.388999999999996</v>
      </c>
      <c r="AV15" s="107">
        <v>0</v>
      </c>
      <c r="AW15" s="107">
        <v>681.63199999999995</v>
      </c>
      <c r="AX15" s="107">
        <v>352.34</v>
      </c>
      <c r="AY15" s="107">
        <v>0</v>
      </c>
      <c r="AZ15" s="107">
        <v>37499.504999999997</v>
      </c>
      <c r="BA15" s="107">
        <v>755.05600000000004</v>
      </c>
      <c r="BB15" s="107">
        <v>279.64999999999998</v>
      </c>
      <c r="BC15" s="107">
        <v>6544.6930000000002</v>
      </c>
      <c r="BD15" s="107">
        <v>25.035</v>
      </c>
      <c r="BE15" s="107">
        <v>90.278999999999996</v>
      </c>
      <c r="BF15" s="107">
        <v>717.69399999999996</v>
      </c>
      <c r="BG15" s="107">
        <v>0</v>
      </c>
      <c r="BH15" s="107">
        <v>0</v>
      </c>
      <c r="BI15" s="107">
        <v>69.334000000000003</v>
      </c>
      <c r="BJ15" s="411">
        <v>309929.81300000002</v>
      </c>
      <c r="BK15" s="107">
        <v>17067.475999999999</v>
      </c>
      <c r="BL15" s="102"/>
      <c r="BM15" s="102"/>
    </row>
    <row r="16" spans="1:65">
      <c r="A16" s="406"/>
      <c r="B16" s="408" t="s">
        <v>665</v>
      </c>
      <c r="C16" s="119" t="s">
        <v>666</v>
      </c>
      <c r="D16" s="107">
        <v>-388.57499999999999</v>
      </c>
      <c r="E16" s="107">
        <v>-281.57900000000001</v>
      </c>
      <c r="F16" s="107">
        <v>-16592.715</v>
      </c>
      <c r="G16" s="411">
        <v>-50226.423000000003</v>
      </c>
      <c r="H16" s="107">
        <v>-991.73</v>
      </c>
      <c r="I16" s="107">
        <v>0</v>
      </c>
      <c r="J16" s="107">
        <v>0</v>
      </c>
      <c r="K16" s="107">
        <v>195.5</v>
      </c>
      <c r="L16" s="107">
        <v>511.74</v>
      </c>
      <c r="M16" s="107">
        <v>505.601</v>
      </c>
      <c r="N16" s="107">
        <v>2567.1869999999999</v>
      </c>
      <c r="O16" s="107">
        <v>2173.64</v>
      </c>
      <c r="P16" s="107">
        <v>155.696</v>
      </c>
      <c r="Q16" s="107">
        <v>-56679.084000000003</v>
      </c>
      <c r="R16" s="107">
        <v>24617.707999999999</v>
      </c>
      <c r="S16" s="107">
        <v>-152865.46</v>
      </c>
      <c r="T16" s="107">
        <v>-24263.627</v>
      </c>
      <c r="U16" s="107">
        <v>0.93700000000000006</v>
      </c>
      <c r="V16" s="107">
        <v>171.018</v>
      </c>
      <c r="W16" s="107">
        <v>2418.3879999999999</v>
      </c>
      <c r="X16" s="107">
        <v>-456.35899999999998</v>
      </c>
      <c r="Y16" s="107">
        <v>1894.5730000000001</v>
      </c>
      <c r="Z16" s="107">
        <v>22651.091</v>
      </c>
      <c r="AA16" s="107">
        <v>0</v>
      </c>
      <c r="AB16" s="107">
        <v>0</v>
      </c>
      <c r="AC16" s="107">
        <v>17031.932000000001</v>
      </c>
      <c r="AD16" s="107">
        <v>6389.0810000000001</v>
      </c>
      <c r="AE16" s="107">
        <v>51982.148000000001</v>
      </c>
      <c r="AF16" s="107">
        <v>148.57300000000001</v>
      </c>
      <c r="AG16" s="107">
        <v>14.683999999999999</v>
      </c>
      <c r="AH16" s="107">
        <v>14201.264999999999</v>
      </c>
      <c r="AI16" s="107">
        <v>27483.276999999998</v>
      </c>
      <c r="AJ16" s="107">
        <v>420.99599999999998</v>
      </c>
      <c r="AK16" s="107">
        <v>5096.0110000000004</v>
      </c>
      <c r="AL16" s="107">
        <v>2791.1979999999999</v>
      </c>
      <c r="AM16" s="107">
        <v>32.198999999999998</v>
      </c>
      <c r="AN16" s="107">
        <v>496.20499999999998</v>
      </c>
      <c r="AO16" s="107">
        <v>5206.5820000000003</v>
      </c>
      <c r="AP16" s="107">
        <v>-408.11799999999999</v>
      </c>
      <c r="AQ16" s="107">
        <v>-284.74799999999999</v>
      </c>
      <c r="AR16" s="107">
        <v>-305.303</v>
      </c>
      <c r="AS16" s="107">
        <v>-2310.9839999999999</v>
      </c>
      <c r="AT16" s="107">
        <v>-44.061999999999998</v>
      </c>
      <c r="AU16" s="107">
        <v>-69.204999999999998</v>
      </c>
      <c r="AV16" s="107">
        <v>0</v>
      </c>
      <c r="AW16" s="107">
        <v>0</v>
      </c>
      <c r="AX16" s="107">
        <v>-352.34</v>
      </c>
      <c r="AY16" s="107">
        <v>0</v>
      </c>
      <c r="AZ16" s="107">
        <v>-37499.504999999997</v>
      </c>
      <c r="BA16" s="107">
        <v>-755.05600000000004</v>
      </c>
      <c r="BB16" s="107">
        <v>0</v>
      </c>
      <c r="BC16" s="107">
        <v>-6544.6930000000002</v>
      </c>
      <c r="BD16" s="107">
        <v>0</v>
      </c>
      <c r="BE16" s="107">
        <v>-90.278999999999996</v>
      </c>
      <c r="BF16" s="107">
        <v>-717.69399999999996</v>
      </c>
      <c r="BG16" s="107">
        <v>0</v>
      </c>
      <c r="BH16" s="411">
        <v>54386.06</v>
      </c>
      <c r="BI16" s="107">
        <v>7120.8280000000004</v>
      </c>
      <c r="BJ16" s="411">
        <v>-101463.42100000007</v>
      </c>
      <c r="BK16" s="107">
        <v>-4567.5730000000003</v>
      </c>
      <c r="BL16" s="102"/>
      <c r="BM16" s="102"/>
    </row>
    <row r="17" spans="1:65">
      <c r="A17" s="406"/>
      <c r="B17" s="412" t="s">
        <v>667</v>
      </c>
      <c r="C17" s="132" t="s">
        <v>668</v>
      </c>
      <c r="D17" s="100">
        <v>-188.4</v>
      </c>
      <c r="E17" s="100">
        <v>-281.57900000000001</v>
      </c>
      <c r="F17" s="100">
        <v>0</v>
      </c>
      <c r="G17" s="261">
        <v>-42353.292000000001</v>
      </c>
      <c r="H17" s="100">
        <v>-991.73</v>
      </c>
      <c r="I17" s="100">
        <v>0</v>
      </c>
      <c r="J17" s="100">
        <v>0</v>
      </c>
      <c r="K17" s="100">
        <v>0</v>
      </c>
      <c r="L17" s="100">
        <v>0</v>
      </c>
      <c r="M17" s="100">
        <v>0</v>
      </c>
      <c r="N17" s="100">
        <v>-679.89599999999996</v>
      </c>
      <c r="O17" s="100">
        <v>-2731.0030000000002</v>
      </c>
      <c r="P17" s="100">
        <v>-898.37199999999996</v>
      </c>
      <c r="Q17" s="100">
        <v>-21372.273000000001</v>
      </c>
      <c r="R17" s="100">
        <v>-4.1539999999999999</v>
      </c>
      <c r="S17" s="100">
        <v>0</v>
      </c>
      <c r="T17" s="100">
        <v>0</v>
      </c>
      <c r="U17" s="100">
        <v>0</v>
      </c>
      <c r="V17" s="100">
        <v>0</v>
      </c>
      <c r="W17" s="100">
        <v>-339.685</v>
      </c>
      <c r="X17" s="100">
        <v>-86.629000000000005</v>
      </c>
      <c r="Y17" s="100">
        <v>-0.50600000000000001</v>
      </c>
      <c r="Z17" s="100">
        <v>-1.7000000000000001E-2</v>
      </c>
      <c r="AA17" s="100">
        <v>0</v>
      </c>
      <c r="AB17" s="100">
        <v>0</v>
      </c>
      <c r="AC17" s="100">
        <v>0</v>
      </c>
      <c r="AD17" s="100">
        <v>-201.78299999999999</v>
      </c>
      <c r="AE17" s="100">
        <v>-138.215</v>
      </c>
      <c r="AF17" s="100">
        <v>0</v>
      </c>
      <c r="AG17" s="100">
        <v>0</v>
      </c>
      <c r="AH17" s="100">
        <v>-135.274</v>
      </c>
      <c r="AI17" s="100">
        <v>0</v>
      </c>
      <c r="AJ17" s="100">
        <v>0</v>
      </c>
      <c r="AK17" s="100">
        <v>0</v>
      </c>
      <c r="AL17" s="100">
        <v>0</v>
      </c>
      <c r="AM17" s="100">
        <v>0</v>
      </c>
      <c r="AN17" s="100">
        <v>0</v>
      </c>
      <c r="AO17" s="100">
        <v>0</v>
      </c>
      <c r="AP17" s="100">
        <v>-160.24600000000001</v>
      </c>
      <c r="AQ17" s="100">
        <v>-101.533</v>
      </c>
      <c r="AR17" s="100">
        <v>-26.895</v>
      </c>
      <c r="AS17" s="100">
        <v>-1288.354</v>
      </c>
      <c r="AT17" s="100">
        <v>-39.857999999999997</v>
      </c>
      <c r="AU17" s="100">
        <v>-44.04</v>
      </c>
      <c r="AV17" s="100">
        <v>0</v>
      </c>
      <c r="AW17" s="100">
        <v>0</v>
      </c>
      <c r="AX17" s="100">
        <v>-352.34</v>
      </c>
      <c r="AY17" s="100">
        <v>0</v>
      </c>
      <c r="AZ17" s="100">
        <v>-37499.504999999997</v>
      </c>
      <c r="BA17" s="100">
        <v>-755.05600000000004</v>
      </c>
      <c r="BB17" s="100">
        <v>0</v>
      </c>
      <c r="BC17" s="100">
        <v>-6544.6930000000002</v>
      </c>
      <c r="BD17" s="100">
        <v>0</v>
      </c>
      <c r="BE17" s="100">
        <v>-90.278999999999996</v>
      </c>
      <c r="BF17" s="100">
        <v>-717.69399999999996</v>
      </c>
      <c r="BG17" s="100">
        <v>-1153.529</v>
      </c>
      <c r="BH17" s="261">
        <v>48693.067999999999</v>
      </c>
      <c r="BI17" s="100">
        <v>0</v>
      </c>
      <c r="BJ17" s="261">
        <v>-70483.761999999988</v>
      </c>
      <c r="BK17" s="100">
        <v>-16341.981</v>
      </c>
      <c r="BL17" s="102"/>
      <c r="BM17" s="102"/>
    </row>
    <row r="18" spans="1:65">
      <c r="A18" s="406"/>
      <c r="B18" s="413" t="s">
        <v>669</v>
      </c>
      <c r="C18" s="132" t="s">
        <v>670</v>
      </c>
      <c r="D18" s="100">
        <v>-188.4</v>
      </c>
      <c r="E18" s="100">
        <v>-281.57900000000001</v>
      </c>
      <c r="F18" s="100">
        <v>0</v>
      </c>
      <c r="G18" s="261">
        <v>-42325.224000000002</v>
      </c>
      <c r="H18" s="100">
        <v>-991.73</v>
      </c>
      <c r="I18" s="100">
        <v>0</v>
      </c>
      <c r="J18" s="100">
        <v>0</v>
      </c>
      <c r="K18" s="100">
        <v>0</v>
      </c>
      <c r="L18" s="100">
        <v>0</v>
      </c>
      <c r="M18" s="100">
        <v>0</v>
      </c>
      <c r="N18" s="100">
        <v>0</v>
      </c>
      <c r="O18" s="100">
        <v>0</v>
      </c>
      <c r="P18" s="100">
        <v>-418.50799999999998</v>
      </c>
      <c r="Q18" s="100">
        <v>-21052.742999999999</v>
      </c>
      <c r="R18" s="100">
        <v>0</v>
      </c>
      <c r="S18" s="100">
        <v>0</v>
      </c>
      <c r="T18" s="100">
        <v>0</v>
      </c>
      <c r="U18" s="100">
        <v>0</v>
      </c>
      <c r="V18" s="100">
        <v>0</v>
      </c>
      <c r="W18" s="100">
        <v>0</v>
      </c>
      <c r="X18" s="100">
        <v>-86.629000000000005</v>
      </c>
      <c r="Y18" s="100">
        <v>-0.50600000000000001</v>
      </c>
      <c r="Z18" s="100">
        <v>-1.7000000000000001E-2</v>
      </c>
      <c r="AA18" s="100">
        <v>0</v>
      </c>
      <c r="AB18" s="100">
        <v>0</v>
      </c>
      <c r="AC18" s="100">
        <v>0</v>
      </c>
      <c r="AD18" s="100">
        <v>-201.78299999999999</v>
      </c>
      <c r="AE18" s="100">
        <v>-138.209</v>
      </c>
      <c r="AF18" s="100">
        <v>0</v>
      </c>
      <c r="AG18" s="100">
        <v>0</v>
      </c>
      <c r="AH18" s="100">
        <v>-118.94499999999999</v>
      </c>
      <c r="AI18" s="100">
        <v>0</v>
      </c>
      <c r="AJ18" s="100">
        <v>0</v>
      </c>
      <c r="AK18" s="100">
        <v>0</v>
      </c>
      <c r="AL18" s="100">
        <v>0</v>
      </c>
      <c r="AM18" s="100">
        <v>0</v>
      </c>
      <c r="AN18" s="100">
        <v>0</v>
      </c>
      <c r="AO18" s="100">
        <v>0</v>
      </c>
      <c r="AP18" s="100">
        <v>-87.105999999999995</v>
      </c>
      <c r="AQ18" s="100">
        <v>-54.85</v>
      </c>
      <c r="AR18" s="100">
        <v>-26.895</v>
      </c>
      <c r="AS18" s="100">
        <v>-1250.6610000000001</v>
      </c>
      <c r="AT18" s="100">
        <v>-30.96</v>
      </c>
      <c r="AU18" s="100">
        <v>-44.04</v>
      </c>
      <c r="AV18" s="100">
        <v>0</v>
      </c>
      <c r="AW18" s="100">
        <v>0</v>
      </c>
      <c r="AX18" s="100">
        <v>-352.34</v>
      </c>
      <c r="AY18" s="100">
        <v>0</v>
      </c>
      <c r="AZ18" s="100">
        <v>-37499.504999999997</v>
      </c>
      <c r="BA18" s="100">
        <v>-754.27099999999996</v>
      </c>
      <c r="BB18" s="100">
        <v>0</v>
      </c>
      <c r="BC18" s="100">
        <v>-5745.57</v>
      </c>
      <c r="BD18" s="100">
        <v>0</v>
      </c>
      <c r="BE18" s="100">
        <v>-90.278999999999996</v>
      </c>
      <c r="BF18" s="100">
        <v>-715.43600000000004</v>
      </c>
      <c r="BG18" s="100">
        <v>-1135.223</v>
      </c>
      <c r="BH18" s="261">
        <v>46149.03</v>
      </c>
      <c r="BI18" s="100">
        <v>0</v>
      </c>
      <c r="BJ18" s="261">
        <v>-67442.379000000015</v>
      </c>
      <c r="BK18" s="100">
        <v>-11124.647000000001</v>
      </c>
      <c r="BL18" s="102"/>
      <c r="BM18" s="102"/>
    </row>
    <row r="19" spans="1:65">
      <c r="A19" s="406"/>
      <c r="B19" s="413" t="s">
        <v>671</v>
      </c>
      <c r="C19" s="132" t="s">
        <v>672</v>
      </c>
      <c r="D19" s="100">
        <v>0</v>
      </c>
      <c r="E19" s="100">
        <v>0</v>
      </c>
      <c r="F19" s="100">
        <v>0</v>
      </c>
      <c r="G19" s="100">
        <v>-28.067</v>
      </c>
      <c r="H19" s="100">
        <v>0</v>
      </c>
      <c r="I19" s="100">
        <v>0</v>
      </c>
      <c r="J19" s="100">
        <v>0</v>
      </c>
      <c r="K19" s="100">
        <v>0</v>
      </c>
      <c r="L19" s="100">
        <v>0</v>
      </c>
      <c r="M19" s="100">
        <v>0</v>
      </c>
      <c r="N19" s="100">
        <v>-679.89599999999996</v>
      </c>
      <c r="O19" s="100">
        <v>-2731.0030000000002</v>
      </c>
      <c r="P19" s="100">
        <v>-479.863</v>
      </c>
      <c r="Q19" s="100">
        <v>-319.52999999999997</v>
      </c>
      <c r="R19" s="100">
        <v>-4.1539999999999999</v>
      </c>
      <c r="S19" s="100">
        <v>0</v>
      </c>
      <c r="T19" s="100">
        <v>0</v>
      </c>
      <c r="U19" s="100">
        <v>0</v>
      </c>
      <c r="V19" s="100">
        <v>0</v>
      </c>
      <c r="W19" s="100">
        <v>-339.685</v>
      </c>
      <c r="X19" s="100">
        <v>0</v>
      </c>
      <c r="Y19" s="100">
        <v>0</v>
      </c>
      <c r="Z19" s="100">
        <v>0</v>
      </c>
      <c r="AA19" s="100">
        <v>0</v>
      </c>
      <c r="AB19" s="100">
        <v>0</v>
      </c>
      <c r="AC19" s="100">
        <v>0</v>
      </c>
      <c r="AD19" s="100">
        <v>0</v>
      </c>
      <c r="AE19" s="100">
        <v>-7.0000000000000001E-3</v>
      </c>
      <c r="AF19" s="100">
        <v>0</v>
      </c>
      <c r="AG19" s="100">
        <v>0</v>
      </c>
      <c r="AH19" s="100">
        <v>-16.329000000000001</v>
      </c>
      <c r="AI19" s="100">
        <v>0</v>
      </c>
      <c r="AJ19" s="100">
        <v>0</v>
      </c>
      <c r="AK19" s="100">
        <v>0</v>
      </c>
      <c r="AL19" s="100">
        <v>0</v>
      </c>
      <c r="AM19" s="100">
        <v>0</v>
      </c>
      <c r="AN19" s="100">
        <v>0</v>
      </c>
      <c r="AO19" s="100">
        <v>0</v>
      </c>
      <c r="AP19" s="100">
        <v>-73.14</v>
      </c>
      <c r="AQ19" s="100">
        <v>-46.683999999999997</v>
      </c>
      <c r="AR19" s="100">
        <v>0</v>
      </c>
      <c r="AS19" s="100">
        <v>-37.692999999999998</v>
      </c>
      <c r="AT19" s="100">
        <v>-8.8970000000000002</v>
      </c>
      <c r="AU19" s="100">
        <v>0</v>
      </c>
      <c r="AV19" s="100">
        <v>0</v>
      </c>
      <c r="AW19" s="100">
        <v>0</v>
      </c>
      <c r="AX19" s="100">
        <v>0</v>
      </c>
      <c r="AY19" s="100">
        <v>0</v>
      </c>
      <c r="AZ19" s="100">
        <v>0</v>
      </c>
      <c r="BA19" s="100">
        <v>-0.78500000000000003</v>
      </c>
      <c r="BB19" s="100">
        <v>0</v>
      </c>
      <c r="BC19" s="100">
        <v>-799.12300000000005</v>
      </c>
      <c r="BD19" s="100">
        <v>0</v>
      </c>
      <c r="BE19" s="100">
        <v>0</v>
      </c>
      <c r="BF19" s="100">
        <v>-2.258</v>
      </c>
      <c r="BG19" s="100">
        <v>-18.306999999999999</v>
      </c>
      <c r="BH19" s="100">
        <v>2544.0369999999998</v>
      </c>
      <c r="BI19" s="100">
        <v>0</v>
      </c>
      <c r="BJ19" s="100">
        <v>-3041.3840000000014</v>
      </c>
      <c r="BK19" s="100">
        <v>-5217.3339999999998</v>
      </c>
      <c r="BL19" s="102"/>
      <c r="BM19" s="102"/>
    </row>
    <row r="20" spans="1:65">
      <c r="A20" s="406"/>
      <c r="B20" s="412" t="s">
        <v>673</v>
      </c>
      <c r="C20" s="132" t="s">
        <v>674</v>
      </c>
      <c r="D20" s="100">
        <v>0</v>
      </c>
      <c r="E20" s="100">
        <v>0</v>
      </c>
      <c r="F20" s="100">
        <v>0</v>
      </c>
      <c r="G20" s="100">
        <v>-3234.4650000000001</v>
      </c>
      <c r="H20" s="100">
        <v>0</v>
      </c>
      <c r="I20" s="100">
        <v>0</v>
      </c>
      <c r="J20" s="100">
        <v>0</v>
      </c>
      <c r="K20" s="100">
        <v>0</v>
      </c>
      <c r="L20" s="100">
        <v>0</v>
      </c>
      <c r="M20" s="100">
        <v>0</v>
      </c>
      <c r="N20" s="100">
        <v>0</v>
      </c>
      <c r="O20" s="100">
        <v>0</v>
      </c>
      <c r="P20" s="100">
        <v>0</v>
      </c>
      <c r="Q20" s="100">
        <v>-9592.3510000000006</v>
      </c>
      <c r="R20" s="100">
        <v>-459.149</v>
      </c>
      <c r="S20" s="100">
        <v>0</v>
      </c>
      <c r="T20" s="100">
        <v>0</v>
      </c>
      <c r="U20" s="100">
        <v>0</v>
      </c>
      <c r="V20" s="100">
        <v>0</v>
      </c>
      <c r="W20" s="100">
        <v>-690.37800000000004</v>
      </c>
      <c r="X20" s="100">
        <v>-193.11699999999999</v>
      </c>
      <c r="Y20" s="100">
        <v>0</v>
      </c>
      <c r="Z20" s="100">
        <v>0</v>
      </c>
      <c r="AA20" s="100">
        <v>0</v>
      </c>
      <c r="AB20" s="100">
        <v>0</v>
      </c>
      <c r="AC20" s="100">
        <v>0</v>
      </c>
      <c r="AD20" s="100">
        <v>-0.20499999999999999</v>
      </c>
      <c r="AE20" s="100">
        <v>-1.7999999999999999E-2</v>
      </c>
      <c r="AF20" s="100">
        <v>0</v>
      </c>
      <c r="AG20" s="100">
        <v>0</v>
      </c>
      <c r="AH20" s="100">
        <v>-70.132000000000005</v>
      </c>
      <c r="AI20" s="100">
        <v>0</v>
      </c>
      <c r="AJ20" s="100">
        <v>0</v>
      </c>
      <c r="AK20" s="100">
        <v>0</v>
      </c>
      <c r="AL20" s="100">
        <v>0</v>
      </c>
      <c r="AM20" s="100">
        <v>0</v>
      </c>
      <c r="AN20" s="100">
        <v>0</v>
      </c>
      <c r="AO20" s="100">
        <v>-966.78499999999997</v>
      </c>
      <c r="AP20" s="100">
        <v>-8.984</v>
      </c>
      <c r="AQ20" s="100">
        <v>-183.215</v>
      </c>
      <c r="AR20" s="100">
        <v>-246.29400000000001</v>
      </c>
      <c r="AS20" s="100">
        <v>-740.94399999999996</v>
      </c>
      <c r="AT20" s="100">
        <v>-2.1840000000000002</v>
      </c>
      <c r="AU20" s="100">
        <v>-0.82499999999999996</v>
      </c>
      <c r="AV20" s="100">
        <v>0</v>
      </c>
      <c r="AW20" s="100">
        <v>0</v>
      </c>
      <c r="AX20" s="100">
        <v>0</v>
      </c>
      <c r="AY20" s="100">
        <v>0</v>
      </c>
      <c r="AZ20" s="100">
        <v>0</v>
      </c>
      <c r="BA20" s="100">
        <v>0</v>
      </c>
      <c r="BB20" s="100">
        <v>0</v>
      </c>
      <c r="BC20" s="100">
        <v>0</v>
      </c>
      <c r="BD20" s="100">
        <v>0</v>
      </c>
      <c r="BE20" s="100">
        <v>0</v>
      </c>
      <c r="BF20" s="100">
        <v>0</v>
      </c>
      <c r="BG20" s="100">
        <v>0</v>
      </c>
      <c r="BH20" s="100">
        <v>5678.683</v>
      </c>
      <c r="BI20" s="100">
        <v>6580.2820000000002</v>
      </c>
      <c r="BJ20" s="100">
        <v>-4130.081000000001</v>
      </c>
      <c r="BK20" s="100">
        <v>-1872.8240000000001</v>
      </c>
      <c r="BL20" s="102"/>
      <c r="BM20" s="102"/>
    </row>
    <row r="21" spans="1:65">
      <c r="A21" s="406"/>
      <c r="B21" s="413" t="s">
        <v>675</v>
      </c>
      <c r="C21" s="132" t="s">
        <v>676</v>
      </c>
      <c r="D21" s="100">
        <v>0</v>
      </c>
      <c r="E21" s="100">
        <v>0</v>
      </c>
      <c r="F21" s="100">
        <v>0</v>
      </c>
      <c r="G21" s="100">
        <v>0</v>
      </c>
      <c r="H21" s="100">
        <v>0</v>
      </c>
      <c r="I21" s="100">
        <v>0</v>
      </c>
      <c r="J21" s="100">
        <v>0</v>
      </c>
      <c r="K21" s="100">
        <v>0</v>
      </c>
      <c r="L21" s="100">
        <v>0</v>
      </c>
      <c r="M21" s="100">
        <v>0</v>
      </c>
      <c r="N21" s="100">
        <v>0</v>
      </c>
      <c r="O21" s="100">
        <v>0</v>
      </c>
      <c r="P21" s="100">
        <v>0</v>
      </c>
      <c r="Q21" s="100">
        <v>-8585.4339999999993</v>
      </c>
      <c r="R21" s="100">
        <v>-372.447</v>
      </c>
      <c r="S21" s="100">
        <v>0</v>
      </c>
      <c r="T21" s="100">
        <v>0</v>
      </c>
      <c r="U21" s="100">
        <v>0</v>
      </c>
      <c r="V21" s="100">
        <v>0</v>
      </c>
      <c r="W21" s="100">
        <v>0</v>
      </c>
      <c r="X21" s="100">
        <v>-82.128</v>
      </c>
      <c r="Y21" s="100">
        <v>0</v>
      </c>
      <c r="Z21" s="100">
        <v>0</v>
      </c>
      <c r="AA21" s="100">
        <v>0</v>
      </c>
      <c r="AB21" s="100">
        <v>0</v>
      </c>
      <c r="AC21" s="100">
        <v>0</v>
      </c>
      <c r="AD21" s="100">
        <v>-0.20499999999999999</v>
      </c>
      <c r="AE21" s="100">
        <v>-1.7999999999999999E-2</v>
      </c>
      <c r="AF21" s="100">
        <v>0</v>
      </c>
      <c r="AG21" s="100">
        <v>0</v>
      </c>
      <c r="AH21" s="100">
        <v>-18.768999999999998</v>
      </c>
      <c r="AI21" s="100">
        <v>0</v>
      </c>
      <c r="AJ21" s="100">
        <v>0</v>
      </c>
      <c r="AK21" s="100">
        <v>0</v>
      </c>
      <c r="AL21" s="100">
        <v>0</v>
      </c>
      <c r="AM21" s="100">
        <v>0</v>
      </c>
      <c r="AN21" s="100">
        <v>0</v>
      </c>
      <c r="AO21" s="100">
        <v>0</v>
      </c>
      <c r="AP21" s="100">
        <v>-4.5469999999999997</v>
      </c>
      <c r="AQ21" s="100">
        <v>-171.17099999999999</v>
      </c>
      <c r="AR21" s="100">
        <v>-20.013000000000002</v>
      </c>
      <c r="AS21" s="100">
        <v>-24.492000000000001</v>
      </c>
      <c r="AT21" s="100">
        <v>-1.0349999999999999</v>
      </c>
      <c r="AU21" s="100">
        <v>0</v>
      </c>
      <c r="AV21" s="100">
        <v>0</v>
      </c>
      <c r="AW21" s="100">
        <v>0</v>
      </c>
      <c r="AX21" s="100">
        <v>0</v>
      </c>
      <c r="AY21" s="100">
        <v>0</v>
      </c>
      <c r="AZ21" s="100">
        <v>0</v>
      </c>
      <c r="BA21" s="100">
        <v>0</v>
      </c>
      <c r="BB21" s="100">
        <v>0</v>
      </c>
      <c r="BC21" s="100">
        <v>0</v>
      </c>
      <c r="BD21" s="100">
        <v>0</v>
      </c>
      <c r="BE21" s="100">
        <v>0</v>
      </c>
      <c r="BF21" s="100">
        <v>0</v>
      </c>
      <c r="BG21" s="100">
        <v>0</v>
      </c>
      <c r="BH21" s="100">
        <v>3713.866</v>
      </c>
      <c r="BI21" s="100">
        <v>2886.7240000000002</v>
      </c>
      <c r="BJ21" s="100">
        <v>-2679.6690000000017</v>
      </c>
      <c r="BK21" s="100">
        <v>-221.25800000000001</v>
      </c>
      <c r="BL21" s="102"/>
      <c r="BM21" s="102"/>
    </row>
    <row r="22" spans="1:65">
      <c r="A22" s="406"/>
      <c r="B22" s="413" t="s">
        <v>677</v>
      </c>
      <c r="C22" s="132" t="s">
        <v>678</v>
      </c>
      <c r="D22" s="100">
        <v>0</v>
      </c>
      <c r="E22" s="100">
        <v>0</v>
      </c>
      <c r="F22" s="100">
        <v>0</v>
      </c>
      <c r="G22" s="100">
        <v>-3234.4650000000001</v>
      </c>
      <c r="H22" s="100">
        <v>0</v>
      </c>
      <c r="I22" s="100">
        <v>0</v>
      </c>
      <c r="J22" s="100">
        <v>0</v>
      </c>
      <c r="K22" s="100">
        <v>0</v>
      </c>
      <c r="L22" s="100">
        <v>0</v>
      </c>
      <c r="M22" s="100">
        <v>0</v>
      </c>
      <c r="N22" s="100">
        <v>0</v>
      </c>
      <c r="O22" s="100">
        <v>0</v>
      </c>
      <c r="P22" s="100">
        <v>0</v>
      </c>
      <c r="Q22" s="100">
        <v>-1006.917</v>
      </c>
      <c r="R22" s="100">
        <v>-86.701999999999998</v>
      </c>
      <c r="S22" s="100">
        <v>0</v>
      </c>
      <c r="T22" s="100">
        <v>0</v>
      </c>
      <c r="U22" s="100">
        <v>0</v>
      </c>
      <c r="V22" s="100">
        <v>0</v>
      </c>
      <c r="W22" s="100">
        <v>-690.37800000000004</v>
      </c>
      <c r="X22" s="100">
        <v>-110.989</v>
      </c>
      <c r="Y22" s="100">
        <v>0</v>
      </c>
      <c r="Z22" s="100">
        <v>0</v>
      </c>
      <c r="AA22" s="100">
        <v>0</v>
      </c>
      <c r="AB22" s="100">
        <v>0</v>
      </c>
      <c r="AC22" s="100">
        <v>0</v>
      </c>
      <c r="AD22" s="100">
        <v>0</v>
      </c>
      <c r="AE22" s="100">
        <v>0</v>
      </c>
      <c r="AF22" s="100">
        <v>0</v>
      </c>
      <c r="AG22" s="100">
        <v>0</v>
      </c>
      <c r="AH22" s="100">
        <v>-51.363</v>
      </c>
      <c r="AI22" s="100">
        <v>0</v>
      </c>
      <c r="AJ22" s="100">
        <v>0</v>
      </c>
      <c r="AK22" s="100">
        <v>0</v>
      </c>
      <c r="AL22" s="100">
        <v>0</v>
      </c>
      <c r="AM22" s="100">
        <v>0</v>
      </c>
      <c r="AN22" s="100">
        <v>0</v>
      </c>
      <c r="AO22" s="100">
        <v>-966.78499999999997</v>
      </c>
      <c r="AP22" s="100">
        <v>-4.4370000000000003</v>
      </c>
      <c r="AQ22" s="100">
        <v>-12.044</v>
      </c>
      <c r="AR22" s="100">
        <v>-226.28100000000001</v>
      </c>
      <c r="AS22" s="100">
        <v>-716.45100000000002</v>
      </c>
      <c r="AT22" s="100">
        <v>-1.149</v>
      </c>
      <c r="AU22" s="100">
        <v>-0.82499999999999996</v>
      </c>
      <c r="AV22" s="100">
        <v>0</v>
      </c>
      <c r="AW22" s="100">
        <v>0</v>
      </c>
      <c r="AX22" s="100">
        <v>0</v>
      </c>
      <c r="AY22" s="100">
        <v>0</v>
      </c>
      <c r="AZ22" s="100">
        <v>0</v>
      </c>
      <c r="BA22" s="100">
        <v>0</v>
      </c>
      <c r="BB22" s="100">
        <v>0</v>
      </c>
      <c r="BC22" s="100">
        <v>0</v>
      </c>
      <c r="BD22" s="100">
        <v>0</v>
      </c>
      <c r="BE22" s="100">
        <v>0</v>
      </c>
      <c r="BF22" s="100">
        <v>0</v>
      </c>
      <c r="BG22" s="100">
        <v>0</v>
      </c>
      <c r="BH22" s="100">
        <v>1964.817</v>
      </c>
      <c r="BI22" s="100">
        <v>3693.5590000000002</v>
      </c>
      <c r="BJ22" s="100">
        <v>-1450.4099999999999</v>
      </c>
      <c r="BK22" s="100">
        <v>-1651.5650000000001</v>
      </c>
      <c r="BL22" s="102"/>
      <c r="BM22" s="102"/>
    </row>
    <row r="23" spans="1:65">
      <c r="A23" s="406"/>
      <c r="B23" s="412" t="s">
        <v>679</v>
      </c>
      <c r="C23" s="132" t="s">
        <v>680</v>
      </c>
      <c r="D23" s="100">
        <v>0</v>
      </c>
      <c r="E23" s="100">
        <v>0</v>
      </c>
      <c r="F23" s="100">
        <v>0</v>
      </c>
      <c r="G23" s="100">
        <v>0</v>
      </c>
      <c r="H23" s="100">
        <v>0</v>
      </c>
      <c r="I23" s="100">
        <v>0</v>
      </c>
      <c r="J23" s="100">
        <v>0</v>
      </c>
      <c r="K23" s="100">
        <v>0</v>
      </c>
      <c r="L23" s="100">
        <v>0</v>
      </c>
      <c r="M23" s="100">
        <v>0</v>
      </c>
      <c r="N23" s="100">
        <v>0</v>
      </c>
      <c r="O23" s="100">
        <v>0</v>
      </c>
      <c r="P23" s="100">
        <v>0</v>
      </c>
      <c r="Q23" s="100">
        <v>-20.867000000000001</v>
      </c>
      <c r="R23" s="100">
        <v>-339.69</v>
      </c>
      <c r="S23" s="100">
        <v>0</v>
      </c>
      <c r="T23" s="100">
        <v>0</v>
      </c>
      <c r="U23" s="100">
        <v>0</v>
      </c>
      <c r="V23" s="100">
        <v>0</v>
      </c>
      <c r="W23" s="100">
        <v>0</v>
      </c>
      <c r="X23" s="100">
        <v>-57.845999999999997</v>
      </c>
      <c r="Y23" s="100">
        <v>0</v>
      </c>
      <c r="Z23" s="100">
        <v>0</v>
      </c>
      <c r="AA23" s="100">
        <v>0</v>
      </c>
      <c r="AB23" s="100">
        <v>0</v>
      </c>
      <c r="AC23" s="100">
        <v>0</v>
      </c>
      <c r="AD23" s="100">
        <v>-33.557000000000002</v>
      </c>
      <c r="AE23" s="100">
        <v>-0.21199999999999999</v>
      </c>
      <c r="AF23" s="100">
        <v>0</v>
      </c>
      <c r="AG23" s="100">
        <v>0</v>
      </c>
      <c r="AH23" s="100">
        <v>-259.904</v>
      </c>
      <c r="AI23" s="100">
        <v>0</v>
      </c>
      <c r="AJ23" s="100">
        <v>0</v>
      </c>
      <c r="AK23" s="100">
        <v>0</v>
      </c>
      <c r="AL23" s="100">
        <v>0</v>
      </c>
      <c r="AM23" s="100">
        <v>0</v>
      </c>
      <c r="AN23" s="100">
        <v>0</v>
      </c>
      <c r="AO23" s="100">
        <v>-16.885999999999999</v>
      </c>
      <c r="AP23" s="100">
        <v>-238.88800000000001</v>
      </c>
      <c r="AQ23" s="100">
        <v>0</v>
      </c>
      <c r="AR23" s="100">
        <v>-32.113</v>
      </c>
      <c r="AS23" s="100">
        <v>-281.68700000000001</v>
      </c>
      <c r="AT23" s="100">
        <v>-2.0209999999999999</v>
      </c>
      <c r="AU23" s="100">
        <v>-24.338999999999999</v>
      </c>
      <c r="AV23" s="100">
        <v>0</v>
      </c>
      <c r="AW23" s="100">
        <v>0</v>
      </c>
      <c r="AX23" s="100">
        <v>0</v>
      </c>
      <c r="AY23" s="100">
        <v>0</v>
      </c>
      <c r="AZ23" s="100">
        <v>0</v>
      </c>
      <c r="BA23" s="100">
        <v>0</v>
      </c>
      <c r="BB23" s="100">
        <v>0</v>
      </c>
      <c r="BC23" s="100">
        <v>0</v>
      </c>
      <c r="BD23" s="100">
        <v>0</v>
      </c>
      <c r="BE23" s="100">
        <v>0</v>
      </c>
      <c r="BF23" s="100">
        <v>0</v>
      </c>
      <c r="BG23" s="100">
        <v>0</v>
      </c>
      <c r="BH23" s="100">
        <v>0</v>
      </c>
      <c r="BI23" s="100">
        <v>609.88</v>
      </c>
      <c r="BJ23" s="100">
        <v>-698.13</v>
      </c>
      <c r="BK23" s="100">
        <v>-579.04999999999995</v>
      </c>
      <c r="BL23" s="102"/>
      <c r="BM23" s="102"/>
    </row>
    <row r="24" spans="1:65">
      <c r="A24" s="406"/>
      <c r="B24" s="413" t="s">
        <v>681</v>
      </c>
      <c r="C24" s="132" t="s">
        <v>682</v>
      </c>
      <c r="D24" s="100">
        <v>0</v>
      </c>
      <c r="E24" s="100">
        <v>0</v>
      </c>
      <c r="F24" s="100">
        <v>0</v>
      </c>
      <c r="G24" s="100">
        <v>0</v>
      </c>
      <c r="H24" s="100">
        <v>0</v>
      </c>
      <c r="I24" s="100">
        <v>0</v>
      </c>
      <c r="J24" s="100">
        <v>0</v>
      </c>
      <c r="K24" s="100">
        <v>0</v>
      </c>
      <c r="L24" s="100">
        <v>0</v>
      </c>
      <c r="M24" s="100">
        <v>0</v>
      </c>
      <c r="N24" s="100">
        <v>0</v>
      </c>
      <c r="O24" s="100">
        <v>0</v>
      </c>
      <c r="P24" s="100">
        <v>0</v>
      </c>
      <c r="Q24" s="100">
        <v>-20.047000000000001</v>
      </c>
      <c r="R24" s="100">
        <v>-316.52600000000001</v>
      </c>
      <c r="S24" s="100">
        <v>0</v>
      </c>
      <c r="T24" s="100">
        <v>0</v>
      </c>
      <c r="U24" s="100">
        <v>0</v>
      </c>
      <c r="V24" s="100">
        <v>0</v>
      </c>
      <c r="W24" s="100">
        <v>0</v>
      </c>
      <c r="X24" s="100">
        <v>-50.042999999999999</v>
      </c>
      <c r="Y24" s="100">
        <v>0</v>
      </c>
      <c r="Z24" s="100">
        <v>0</v>
      </c>
      <c r="AA24" s="100">
        <v>0</v>
      </c>
      <c r="AB24" s="100">
        <v>0</v>
      </c>
      <c r="AC24" s="100">
        <v>0</v>
      </c>
      <c r="AD24" s="100">
        <v>-2.3149999999999999</v>
      </c>
      <c r="AE24" s="100">
        <v>0</v>
      </c>
      <c r="AF24" s="100">
        <v>0</v>
      </c>
      <c r="AG24" s="100">
        <v>0</v>
      </c>
      <c r="AH24" s="100">
        <v>-182.52099999999999</v>
      </c>
      <c r="AI24" s="100">
        <v>0</v>
      </c>
      <c r="AJ24" s="100">
        <v>0</v>
      </c>
      <c r="AK24" s="100">
        <v>0</v>
      </c>
      <c r="AL24" s="100">
        <v>0</v>
      </c>
      <c r="AM24" s="100">
        <v>0</v>
      </c>
      <c r="AN24" s="100">
        <v>0</v>
      </c>
      <c r="AO24" s="100">
        <v>0</v>
      </c>
      <c r="AP24" s="100">
        <v>0</v>
      </c>
      <c r="AQ24" s="100">
        <v>0</v>
      </c>
      <c r="AR24" s="100">
        <v>0</v>
      </c>
      <c r="AS24" s="100">
        <v>0</v>
      </c>
      <c r="AT24" s="100">
        <v>0</v>
      </c>
      <c r="AU24" s="100">
        <v>-24.338999999999999</v>
      </c>
      <c r="AV24" s="100">
        <v>0</v>
      </c>
      <c r="AW24" s="100">
        <v>0</v>
      </c>
      <c r="AX24" s="100">
        <v>0</v>
      </c>
      <c r="AY24" s="100">
        <v>0</v>
      </c>
      <c r="AZ24" s="100">
        <v>0</v>
      </c>
      <c r="BA24" s="100">
        <v>0</v>
      </c>
      <c r="BB24" s="100">
        <v>0</v>
      </c>
      <c r="BC24" s="100">
        <v>0</v>
      </c>
      <c r="BD24" s="100">
        <v>0</v>
      </c>
      <c r="BE24" s="100">
        <v>0</v>
      </c>
      <c r="BF24" s="100">
        <v>0</v>
      </c>
      <c r="BG24" s="100">
        <v>0</v>
      </c>
      <c r="BH24" s="100">
        <v>0</v>
      </c>
      <c r="BI24" s="100">
        <v>338.38200000000001</v>
      </c>
      <c r="BJ24" s="100">
        <v>-257.40899999999993</v>
      </c>
      <c r="BK24" s="100">
        <v>-24.338999999999999</v>
      </c>
      <c r="BL24" s="102"/>
      <c r="BM24" s="102"/>
    </row>
    <row r="25" spans="1:65">
      <c r="A25" s="406"/>
      <c r="B25" s="413" t="s">
        <v>683</v>
      </c>
      <c r="C25" s="132" t="s">
        <v>684</v>
      </c>
      <c r="D25" s="100">
        <v>0</v>
      </c>
      <c r="E25" s="100">
        <v>0</v>
      </c>
      <c r="F25" s="100">
        <v>0</v>
      </c>
      <c r="G25" s="100">
        <v>0</v>
      </c>
      <c r="H25" s="100">
        <v>0</v>
      </c>
      <c r="I25" s="100">
        <v>0</v>
      </c>
      <c r="J25" s="100">
        <v>0</v>
      </c>
      <c r="K25" s="100">
        <v>0</v>
      </c>
      <c r="L25" s="100">
        <v>0</v>
      </c>
      <c r="M25" s="100">
        <v>0</v>
      </c>
      <c r="N25" s="100">
        <v>0</v>
      </c>
      <c r="O25" s="100">
        <v>0</v>
      </c>
      <c r="P25" s="100">
        <v>0</v>
      </c>
      <c r="Q25" s="100">
        <v>-0.81899999999999995</v>
      </c>
      <c r="R25" s="100">
        <v>-23.164000000000001</v>
      </c>
      <c r="S25" s="100">
        <v>0</v>
      </c>
      <c r="T25" s="100">
        <v>0</v>
      </c>
      <c r="U25" s="100">
        <v>0</v>
      </c>
      <c r="V25" s="100">
        <v>0</v>
      </c>
      <c r="W25" s="100">
        <v>0</v>
      </c>
      <c r="X25" s="100">
        <v>-7.8040000000000003</v>
      </c>
      <c r="Y25" s="100">
        <v>0</v>
      </c>
      <c r="Z25" s="100">
        <v>0</v>
      </c>
      <c r="AA25" s="100">
        <v>0</v>
      </c>
      <c r="AB25" s="100">
        <v>0</v>
      </c>
      <c r="AC25" s="100">
        <v>0</v>
      </c>
      <c r="AD25" s="100">
        <v>-31.242000000000001</v>
      </c>
      <c r="AE25" s="100">
        <v>-0.21199999999999999</v>
      </c>
      <c r="AF25" s="100">
        <v>0</v>
      </c>
      <c r="AG25" s="100">
        <v>0</v>
      </c>
      <c r="AH25" s="100">
        <v>-77.382000000000005</v>
      </c>
      <c r="AI25" s="100">
        <v>0</v>
      </c>
      <c r="AJ25" s="100">
        <v>0</v>
      </c>
      <c r="AK25" s="100">
        <v>0</v>
      </c>
      <c r="AL25" s="100">
        <v>0</v>
      </c>
      <c r="AM25" s="100">
        <v>0</v>
      </c>
      <c r="AN25" s="100">
        <v>0</v>
      </c>
      <c r="AO25" s="100">
        <v>-16.885999999999999</v>
      </c>
      <c r="AP25" s="100">
        <v>-238.88800000000001</v>
      </c>
      <c r="AQ25" s="100">
        <v>0</v>
      </c>
      <c r="AR25" s="100">
        <v>-32.113</v>
      </c>
      <c r="AS25" s="100">
        <v>-281.68700000000001</v>
      </c>
      <c r="AT25" s="100">
        <v>-2.0209999999999999</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271.49700000000001</v>
      </c>
      <c r="BJ25" s="100">
        <v>-440.72099999999995</v>
      </c>
      <c r="BK25" s="100">
        <v>-554.71</v>
      </c>
      <c r="BL25" s="102"/>
      <c r="BM25" s="102"/>
    </row>
    <row r="26" spans="1:65">
      <c r="A26" s="406"/>
      <c r="B26" s="412" t="s">
        <v>685</v>
      </c>
      <c r="C26" s="132" t="s">
        <v>686</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14.308999999999999</v>
      </c>
      <c r="BI26" s="100">
        <v>-69.334000000000003</v>
      </c>
      <c r="BJ26" s="100">
        <v>-55.025000000000006</v>
      </c>
      <c r="BK26" s="100">
        <v>0</v>
      </c>
      <c r="BL26" s="102"/>
      <c r="BM26" s="102"/>
    </row>
    <row r="27" spans="1:65">
      <c r="A27" s="406"/>
      <c r="B27" s="412" t="s">
        <v>687</v>
      </c>
      <c r="C27" s="132" t="s">
        <v>688</v>
      </c>
      <c r="D27" s="100">
        <v>0</v>
      </c>
      <c r="E27" s="100">
        <v>0</v>
      </c>
      <c r="F27" s="100">
        <v>-15693.069</v>
      </c>
      <c r="G27" s="100">
        <v>0</v>
      </c>
      <c r="H27" s="100">
        <v>0</v>
      </c>
      <c r="I27" s="100">
        <v>0</v>
      </c>
      <c r="J27" s="100">
        <v>0</v>
      </c>
      <c r="K27" s="100">
        <v>0</v>
      </c>
      <c r="L27" s="100">
        <v>10341.072</v>
      </c>
      <c r="M27" s="100">
        <v>505.601</v>
      </c>
      <c r="N27" s="100">
        <v>3247.0830000000001</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-1599.3129999999996</v>
      </c>
      <c r="BK27" s="100">
        <v>0</v>
      </c>
      <c r="BL27" s="102"/>
      <c r="BM27" s="102"/>
    </row>
    <row r="28" spans="1:65">
      <c r="A28" s="406"/>
      <c r="B28" s="412" t="s">
        <v>689</v>
      </c>
      <c r="C28" s="132" t="s">
        <v>690</v>
      </c>
      <c r="D28" s="100">
        <v>0</v>
      </c>
      <c r="E28" s="100">
        <v>0</v>
      </c>
      <c r="F28" s="100">
        <v>-899.64599999999996</v>
      </c>
      <c r="G28" s="100">
        <v>-4134.1779999999999</v>
      </c>
      <c r="H28" s="100">
        <v>0</v>
      </c>
      <c r="I28" s="100">
        <v>0</v>
      </c>
      <c r="J28" s="100">
        <v>0</v>
      </c>
      <c r="K28" s="100">
        <v>0</v>
      </c>
      <c r="L28" s="100">
        <v>-9829.3320000000003</v>
      </c>
      <c r="M28" s="100">
        <v>0</v>
      </c>
      <c r="N28" s="100">
        <v>0</v>
      </c>
      <c r="O28" s="100">
        <v>4904.643</v>
      </c>
      <c r="P28" s="100">
        <v>635.55999999999995</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-9322.9529999999995</v>
      </c>
      <c r="BK28" s="100">
        <v>0</v>
      </c>
      <c r="BL28" s="102"/>
      <c r="BM28" s="102"/>
    </row>
    <row r="29" spans="1:65">
      <c r="A29" s="406"/>
      <c r="B29" s="412" t="s">
        <v>691</v>
      </c>
      <c r="C29" s="132" t="s">
        <v>692</v>
      </c>
      <c r="D29" s="100">
        <v>-200.17500000000001</v>
      </c>
      <c r="E29" s="100">
        <v>0</v>
      </c>
      <c r="F29" s="100">
        <v>0</v>
      </c>
      <c r="G29" s="100">
        <v>0</v>
      </c>
      <c r="H29" s="100">
        <v>0</v>
      </c>
      <c r="I29" s="100">
        <v>0</v>
      </c>
      <c r="J29" s="100">
        <v>0</v>
      </c>
      <c r="K29" s="100">
        <v>195.5</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-4.6750000000000114</v>
      </c>
      <c r="BK29" s="100">
        <v>0</v>
      </c>
      <c r="BL29" s="102"/>
      <c r="BM29" s="102"/>
    </row>
    <row r="30" spans="1:65">
      <c r="A30" s="406"/>
      <c r="B30" s="412" t="s">
        <v>693</v>
      </c>
      <c r="C30" s="421" t="s">
        <v>694</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-152865.46</v>
      </c>
      <c r="T30" s="100">
        <v>-44198.442999999999</v>
      </c>
      <c r="U30" s="100">
        <v>0.93700000000000006</v>
      </c>
      <c r="V30" s="100">
        <v>351.42899999999997</v>
      </c>
      <c r="W30" s="100">
        <v>3519.1460000000002</v>
      </c>
      <c r="X30" s="100">
        <v>1424.7370000000001</v>
      </c>
      <c r="Y30" s="100">
        <v>2101.6840000000002</v>
      </c>
      <c r="Z30" s="100">
        <v>22651.108</v>
      </c>
      <c r="AA30" s="100">
        <v>0</v>
      </c>
      <c r="AB30" s="100">
        <v>0</v>
      </c>
      <c r="AC30" s="100">
        <v>17031.932000000001</v>
      </c>
      <c r="AD30" s="100">
        <v>6624.625</v>
      </c>
      <c r="AE30" s="100">
        <v>52120.593999999997</v>
      </c>
      <c r="AF30" s="100">
        <v>148.57300000000001</v>
      </c>
      <c r="AG30" s="100">
        <v>14.683999999999999</v>
      </c>
      <c r="AH30" s="100">
        <v>14666.575000000001</v>
      </c>
      <c r="AI30" s="100">
        <v>38604.75</v>
      </c>
      <c r="AJ30" s="100">
        <v>420.99599999999998</v>
      </c>
      <c r="AK30" s="100">
        <v>5096.0110000000004</v>
      </c>
      <c r="AL30" s="100">
        <v>2791.1979999999999</v>
      </c>
      <c r="AM30" s="100">
        <v>32.198999999999998</v>
      </c>
      <c r="AN30" s="100">
        <v>496.20499999999998</v>
      </c>
      <c r="AO30" s="100">
        <v>6190.2529999999997</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-22776.266999999971</v>
      </c>
      <c r="BK30" s="100">
        <v>0</v>
      </c>
      <c r="BL30" s="102"/>
      <c r="BM30" s="102"/>
    </row>
    <row r="31" spans="1:65">
      <c r="A31" s="406"/>
      <c r="B31" s="412" t="s">
        <v>695</v>
      </c>
      <c r="C31" s="132" t="s">
        <v>696</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19934.814999999999</v>
      </c>
      <c r="U31" s="100">
        <v>0</v>
      </c>
      <c r="V31" s="100">
        <v>-180.411</v>
      </c>
      <c r="W31" s="100">
        <v>-70.695999999999998</v>
      </c>
      <c r="X31" s="100">
        <v>-1209.1669999999999</v>
      </c>
      <c r="Y31" s="100">
        <v>-206.60499999999999</v>
      </c>
      <c r="Z31" s="100">
        <v>0</v>
      </c>
      <c r="AA31" s="100">
        <v>0</v>
      </c>
      <c r="AB31" s="100">
        <v>0</v>
      </c>
      <c r="AC31" s="100">
        <v>0</v>
      </c>
      <c r="AD31" s="100">
        <v>0</v>
      </c>
      <c r="AE31" s="100">
        <v>0</v>
      </c>
      <c r="AF31" s="100">
        <v>0</v>
      </c>
      <c r="AG31" s="100">
        <v>0</v>
      </c>
      <c r="AH31" s="100">
        <v>0</v>
      </c>
      <c r="AI31" s="100">
        <v>-11121.472</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7146.4639999999981</v>
      </c>
      <c r="BK31" s="100">
        <v>0</v>
      </c>
      <c r="BL31" s="102"/>
      <c r="BM31" s="102"/>
    </row>
    <row r="32" spans="1:65">
      <c r="A32" s="406"/>
      <c r="B32" s="412" t="s">
        <v>697</v>
      </c>
      <c r="C32" s="132" t="s">
        <v>698</v>
      </c>
      <c r="D32" s="100">
        <v>0</v>
      </c>
      <c r="E32" s="100">
        <v>0</v>
      </c>
      <c r="F32" s="100">
        <v>0</v>
      </c>
      <c r="G32" s="100">
        <v>0</v>
      </c>
      <c r="H32" s="100">
        <v>0</v>
      </c>
      <c r="I32" s="100">
        <v>0</v>
      </c>
      <c r="J32" s="100">
        <v>0</v>
      </c>
      <c r="K32" s="100">
        <v>0</v>
      </c>
      <c r="L32" s="100">
        <v>0</v>
      </c>
      <c r="M32" s="100">
        <v>0</v>
      </c>
      <c r="N32" s="100">
        <v>0</v>
      </c>
      <c r="O32" s="100">
        <v>0</v>
      </c>
      <c r="P32" s="100">
        <v>0</v>
      </c>
      <c r="Q32" s="100">
        <v>-25693.593000000001</v>
      </c>
      <c r="R32" s="100">
        <v>26027.931</v>
      </c>
      <c r="S32" s="100">
        <v>0</v>
      </c>
      <c r="T32" s="100">
        <v>0</v>
      </c>
      <c r="U32" s="100">
        <v>0</v>
      </c>
      <c r="V32" s="100">
        <v>0</v>
      </c>
      <c r="W32" s="100">
        <v>0</v>
      </c>
      <c r="X32" s="100">
        <v>-334.33699999999999</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9.9999999974897946E-4</v>
      </c>
      <c r="BK32" s="100">
        <v>0</v>
      </c>
      <c r="BL32" s="102"/>
      <c r="BM32" s="102"/>
    </row>
    <row r="33" spans="1:65">
      <c r="A33" s="406"/>
      <c r="B33" s="412" t="s">
        <v>699</v>
      </c>
      <c r="C33" s="132" t="s">
        <v>700</v>
      </c>
      <c r="D33" s="100">
        <v>0</v>
      </c>
      <c r="E33" s="100">
        <v>0</v>
      </c>
      <c r="F33" s="100">
        <v>0</v>
      </c>
      <c r="G33" s="100">
        <v>-504.48700000000002</v>
      </c>
      <c r="H33" s="100">
        <v>0</v>
      </c>
      <c r="I33" s="100">
        <v>0</v>
      </c>
      <c r="J33" s="100">
        <v>0</v>
      </c>
      <c r="K33" s="100">
        <v>0</v>
      </c>
      <c r="L33" s="100">
        <v>0</v>
      </c>
      <c r="M33" s="100">
        <v>0</v>
      </c>
      <c r="N33" s="100">
        <v>0</v>
      </c>
      <c r="O33" s="100">
        <v>0</v>
      </c>
      <c r="P33" s="100">
        <v>418.50799999999998</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-85.979000000000042</v>
      </c>
      <c r="BK33" s="100">
        <v>837.01599999999996</v>
      </c>
      <c r="BL33" s="102"/>
      <c r="BM33" s="102"/>
    </row>
    <row r="34" spans="1:65">
      <c r="A34" s="406"/>
      <c r="B34" s="412" t="s">
        <v>701</v>
      </c>
      <c r="C34" s="132" t="s">
        <v>702</v>
      </c>
      <c r="D34" s="100">
        <v>0</v>
      </c>
      <c r="E34" s="100">
        <v>0</v>
      </c>
      <c r="F34" s="100">
        <v>0</v>
      </c>
      <c r="G34" s="100">
        <v>0</v>
      </c>
      <c r="H34" s="100">
        <v>0</v>
      </c>
      <c r="I34" s="100">
        <v>0</v>
      </c>
      <c r="J34" s="100">
        <v>0</v>
      </c>
      <c r="K34" s="100">
        <v>0</v>
      </c>
      <c r="L34" s="100">
        <v>0</v>
      </c>
      <c r="M34" s="100">
        <v>0</v>
      </c>
      <c r="N34" s="100">
        <v>0</v>
      </c>
      <c r="O34" s="100">
        <v>0</v>
      </c>
      <c r="P34" s="100">
        <v>0</v>
      </c>
      <c r="Q34" s="100">
        <v>0</v>
      </c>
      <c r="R34" s="100">
        <v>-607.23</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1153.529</v>
      </c>
      <c r="BH34" s="100">
        <v>0</v>
      </c>
      <c r="BI34" s="100">
        <v>0</v>
      </c>
      <c r="BJ34" s="100">
        <v>546.29899999999998</v>
      </c>
      <c r="BK34" s="100">
        <v>1153.529</v>
      </c>
      <c r="BL34" s="102"/>
      <c r="BM34" s="102"/>
    </row>
    <row r="35" spans="1:65">
      <c r="A35" s="406"/>
      <c r="B35" s="414" t="s">
        <v>703</v>
      </c>
      <c r="C35" s="422" t="s">
        <v>704</v>
      </c>
      <c r="D35" s="100">
        <v>0</v>
      </c>
      <c r="E35" s="118">
        <v>0</v>
      </c>
      <c r="F35" s="118">
        <v>0</v>
      </c>
      <c r="G35" s="118">
        <v>0</v>
      </c>
      <c r="H35" s="118">
        <v>0</v>
      </c>
      <c r="I35" s="118">
        <v>0</v>
      </c>
      <c r="J35" s="118">
        <v>0</v>
      </c>
      <c r="K35" s="118">
        <v>0</v>
      </c>
      <c r="L35" s="118">
        <v>0</v>
      </c>
      <c r="M35" s="118">
        <v>0</v>
      </c>
      <c r="N35" s="118">
        <v>-894.67899999999997</v>
      </c>
      <c r="O35" s="118">
        <v>-2140.7179999999998</v>
      </c>
      <c r="P35" s="118">
        <v>0</v>
      </c>
      <c r="Q35" s="118">
        <v>-1120.8510000000001</v>
      </c>
      <c r="R35" s="118">
        <v>-828.74599999999998</v>
      </c>
      <c r="S35" s="118">
        <v>0</v>
      </c>
      <c r="T35" s="118">
        <v>-87.22</v>
      </c>
      <c r="U35" s="118">
        <v>0</v>
      </c>
      <c r="V35" s="118">
        <v>0</v>
      </c>
      <c r="W35" s="118">
        <v>-2528.5590000000002</v>
      </c>
      <c r="X35" s="118">
        <v>-225.49700000000001</v>
      </c>
      <c r="Y35" s="118">
        <v>-7.1</v>
      </c>
      <c r="Z35" s="118">
        <v>-0.24</v>
      </c>
      <c r="AA35" s="118">
        <v>0</v>
      </c>
      <c r="AB35" s="118">
        <v>0</v>
      </c>
      <c r="AC35" s="118">
        <v>-0.34799999999999998</v>
      </c>
      <c r="AD35" s="118">
        <v>-3.347</v>
      </c>
      <c r="AE35" s="118">
        <v>-232.547</v>
      </c>
      <c r="AF35" s="118">
        <v>-6.0000000000000001E-3</v>
      </c>
      <c r="AG35" s="118">
        <v>-1E-3</v>
      </c>
      <c r="AH35" s="118">
        <v>-27.841999999999999</v>
      </c>
      <c r="AI35" s="118">
        <v>0</v>
      </c>
      <c r="AJ35" s="118">
        <v>0</v>
      </c>
      <c r="AK35" s="118">
        <v>0</v>
      </c>
      <c r="AL35" s="118">
        <v>0</v>
      </c>
      <c r="AM35" s="118">
        <v>0</v>
      </c>
      <c r="AN35" s="118">
        <v>0</v>
      </c>
      <c r="AO35" s="118">
        <v>0</v>
      </c>
      <c r="AP35" s="118">
        <v>0</v>
      </c>
      <c r="AQ35" s="118">
        <v>0</v>
      </c>
      <c r="AR35" s="118">
        <v>0</v>
      </c>
      <c r="AS35" s="118">
        <v>0</v>
      </c>
      <c r="AT35" s="118">
        <v>0</v>
      </c>
      <c r="AU35" s="118">
        <v>0</v>
      </c>
      <c r="AV35" s="118">
        <v>0</v>
      </c>
      <c r="AW35" s="118">
        <v>0</v>
      </c>
      <c r="AX35" s="118">
        <v>0</v>
      </c>
      <c r="AY35" s="118">
        <v>0</v>
      </c>
      <c r="AZ35" s="118">
        <v>0</v>
      </c>
      <c r="BA35" s="118">
        <v>0</v>
      </c>
      <c r="BB35" s="118">
        <v>0</v>
      </c>
      <c r="BC35" s="118">
        <v>0</v>
      </c>
      <c r="BD35" s="118">
        <v>0</v>
      </c>
      <c r="BE35" s="118">
        <v>0</v>
      </c>
      <c r="BF35" s="118">
        <v>0</v>
      </c>
      <c r="BG35" s="118">
        <v>0</v>
      </c>
      <c r="BH35" s="118">
        <v>-3277.4229999999998</v>
      </c>
      <c r="BI35" s="118">
        <v>-207.17</v>
      </c>
      <c r="BJ35" s="118">
        <v>-11582.294</v>
      </c>
      <c r="BK35" s="118">
        <v>-5563.9570000000003</v>
      </c>
      <c r="BL35" s="102"/>
      <c r="BM35" s="102"/>
    </row>
    <row r="36" spans="1:65">
      <c r="B36" s="412" t="s">
        <v>705</v>
      </c>
      <c r="C36" s="132" t="s">
        <v>706</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-3.2000000000000001E-2</v>
      </c>
      <c r="AA36" s="100">
        <v>0</v>
      </c>
      <c r="AB36" s="100">
        <v>0</v>
      </c>
      <c r="AC36" s="100">
        <v>0</v>
      </c>
      <c r="AD36" s="100">
        <v>-0.39500000000000002</v>
      </c>
      <c r="AE36" s="100">
        <v>-16.295999999999999</v>
      </c>
      <c r="AF36" s="100">
        <v>0</v>
      </c>
      <c r="AG36" s="100">
        <v>0</v>
      </c>
      <c r="AH36" s="100">
        <v>-0.53900000000000003</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-17.262</v>
      </c>
      <c r="BK36" s="100">
        <v>0</v>
      </c>
      <c r="BL36" s="102"/>
      <c r="BM36" s="102"/>
    </row>
    <row r="37" spans="1:65">
      <c r="B37" s="412" t="s">
        <v>707</v>
      </c>
      <c r="C37" s="132" t="s">
        <v>708</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-3.9340000000000002</v>
      </c>
      <c r="Y37" s="100">
        <v>-7.0000000000000001E-3</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-3.9410000000000003</v>
      </c>
      <c r="BK37" s="100">
        <v>0</v>
      </c>
      <c r="BL37" s="102"/>
      <c r="BM37" s="102"/>
    </row>
    <row r="38" spans="1:65">
      <c r="A38" s="406"/>
      <c r="B38" s="412" t="s">
        <v>709</v>
      </c>
      <c r="C38" s="132" t="s">
        <v>710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-1898.9849999999999</v>
      </c>
      <c r="BI38" s="100">
        <v>0</v>
      </c>
      <c r="BJ38" s="100">
        <v>-1898.9849999999999</v>
      </c>
      <c r="BK38" s="100">
        <v>0</v>
      </c>
      <c r="BL38" s="102"/>
      <c r="BM38" s="102"/>
    </row>
    <row r="39" spans="1:65">
      <c r="A39" s="406"/>
      <c r="B39" s="412" t="s">
        <v>711</v>
      </c>
      <c r="C39" s="132" t="s">
        <v>712</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-102.92400000000001</v>
      </c>
      <c r="BI39" s="100">
        <v>0</v>
      </c>
      <c r="BJ39" s="100">
        <v>-102.92400000000001</v>
      </c>
      <c r="BK39" s="100">
        <v>0</v>
      </c>
      <c r="BL39" s="102"/>
      <c r="BM39" s="102"/>
    </row>
    <row r="40" spans="1:65">
      <c r="A40" s="406"/>
      <c r="B40" s="412" t="s">
        <v>713</v>
      </c>
      <c r="C40" s="132" t="s">
        <v>714</v>
      </c>
      <c r="D40" s="100">
        <v>0</v>
      </c>
      <c r="E40" s="100">
        <v>0</v>
      </c>
      <c r="F40" s="100">
        <v>0</v>
      </c>
      <c r="G40" s="100">
        <v>0</v>
      </c>
      <c r="H40" s="100">
        <v>0</v>
      </c>
      <c r="I40" s="100">
        <v>0</v>
      </c>
      <c r="J40" s="100">
        <v>0</v>
      </c>
      <c r="K40" s="100">
        <v>0</v>
      </c>
      <c r="L40" s="100">
        <v>0</v>
      </c>
      <c r="M40" s="100">
        <v>0</v>
      </c>
      <c r="N40" s="100">
        <v>-300.26799999999997</v>
      </c>
      <c r="O40" s="100">
        <v>-1055.453</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-1355.721</v>
      </c>
      <c r="BK40" s="100">
        <v>-1355.72</v>
      </c>
      <c r="BL40" s="102"/>
      <c r="BM40" s="102"/>
    </row>
    <row r="41" spans="1:65">
      <c r="A41" s="406"/>
      <c r="B41" s="412" t="s">
        <v>715</v>
      </c>
      <c r="C41" s="132" t="s">
        <v>716</v>
      </c>
      <c r="D41" s="100">
        <v>0</v>
      </c>
      <c r="E41" s="100">
        <v>0</v>
      </c>
      <c r="F41" s="100">
        <v>0</v>
      </c>
      <c r="G41" s="100">
        <v>0</v>
      </c>
      <c r="H41" s="100">
        <v>0</v>
      </c>
      <c r="I41" s="100">
        <v>0</v>
      </c>
      <c r="J41" s="100">
        <v>0</v>
      </c>
      <c r="K41" s="100">
        <v>0</v>
      </c>
      <c r="L41" s="100">
        <v>0</v>
      </c>
      <c r="M41" s="100">
        <v>0</v>
      </c>
      <c r="N41" s="100">
        <v>-594.41200000000003</v>
      </c>
      <c r="O41" s="100">
        <v>-1085.2650000000001</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-1679.6770000000001</v>
      </c>
      <c r="BK41" s="100">
        <v>-1679.6769999999999</v>
      </c>
      <c r="BL41" s="102"/>
      <c r="BM41" s="102"/>
    </row>
    <row r="42" spans="1:65">
      <c r="A42" s="406"/>
      <c r="B42" s="412" t="s">
        <v>717</v>
      </c>
      <c r="C42" s="132" t="s">
        <v>718</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2"/>
      <c r="BM42" s="102"/>
    </row>
    <row r="43" spans="1:65">
      <c r="B43" s="412" t="s">
        <v>719</v>
      </c>
      <c r="C43" s="132" t="s">
        <v>720</v>
      </c>
      <c r="D43" s="100">
        <v>0</v>
      </c>
      <c r="E43" s="100">
        <v>0</v>
      </c>
      <c r="F43" s="100">
        <v>0</v>
      </c>
      <c r="G43" s="100">
        <v>0</v>
      </c>
      <c r="H43" s="100">
        <v>0</v>
      </c>
      <c r="I43" s="100">
        <v>0</v>
      </c>
      <c r="J43" s="100">
        <v>0</v>
      </c>
      <c r="K43" s="100">
        <v>0</v>
      </c>
      <c r="L43" s="100">
        <v>0</v>
      </c>
      <c r="M43" s="100">
        <v>0</v>
      </c>
      <c r="N43" s="100">
        <v>0</v>
      </c>
      <c r="O43" s="100">
        <v>0</v>
      </c>
      <c r="P43" s="100">
        <v>0</v>
      </c>
      <c r="Q43" s="100">
        <v>-953.69899999999996</v>
      </c>
      <c r="R43" s="100">
        <v>-828.74599999999998</v>
      </c>
      <c r="S43" s="100">
        <v>0</v>
      </c>
      <c r="T43" s="100">
        <v>-87.22</v>
      </c>
      <c r="U43" s="100">
        <v>0</v>
      </c>
      <c r="V43" s="100">
        <v>0</v>
      </c>
      <c r="W43" s="100">
        <v>-2500.3389999999999</v>
      </c>
      <c r="X43" s="100">
        <v>-116.68600000000001</v>
      </c>
      <c r="Y43" s="100">
        <v>-0.105</v>
      </c>
      <c r="Z43" s="100">
        <v>-0.19600000000000001</v>
      </c>
      <c r="AA43" s="100">
        <v>0</v>
      </c>
      <c r="AB43" s="100">
        <v>0</v>
      </c>
      <c r="AC43" s="100">
        <v>0</v>
      </c>
      <c r="AD43" s="100">
        <v>-0.108</v>
      </c>
      <c r="AE43" s="100">
        <v>-1.528</v>
      </c>
      <c r="AF43" s="100">
        <v>-6.0000000000000001E-3</v>
      </c>
      <c r="AG43" s="100">
        <v>-1E-3</v>
      </c>
      <c r="AH43" s="100">
        <v>-19.731999999999999</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-1268.6030000000001</v>
      </c>
      <c r="BI43" s="100">
        <v>-207.17</v>
      </c>
      <c r="BJ43" s="100">
        <v>-5984.1390000000001</v>
      </c>
      <c r="BK43" s="100">
        <v>-2500.3389999999999</v>
      </c>
      <c r="BL43" s="102"/>
      <c r="BM43" s="102"/>
    </row>
    <row r="44" spans="1:65">
      <c r="A44" s="406"/>
      <c r="B44" s="412" t="s">
        <v>721</v>
      </c>
      <c r="C44" s="132" t="s">
        <v>722</v>
      </c>
      <c r="D44" s="100">
        <v>0</v>
      </c>
      <c r="E44" s="100">
        <v>0</v>
      </c>
      <c r="F44" s="100">
        <v>0</v>
      </c>
      <c r="G44" s="100">
        <v>0</v>
      </c>
      <c r="H44" s="100">
        <v>0</v>
      </c>
      <c r="I44" s="100">
        <v>0</v>
      </c>
      <c r="J44" s="100">
        <v>0</v>
      </c>
      <c r="K44" s="100">
        <v>0</v>
      </c>
      <c r="L44" s="100">
        <v>0</v>
      </c>
      <c r="M44" s="100">
        <v>0</v>
      </c>
      <c r="N44" s="100">
        <v>0</v>
      </c>
      <c r="O44" s="100">
        <v>0</v>
      </c>
      <c r="P44" s="100">
        <v>0</v>
      </c>
      <c r="Q44" s="100">
        <v>-167.15199999999999</v>
      </c>
      <c r="R44" s="100">
        <v>0</v>
      </c>
      <c r="S44" s="100">
        <v>0</v>
      </c>
      <c r="T44" s="100">
        <v>0</v>
      </c>
      <c r="U44" s="100">
        <v>0</v>
      </c>
      <c r="V44" s="100">
        <v>0</v>
      </c>
      <c r="W44" s="100">
        <v>-13.882</v>
      </c>
      <c r="X44" s="100">
        <v>-94.36</v>
      </c>
      <c r="Y44" s="100">
        <v>-6.8550000000000004</v>
      </c>
      <c r="Z44" s="100">
        <v>-1.2E-2</v>
      </c>
      <c r="AA44" s="100">
        <v>0</v>
      </c>
      <c r="AB44" s="100">
        <v>0</v>
      </c>
      <c r="AC44" s="100">
        <v>0</v>
      </c>
      <c r="AD44" s="100">
        <v>0</v>
      </c>
      <c r="AE44" s="100">
        <v>-1.0999999999999999E-2</v>
      </c>
      <c r="AF44" s="100">
        <v>0</v>
      </c>
      <c r="AG44" s="100">
        <v>0</v>
      </c>
      <c r="AH44" s="100">
        <v>-0.379</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-282.65100000000007</v>
      </c>
      <c r="BK44" s="100">
        <v>-13.882</v>
      </c>
      <c r="BL44" s="102"/>
      <c r="BM44" s="102"/>
    </row>
    <row r="45" spans="1:65">
      <c r="A45" s="406"/>
      <c r="B45" s="412" t="s">
        <v>723</v>
      </c>
      <c r="C45" s="132" t="s">
        <v>724</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2"/>
      <c r="BM45" s="102"/>
    </row>
    <row r="46" spans="1:65">
      <c r="A46" s="406"/>
      <c r="B46" s="412" t="s">
        <v>725</v>
      </c>
      <c r="C46" s="132" t="s">
        <v>726</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-14.337999999999999</v>
      </c>
      <c r="X46" s="100">
        <v>-10.516999999999999</v>
      </c>
      <c r="Y46" s="100">
        <v>-0.13300000000000001</v>
      </c>
      <c r="Z46" s="100">
        <v>0</v>
      </c>
      <c r="AA46" s="100">
        <v>0</v>
      </c>
      <c r="AB46" s="100">
        <v>0</v>
      </c>
      <c r="AC46" s="100">
        <v>-0.34799999999999998</v>
      </c>
      <c r="AD46" s="100">
        <v>-2.843</v>
      </c>
      <c r="AE46" s="100">
        <v>-214.71199999999999</v>
      </c>
      <c r="AF46" s="100">
        <v>0</v>
      </c>
      <c r="AG46" s="100">
        <v>0</v>
      </c>
      <c r="AH46" s="100">
        <v>-7.1920000000000002</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-6.9119999999999999</v>
      </c>
      <c r="BI46" s="100">
        <v>0</v>
      </c>
      <c r="BJ46" s="100">
        <v>-256.995</v>
      </c>
      <c r="BK46" s="100">
        <v>-14.337999999999999</v>
      </c>
      <c r="BL46" s="102"/>
      <c r="BM46" s="102"/>
    </row>
    <row r="47" spans="1:65">
      <c r="A47" s="406"/>
      <c r="B47" s="408" t="s">
        <v>727</v>
      </c>
      <c r="C47" s="119" t="s">
        <v>728</v>
      </c>
      <c r="D47" s="107">
        <v>0</v>
      </c>
      <c r="E47" s="107">
        <v>0</v>
      </c>
      <c r="F47" s="107">
        <v>0</v>
      </c>
      <c r="G47" s="107">
        <v>0</v>
      </c>
      <c r="H47" s="107">
        <v>0</v>
      </c>
      <c r="I47" s="107">
        <v>0</v>
      </c>
      <c r="J47" s="107">
        <v>0</v>
      </c>
      <c r="K47" s="107">
        <v>0</v>
      </c>
      <c r="L47" s="107">
        <v>0</v>
      </c>
      <c r="M47" s="107">
        <v>0</v>
      </c>
      <c r="N47" s="107">
        <v>0</v>
      </c>
      <c r="O47" s="107">
        <v>0</v>
      </c>
      <c r="P47" s="107">
        <v>0</v>
      </c>
      <c r="Q47" s="107">
        <v>4.6920000000000002</v>
      </c>
      <c r="R47" s="107">
        <v>0</v>
      </c>
      <c r="S47" s="107">
        <v>0</v>
      </c>
      <c r="T47" s="107">
        <v>0</v>
      </c>
      <c r="U47" s="107">
        <v>0</v>
      </c>
      <c r="V47" s="107">
        <v>0</v>
      </c>
      <c r="W47" s="107">
        <v>0</v>
      </c>
      <c r="X47" s="107">
        <v>0</v>
      </c>
      <c r="Y47" s="107">
        <v>0</v>
      </c>
      <c r="Z47" s="107">
        <v>0</v>
      </c>
      <c r="AA47" s="107">
        <v>0</v>
      </c>
      <c r="AB47" s="107">
        <v>0</v>
      </c>
      <c r="AC47" s="107">
        <v>0</v>
      </c>
      <c r="AD47" s="107">
        <v>0</v>
      </c>
      <c r="AE47" s="107">
        <v>0</v>
      </c>
      <c r="AF47" s="107">
        <v>0</v>
      </c>
      <c r="AG47" s="107">
        <v>0</v>
      </c>
      <c r="AH47" s="107">
        <v>0</v>
      </c>
      <c r="AI47" s="107">
        <v>0</v>
      </c>
      <c r="AJ47" s="107">
        <v>0</v>
      </c>
      <c r="AK47" s="107">
        <v>0</v>
      </c>
      <c r="AL47" s="107">
        <v>0</v>
      </c>
      <c r="AM47" s="107">
        <v>0</v>
      </c>
      <c r="AN47" s="107">
        <v>0</v>
      </c>
      <c r="AO47" s="107">
        <v>0</v>
      </c>
      <c r="AP47" s="107">
        <v>0</v>
      </c>
      <c r="AQ47" s="107">
        <v>0</v>
      </c>
      <c r="AR47" s="107">
        <v>0</v>
      </c>
      <c r="AS47" s="107">
        <v>0</v>
      </c>
      <c r="AT47" s="107">
        <v>0</v>
      </c>
      <c r="AU47" s="107">
        <v>0</v>
      </c>
      <c r="AV47" s="107">
        <v>0</v>
      </c>
      <c r="AW47" s="107">
        <v>0</v>
      </c>
      <c r="AX47" s="107">
        <v>0</v>
      </c>
      <c r="AY47" s="107">
        <v>0</v>
      </c>
      <c r="AZ47" s="107">
        <v>0</v>
      </c>
      <c r="BA47" s="107">
        <v>0</v>
      </c>
      <c r="BB47" s="107">
        <v>0</v>
      </c>
      <c r="BC47" s="107">
        <v>0</v>
      </c>
      <c r="BD47" s="107">
        <v>0</v>
      </c>
      <c r="BE47" s="107">
        <v>0</v>
      </c>
      <c r="BF47" s="107">
        <v>0</v>
      </c>
      <c r="BG47" s="107">
        <v>0</v>
      </c>
      <c r="BH47" s="411">
        <v>-1977.8630000000001</v>
      </c>
      <c r="BI47" s="107">
        <v>-333.36200000000002</v>
      </c>
      <c r="BJ47" s="411">
        <v>-2306.5329999999999</v>
      </c>
      <c r="BK47" s="107">
        <v>0</v>
      </c>
      <c r="BL47" s="102"/>
      <c r="BM47" s="102"/>
    </row>
    <row r="48" spans="1:65">
      <c r="A48" s="406"/>
      <c r="B48" s="414" t="s">
        <v>729</v>
      </c>
      <c r="C48" s="422" t="s">
        <v>730</v>
      </c>
      <c r="D48" s="118">
        <v>0</v>
      </c>
      <c r="E48" s="118">
        <v>2679.683</v>
      </c>
      <c r="F48" s="118">
        <v>0</v>
      </c>
      <c r="G48" s="118">
        <v>3759.4250000000002</v>
      </c>
      <c r="H48" s="118">
        <v>0</v>
      </c>
      <c r="I48" s="118">
        <v>3.2000000000000001E-2</v>
      </c>
      <c r="J48" s="118">
        <v>27.033999999999999</v>
      </c>
      <c r="K48" s="118">
        <v>195.52199999999999</v>
      </c>
      <c r="L48" s="118">
        <v>696.572</v>
      </c>
      <c r="M48" s="118">
        <v>505.601</v>
      </c>
      <c r="N48" s="118">
        <v>1672.508</v>
      </c>
      <c r="O48" s="118">
        <v>32.920999999999999</v>
      </c>
      <c r="P48" s="118">
        <v>155.696</v>
      </c>
      <c r="Q48" s="118">
        <v>1686.703</v>
      </c>
      <c r="R48" s="118">
        <v>23722.868999999999</v>
      </c>
      <c r="S48" s="118">
        <v>0</v>
      </c>
      <c r="T48" s="118">
        <v>0</v>
      </c>
      <c r="U48" s="118">
        <v>0</v>
      </c>
      <c r="V48" s="118">
        <v>0</v>
      </c>
      <c r="W48" s="118">
        <v>293.34500000000003</v>
      </c>
      <c r="X48" s="118">
        <v>7443.1530000000002</v>
      </c>
      <c r="Y48" s="118">
        <v>4018.8780000000002</v>
      </c>
      <c r="Z48" s="118">
        <v>10887.977000000001</v>
      </c>
      <c r="AA48" s="118">
        <v>1.2410000000000001</v>
      </c>
      <c r="AB48" s="118">
        <v>0</v>
      </c>
      <c r="AC48" s="118">
        <v>2161.982</v>
      </c>
      <c r="AD48" s="118">
        <v>2112.8739999999998</v>
      </c>
      <c r="AE48" s="118">
        <v>21534.946</v>
      </c>
      <c r="AF48" s="118">
        <v>146.55199999999999</v>
      </c>
      <c r="AG48" s="118">
        <v>24.501000000000001</v>
      </c>
      <c r="AH48" s="118">
        <v>799.45600000000002</v>
      </c>
      <c r="AI48" s="118">
        <v>43578.720000000001</v>
      </c>
      <c r="AJ48" s="118">
        <v>174.71100000000001</v>
      </c>
      <c r="AK48" s="118">
        <v>1140.954</v>
      </c>
      <c r="AL48" s="118">
        <v>1338.0160000000001</v>
      </c>
      <c r="AM48" s="118">
        <v>23.885999999999999</v>
      </c>
      <c r="AN48" s="118">
        <v>489.786</v>
      </c>
      <c r="AO48" s="118">
        <v>2710.136</v>
      </c>
      <c r="AP48" s="118">
        <v>1745.252</v>
      </c>
      <c r="AQ48" s="118">
        <v>699.93299999999999</v>
      </c>
      <c r="AR48" s="118">
        <v>436.71100000000001</v>
      </c>
      <c r="AS48" s="118">
        <v>855.33299999999997</v>
      </c>
      <c r="AT48" s="118">
        <v>57.744999999999997</v>
      </c>
      <c r="AU48" s="118">
        <v>0.184</v>
      </c>
      <c r="AV48" s="118">
        <v>0</v>
      </c>
      <c r="AW48" s="118">
        <v>681.63199999999995</v>
      </c>
      <c r="AX48" s="118">
        <v>0</v>
      </c>
      <c r="AY48" s="118">
        <v>0</v>
      </c>
      <c r="AZ48" s="118">
        <v>0</v>
      </c>
      <c r="BA48" s="118">
        <v>0</v>
      </c>
      <c r="BB48" s="118">
        <v>279.64999999999998</v>
      </c>
      <c r="BC48" s="118">
        <v>0</v>
      </c>
      <c r="BD48" s="118">
        <v>25.035</v>
      </c>
      <c r="BE48" s="118">
        <v>0</v>
      </c>
      <c r="BF48" s="118">
        <v>0</v>
      </c>
      <c r="BG48" s="118">
        <v>0</v>
      </c>
      <c r="BH48" s="118">
        <v>49130.773999999998</v>
      </c>
      <c r="BI48" s="118">
        <v>6649.63</v>
      </c>
      <c r="BJ48" s="118">
        <v>194577.55900000004</v>
      </c>
      <c r="BK48" s="118">
        <v>6935.9459999999999</v>
      </c>
      <c r="BL48" s="102"/>
      <c r="BM48" s="102"/>
    </row>
    <row r="49" spans="1:65">
      <c r="A49" s="406"/>
      <c r="B49" s="412" t="s">
        <v>731</v>
      </c>
      <c r="C49" s="132" t="s">
        <v>732</v>
      </c>
      <c r="D49" s="100">
        <v>0</v>
      </c>
      <c r="E49" s="100">
        <v>2679.683</v>
      </c>
      <c r="F49" s="100">
        <v>0</v>
      </c>
      <c r="G49" s="100">
        <v>3759.4250000000002</v>
      </c>
      <c r="H49" s="100">
        <v>0</v>
      </c>
      <c r="I49" s="100">
        <v>3.2000000000000001E-2</v>
      </c>
      <c r="J49" s="100">
        <v>0</v>
      </c>
      <c r="K49" s="100">
        <v>195.52199999999999</v>
      </c>
      <c r="L49" s="100">
        <v>696.572</v>
      </c>
      <c r="M49" s="100">
        <v>0</v>
      </c>
      <c r="N49" s="100">
        <v>1672.508</v>
      </c>
      <c r="O49" s="100">
        <v>32.920999999999999</v>
      </c>
      <c r="P49" s="100">
        <v>155.696</v>
      </c>
      <c r="Q49" s="100">
        <v>936.58900000000006</v>
      </c>
      <c r="R49" s="100">
        <v>23722.868999999999</v>
      </c>
      <c r="S49" s="100">
        <v>0</v>
      </c>
      <c r="T49" s="100">
        <v>0</v>
      </c>
      <c r="U49" s="100">
        <v>0</v>
      </c>
      <c r="V49" s="100">
        <v>0</v>
      </c>
      <c r="W49" s="100">
        <v>293.34500000000003</v>
      </c>
      <c r="X49" s="100">
        <v>2675.3679999999999</v>
      </c>
      <c r="Y49" s="100">
        <v>3210.5360000000001</v>
      </c>
      <c r="Z49" s="100">
        <v>10887.977000000001</v>
      </c>
      <c r="AA49" s="100">
        <v>1.2410000000000001</v>
      </c>
      <c r="AB49" s="100">
        <v>0</v>
      </c>
      <c r="AC49" s="100">
        <v>2161.982</v>
      </c>
      <c r="AD49" s="100">
        <v>2112.8739999999998</v>
      </c>
      <c r="AE49" s="100">
        <v>21534.946</v>
      </c>
      <c r="AF49" s="100">
        <v>146.55199999999999</v>
      </c>
      <c r="AG49" s="100">
        <v>24.501000000000001</v>
      </c>
      <c r="AH49" s="100">
        <v>799.45600000000002</v>
      </c>
      <c r="AI49" s="100">
        <v>0</v>
      </c>
      <c r="AJ49" s="100">
        <v>0</v>
      </c>
      <c r="AK49" s="100">
        <v>0</v>
      </c>
      <c r="AL49" s="100">
        <v>0</v>
      </c>
      <c r="AM49" s="100">
        <v>0</v>
      </c>
      <c r="AN49" s="100">
        <v>0</v>
      </c>
      <c r="AO49" s="100">
        <v>0</v>
      </c>
      <c r="AP49" s="100">
        <v>1745.252</v>
      </c>
      <c r="AQ49" s="100">
        <v>699.93299999999999</v>
      </c>
      <c r="AR49" s="100">
        <v>436.71100000000001</v>
      </c>
      <c r="AS49" s="100">
        <v>855.33299999999997</v>
      </c>
      <c r="AT49" s="100">
        <v>57.744999999999997</v>
      </c>
      <c r="AU49" s="100">
        <v>0.184</v>
      </c>
      <c r="AV49" s="100">
        <v>0</v>
      </c>
      <c r="AW49" s="100">
        <v>681.63199999999995</v>
      </c>
      <c r="AX49" s="100">
        <v>0</v>
      </c>
      <c r="AY49" s="100">
        <v>0</v>
      </c>
      <c r="AZ49" s="100">
        <v>0</v>
      </c>
      <c r="BA49" s="100">
        <v>0</v>
      </c>
      <c r="BB49" s="100">
        <v>279.64999999999998</v>
      </c>
      <c r="BC49" s="100">
        <v>0</v>
      </c>
      <c r="BD49" s="100">
        <v>25.035</v>
      </c>
      <c r="BE49" s="100">
        <v>0</v>
      </c>
      <c r="BF49" s="100">
        <v>0</v>
      </c>
      <c r="BG49" s="100">
        <v>0</v>
      </c>
      <c r="BH49" s="100">
        <v>49130.773999999998</v>
      </c>
      <c r="BI49" s="100">
        <v>6649.63</v>
      </c>
      <c r="BJ49" s="100">
        <v>138262.47399999999</v>
      </c>
      <c r="BK49" s="100">
        <v>6935.9459999999999</v>
      </c>
      <c r="BL49" s="102"/>
      <c r="BM49" s="102"/>
    </row>
    <row r="50" spans="1:65">
      <c r="A50" s="406"/>
      <c r="B50" s="413" t="s">
        <v>733</v>
      </c>
      <c r="C50" s="132" t="s">
        <v>734</v>
      </c>
      <c r="D50" s="100">
        <v>0</v>
      </c>
      <c r="E50" s="100">
        <v>2679.683</v>
      </c>
      <c r="F50" s="100">
        <v>0</v>
      </c>
      <c r="G50" s="100">
        <v>3759.4250000000002</v>
      </c>
      <c r="H50" s="100">
        <v>0</v>
      </c>
      <c r="I50" s="100">
        <v>3.2000000000000001E-2</v>
      </c>
      <c r="J50" s="100">
        <v>0</v>
      </c>
      <c r="K50" s="100">
        <v>0.85399999999999998</v>
      </c>
      <c r="L50" s="100">
        <v>696.572</v>
      </c>
      <c r="M50" s="100">
        <v>0</v>
      </c>
      <c r="N50" s="100">
        <v>1672.508</v>
      </c>
      <c r="O50" s="100">
        <v>32.920999999999999</v>
      </c>
      <c r="P50" s="100">
        <v>155.696</v>
      </c>
      <c r="Q50" s="100">
        <v>936.58900000000006</v>
      </c>
      <c r="R50" s="100">
        <v>7673.7920000000004</v>
      </c>
      <c r="S50" s="100">
        <v>0</v>
      </c>
      <c r="T50" s="100">
        <v>0</v>
      </c>
      <c r="U50" s="100">
        <v>0</v>
      </c>
      <c r="V50" s="100">
        <v>0</v>
      </c>
      <c r="W50" s="100">
        <v>293.34500000000003</v>
      </c>
      <c r="X50" s="100">
        <v>852.10699999999997</v>
      </c>
      <c r="Y50" s="100">
        <v>115.78</v>
      </c>
      <c r="Z50" s="100">
        <v>138.91999999999999</v>
      </c>
      <c r="AA50" s="100">
        <v>0</v>
      </c>
      <c r="AB50" s="100">
        <v>0</v>
      </c>
      <c r="AC50" s="100">
        <v>0.40799999999999997</v>
      </c>
      <c r="AD50" s="100">
        <v>255.994</v>
      </c>
      <c r="AE50" s="100">
        <v>1997.2049999999999</v>
      </c>
      <c r="AF50" s="100">
        <v>82.751999999999995</v>
      </c>
      <c r="AG50" s="100">
        <v>19.681999999999999</v>
      </c>
      <c r="AH50" s="100">
        <v>562.92999999999995</v>
      </c>
      <c r="AI50" s="100">
        <v>0</v>
      </c>
      <c r="AJ50" s="100">
        <v>0</v>
      </c>
      <c r="AK50" s="100">
        <v>0</v>
      </c>
      <c r="AL50" s="100">
        <v>0</v>
      </c>
      <c r="AM50" s="100">
        <v>0</v>
      </c>
      <c r="AN50" s="100">
        <v>0</v>
      </c>
      <c r="AO50" s="100">
        <v>0</v>
      </c>
      <c r="AP50" s="100">
        <v>1701.8920000000001</v>
      </c>
      <c r="AQ50" s="100">
        <v>44.195</v>
      </c>
      <c r="AR50" s="100">
        <v>393.60700000000003</v>
      </c>
      <c r="AS50" s="100">
        <v>637.71500000000003</v>
      </c>
      <c r="AT50" s="100">
        <v>19.48</v>
      </c>
      <c r="AU50" s="100">
        <v>0.184</v>
      </c>
      <c r="AV50" s="100">
        <v>0</v>
      </c>
      <c r="AW50" s="100">
        <v>0</v>
      </c>
      <c r="AX50" s="100">
        <v>0</v>
      </c>
      <c r="AY50" s="100">
        <v>0</v>
      </c>
      <c r="AZ50" s="100">
        <v>0</v>
      </c>
      <c r="BA50" s="100">
        <v>0</v>
      </c>
      <c r="BB50" s="100">
        <v>38.817999999999998</v>
      </c>
      <c r="BC50" s="100">
        <v>0</v>
      </c>
      <c r="BD50" s="100">
        <v>1.3069999999999999</v>
      </c>
      <c r="BE50" s="100">
        <v>0</v>
      </c>
      <c r="BF50" s="100">
        <v>0</v>
      </c>
      <c r="BG50" s="100">
        <v>0</v>
      </c>
      <c r="BH50" s="100">
        <v>26338.274000000001</v>
      </c>
      <c r="BI50" s="100">
        <v>3600.0790000000002</v>
      </c>
      <c r="BJ50" s="100">
        <v>54702.745999999999</v>
      </c>
      <c r="BK50" s="100">
        <v>4991.6670000000004</v>
      </c>
      <c r="BL50" s="102"/>
      <c r="BM50" s="102"/>
    </row>
    <row r="51" spans="1:65">
      <c r="B51" s="427" t="s">
        <v>735</v>
      </c>
      <c r="C51" s="429" t="s">
        <v>736</v>
      </c>
      <c r="D51" s="187">
        <v>0</v>
      </c>
      <c r="E51" s="187">
        <v>0</v>
      </c>
      <c r="F51" s="187">
        <v>0</v>
      </c>
      <c r="G51" s="187">
        <v>0</v>
      </c>
      <c r="H51" s="187">
        <v>0</v>
      </c>
      <c r="I51" s="187">
        <v>0</v>
      </c>
      <c r="J51" s="187">
        <v>0</v>
      </c>
      <c r="K51" s="187">
        <v>0.46500000000000002</v>
      </c>
      <c r="L51" s="187">
        <v>0</v>
      </c>
      <c r="M51" s="187">
        <v>0</v>
      </c>
      <c r="N51" s="187">
        <v>0</v>
      </c>
      <c r="O51" s="187">
        <v>0</v>
      </c>
      <c r="P51" s="187">
        <v>0</v>
      </c>
      <c r="Q51" s="187">
        <v>0</v>
      </c>
      <c r="R51" s="187">
        <v>3.448</v>
      </c>
      <c r="S51" s="187">
        <v>0</v>
      </c>
      <c r="T51" s="187">
        <v>0</v>
      </c>
      <c r="U51" s="187">
        <v>0</v>
      </c>
      <c r="V51" s="187">
        <v>0</v>
      </c>
      <c r="W51" s="187">
        <v>0</v>
      </c>
      <c r="X51" s="187">
        <v>5.173</v>
      </c>
      <c r="Y51" s="187">
        <v>0.11799999999999999</v>
      </c>
      <c r="Z51" s="187">
        <v>28.844000000000001</v>
      </c>
      <c r="AA51" s="187">
        <v>0</v>
      </c>
      <c r="AB51" s="187">
        <v>0</v>
      </c>
      <c r="AC51" s="187">
        <v>0</v>
      </c>
      <c r="AD51" s="187">
        <v>172.08199999999999</v>
      </c>
      <c r="AE51" s="187">
        <v>222.28299999999999</v>
      </c>
      <c r="AF51" s="187">
        <v>2.65</v>
      </c>
      <c r="AG51" s="187">
        <v>6.1029999999999998</v>
      </c>
      <c r="AH51" s="187">
        <v>13.11</v>
      </c>
      <c r="AI51" s="187">
        <v>0</v>
      </c>
      <c r="AJ51" s="187">
        <v>0</v>
      </c>
      <c r="AK51" s="187">
        <v>0</v>
      </c>
      <c r="AL51" s="187">
        <v>0</v>
      </c>
      <c r="AM51" s="187">
        <v>0</v>
      </c>
      <c r="AN51" s="187">
        <v>0</v>
      </c>
      <c r="AO51" s="187">
        <v>0</v>
      </c>
      <c r="AP51" s="187">
        <v>0</v>
      </c>
      <c r="AQ51" s="187">
        <v>0.55700000000000005</v>
      </c>
      <c r="AR51" s="187">
        <v>0</v>
      </c>
      <c r="AS51" s="187">
        <v>158.267</v>
      </c>
      <c r="AT51" s="187">
        <v>0</v>
      </c>
      <c r="AU51" s="187">
        <v>0</v>
      </c>
      <c r="AV51" s="187">
        <v>0</v>
      </c>
      <c r="AW51" s="187">
        <v>0</v>
      </c>
      <c r="AX51" s="187">
        <v>0</v>
      </c>
      <c r="AY51" s="187">
        <v>0</v>
      </c>
      <c r="AZ51" s="187">
        <v>0</v>
      </c>
      <c r="BA51" s="187">
        <v>0</v>
      </c>
      <c r="BB51" s="187">
        <v>33.798000000000002</v>
      </c>
      <c r="BC51" s="187">
        <v>0</v>
      </c>
      <c r="BD51" s="187">
        <v>0</v>
      </c>
      <c r="BE51" s="187">
        <v>0</v>
      </c>
      <c r="BF51" s="187">
        <v>0</v>
      </c>
      <c r="BG51" s="187">
        <v>0</v>
      </c>
      <c r="BH51" s="187">
        <v>1390.684</v>
      </c>
      <c r="BI51" s="187">
        <v>0</v>
      </c>
      <c r="BJ51" s="187">
        <v>2037.5819999999999</v>
      </c>
      <c r="BK51" s="187">
        <v>192.62200000000001</v>
      </c>
      <c r="BL51" s="102"/>
      <c r="BM51" s="102"/>
    </row>
    <row r="52" spans="1:65">
      <c r="B52" s="427" t="s">
        <v>737</v>
      </c>
      <c r="C52" s="429" t="s">
        <v>738</v>
      </c>
      <c r="D52" s="187">
        <v>0</v>
      </c>
      <c r="E52" s="187">
        <v>0</v>
      </c>
      <c r="F52" s="187">
        <v>0</v>
      </c>
      <c r="G52" s="187">
        <v>0</v>
      </c>
      <c r="H52" s="187">
        <v>0</v>
      </c>
      <c r="I52" s="187">
        <v>0</v>
      </c>
      <c r="J52" s="187">
        <v>0</v>
      </c>
      <c r="K52" s="187">
        <v>0</v>
      </c>
      <c r="L52" s="187">
        <v>0</v>
      </c>
      <c r="M52" s="187">
        <v>0</v>
      </c>
      <c r="N52" s="187">
        <v>0</v>
      </c>
      <c r="O52" s="187">
        <v>0</v>
      </c>
      <c r="P52" s="187">
        <v>0</v>
      </c>
      <c r="Q52" s="187">
        <v>0</v>
      </c>
      <c r="R52" s="187">
        <v>0</v>
      </c>
      <c r="S52" s="187">
        <v>0</v>
      </c>
      <c r="T52" s="187">
        <v>0</v>
      </c>
      <c r="U52" s="187">
        <v>0</v>
      </c>
      <c r="V52" s="187">
        <v>0</v>
      </c>
      <c r="W52" s="187">
        <v>0</v>
      </c>
      <c r="X52" s="187">
        <v>1.167</v>
      </c>
      <c r="Y52" s="187">
        <v>0</v>
      </c>
      <c r="Z52" s="187">
        <v>73.864999999999995</v>
      </c>
      <c r="AA52" s="187">
        <v>0</v>
      </c>
      <c r="AB52" s="187">
        <v>0</v>
      </c>
      <c r="AC52" s="187">
        <v>0</v>
      </c>
      <c r="AD52" s="187">
        <v>2.5999999999999999E-2</v>
      </c>
      <c r="AE52" s="187">
        <v>719.55499999999995</v>
      </c>
      <c r="AF52" s="187">
        <v>2.8519999999999999</v>
      </c>
      <c r="AG52" s="187">
        <v>6.6970000000000001</v>
      </c>
      <c r="AH52" s="187">
        <v>4.2300000000000004</v>
      </c>
      <c r="AI52" s="187">
        <v>0</v>
      </c>
      <c r="AJ52" s="187">
        <v>0</v>
      </c>
      <c r="AK52" s="187">
        <v>0</v>
      </c>
      <c r="AL52" s="187">
        <v>0</v>
      </c>
      <c r="AM52" s="187">
        <v>0</v>
      </c>
      <c r="AN52" s="187">
        <v>0</v>
      </c>
      <c r="AO52" s="187">
        <v>0</v>
      </c>
      <c r="AP52" s="187">
        <v>0</v>
      </c>
      <c r="AQ52" s="187">
        <v>0</v>
      </c>
      <c r="AR52" s="187">
        <v>0</v>
      </c>
      <c r="AS52" s="187">
        <v>0</v>
      </c>
      <c r="AT52" s="187">
        <v>0</v>
      </c>
      <c r="AU52" s="187">
        <v>0</v>
      </c>
      <c r="AV52" s="187">
        <v>0</v>
      </c>
      <c r="AW52" s="187">
        <v>0</v>
      </c>
      <c r="AX52" s="187">
        <v>0</v>
      </c>
      <c r="AY52" s="187">
        <v>0</v>
      </c>
      <c r="AZ52" s="187">
        <v>0</v>
      </c>
      <c r="BA52" s="187">
        <v>0</v>
      </c>
      <c r="BB52" s="187">
        <v>0</v>
      </c>
      <c r="BC52" s="187">
        <v>0</v>
      </c>
      <c r="BD52" s="187">
        <v>0</v>
      </c>
      <c r="BE52" s="187">
        <v>0</v>
      </c>
      <c r="BF52" s="187">
        <v>0</v>
      </c>
      <c r="BG52" s="187">
        <v>0</v>
      </c>
      <c r="BH52" s="187">
        <v>267.88099999999997</v>
      </c>
      <c r="BI52" s="187">
        <v>0</v>
      </c>
      <c r="BJ52" s="187">
        <v>1076.2729999999999</v>
      </c>
      <c r="BK52" s="187">
        <v>0</v>
      </c>
      <c r="BL52" s="102"/>
      <c r="BM52" s="102"/>
    </row>
    <row r="53" spans="1:65">
      <c r="B53" s="427" t="s">
        <v>739</v>
      </c>
      <c r="C53" s="429" t="s">
        <v>740</v>
      </c>
      <c r="D53" s="187">
        <v>0</v>
      </c>
      <c r="E53" s="187">
        <v>0</v>
      </c>
      <c r="F53" s="187">
        <v>0</v>
      </c>
      <c r="G53" s="187">
        <v>0</v>
      </c>
      <c r="H53" s="187">
        <v>0</v>
      </c>
      <c r="I53" s="187">
        <v>0</v>
      </c>
      <c r="J53" s="187">
        <v>0</v>
      </c>
      <c r="K53" s="187">
        <v>0</v>
      </c>
      <c r="L53" s="187">
        <v>0</v>
      </c>
      <c r="M53" s="187">
        <v>0</v>
      </c>
      <c r="N53" s="187">
        <v>0</v>
      </c>
      <c r="O53" s="187">
        <v>0</v>
      </c>
      <c r="P53" s="187">
        <v>0</v>
      </c>
      <c r="Q53" s="187">
        <v>0</v>
      </c>
      <c r="R53" s="187">
        <v>0</v>
      </c>
      <c r="S53" s="187">
        <v>0</v>
      </c>
      <c r="T53" s="187">
        <v>0</v>
      </c>
      <c r="U53" s="187">
        <v>0</v>
      </c>
      <c r="V53" s="187">
        <v>0</v>
      </c>
      <c r="W53" s="187">
        <v>0</v>
      </c>
      <c r="X53" s="187">
        <v>1.901</v>
      </c>
      <c r="Y53" s="187">
        <v>1E-3</v>
      </c>
      <c r="Z53" s="187">
        <v>2.8000000000000001E-2</v>
      </c>
      <c r="AA53" s="187">
        <v>0</v>
      </c>
      <c r="AB53" s="187">
        <v>0</v>
      </c>
      <c r="AC53" s="187">
        <v>0</v>
      </c>
      <c r="AD53" s="187">
        <v>0.74</v>
      </c>
      <c r="AE53" s="187">
        <v>29.876999999999999</v>
      </c>
      <c r="AF53" s="187">
        <v>3.0680000000000001</v>
      </c>
      <c r="AG53" s="187">
        <v>0.49299999999999999</v>
      </c>
      <c r="AH53" s="187">
        <v>6.2030000000000003</v>
      </c>
      <c r="AI53" s="187">
        <v>0</v>
      </c>
      <c r="AJ53" s="187">
        <v>0</v>
      </c>
      <c r="AK53" s="187">
        <v>0</v>
      </c>
      <c r="AL53" s="187">
        <v>0</v>
      </c>
      <c r="AM53" s="187">
        <v>0</v>
      </c>
      <c r="AN53" s="187">
        <v>0</v>
      </c>
      <c r="AO53" s="187">
        <v>0</v>
      </c>
      <c r="AP53" s="187">
        <v>0</v>
      </c>
      <c r="AQ53" s="187">
        <v>0</v>
      </c>
      <c r="AR53" s="187">
        <v>0</v>
      </c>
      <c r="AS53" s="187">
        <v>0</v>
      </c>
      <c r="AT53" s="187">
        <v>3.988</v>
      </c>
      <c r="AU53" s="187">
        <v>0</v>
      </c>
      <c r="AV53" s="187">
        <v>0</v>
      </c>
      <c r="AW53" s="187">
        <v>0</v>
      </c>
      <c r="AX53" s="187">
        <v>0</v>
      </c>
      <c r="AY53" s="187">
        <v>0</v>
      </c>
      <c r="AZ53" s="187">
        <v>0</v>
      </c>
      <c r="BA53" s="187">
        <v>0</v>
      </c>
      <c r="BB53" s="187">
        <v>0</v>
      </c>
      <c r="BC53" s="187">
        <v>0</v>
      </c>
      <c r="BD53" s="187">
        <v>0</v>
      </c>
      <c r="BE53" s="187">
        <v>0</v>
      </c>
      <c r="BF53" s="187">
        <v>0</v>
      </c>
      <c r="BG53" s="187">
        <v>0</v>
      </c>
      <c r="BH53" s="187">
        <v>151.28</v>
      </c>
      <c r="BI53" s="187">
        <v>0</v>
      </c>
      <c r="BJ53" s="187">
        <v>197.57900000000001</v>
      </c>
      <c r="BK53" s="187">
        <v>3.988</v>
      </c>
      <c r="BL53" s="102"/>
      <c r="BM53" s="102"/>
    </row>
    <row r="54" spans="1:65">
      <c r="B54" s="415" t="s">
        <v>741</v>
      </c>
      <c r="C54" s="132" t="s">
        <v>742</v>
      </c>
      <c r="D54" s="100">
        <v>0</v>
      </c>
      <c r="E54" s="100">
        <v>2679.683</v>
      </c>
      <c r="F54" s="100">
        <v>0</v>
      </c>
      <c r="G54" s="100">
        <v>3759.4250000000002</v>
      </c>
      <c r="H54" s="100">
        <v>0</v>
      </c>
      <c r="I54" s="100">
        <v>0</v>
      </c>
      <c r="J54" s="100">
        <v>0</v>
      </c>
      <c r="K54" s="100">
        <v>0.39</v>
      </c>
      <c r="L54" s="100">
        <v>696.572</v>
      </c>
      <c r="M54" s="100">
        <v>0</v>
      </c>
      <c r="N54" s="100">
        <v>1672.508</v>
      </c>
      <c r="O54" s="100">
        <v>32.920999999999999</v>
      </c>
      <c r="P54" s="100">
        <v>155.696</v>
      </c>
      <c r="Q54" s="100">
        <v>936.58900000000006</v>
      </c>
      <c r="R54" s="100">
        <v>7670.3440000000001</v>
      </c>
      <c r="S54" s="100">
        <v>0</v>
      </c>
      <c r="T54" s="100">
        <v>0</v>
      </c>
      <c r="U54" s="100">
        <v>0</v>
      </c>
      <c r="V54" s="100">
        <v>0</v>
      </c>
      <c r="W54" s="100">
        <v>293.34500000000003</v>
      </c>
      <c r="X54" s="100">
        <v>835.80899999999997</v>
      </c>
      <c r="Y54" s="100">
        <v>115.661</v>
      </c>
      <c r="Z54" s="100">
        <v>28.582999999999998</v>
      </c>
      <c r="AA54" s="100">
        <v>0</v>
      </c>
      <c r="AB54" s="100">
        <v>0</v>
      </c>
      <c r="AC54" s="100">
        <v>0.40799999999999997</v>
      </c>
      <c r="AD54" s="100">
        <v>55.447000000000003</v>
      </c>
      <c r="AE54" s="100">
        <v>433.94400000000002</v>
      </c>
      <c r="AF54" s="100">
        <v>37.325000000000003</v>
      </c>
      <c r="AG54" s="100">
        <v>6.383</v>
      </c>
      <c r="AH54" s="100">
        <v>537.44799999999998</v>
      </c>
      <c r="AI54" s="100">
        <v>0</v>
      </c>
      <c r="AJ54" s="100">
        <v>0</v>
      </c>
      <c r="AK54" s="100">
        <v>0</v>
      </c>
      <c r="AL54" s="100">
        <v>0</v>
      </c>
      <c r="AM54" s="100">
        <v>0</v>
      </c>
      <c r="AN54" s="100">
        <v>0</v>
      </c>
      <c r="AO54" s="100">
        <v>0</v>
      </c>
      <c r="AP54" s="100">
        <v>1701.883</v>
      </c>
      <c r="AQ54" s="100">
        <v>43.637999999999998</v>
      </c>
      <c r="AR54" s="100">
        <v>393.60700000000003</v>
      </c>
      <c r="AS54" s="100">
        <v>479.44799999999998</v>
      </c>
      <c r="AT54" s="100">
        <v>15.492000000000001</v>
      </c>
      <c r="AU54" s="100">
        <v>0.184</v>
      </c>
      <c r="AV54" s="100">
        <v>0</v>
      </c>
      <c r="AW54" s="100">
        <v>0</v>
      </c>
      <c r="AX54" s="100">
        <v>0</v>
      </c>
      <c r="AY54" s="100">
        <v>0</v>
      </c>
      <c r="AZ54" s="100">
        <v>0</v>
      </c>
      <c r="BA54" s="100">
        <v>0</v>
      </c>
      <c r="BB54" s="100">
        <v>5.0199999999999996</v>
      </c>
      <c r="BC54" s="100">
        <v>0</v>
      </c>
      <c r="BD54" s="100">
        <v>1.3069999999999999</v>
      </c>
      <c r="BE54" s="100">
        <v>0</v>
      </c>
      <c r="BF54" s="100">
        <v>0</v>
      </c>
      <c r="BG54" s="100">
        <v>0</v>
      </c>
      <c r="BH54" s="100">
        <v>24528.428</v>
      </c>
      <c r="BI54" s="100">
        <v>3600.0790000000002</v>
      </c>
      <c r="BJ54" s="100">
        <v>50717.567000000003</v>
      </c>
      <c r="BK54" s="100">
        <v>4795.049</v>
      </c>
      <c r="BL54" s="102"/>
      <c r="BM54" s="102"/>
    </row>
    <row r="55" spans="1:65">
      <c r="B55" s="428" t="s">
        <v>743</v>
      </c>
      <c r="C55" s="429" t="s">
        <v>744</v>
      </c>
      <c r="D55" s="187">
        <v>0</v>
      </c>
      <c r="E55" s="187">
        <v>0</v>
      </c>
      <c r="F55" s="187">
        <v>0</v>
      </c>
      <c r="G55" s="187">
        <v>0</v>
      </c>
      <c r="H55" s="187">
        <v>0</v>
      </c>
      <c r="I55" s="187">
        <v>0</v>
      </c>
      <c r="J55" s="187">
        <v>0</v>
      </c>
      <c r="K55" s="187">
        <v>0</v>
      </c>
      <c r="L55" s="187">
        <v>0</v>
      </c>
      <c r="M55" s="187">
        <v>0</v>
      </c>
      <c r="N55" s="187">
        <v>0</v>
      </c>
      <c r="O55" s="187">
        <v>0</v>
      </c>
      <c r="P55" s="187">
        <v>0</v>
      </c>
      <c r="Q55" s="187">
        <v>0</v>
      </c>
      <c r="R55" s="187">
        <v>912.87400000000002</v>
      </c>
      <c r="S55" s="187">
        <v>0</v>
      </c>
      <c r="T55" s="187">
        <v>0</v>
      </c>
      <c r="U55" s="187">
        <v>0</v>
      </c>
      <c r="V55" s="187">
        <v>0</v>
      </c>
      <c r="W55" s="187">
        <v>0</v>
      </c>
      <c r="X55" s="187">
        <v>21.004000000000001</v>
      </c>
      <c r="Y55" s="187">
        <v>2.5999999999999999E-2</v>
      </c>
      <c r="Z55" s="187">
        <v>0.14099999999999999</v>
      </c>
      <c r="AA55" s="187">
        <v>0</v>
      </c>
      <c r="AB55" s="187">
        <v>0</v>
      </c>
      <c r="AC55" s="187">
        <v>0</v>
      </c>
      <c r="AD55" s="187">
        <v>7.0049999999999999</v>
      </c>
      <c r="AE55" s="187">
        <v>3.0960000000000001</v>
      </c>
      <c r="AF55" s="187">
        <v>8.5000000000000006E-2</v>
      </c>
      <c r="AG55" s="187">
        <v>0.41199999999999998</v>
      </c>
      <c r="AH55" s="187">
        <v>9.4879999999999995</v>
      </c>
      <c r="AI55" s="187">
        <v>0</v>
      </c>
      <c r="AJ55" s="187">
        <v>0</v>
      </c>
      <c r="AK55" s="187">
        <v>0</v>
      </c>
      <c r="AL55" s="187">
        <v>0</v>
      </c>
      <c r="AM55" s="187">
        <v>0</v>
      </c>
      <c r="AN55" s="187">
        <v>0</v>
      </c>
      <c r="AO55" s="187">
        <v>0</v>
      </c>
      <c r="AP55" s="187">
        <v>6.6440000000000001</v>
      </c>
      <c r="AQ55" s="187">
        <v>0</v>
      </c>
      <c r="AR55" s="187">
        <v>34.226999999999997</v>
      </c>
      <c r="AS55" s="187">
        <v>6.8620000000000001</v>
      </c>
      <c r="AT55" s="187">
        <v>6.1379999999999999</v>
      </c>
      <c r="AU55" s="187">
        <v>0</v>
      </c>
      <c r="AV55" s="187">
        <v>0</v>
      </c>
      <c r="AW55" s="187">
        <v>0</v>
      </c>
      <c r="AX55" s="187">
        <v>0</v>
      </c>
      <c r="AY55" s="187">
        <v>0</v>
      </c>
      <c r="AZ55" s="187">
        <v>0</v>
      </c>
      <c r="BA55" s="187">
        <v>0</v>
      </c>
      <c r="BB55" s="187">
        <v>0</v>
      </c>
      <c r="BC55" s="187">
        <v>0</v>
      </c>
      <c r="BD55" s="187">
        <v>0</v>
      </c>
      <c r="BE55" s="187">
        <v>0</v>
      </c>
      <c r="BF55" s="187">
        <v>0</v>
      </c>
      <c r="BG55" s="187">
        <v>0</v>
      </c>
      <c r="BH55" s="187">
        <v>1202.2190000000001</v>
      </c>
      <c r="BI55" s="187">
        <v>120.166</v>
      </c>
      <c r="BJ55" s="187">
        <v>2330.3870000000002</v>
      </c>
      <c r="BK55" s="187">
        <v>53.87</v>
      </c>
      <c r="BL55" s="102"/>
      <c r="BM55" s="102"/>
    </row>
    <row r="56" spans="1:65">
      <c r="B56" s="428" t="s">
        <v>745</v>
      </c>
      <c r="C56" s="429" t="s">
        <v>746</v>
      </c>
      <c r="D56" s="187">
        <v>0</v>
      </c>
      <c r="E56" s="187">
        <v>0</v>
      </c>
      <c r="F56" s="187">
        <v>0</v>
      </c>
      <c r="G56" s="187">
        <v>416.65699999999998</v>
      </c>
      <c r="H56" s="187">
        <v>0</v>
      </c>
      <c r="I56" s="187">
        <v>0</v>
      </c>
      <c r="J56" s="187">
        <v>0</v>
      </c>
      <c r="K56" s="187">
        <v>0</v>
      </c>
      <c r="L56" s="187">
        <v>0</v>
      </c>
      <c r="M56" s="187">
        <v>0</v>
      </c>
      <c r="N56" s="187">
        <v>0</v>
      </c>
      <c r="O56" s="187">
        <v>0</v>
      </c>
      <c r="P56" s="187">
        <v>0</v>
      </c>
      <c r="Q56" s="187">
        <v>0</v>
      </c>
      <c r="R56" s="187">
        <v>202.077</v>
      </c>
      <c r="S56" s="187">
        <v>0</v>
      </c>
      <c r="T56" s="187">
        <v>0</v>
      </c>
      <c r="U56" s="187">
        <v>0</v>
      </c>
      <c r="V56" s="187">
        <v>0</v>
      </c>
      <c r="W56" s="187">
        <v>0</v>
      </c>
      <c r="X56" s="187">
        <v>3.9990000000000001</v>
      </c>
      <c r="Y56" s="187">
        <v>0.185</v>
      </c>
      <c r="Z56" s="187">
        <v>7.0999999999999994E-2</v>
      </c>
      <c r="AA56" s="187">
        <v>0</v>
      </c>
      <c r="AB56" s="187">
        <v>0</v>
      </c>
      <c r="AC56" s="187">
        <v>0</v>
      </c>
      <c r="AD56" s="187">
        <v>3.6949999999999998</v>
      </c>
      <c r="AE56" s="187">
        <v>1.9610000000000001</v>
      </c>
      <c r="AF56" s="187">
        <v>0.105</v>
      </c>
      <c r="AG56" s="187">
        <v>0.29799999999999999</v>
      </c>
      <c r="AH56" s="187">
        <v>9.0180000000000007</v>
      </c>
      <c r="AI56" s="187">
        <v>0</v>
      </c>
      <c r="AJ56" s="187">
        <v>0</v>
      </c>
      <c r="AK56" s="187">
        <v>0</v>
      </c>
      <c r="AL56" s="187">
        <v>0</v>
      </c>
      <c r="AM56" s="187">
        <v>0</v>
      </c>
      <c r="AN56" s="187">
        <v>0</v>
      </c>
      <c r="AO56" s="187">
        <v>0</v>
      </c>
      <c r="AP56" s="187">
        <v>34.082000000000001</v>
      </c>
      <c r="AQ56" s="187">
        <v>2.2530000000000001</v>
      </c>
      <c r="AR56" s="187">
        <v>22.692</v>
      </c>
      <c r="AS56" s="187">
        <v>28.198</v>
      </c>
      <c r="AT56" s="187">
        <v>0</v>
      </c>
      <c r="AU56" s="187">
        <v>0</v>
      </c>
      <c r="AV56" s="187">
        <v>0</v>
      </c>
      <c r="AW56" s="187">
        <v>0</v>
      </c>
      <c r="AX56" s="187">
        <v>0</v>
      </c>
      <c r="AY56" s="187">
        <v>0</v>
      </c>
      <c r="AZ56" s="187">
        <v>0</v>
      </c>
      <c r="BA56" s="187">
        <v>0</v>
      </c>
      <c r="BB56" s="187">
        <v>0</v>
      </c>
      <c r="BC56" s="187">
        <v>0</v>
      </c>
      <c r="BD56" s="187">
        <v>0</v>
      </c>
      <c r="BE56" s="187">
        <v>0</v>
      </c>
      <c r="BF56" s="187">
        <v>0</v>
      </c>
      <c r="BG56" s="187">
        <v>0</v>
      </c>
      <c r="BH56" s="187">
        <v>799.85</v>
      </c>
      <c r="BI56" s="187">
        <v>229.09</v>
      </c>
      <c r="BJ56" s="187">
        <v>1754.231</v>
      </c>
      <c r="BK56" s="187">
        <v>87.224999999999994</v>
      </c>
      <c r="BL56" s="102"/>
      <c r="BM56" s="102"/>
    </row>
    <row r="57" spans="1:65">
      <c r="B57" s="428" t="s">
        <v>747</v>
      </c>
      <c r="C57" s="429" t="s">
        <v>748</v>
      </c>
      <c r="D57" s="187">
        <v>0</v>
      </c>
      <c r="E57" s="187">
        <v>0</v>
      </c>
      <c r="F57" s="187">
        <v>0</v>
      </c>
      <c r="G57" s="187">
        <v>0</v>
      </c>
      <c r="H57" s="187">
        <v>0</v>
      </c>
      <c r="I57" s="187">
        <v>0</v>
      </c>
      <c r="J57" s="187">
        <v>0</v>
      </c>
      <c r="K57" s="187">
        <v>0</v>
      </c>
      <c r="L57" s="187">
        <v>0</v>
      </c>
      <c r="M57" s="187">
        <v>0</v>
      </c>
      <c r="N57" s="187">
        <v>0</v>
      </c>
      <c r="O57" s="187">
        <v>0</v>
      </c>
      <c r="P57" s="187">
        <v>0</v>
      </c>
      <c r="Q57" s="187">
        <v>0</v>
      </c>
      <c r="R57" s="187">
        <v>31.7</v>
      </c>
      <c r="S57" s="187">
        <v>0</v>
      </c>
      <c r="T57" s="187">
        <v>0</v>
      </c>
      <c r="U57" s="187">
        <v>0</v>
      </c>
      <c r="V57" s="187">
        <v>0</v>
      </c>
      <c r="W57" s="187">
        <v>0</v>
      </c>
      <c r="X57" s="187">
        <v>0.25900000000000001</v>
      </c>
      <c r="Y57" s="187">
        <v>0</v>
      </c>
      <c r="Z57" s="187">
        <v>0.21299999999999999</v>
      </c>
      <c r="AA57" s="187">
        <v>0</v>
      </c>
      <c r="AB57" s="187">
        <v>0</v>
      </c>
      <c r="AC57" s="187">
        <v>0</v>
      </c>
      <c r="AD57" s="187">
        <v>0.76300000000000001</v>
      </c>
      <c r="AE57" s="187">
        <v>3.6850000000000001</v>
      </c>
      <c r="AF57" s="187">
        <v>0</v>
      </c>
      <c r="AG57" s="187">
        <v>0</v>
      </c>
      <c r="AH57" s="187">
        <v>2.0299999999999998</v>
      </c>
      <c r="AI57" s="187">
        <v>0</v>
      </c>
      <c r="AJ57" s="187">
        <v>0</v>
      </c>
      <c r="AK57" s="187">
        <v>0</v>
      </c>
      <c r="AL57" s="187">
        <v>0</v>
      </c>
      <c r="AM57" s="187">
        <v>0</v>
      </c>
      <c r="AN57" s="187">
        <v>0</v>
      </c>
      <c r="AO57" s="187">
        <v>0</v>
      </c>
      <c r="AP57" s="187">
        <v>0</v>
      </c>
      <c r="AQ57" s="187">
        <v>0</v>
      </c>
      <c r="AR57" s="187">
        <v>2.31</v>
      </c>
      <c r="AS57" s="187">
        <v>53.234000000000002</v>
      </c>
      <c r="AT57" s="187">
        <v>0</v>
      </c>
      <c r="AU57" s="187">
        <v>0</v>
      </c>
      <c r="AV57" s="187">
        <v>0</v>
      </c>
      <c r="AW57" s="187">
        <v>0</v>
      </c>
      <c r="AX57" s="187">
        <v>0</v>
      </c>
      <c r="AY57" s="187">
        <v>0</v>
      </c>
      <c r="AZ57" s="187">
        <v>0</v>
      </c>
      <c r="BA57" s="187">
        <v>0</v>
      </c>
      <c r="BB57" s="187">
        <v>0</v>
      </c>
      <c r="BC57" s="187">
        <v>0</v>
      </c>
      <c r="BD57" s="187">
        <v>0</v>
      </c>
      <c r="BE57" s="187">
        <v>0</v>
      </c>
      <c r="BF57" s="187">
        <v>0</v>
      </c>
      <c r="BG57" s="187">
        <v>0</v>
      </c>
      <c r="BH57" s="187">
        <v>150.87799999999999</v>
      </c>
      <c r="BI57" s="187">
        <v>8.8230000000000004</v>
      </c>
      <c r="BJ57" s="187">
        <v>253.89500000000001</v>
      </c>
      <c r="BK57" s="187">
        <v>55.543999999999997</v>
      </c>
      <c r="BL57" s="102"/>
      <c r="BM57" s="102"/>
    </row>
    <row r="58" spans="1:65">
      <c r="B58" s="428" t="s">
        <v>749</v>
      </c>
      <c r="C58" s="429" t="s">
        <v>750</v>
      </c>
      <c r="D58" s="187">
        <v>0</v>
      </c>
      <c r="E58" s="187">
        <v>0</v>
      </c>
      <c r="F58" s="187">
        <v>0</v>
      </c>
      <c r="G58" s="187">
        <v>0</v>
      </c>
      <c r="H58" s="187">
        <v>0</v>
      </c>
      <c r="I58" s="187">
        <v>0</v>
      </c>
      <c r="J58" s="187">
        <v>0</v>
      </c>
      <c r="K58" s="187">
        <v>0</v>
      </c>
      <c r="L58" s="187">
        <v>0</v>
      </c>
      <c r="M58" s="187">
        <v>0</v>
      </c>
      <c r="N58" s="187">
        <v>0</v>
      </c>
      <c r="O58" s="187">
        <v>0</v>
      </c>
      <c r="P58" s="187">
        <v>0</v>
      </c>
      <c r="Q58" s="187">
        <v>0</v>
      </c>
      <c r="R58" s="187">
        <v>305.89699999999999</v>
      </c>
      <c r="S58" s="187">
        <v>0</v>
      </c>
      <c r="T58" s="187">
        <v>0</v>
      </c>
      <c r="U58" s="187">
        <v>0</v>
      </c>
      <c r="V58" s="187">
        <v>0</v>
      </c>
      <c r="W58" s="187">
        <v>0</v>
      </c>
      <c r="X58" s="187">
        <v>5.2949999999999999</v>
      </c>
      <c r="Y58" s="187">
        <v>0</v>
      </c>
      <c r="Z58" s="187">
        <v>6.9000000000000006E-2</v>
      </c>
      <c r="AA58" s="187">
        <v>0</v>
      </c>
      <c r="AB58" s="187">
        <v>0</v>
      </c>
      <c r="AC58" s="187">
        <v>0</v>
      </c>
      <c r="AD58" s="187">
        <v>1.0209999999999999</v>
      </c>
      <c r="AE58" s="187">
        <v>6.6689999999999996</v>
      </c>
      <c r="AF58" s="187">
        <v>6.3E-2</v>
      </c>
      <c r="AG58" s="187">
        <v>0.60399999999999998</v>
      </c>
      <c r="AH58" s="187">
        <v>9.2550000000000008</v>
      </c>
      <c r="AI58" s="187">
        <v>0</v>
      </c>
      <c r="AJ58" s="187">
        <v>0</v>
      </c>
      <c r="AK58" s="187">
        <v>0</v>
      </c>
      <c r="AL58" s="187">
        <v>0</v>
      </c>
      <c r="AM58" s="187">
        <v>0</v>
      </c>
      <c r="AN58" s="187">
        <v>0</v>
      </c>
      <c r="AO58" s="187">
        <v>0</v>
      </c>
      <c r="AP58" s="187">
        <v>259.07499999999999</v>
      </c>
      <c r="AQ58" s="187">
        <v>15.792</v>
      </c>
      <c r="AR58" s="187">
        <v>169.94800000000001</v>
      </c>
      <c r="AS58" s="187">
        <v>14.835000000000001</v>
      </c>
      <c r="AT58" s="187">
        <v>4.1870000000000003</v>
      </c>
      <c r="AU58" s="187">
        <v>0</v>
      </c>
      <c r="AV58" s="187">
        <v>0</v>
      </c>
      <c r="AW58" s="187">
        <v>0</v>
      </c>
      <c r="AX58" s="187">
        <v>0</v>
      </c>
      <c r="AY58" s="187">
        <v>0</v>
      </c>
      <c r="AZ58" s="187">
        <v>0</v>
      </c>
      <c r="BA58" s="187">
        <v>0</v>
      </c>
      <c r="BB58" s="187">
        <v>0</v>
      </c>
      <c r="BC58" s="187">
        <v>0</v>
      </c>
      <c r="BD58" s="187">
        <v>0</v>
      </c>
      <c r="BE58" s="187">
        <v>0</v>
      </c>
      <c r="BF58" s="187">
        <v>0</v>
      </c>
      <c r="BG58" s="187">
        <v>0</v>
      </c>
      <c r="BH58" s="187">
        <v>820.95699999999999</v>
      </c>
      <c r="BI58" s="187">
        <v>275.42899999999997</v>
      </c>
      <c r="BJ58" s="187">
        <v>1889.096</v>
      </c>
      <c r="BK58" s="187">
        <v>463.83699999999999</v>
      </c>
      <c r="BL58" s="102"/>
      <c r="BM58" s="102"/>
    </row>
    <row r="59" spans="1:65">
      <c r="B59" s="424" t="s">
        <v>751</v>
      </c>
      <c r="C59" s="425" t="s">
        <v>752</v>
      </c>
      <c r="D59" s="426">
        <v>0</v>
      </c>
      <c r="E59" s="426">
        <v>0</v>
      </c>
      <c r="F59" s="426">
        <v>0</v>
      </c>
      <c r="G59" s="426">
        <v>657.49199999999996</v>
      </c>
      <c r="H59" s="426">
        <v>0</v>
      </c>
      <c r="I59" s="426">
        <v>0</v>
      </c>
      <c r="J59" s="426">
        <v>0</v>
      </c>
      <c r="K59" s="426">
        <v>0</v>
      </c>
      <c r="L59" s="426">
        <v>0</v>
      </c>
      <c r="M59" s="426">
        <v>0</v>
      </c>
      <c r="N59" s="426">
        <v>0</v>
      </c>
      <c r="O59" s="426">
        <v>0</v>
      </c>
      <c r="P59" s="426">
        <v>0</v>
      </c>
      <c r="Q59" s="426">
        <v>220.59399999999999</v>
      </c>
      <c r="R59" s="426">
        <v>1863.222</v>
      </c>
      <c r="S59" s="426">
        <v>0</v>
      </c>
      <c r="T59" s="426">
        <v>0</v>
      </c>
      <c r="U59" s="426">
        <v>0</v>
      </c>
      <c r="V59" s="426">
        <v>0</v>
      </c>
      <c r="W59" s="426">
        <v>293.34500000000003</v>
      </c>
      <c r="X59" s="426">
        <v>4.6669999999999998</v>
      </c>
      <c r="Y59" s="426">
        <v>9.5630000000000006</v>
      </c>
      <c r="Z59" s="426">
        <v>0.155</v>
      </c>
      <c r="AA59" s="426">
        <v>0</v>
      </c>
      <c r="AB59" s="426">
        <v>0</v>
      </c>
      <c r="AC59" s="426">
        <v>0</v>
      </c>
      <c r="AD59" s="426">
        <v>7.8170000000000002</v>
      </c>
      <c r="AE59" s="426">
        <v>7.6</v>
      </c>
      <c r="AF59" s="426">
        <v>2.028</v>
      </c>
      <c r="AG59" s="426">
        <v>3.3809999999999998</v>
      </c>
      <c r="AH59" s="426">
        <v>180.613</v>
      </c>
      <c r="AI59" s="426">
        <v>0</v>
      </c>
      <c r="AJ59" s="426">
        <v>0</v>
      </c>
      <c r="AK59" s="426">
        <v>0</v>
      </c>
      <c r="AL59" s="426">
        <v>0</v>
      </c>
      <c r="AM59" s="426">
        <v>0</v>
      </c>
      <c r="AN59" s="426">
        <v>0</v>
      </c>
      <c r="AO59" s="426">
        <v>0</v>
      </c>
      <c r="AP59" s="426">
        <v>252.06800000000001</v>
      </c>
      <c r="AQ59" s="426">
        <v>0</v>
      </c>
      <c r="AR59" s="426">
        <v>138.952</v>
      </c>
      <c r="AS59" s="426">
        <v>274.30500000000001</v>
      </c>
      <c r="AT59" s="426">
        <v>0</v>
      </c>
      <c r="AU59" s="426">
        <v>0.184</v>
      </c>
      <c r="AV59" s="426">
        <v>0</v>
      </c>
      <c r="AW59" s="426">
        <v>0</v>
      </c>
      <c r="AX59" s="426">
        <v>0</v>
      </c>
      <c r="AY59" s="426">
        <v>0</v>
      </c>
      <c r="AZ59" s="426">
        <v>0</v>
      </c>
      <c r="BA59" s="426">
        <v>0</v>
      </c>
      <c r="BB59" s="426">
        <v>0</v>
      </c>
      <c r="BC59" s="426">
        <v>0</v>
      </c>
      <c r="BD59" s="426">
        <v>0</v>
      </c>
      <c r="BE59" s="426">
        <v>0</v>
      </c>
      <c r="BF59" s="426">
        <v>0</v>
      </c>
      <c r="BG59" s="426">
        <v>0</v>
      </c>
      <c r="BH59" s="426">
        <v>5236.9960000000001</v>
      </c>
      <c r="BI59" s="426">
        <v>2538.8000000000002</v>
      </c>
      <c r="BJ59" s="426">
        <v>11691.781999999999</v>
      </c>
      <c r="BK59" s="426">
        <v>958.85400000000004</v>
      </c>
      <c r="BL59" s="102"/>
      <c r="BM59" s="102"/>
    </row>
    <row r="60" spans="1:65">
      <c r="B60" s="428" t="s">
        <v>753</v>
      </c>
      <c r="C60" s="429" t="s">
        <v>754</v>
      </c>
      <c r="D60" s="187">
        <v>0</v>
      </c>
      <c r="E60" s="187">
        <v>0</v>
      </c>
      <c r="F60" s="187">
        <v>0</v>
      </c>
      <c r="G60" s="187">
        <v>2143.002</v>
      </c>
      <c r="H60" s="187">
        <v>0</v>
      </c>
      <c r="I60" s="187">
        <v>0</v>
      </c>
      <c r="J60" s="187">
        <v>0</v>
      </c>
      <c r="K60" s="187">
        <v>0</v>
      </c>
      <c r="L60" s="187">
        <v>0</v>
      </c>
      <c r="M60" s="187">
        <v>0</v>
      </c>
      <c r="N60" s="187">
        <v>0</v>
      </c>
      <c r="O60" s="187">
        <v>0</v>
      </c>
      <c r="P60" s="187">
        <v>0</v>
      </c>
      <c r="Q60" s="187">
        <v>0</v>
      </c>
      <c r="R60" s="187">
        <v>532.23199999999997</v>
      </c>
      <c r="S60" s="187">
        <v>0</v>
      </c>
      <c r="T60" s="187">
        <v>0</v>
      </c>
      <c r="U60" s="187">
        <v>0</v>
      </c>
      <c r="V60" s="187">
        <v>0</v>
      </c>
      <c r="W60" s="187">
        <v>0</v>
      </c>
      <c r="X60" s="187">
        <v>26.655000000000001</v>
      </c>
      <c r="Y60" s="187">
        <v>5.0000000000000001E-3</v>
      </c>
      <c r="Z60" s="187">
        <v>0.82799999999999996</v>
      </c>
      <c r="AA60" s="187">
        <v>0</v>
      </c>
      <c r="AB60" s="187">
        <v>0</v>
      </c>
      <c r="AC60" s="187">
        <v>0</v>
      </c>
      <c r="AD60" s="187">
        <v>0.92200000000000004</v>
      </c>
      <c r="AE60" s="187">
        <v>144.18799999999999</v>
      </c>
      <c r="AF60" s="187">
        <v>3.0430000000000001</v>
      </c>
      <c r="AG60" s="187">
        <v>0.14699999999999999</v>
      </c>
      <c r="AH60" s="187">
        <v>219.50899999999999</v>
      </c>
      <c r="AI60" s="187">
        <v>0</v>
      </c>
      <c r="AJ60" s="187">
        <v>0</v>
      </c>
      <c r="AK60" s="187">
        <v>0</v>
      </c>
      <c r="AL60" s="187">
        <v>0</v>
      </c>
      <c r="AM60" s="187">
        <v>0</v>
      </c>
      <c r="AN60" s="187">
        <v>0</v>
      </c>
      <c r="AO60" s="187">
        <v>0</v>
      </c>
      <c r="AP60" s="187">
        <v>991.16499999999996</v>
      </c>
      <c r="AQ60" s="187">
        <v>0</v>
      </c>
      <c r="AR60" s="187">
        <v>0</v>
      </c>
      <c r="AS60" s="187">
        <v>0</v>
      </c>
      <c r="AT60" s="187">
        <v>0</v>
      </c>
      <c r="AU60" s="187">
        <v>0</v>
      </c>
      <c r="AV60" s="187">
        <v>0</v>
      </c>
      <c r="AW60" s="187">
        <v>0</v>
      </c>
      <c r="AX60" s="187">
        <v>0</v>
      </c>
      <c r="AY60" s="187">
        <v>0</v>
      </c>
      <c r="AZ60" s="187">
        <v>0</v>
      </c>
      <c r="BA60" s="187">
        <v>0</v>
      </c>
      <c r="BB60" s="187">
        <v>0</v>
      </c>
      <c r="BC60" s="187">
        <v>0</v>
      </c>
      <c r="BD60" s="187">
        <v>0</v>
      </c>
      <c r="BE60" s="187">
        <v>0</v>
      </c>
      <c r="BF60" s="187">
        <v>0</v>
      </c>
      <c r="BG60" s="187">
        <v>0</v>
      </c>
      <c r="BH60" s="187">
        <v>1014.636</v>
      </c>
      <c r="BI60" s="187">
        <v>0.49199999999999999</v>
      </c>
      <c r="BJ60" s="187">
        <v>5076.8240000000005</v>
      </c>
      <c r="BK60" s="187">
        <v>991.16499999999996</v>
      </c>
      <c r="BL60" s="102"/>
      <c r="BM60" s="102"/>
    </row>
    <row r="61" spans="1:65">
      <c r="B61" s="424" t="s">
        <v>755</v>
      </c>
      <c r="C61" s="425" t="s">
        <v>756</v>
      </c>
      <c r="D61" s="426">
        <v>0</v>
      </c>
      <c r="E61" s="426">
        <v>593.94899999999996</v>
      </c>
      <c r="F61" s="426">
        <v>0</v>
      </c>
      <c r="G61" s="426">
        <v>289.166</v>
      </c>
      <c r="H61" s="426">
        <v>0</v>
      </c>
      <c r="I61" s="426">
        <v>0</v>
      </c>
      <c r="J61" s="426">
        <v>0</v>
      </c>
      <c r="K61" s="426">
        <v>0</v>
      </c>
      <c r="L61" s="426">
        <v>696.572</v>
      </c>
      <c r="M61" s="426">
        <v>0</v>
      </c>
      <c r="N61" s="426">
        <v>1672.508</v>
      </c>
      <c r="O61" s="426">
        <v>32.920999999999999</v>
      </c>
      <c r="P61" s="426">
        <v>155.696</v>
      </c>
      <c r="Q61" s="426">
        <v>457.27800000000002</v>
      </c>
      <c r="R61" s="426">
        <v>1075.836</v>
      </c>
      <c r="S61" s="426">
        <v>0</v>
      </c>
      <c r="T61" s="426">
        <v>0</v>
      </c>
      <c r="U61" s="426">
        <v>0</v>
      </c>
      <c r="V61" s="426">
        <v>0</v>
      </c>
      <c r="W61" s="426">
        <v>0</v>
      </c>
      <c r="X61" s="426">
        <v>49.366999999999997</v>
      </c>
      <c r="Y61" s="426">
        <v>2.34</v>
      </c>
      <c r="Z61" s="426">
        <v>0</v>
      </c>
      <c r="AA61" s="426">
        <v>0</v>
      </c>
      <c r="AB61" s="426">
        <v>0</v>
      </c>
      <c r="AC61" s="426">
        <v>0</v>
      </c>
      <c r="AD61" s="426">
        <v>1.026</v>
      </c>
      <c r="AE61" s="426">
        <v>2.718</v>
      </c>
      <c r="AF61" s="426">
        <v>1.4999999999999999E-2</v>
      </c>
      <c r="AG61" s="426">
        <v>1E-3</v>
      </c>
      <c r="AH61" s="426">
        <v>2E-3</v>
      </c>
      <c r="AI61" s="426">
        <v>0</v>
      </c>
      <c r="AJ61" s="426">
        <v>0</v>
      </c>
      <c r="AK61" s="426">
        <v>0</v>
      </c>
      <c r="AL61" s="426">
        <v>0</v>
      </c>
      <c r="AM61" s="426">
        <v>0</v>
      </c>
      <c r="AN61" s="426">
        <v>0</v>
      </c>
      <c r="AO61" s="426">
        <v>0</v>
      </c>
      <c r="AP61" s="426">
        <v>0</v>
      </c>
      <c r="AQ61" s="426">
        <v>0</v>
      </c>
      <c r="AR61" s="426">
        <v>0</v>
      </c>
      <c r="AS61" s="426">
        <v>3.2789999999999999</v>
      </c>
      <c r="AT61" s="426">
        <v>0</v>
      </c>
      <c r="AU61" s="426">
        <v>0</v>
      </c>
      <c r="AV61" s="426">
        <v>0</v>
      </c>
      <c r="AW61" s="426">
        <v>0</v>
      </c>
      <c r="AX61" s="426">
        <v>0</v>
      </c>
      <c r="AY61" s="426">
        <v>0</v>
      </c>
      <c r="AZ61" s="426">
        <v>0</v>
      </c>
      <c r="BA61" s="426">
        <v>0</v>
      </c>
      <c r="BB61" s="426">
        <v>0</v>
      </c>
      <c r="BC61" s="426">
        <v>0</v>
      </c>
      <c r="BD61" s="426">
        <v>0</v>
      </c>
      <c r="BE61" s="426">
        <v>0</v>
      </c>
      <c r="BF61" s="426">
        <v>0</v>
      </c>
      <c r="BG61" s="426">
        <v>0</v>
      </c>
      <c r="BH61" s="426">
        <v>4237.2790000000005</v>
      </c>
      <c r="BI61" s="426">
        <v>6.4459999999999997</v>
      </c>
      <c r="BJ61" s="426">
        <v>9276.3990000000013</v>
      </c>
      <c r="BK61" s="426">
        <v>1864.404</v>
      </c>
      <c r="BL61" s="102"/>
      <c r="BM61" s="102"/>
    </row>
    <row r="62" spans="1:65">
      <c r="B62" s="424" t="s">
        <v>757</v>
      </c>
      <c r="C62" s="425" t="s">
        <v>758</v>
      </c>
      <c r="D62" s="426">
        <v>0</v>
      </c>
      <c r="E62" s="426">
        <v>170.83099999999999</v>
      </c>
      <c r="F62" s="426">
        <v>0</v>
      </c>
      <c r="G62" s="426">
        <v>253.108</v>
      </c>
      <c r="H62" s="426">
        <v>0</v>
      </c>
      <c r="I62" s="426">
        <v>0</v>
      </c>
      <c r="J62" s="426">
        <v>0</v>
      </c>
      <c r="K62" s="426">
        <v>0</v>
      </c>
      <c r="L62" s="426">
        <v>0</v>
      </c>
      <c r="M62" s="426">
        <v>0</v>
      </c>
      <c r="N62" s="426">
        <v>0</v>
      </c>
      <c r="O62" s="426">
        <v>0</v>
      </c>
      <c r="P62" s="426">
        <v>0</v>
      </c>
      <c r="Q62" s="426">
        <v>0</v>
      </c>
      <c r="R62" s="426">
        <v>498.83199999999999</v>
      </c>
      <c r="S62" s="426">
        <v>0</v>
      </c>
      <c r="T62" s="426">
        <v>0</v>
      </c>
      <c r="U62" s="426">
        <v>0</v>
      </c>
      <c r="V62" s="426">
        <v>0</v>
      </c>
      <c r="W62" s="426">
        <v>0</v>
      </c>
      <c r="X62" s="426">
        <v>17.731999999999999</v>
      </c>
      <c r="Y62" s="426">
        <v>0.13100000000000001</v>
      </c>
      <c r="Z62" s="426">
        <v>0</v>
      </c>
      <c r="AA62" s="426">
        <v>0</v>
      </c>
      <c r="AB62" s="426">
        <v>0</v>
      </c>
      <c r="AC62" s="426">
        <v>0</v>
      </c>
      <c r="AD62" s="426">
        <v>6.5000000000000002E-2</v>
      </c>
      <c r="AE62" s="426">
        <v>3.1179999999999999</v>
      </c>
      <c r="AF62" s="426">
        <v>6.0000000000000001E-3</v>
      </c>
      <c r="AG62" s="426">
        <v>1.2999999999999999E-2</v>
      </c>
      <c r="AH62" s="426">
        <v>23.225000000000001</v>
      </c>
      <c r="AI62" s="426">
        <v>0</v>
      </c>
      <c r="AJ62" s="426">
        <v>0</v>
      </c>
      <c r="AK62" s="426">
        <v>0</v>
      </c>
      <c r="AL62" s="426">
        <v>0</v>
      </c>
      <c r="AM62" s="426">
        <v>0</v>
      </c>
      <c r="AN62" s="426">
        <v>0</v>
      </c>
      <c r="AO62" s="426">
        <v>0</v>
      </c>
      <c r="AP62" s="426">
        <v>0</v>
      </c>
      <c r="AQ62" s="426">
        <v>0</v>
      </c>
      <c r="AR62" s="426">
        <v>0</v>
      </c>
      <c r="AS62" s="426">
        <v>0</v>
      </c>
      <c r="AT62" s="426">
        <v>0</v>
      </c>
      <c r="AU62" s="426">
        <v>0</v>
      </c>
      <c r="AV62" s="426">
        <v>0</v>
      </c>
      <c r="AW62" s="426">
        <v>0</v>
      </c>
      <c r="AX62" s="426">
        <v>0</v>
      </c>
      <c r="AY62" s="426">
        <v>0</v>
      </c>
      <c r="AZ62" s="426">
        <v>0</v>
      </c>
      <c r="BA62" s="426">
        <v>0</v>
      </c>
      <c r="BB62" s="426">
        <v>0</v>
      </c>
      <c r="BC62" s="426">
        <v>0</v>
      </c>
      <c r="BD62" s="426">
        <v>0</v>
      </c>
      <c r="BE62" s="426">
        <v>0</v>
      </c>
      <c r="BF62" s="426">
        <v>0</v>
      </c>
      <c r="BG62" s="426">
        <v>0</v>
      </c>
      <c r="BH62" s="426">
        <v>920.91600000000005</v>
      </c>
      <c r="BI62" s="426">
        <v>72.991</v>
      </c>
      <c r="BJ62" s="426">
        <v>1960.9680000000001</v>
      </c>
      <c r="BK62" s="426">
        <v>0</v>
      </c>
      <c r="BL62" s="102"/>
      <c r="BM62" s="102"/>
    </row>
    <row r="63" spans="1:65">
      <c r="B63" s="424" t="s">
        <v>759</v>
      </c>
      <c r="C63" s="425" t="s">
        <v>760</v>
      </c>
      <c r="D63" s="426">
        <v>0</v>
      </c>
      <c r="E63" s="426">
        <v>0</v>
      </c>
      <c r="F63" s="426">
        <v>0</v>
      </c>
      <c r="G63" s="426">
        <v>0</v>
      </c>
      <c r="H63" s="426">
        <v>0</v>
      </c>
      <c r="I63" s="426">
        <v>0</v>
      </c>
      <c r="J63" s="426">
        <v>0</v>
      </c>
      <c r="K63" s="426">
        <v>0</v>
      </c>
      <c r="L63" s="426">
        <v>0</v>
      </c>
      <c r="M63" s="426">
        <v>0</v>
      </c>
      <c r="N63" s="426">
        <v>0</v>
      </c>
      <c r="O63" s="426">
        <v>0</v>
      </c>
      <c r="P63" s="426">
        <v>0</v>
      </c>
      <c r="Q63" s="426">
        <v>0</v>
      </c>
      <c r="R63" s="426">
        <v>1421.7139999999999</v>
      </c>
      <c r="S63" s="426">
        <v>0</v>
      </c>
      <c r="T63" s="426">
        <v>0</v>
      </c>
      <c r="U63" s="426">
        <v>0</v>
      </c>
      <c r="V63" s="426">
        <v>0</v>
      </c>
      <c r="W63" s="426">
        <v>0</v>
      </c>
      <c r="X63" s="426">
        <v>20.783999999999999</v>
      </c>
      <c r="Y63" s="426">
        <v>0.3</v>
      </c>
      <c r="Z63" s="426">
        <v>0.39600000000000002</v>
      </c>
      <c r="AA63" s="426">
        <v>0</v>
      </c>
      <c r="AB63" s="426">
        <v>0</v>
      </c>
      <c r="AC63" s="426">
        <v>0</v>
      </c>
      <c r="AD63" s="426">
        <v>10.981</v>
      </c>
      <c r="AE63" s="426">
        <v>40.145000000000003</v>
      </c>
      <c r="AF63" s="426">
        <v>4.742</v>
      </c>
      <c r="AG63" s="426">
        <v>0.60099999999999998</v>
      </c>
      <c r="AH63" s="426">
        <v>2.7639999999999998</v>
      </c>
      <c r="AI63" s="426">
        <v>0</v>
      </c>
      <c r="AJ63" s="426">
        <v>0</v>
      </c>
      <c r="AK63" s="426">
        <v>0</v>
      </c>
      <c r="AL63" s="426">
        <v>0</v>
      </c>
      <c r="AM63" s="426">
        <v>0</v>
      </c>
      <c r="AN63" s="426">
        <v>0</v>
      </c>
      <c r="AO63" s="426">
        <v>0</v>
      </c>
      <c r="AP63" s="426">
        <v>0</v>
      </c>
      <c r="AQ63" s="426">
        <v>0</v>
      </c>
      <c r="AR63" s="426">
        <v>1.944</v>
      </c>
      <c r="AS63" s="426">
        <v>37.509</v>
      </c>
      <c r="AT63" s="426">
        <v>0</v>
      </c>
      <c r="AU63" s="426">
        <v>0</v>
      </c>
      <c r="AV63" s="426">
        <v>0</v>
      </c>
      <c r="AW63" s="426">
        <v>0</v>
      </c>
      <c r="AX63" s="426">
        <v>0</v>
      </c>
      <c r="AY63" s="426">
        <v>0</v>
      </c>
      <c r="AZ63" s="426">
        <v>0</v>
      </c>
      <c r="BA63" s="426">
        <v>0</v>
      </c>
      <c r="BB63" s="426">
        <v>0</v>
      </c>
      <c r="BC63" s="426">
        <v>0</v>
      </c>
      <c r="BD63" s="426">
        <v>0</v>
      </c>
      <c r="BE63" s="426">
        <v>0</v>
      </c>
      <c r="BF63" s="426">
        <v>0</v>
      </c>
      <c r="BG63" s="426">
        <v>0</v>
      </c>
      <c r="BH63" s="426">
        <v>7869.6540000000005</v>
      </c>
      <c r="BI63" s="426">
        <v>299.85000000000002</v>
      </c>
      <c r="BJ63" s="426">
        <v>9711.384</v>
      </c>
      <c r="BK63" s="426">
        <v>39.453000000000003</v>
      </c>
      <c r="BL63" s="102"/>
      <c r="BM63" s="102"/>
    </row>
    <row r="64" spans="1:65">
      <c r="B64" s="424" t="s">
        <v>761</v>
      </c>
      <c r="C64" s="425" t="s">
        <v>762</v>
      </c>
      <c r="D64" s="426">
        <v>0</v>
      </c>
      <c r="E64" s="426">
        <v>0</v>
      </c>
      <c r="F64" s="426">
        <v>0</v>
      </c>
      <c r="G64" s="426">
        <v>0</v>
      </c>
      <c r="H64" s="426">
        <v>0</v>
      </c>
      <c r="I64" s="426">
        <v>0</v>
      </c>
      <c r="J64" s="426">
        <v>0</v>
      </c>
      <c r="K64" s="426">
        <v>0</v>
      </c>
      <c r="L64" s="426">
        <v>0</v>
      </c>
      <c r="M64" s="426">
        <v>0</v>
      </c>
      <c r="N64" s="426">
        <v>0</v>
      </c>
      <c r="O64" s="426">
        <v>0</v>
      </c>
      <c r="P64" s="426">
        <v>0</v>
      </c>
      <c r="Q64" s="426">
        <v>18.257999999999999</v>
      </c>
      <c r="R64" s="426">
        <v>672.70600000000002</v>
      </c>
      <c r="S64" s="426">
        <v>0</v>
      </c>
      <c r="T64" s="426">
        <v>0</v>
      </c>
      <c r="U64" s="426">
        <v>0</v>
      </c>
      <c r="V64" s="426">
        <v>0</v>
      </c>
      <c r="W64" s="426">
        <v>0</v>
      </c>
      <c r="X64" s="426">
        <v>29.553999999999998</v>
      </c>
      <c r="Y64" s="426">
        <v>1.4650000000000001</v>
      </c>
      <c r="Z64" s="426">
        <v>22.788</v>
      </c>
      <c r="AA64" s="426">
        <v>0</v>
      </c>
      <c r="AB64" s="426">
        <v>0</v>
      </c>
      <c r="AC64" s="426">
        <v>0</v>
      </c>
      <c r="AD64" s="426">
        <v>0.89100000000000001</v>
      </c>
      <c r="AE64" s="426">
        <v>93.968000000000004</v>
      </c>
      <c r="AF64" s="426">
        <v>25.452999999999999</v>
      </c>
      <c r="AG64" s="426">
        <v>1E-3</v>
      </c>
      <c r="AH64" s="426">
        <v>70.27</v>
      </c>
      <c r="AI64" s="426">
        <v>0</v>
      </c>
      <c r="AJ64" s="426">
        <v>0</v>
      </c>
      <c r="AK64" s="426">
        <v>0</v>
      </c>
      <c r="AL64" s="426">
        <v>0</v>
      </c>
      <c r="AM64" s="426">
        <v>0</v>
      </c>
      <c r="AN64" s="426">
        <v>0</v>
      </c>
      <c r="AO64" s="426">
        <v>0</v>
      </c>
      <c r="AP64" s="426">
        <v>4.3150000000000004</v>
      </c>
      <c r="AQ64" s="426">
        <v>0</v>
      </c>
      <c r="AR64" s="426">
        <v>9.6140000000000008</v>
      </c>
      <c r="AS64" s="426">
        <v>0</v>
      </c>
      <c r="AT64" s="426">
        <v>0</v>
      </c>
      <c r="AU64" s="426">
        <v>0</v>
      </c>
      <c r="AV64" s="426">
        <v>0</v>
      </c>
      <c r="AW64" s="426">
        <v>0</v>
      </c>
      <c r="AX64" s="426">
        <v>0</v>
      </c>
      <c r="AY64" s="426">
        <v>0</v>
      </c>
      <c r="AZ64" s="426">
        <v>0</v>
      </c>
      <c r="BA64" s="426">
        <v>0</v>
      </c>
      <c r="BB64" s="426">
        <v>0</v>
      </c>
      <c r="BC64" s="426">
        <v>0</v>
      </c>
      <c r="BD64" s="426">
        <v>0</v>
      </c>
      <c r="BE64" s="426">
        <v>0</v>
      </c>
      <c r="BF64" s="426">
        <v>0</v>
      </c>
      <c r="BG64" s="426">
        <v>0</v>
      </c>
      <c r="BH64" s="426">
        <v>1956.317</v>
      </c>
      <c r="BI64" s="426">
        <v>47.942</v>
      </c>
      <c r="BJ64" s="426">
        <v>2953.5419999999999</v>
      </c>
      <c r="BK64" s="426">
        <v>13.929</v>
      </c>
      <c r="BL64" s="102"/>
      <c r="BM64" s="102"/>
    </row>
    <row r="65" spans="2:65">
      <c r="B65" s="428" t="s">
        <v>763</v>
      </c>
      <c r="C65" s="429" t="s">
        <v>764</v>
      </c>
      <c r="D65" s="187">
        <v>0</v>
      </c>
      <c r="E65" s="187">
        <v>1914.903</v>
      </c>
      <c r="F65" s="187">
        <v>0</v>
      </c>
      <c r="G65" s="187">
        <v>0</v>
      </c>
      <c r="H65" s="187">
        <v>0</v>
      </c>
      <c r="I65" s="187">
        <v>0</v>
      </c>
      <c r="J65" s="187">
        <v>0</v>
      </c>
      <c r="K65" s="187">
        <v>0.39</v>
      </c>
      <c r="L65" s="187">
        <v>0</v>
      </c>
      <c r="M65" s="187">
        <v>0</v>
      </c>
      <c r="N65" s="187">
        <v>0</v>
      </c>
      <c r="O65" s="187">
        <v>0</v>
      </c>
      <c r="P65" s="187">
        <v>0</v>
      </c>
      <c r="Q65" s="187">
        <v>240.458</v>
      </c>
      <c r="R65" s="187">
        <v>153.25299999999999</v>
      </c>
      <c r="S65" s="187">
        <v>0</v>
      </c>
      <c r="T65" s="187">
        <v>0</v>
      </c>
      <c r="U65" s="187">
        <v>0</v>
      </c>
      <c r="V65" s="187">
        <v>0</v>
      </c>
      <c r="W65" s="187">
        <v>0</v>
      </c>
      <c r="X65" s="187">
        <v>656.49400000000003</v>
      </c>
      <c r="Y65" s="187">
        <v>101.64700000000001</v>
      </c>
      <c r="Z65" s="187">
        <v>3.9220000000000002</v>
      </c>
      <c r="AA65" s="187">
        <v>0</v>
      </c>
      <c r="AB65" s="187">
        <v>0</v>
      </c>
      <c r="AC65" s="187">
        <v>0.40799999999999997</v>
      </c>
      <c r="AD65" s="187">
        <v>21.260999999999999</v>
      </c>
      <c r="AE65" s="187">
        <v>126.795</v>
      </c>
      <c r="AF65" s="187">
        <v>1.7849999999999999</v>
      </c>
      <c r="AG65" s="187">
        <v>0.92600000000000005</v>
      </c>
      <c r="AH65" s="187">
        <v>11.273</v>
      </c>
      <c r="AI65" s="187">
        <v>0</v>
      </c>
      <c r="AJ65" s="187">
        <v>0</v>
      </c>
      <c r="AK65" s="187">
        <v>0</v>
      </c>
      <c r="AL65" s="187">
        <v>0</v>
      </c>
      <c r="AM65" s="187">
        <v>0</v>
      </c>
      <c r="AN65" s="187">
        <v>0</v>
      </c>
      <c r="AO65" s="187">
        <v>0</v>
      </c>
      <c r="AP65" s="187">
        <v>154.53399999999999</v>
      </c>
      <c r="AQ65" s="187">
        <v>25.593</v>
      </c>
      <c r="AR65" s="187">
        <v>13.92</v>
      </c>
      <c r="AS65" s="187">
        <v>61.225000000000001</v>
      </c>
      <c r="AT65" s="187">
        <v>5.1680000000000001</v>
      </c>
      <c r="AU65" s="187">
        <v>0</v>
      </c>
      <c r="AV65" s="187">
        <v>0</v>
      </c>
      <c r="AW65" s="187">
        <v>0</v>
      </c>
      <c r="AX65" s="187">
        <v>0</v>
      </c>
      <c r="AY65" s="187">
        <v>0</v>
      </c>
      <c r="AZ65" s="187">
        <v>0</v>
      </c>
      <c r="BA65" s="187">
        <v>0</v>
      </c>
      <c r="BB65" s="187">
        <v>5.0199999999999996</v>
      </c>
      <c r="BC65" s="187">
        <v>0</v>
      </c>
      <c r="BD65" s="187">
        <v>1.3069999999999999</v>
      </c>
      <c r="BE65" s="187">
        <v>0</v>
      </c>
      <c r="BF65" s="187">
        <v>0</v>
      </c>
      <c r="BG65" s="187">
        <v>0</v>
      </c>
      <c r="BH65" s="187">
        <v>318.726</v>
      </c>
      <c r="BI65" s="187">
        <v>4.9000000000000002E-2</v>
      </c>
      <c r="BJ65" s="187">
        <v>3819.0570000000002</v>
      </c>
      <c r="BK65" s="187">
        <v>266.767</v>
      </c>
      <c r="BL65" s="102"/>
      <c r="BM65" s="102"/>
    </row>
    <row r="66" spans="2:65">
      <c r="B66" s="427" t="s">
        <v>765</v>
      </c>
      <c r="C66" s="429" t="s">
        <v>766</v>
      </c>
      <c r="D66" s="187">
        <v>0</v>
      </c>
      <c r="E66" s="187">
        <v>0</v>
      </c>
      <c r="F66" s="187">
        <v>0</v>
      </c>
      <c r="G66" s="187">
        <v>0</v>
      </c>
      <c r="H66" s="187">
        <v>0</v>
      </c>
      <c r="I66" s="187">
        <v>3.2000000000000001E-2</v>
      </c>
      <c r="J66" s="187">
        <v>0</v>
      </c>
      <c r="K66" s="187">
        <v>0</v>
      </c>
      <c r="L66" s="187">
        <v>0</v>
      </c>
      <c r="M66" s="187">
        <v>0</v>
      </c>
      <c r="N66" s="187">
        <v>0</v>
      </c>
      <c r="O66" s="187">
        <v>0</v>
      </c>
      <c r="P66" s="187">
        <v>0</v>
      </c>
      <c r="Q66" s="187">
        <v>0</v>
      </c>
      <c r="R66" s="187">
        <v>0</v>
      </c>
      <c r="S66" s="187">
        <v>0</v>
      </c>
      <c r="T66" s="187">
        <v>0</v>
      </c>
      <c r="U66" s="187">
        <v>0</v>
      </c>
      <c r="V66" s="187">
        <v>0</v>
      </c>
      <c r="W66" s="187">
        <v>0</v>
      </c>
      <c r="X66" s="187">
        <v>8.0570000000000004</v>
      </c>
      <c r="Y66" s="187">
        <v>0</v>
      </c>
      <c r="Z66" s="187">
        <v>7.6</v>
      </c>
      <c r="AA66" s="187">
        <v>0</v>
      </c>
      <c r="AB66" s="187">
        <v>0</v>
      </c>
      <c r="AC66" s="187">
        <v>0</v>
      </c>
      <c r="AD66" s="187">
        <v>27.698</v>
      </c>
      <c r="AE66" s="187">
        <v>591.54600000000005</v>
      </c>
      <c r="AF66" s="187">
        <v>36.856999999999999</v>
      </c>
      <c r="AG66" s="187">
        <v>6.0000000000000001E-3</v>
      </c>
      <c r="AH66" s="187">
        <v>1.94</v>
      </c>
      <c r="AI66" s="187">
        <v>0</v>
      </c>
      <c r="AJ66" s="187">
        <v>0</v>
      </c>
      <c r="AK66" s="187">
        <v>0</v>
      </c>
      <c r="AL66" s="187">
        <v>0</v>
      </c>
      <c r="AM66" s="187">
        <v>0</v>
      </c>
      <c r="AN66" s="187">
        <v>0</v>
      </c>
      <c r="AO66" s="187">
        <v>0</v>
      </c>
      <c r="AP66" s="187">
        <v>8.9999999999999993E-3</v>
      </c>
      <c r="AQ66" s="187">
        <v>0</v>
      </c>
      <c r="AR66" s="187">
        <v>0</v>
      </c>
      <c r="AS66" s="187">
        <v>0</v>
      </c>
      <c r="AT66" s="187">
        <v>0</v>
      </c>
      <c r="AU66" s="187">
        <v>0</v>
      </c>
      <c r="AV66" s="187">
        <v>0</v>
      </c>
      <c r="AW66" s="187">
        <v>0</v>
      </c>
      <c r="AX66" s="187">
        <v>0</v>
      </c>
      <c r="AY66" s="187">
        <v>0</v>
      </c>
      <c r="AZ66" s="187">
        <v>0</v>
      </c>
      <c r="BA66" s="187">
        <v>0</v>
      </c>
      <c r="BB66" s="187">
        <v>0</v>
      </c>
      <c r="BC66" s="187">
        <v>0</v>
      </c>
      <c r="BD66" s="187">
        <v>0</v>
      </c>
      <c r="BE66" s="187">
        <v>0</v>
      </c>
      <c r="BF66" s="187">
        <v>0</v>
      </c>
      <c r="BG66" s="187">
        <v>0</v>
      </c>
      <c r="BH66" s="187">
        <v>0</v>
      </c>
      <c r="BI66" s="187">
        <v>0</v>
      </c>
      <c r="BJ66" s="187">
        <v>673.745</v>
      </c>
      <c r="BK66" s="187">
        <v>8.9999999999999993E-3</v>
      </c>
      <c r="BL66" s="102"/>
      <c r="BM66" s="102"/>
    </row>
    <row r="67" spans="2:65">
      <c r="B67" s="413" t="s">
        <v>209</v>
      </c>
      <c r="C67" s="132" t="s">
        <v>767</v>
      </c>
      <c r="D67" s="100">
        <v>0</v>
      </c>
      <c r="E67" s="100">
        <v>0</v>
      </c>
      <c r="F67" s="100">
        <v>0</v>
      </c>
      <c r="G67" s="100">
        <v>0</v>
      </c>
      <c r="H67" s="100">
        <v>0</v>
      </c>
      <c r="I67" s="100">
        <v>0</v>
      </c>
      <c r="J67" s="100">
        <v>0</v>
      </c>
      <c r="K67" s="100">
        <v>0</v>
      </c>
      <c r="L67" s="100">
        <v>0</v>
      </c>
      <c r="M67" s="100">
        <v>0</v>
      </c>
      <c r="N67" s="100">
        <v>0</v>
      </c>
      <c r="O67" s="100">
        <v>0</v>
      </c>
      <c r="P67" s="100">
        <v>0</v>
      </c>
      <c r="Q67" s="100">
        <v>0</v>
      </c>
      <c r="R67" s="100">
        <v>1025.471</v>
      </c>
      <c r="S67" s="100">
        <v>0</v>
      </c>
      <c r="T67" s="100">
        <v>0</v>
      </c>
      <c r="U67" s="100">
        <v>0</v>
      </c>
      <c r="V67" s="100">
        <v>0</v>
      </c>
      <c r="W67" s="100">
        <v>0</v>
      </c>
      <c r="X67" s="100">
        <v>1.7549999999999999</v>
      </c>
      <c r="Y67" s="100">
        <v>2997.5450000000001</v>
      </c>
      <c r="Z67" s="100">
        <v>10714.218999999999</v>
      </c>
      <c r="AA67" s="100">
        <v>0.82099999999999995</v>
      </c>
      <c r="AB67" s="100">
        <v>0</v>
      </c>
      <c r="AC67" s="100">
        <v>1668.0340000000001</v>
      </c>
      <c r="AD67" s="100">
        <v>4.7560000000000002</v>
      </c>
      <c r="AE67" s="100">
        <v>18586.264999999999</v>
      </c>
      <c r="AF67" s="100">
        <v>57.237000000000002</v>
      </c>
      <c r="AG67" s="100">
        <v>3.2759999999999998</v>
      </c>
      <c r="AH67" s="100">
        <v>203.67400000000001</v>
      </c>
      <c r="AI67" s="100">
        <v>0</v>
      </c>
      <c r="AJ67" s="100">
        <v>0</v>
      </c>
      <c r="AK67" s="100">
        <v>0</v>
      </c>
      <c r="AL67" s="100">
        <v>0</v>
      </c>
      <c r="AM67" s="100">
        <v>0</v>
      </c>
      <c r="AN67" s="100">
        <v>0</v>
      </c>
      <c r="AO67" s="100">
        <v>0</v>
      </c>
      <c r="AP67" s="100">
        <v>0</v>
      </c>
      <c r="AQ67" s="100">
        <v>0</v>
      </c>
      <c r="AR67" s="100">
        <v>0</v>
      </c>
      <c r="AS67" s="100">
        <v>0</v>
      </c>
      <c r="AT67" s="100">
        <v>0</v>
      </c>
      <c r="AU67" s="100">
        <v>0</v>
      </c>
      <c r="AV67" s="100">
        <v>0</v>
      </c>
      <c r="AW67" s="100">
        <v>681.63199999999995</v>
      </c>
      <c r="AX67" s="100">
        <v>0</v>
      </c>
      <c r="AY67" s="100">
        <v>0</v>
      </c>
      <c r="AZ67" s="100">
        <v>0</v>
      </c>
      <c r="BA67" s="100">
        <v>0</v>
      </c>
      <c r="BB67" s="100">
        <v>0</v>
      </c>
      <c r="BC67" s="100">
        <v>0</v>
      </c>
      <c r="BD67" s="100">
        <v>0</v>
      </c>
      <c r="BE67" s="100">
        <v>0</v>
      </c>
      <c r="BF67" s="100">
        <v>0</v>
      </c>
      <c r="BG67" s="100">
        <v>0</v>
      </c>
      <c r="BH67" s="100">
        <v>348.56400000000002</v>
      </c>
      <c r="BI67" s="100">
        <v>0</v>
      </c>
      <c r="BJ67" s="100">
        <v>36293.248999999996</v>
      </c>
      <c r="BK67" s="100">
        <v>681.63199999999995</v>
      </c>
      <c r="BL67" s="102"/>
      <c r="BM67" s="102"/>
    </row>
    <row r="68" spans="2:65">
      <c r="B68" s="415" t="s">
        <v>768</v>
      </c>
      <c r="C68" s="132" t="s">
        <v>769</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6.0000000000000001E-3</v>
      </c>
      <c r="Y68" s="100">
        <v>0</v>
      </c>
      <c r="Z68" s="100">
        <v>0</v>
      </c>
      <c r="AA68" s="100">
        <v>0</v>
      </c>
      <c r="AB68" s="100">
        <v>0</v>
      </c>
      <c r="AC68" s="100">
        <v>0</v>
      </c>
      <c r="AD68" s="100">
        <v>0</v>
      </c>
      <c r="AE68" s="100">
        <v>62.991999999999997</v>
      </c>
      <c r="AF68" s="100">
        <v>0</v>
      </c>
      <c r="AG68" s="100">
        <v>0</v>
      </c>
      <c r="AH68" s="100">
        <v>0</v>
      </c>
      <c r="AI68" s="100">
        <v>0</v>
      </c>
      <c r="AJ68" s="100">
        <v>0</v>
      </c>
      <c r="AK68" s="100">
        <v>0</v>
      </c>
      <c r="AL68" s="100">
        <v>0</v>
      </c>
      <c r="AM68" s="100">
        <v>0</v>
      </c>
      <c r="AN68" s="100">
        <v>0</v>
      </c>
      <c r="AO68" s="100">
        <v>0</v>
      </c>
      <c r="AP68" s="100">
        <v>0</v>
      </c>
      <c r="AQ68" s="100">
        <v>0</v>
      </c>
      <c r="AR68" s="100">
        <v>0</v>
      </c>
      <c r="AS68" s="100">
        <v>0</v>
      </c>
      <c r="AT68" s="100">
        <v>0</v>
      </c>
      <c r="AU68" s="100">
        <v>0</v>
      </c>
      <c r="AV68" s="100">
        <v>0</v>
      </c>
      <c r="AW68" s="100">
        <v>0</v>
      </c>
      <c r="AX68" s="100">
        <v>0</v>
      </c>
      <c r="AY68" s="100">
        <v>0</v>
      </c>
      <c r="AZ68" s="100">
        <v>0</v>
      </c>
      <c r="BA68" s="100">
        <v>0</v>
      </c>
      <c r="BB68" s="100">
        <v>0</v>
      </c>
      <c r="BC68" s="100">
        <v>0</v>
      </c>
      <c r="BD68" s="100">
        <v>0</v>
      </c>
      <c r="BE68" s="100">
        <v>0</v>
      </c>
      <c r="BF68" s="100">
        <v>0</v>
      </c>
      <c r="BG68" s="100">
        <v>0</v>
      </c>
      <c r="BH68" s="100">
        <v>236.547</v>
      </c>
      <c r="BI68" s="100">
        <v>0</v>
      </c>
      <c r="BJ68" s="100">
        <v>299.54500000000002</v>
      </c>
      <c r="BK68" s="100">
        <v>0</v>
      </c>
      <c r="BL68" s="102"/>
      <c r="BM68" s="102"/>
    </row>
    <row r="69" spans="2:65">
      <c r="B69" s="415" t="s">
        <v>770</v>
      </c>
      <c r="C69" s="132" t="s">
        <v>771</v>
      </c>
      <c r="D69" s="100">
        <v>0</v>
      </c>
      <c r="E69" s="100">
        <v>0</v>
      </c>
      <c r="F69" s="100">
        <v>0</v>
      </c>
      <c r="G69" s="100">
        <v>0</v>
      </c>
      <c r="H69" s="100">
        <v>0</v>
      </c>
      <c r="I69" s="100">
        <v>0</v>
      </c>
      <c r="J69" s="100">
        <v>0</v>
      </c>
      <c r="K69" s="100">
        <v>0</v>
      </c>
      <c r="L69" s="100">
        <v>0</v>
      </c>
      <c r="M69" s="100">
        <v>0</v>
      </c>
      <c r="N69" s="100">
        <v>0</v>
      </c>
      <c r="O69" s="100">
        <v>0</v>
      </c>
      <c r="P69" s="100">
        <v>0</v>
      </c>
      <c r="Q69" s="100">
        <v>0</v>
      </c>
      <c r="R69" s="100">
        <v>1025.471</v>
      </c>
      <c r="S69" s="100">
        <v>0</v>
      </c>
      <c r="T69" s="100">
        <v>0</v>
      </c>
      <c r="U69" s="100">
        <v>0</v>
      </c>
      <c r="V69" s="100">
        <v>0</v>
      </c>
      <c r="W69" s="100">
        <v>0</v>
      </c>
      <c r="X69" s="100">
        <v>0.41199999999999998</v>
      </c>
      <c r="Y69" s="100">
        <v>2997.5450000000001</v>
      </c>
      <c r="Z69" s="100">
        <v>10714.216</v>
      </c>
      <c r="AA69" s="100">
        <v>0</v>
      </c>
      <c r="AB69" s="100">
        <v>0</v>
      </c>
      <c r="AC69" s="100">
        <v>0</v>
      </c>
      <c r="AD69" s="100">
        <v>0.623</v>
      </c>
      <c r="AE69" s="100">
        <v>18325.473000000002</v>
      </c>
      <c r="AF69" s="100">
        <v>0.51500000000000001</v>
      </c>
      <c r="AG69" s="100">
        <v>4.4999999999999998E-2</v>
      </c>
      <c r="AH69" s="100">
        <v>0</v>
      </c>
      <c r="AI69" s="100">
        <v>0</v>
      </c>
      <c r="AJ69" s="100">
        <v>0</v>
      </c>
      <c r="AK69" s="100">
        <v>0</v>
      </c>
      <c r="AL69" s="100">
        <v>0</v>
      </c>
      <c r="AM69" s="100">
        <v>0</v>
      </c>
      <c r="AN69" s="100">
        <v>0</v>
      </c>
      <c r="AO69" s="100">
        <v>0</v>
      </c>
      <c r="AP69" s="100">
        <v>0</v>
      </c>
      <c r="AQ69" s="100">
        <v>0</v>
      </c>
      <c r="AR69" s="100">
        <v>0</v>
      </c>
      <c r="AS69" s="100">
        <v>0</v>
      </c>
      <c r="AT69" s="100">
        <v>0</v>
      </c>
      <c r="AU69" s="100">
        <v>0</v>
      </c>
      <c r="AV69" s="100">
        <v>0</v>
      </c>
      <c r="AW69" s="100">
        <v>681.63199999999995</v>
      </c>
      <c r="AX69" s="100">
        <v>0</v>
      </c>
      <c r="AY69" s="100">
        <v>0</v>
      </c>
      <c r="AZ69" s="100">
        <v>0</v>
      </c>
      <c r="BA69" s="100">
        <v>0</v>
      </c>
      <c r="BB69" s="100">
        <v>0</v>
      </c>
      <c r="BC69" s="100">
        <v>0</v>
      </c>
      <c r="BD69" s="100">
        <v>0</v>
      </c>
      <c r="BE69" s="100">
        <v>0</v>
      </c>
      <c r="BF69" s="100">
        <v>0</v>
      </c>
      <c r="BG69" s="100">
        <v>0</v>
      </c>
      <c r="BH69" s="100">
        <v>112.017</v>
      </c>
      <c r="BI69" s="100">
        <v>0</v>
      </c>
      <c r="BJ69" s="100">
        <v>33857.949000000001</v>
      </c>
      <c r="BK69" s="100">
        <v>681.63199999999995</v>
      </c>
      <c r="BL69" s="102"/>
      <c r="BM69" s="102"/>
    </row>
    <row r="70" spans="2:65">
      <c r="B70" s="415" t="s">
        <v>772</v>
      </c>
      <c r="C70" s="132" t="s">
        <v>773</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0.98699999999999999</v>
      </c>
      <c r="Y70" s="100">
        <v>0</v>
      </c>
      <c r="Z70" s="100">
        <v>0</v>
      </c>
      <c r="AA70" s="100">
        <v>0</v>
      </c>
      <c r="AB70" s="100">
        <v>0</v>
      </c>
      <c r="AC70" s="100">
        <v>0</v>
      </c>
      <c r="AD70" s="100">
        <v>3.9009999999999998</v>
      </c>
      <c r="AE70" s="100">
        <v>195.80199999999999</v>
      </c>
      <c r="AF70" s="100">
        <v>56.722000000000001</v>
      </c>
      <c r="AG70" s="100">
        <v>3.2309999999999999</v>
      </c>
      <c r="AH70" s="100">
        <v>203.67400000000001</v>
      </c>
      <c r="AI70" s="100">
        <v>0</v>
      </c>
      <c r="AJ70" s="100">
        <v>0</v>
      </c>
      <c r="AK70" s="100">
        <v>0</v>
      </c>
      <c r="AL70" s="100">
        <v>0</v>
      </c>
      <c r="AM70" s="100">
        <v>0</v>
      </c>
      <c r="AN70" s="100">
        <v>0</v>
      </c>
      <c r="AO70" s="100">
        <v>0</v>
      </c>
      <c r="AP70" s="100">
        <v>0</v>
      </c>
      <c r="AQ70" s="100">
        <v>0</v>
      </c>
      <c r="AR70" s="100">
        <v>0</v>
      </c>
      <c r="AS70" s="100">
        <v>0</v>
      </c>
      <c r="AT70" s="100">
        <v>0</v>
      </c>
      <c r="AU70" s="100">
        <v>0</v>
      </c>
      <c r="AV70" s="100">
        <v>0</v>
      </c>
      <c r="AW70" s="100">
        <v>0</v>
      </c>
      <c r="AX70" s="100">
        <v>0</v>
      </c>
      <c r="AY70" s="100">
        <v>0</v>
      </c>
      <c r="AZ70" s="100">
        <v>0</v>
      </c>
      <c r="BA70" s="100">
        <v>0</v>
      </c>
      <c r="BB70" s="100">
        <v>0</v>
      </c>
      <c r="BC70" s="100">
        <v>0</v>
      </c>
      <c r="BD70" s="100">
        <v>0</v>
      </c>
      <c r="BE70" s="100">
        <v>0</v>
      </c>
      <c r="BF70" s="100">
        <v>0</v>
      </c>
      <c r="BG70" s="100">
        <v>0</v>
      </c>
      <c r="BH70" s="100">
        <v>0</v>
      </c>
      <c r="BI70" s="100">
        <v>0</v>
      </c>
      <c r="BJ70" s="100">
        <v>464.31700000000001</v>
      </c>
      <c r="BK70" s="100">
        <v>0</v>
      </c>
      <c r="BL70" s="102"/>
      <c r="BM70" s="102"/>
    </row>
    <row r="71" spans="2:65">
      <c r="B71" s="415" t="s">
        <v>774</v>
      </c>
      <c r="C71" s="132" t="s">
        <v>775</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0.35</v>
      </c>
      <c r="Y71" s="100">
        <v>0</v>
      </c>
      <c r="Z71" s="100">
        <v>3.0000000000000001E-3</v>
      </c>
      <c r="AA71" s="100">
        <v>0.82099999999999995</v>
      </c>
      <c r="AB71" s="100">
        <v>0</v>
      </c>
      <c r="AC71" s="100">
        <v>1668.0340000000001</v>
      </c>
      <c r="AD71" s="100">
        <v>0.23200000000000001</v>
      </c>
      <c r="AE71" s="100">
        <v>1.9990000000000001</v>
      </c>
      <c r="AF71" s="100">
        <v>0</v>
      </c>
      <c r="AG71" s="100">
        <v>0</v>
      </c>
      <c r="AH71" s="100">
        <v>0</v>
      </c>
      <c r="AI71" s="100">
        <v>0</v>
      </c>
      <c r="AJ71" s="100">
        <v>0</v>
      </c>
      <c r="AK71" s="100">
        <v>0</v>
      </c>
      <c r="AL71" s="100">
        <v>0</v>
      </c>
      <c r="AM71" s="100">
        <v>0</v>
      </c>
      <c r="AN71" s="100">
        <v>0</v>
      </c>
      <c r="AO71" s="100">
        <v>0</v>
      </c>
      <c r="AP71" s="100">
        <v>0</v>
      </c>
      <c r="AQ71" s="100">
        <v>0</v>
      </c>
      <c r="AR71" s="100">
        <v>0</v>
      </c>
      <c r="AS71" s="100">
        <v>0</v>
      </c>
      <c r="AT71" s="100">
        <v>0</v>
      </c>
      <c r="AU71" s="100">
        <v>0</v>
      </c>
      <c r="AV71" s="100">
        <v>0</v>
      </c>
      <c r="AW71" s="100">
        <v>0</v>
      </c>
      <c r="AX71" s="100">
        <v>0</v>
      </c>
      <c r="AY71" s="100">
        <v>0</v>
      </c>
      <c r="AZ71" s="100">
        <v>0</v>
      </c>
      <c r="BA71" s="100">
        <v>0</v>
      </c>
      <c r="BB71" s="100">
        <v>0</v>
      </c>
      <c r="BC71" s="100">
        <v>0</v>
      </c>
      <c r="BD71" s="100">
        <v>0</v>
      </c>
      <c r="BE71" s="100">
        <v>0</v>
      </c>
      <c r="BF71" s="100">
        <v>0</v>
      </c>
      <c r="BG71" s="100">
        <v>0</v>
      </c>
      <c r="BH71" s="100">
        <v>0</v>
      </c>
      <c r="BI71" s="100">
        <v>0</v>
      </c>
      <c r="BJ71" s="100">
        <v>1671.4390000000001</v>
      </c>
      <c r="BK71" s="100">
        <v>0</v>
      </c>
      <c r="BL71" s="102"/>
      <c r="BM71" s="102"/>
    </row>
    <row r="72" spans="2:65">
      <c r="B72" s="413" t="s">
        <v>210</v>
      </c>
      <c r="C72" s="132" t="s">
        <v>776</v>
      </c>
      <c r="D72" s="100">
        <v>0</v>
      </c>
      <c r="E72" s="100">
        <v>0</v>
      </c>
      <c r="F72" s="100">
        <v>0</v>
      </c>
      <c r="G72" s="100">
        <v>0</v>
      </c>
      <c r="H72" s="100">
        <v>0</v>
      </c>
      <c r="I72" s="100">
        <v>0</v>
      </c>
      <c r="J72" s="100">
        <v>0</v>
      </c>
      <c r="K72" s="100">
        <v>177.89099999999999</v>
      </c>
      <c r="L72" s="100">
        <v>0</v>
      </c>
      <c r="M72" s="100">
        <v>0</v>
      </c>
      <c r="N72" s="100">
        <v>0</v>
      </c>
      <c r="O72" s="100">
        <v>0</v>
      </c>
      <c r="P72" s="100">
        <v>0</v>
      </c>
      <c r="Q72" s="100">
        <v>0</v>
      </c>
      <c r="R72" s="100">
        <v>11466.924999999999</v>
      </c>
      <c r="S72" s="100">
        <v>0</v>
      </c>
      <c r="T72" s="100">
        <v>0</v>
      </c>
      <c r="U72" s="100">
        <v>0</v>
      </c>
      <c r="V72" s="100">
        <v>0</v>
      </c>
      <c r="W72" s="100">
        <v>0</v>
      </c>
      <c r="X72" s="100">
        <v>593.47799999999995</v>
      </c>
      <c r="Y72" s="100">
        <v>13.237</v>
      </c>
      <c r="Z72" s="100">
        <v>0.42799999999999999</v>
      </c>
      <c r="AA72" s="100">
        <v>0</v>
      </c>
      <c r="AB72" s="100">
        <v>0</v>
      </c>
      <c r="AC72" s="100">
        <v>0</v>
      </c>
      <c r="AD72" s="100">
        <v>1407.8620000000001</v>
      </c>
      <c r="AE72" s="100">
        <v>1.4510000000000001</v>
      </c>
      <c r="AF72" s="100">
        <v>1.1910000000000001</v>
      </c>
      <c r="AG72" s="100">
        <v>0.309</v>
      </c>
      <c r="AH72" s="100">
        <v>8.0879999999999992</v>
      </c>
      <c r="AI72" s="100">
        <v>0</v>
      </c>
      <c r="AJ72" s="100">
        <v>0</v>
      </c>
      <c r="AK72" s="100">
        <v>0</v>
      </c>
      <c r="AL72" s="100">
        <v>0</v>
      </c>
      <c r="AM72" s="100">
        <v>0</v>
      </c>
      <c r="AN72" s="100">
        <v>0</v>
      </c>
      <c r="AO72" s="100">
        <v>0</v>
      </c>
      <c r="AP72" s="100">
        <v>0</v>
      </c>
      <c r="AQ72" s="100">
        <v>0</v>
      </c>
      <c r="AR72" s="100">
        <v>0</v>
      </c>
      <c r="AS72" s="100">
        <v>127.423</v>
      </c>
      <c r="AT72" s="100">
        <v>0</v>
      </c>
      <c r="AU72" s="100">
        <v>0</v>
      </c>
      <c r="AV72" s="100">
        <v>0</v>
      </c>
      <c r="AW72" s="100">
        <v>0</v>
      </c>
      <c r="AX72" s="100">
        <v>0</v>
      </c>
      <c r="AY72" s="100">
        <v>0</v>
      </c>
      <c r="AZ72" s="100">
        <v>0</v>
      </c>
      <c r="BA72" s="100">
        <v>0</v>
      </c>
      <c r="BB72" s="100">
        <v>48.491999999999997</v>
      </c>
      <c r="BC72" s="100">
        <v>0</v>
      </c>
      <c r="BD72" s="100">
        <v>11.326000000000001</v>
      </c>
      <c r="BE72" s="100">
        <v>0</v>
      </c>
      <c r="BF72" s="100">
        <v>0</v>
      </c>
      <c r="BG72" s="100">
        <v>0</v>
      </c>
      <c r="BH72" s="100">
        <v>6962.5050000000001</v>
      </c>
      <c r="BI72" s="100">
        <v>2494.9450000000002</v>
      </c>
      <c r="BJ72" s="100">
        <v>23315.550999999996</v>
      </c>
      <c r="BK72" s="100">
        <v>187.24</v>
      </c>
      <c r="BL72" s="102"/>
      <c r="BM72" s="102"/>
    </row>
    <row r="73" spans="2:65">
      <c r="B73" s="413" t="s">
        <v>777</v>
      </c>
      <c r="C73" s="132" t="s">
        <v>778</v>
      </c>
      <c r="D73" s="100">
        <v>0</v>
      </c>
      <c r="E73" s="100">
        <v>0</v>
      </c>
      <c r="F73" s="100">
        <v>0</v>
      </c>
      <c r="G73" s="100">
        <v>0</v>
      </c>
      <c r="H73" s="100">
        <v>0</v>
      </c>
      <c r="I73" s="100">
        <v>0</v>
      </c>
      <c r="J73" s="100">
        <v>0</v>
      </c>
      <c r="K73" s="100">
        <v>16.670000000000002</v>
      </c>
      <c r="L73" s="100">
        <v>0</v>
      </c>
      <c r="M73" s="100">
        <v>0</v>
      </c>
      <c r="N73" s="100">
        <v>0</v>
      </c>
      <c r="O73" s="100">
        <v>0</v>
      </c>
      <c r="P73" s="100">
        <v>0</v>
      </c>
      <c r="Q73" s="100">
        <v>0</v>
      </c>
      <c r="R73" s="100">
        <v>3490.5160000000001</v>
      </c>
      <c r="S73" s="100">
        <v>0</v>
      </c>
      <c r="T73" s="100">
        <v>0</v>
      </c>
      <c r="U73" s="100">
        <v>0</v>
      </c>
      <c r="V73" s="100">
        <v>0</v>
      </c>
      <c r="W73" s="100">
        <v>0</v>
      </c>
      <c r="X73" s="100">
        <v>1202.636</v>
      </c>
      <c r="Y73" s="100">
        <v>83.826999999999998</v>
      </c>
      <c r="Z73" s="100">
        <v>7.0830000000000002</v>
      </c>
      <c r="AA73" s="100">
        <v>1.4999999999999999E-2</v>
      </c>
      <c r="AB73" s="100">
        <v>0</v>
      </c>
      <c r="AC73" s="100">
        <v>7.3920000000000003</v>
      </c>
      <c r="AD73" s="100">
        <v>410.79199999999997</v>
      </c>
      <c r="AE73" s="100">
        <v>369.74700000000001</v>
      </c>
      <c r="AF73" s="100">
        <v>2.8290000000000002</v>
      </c>
      <c r="AG73" s="100">
        <v>0.97299999999999998</v>
      </c>
      <c r="AH73" s="100">
        <v>21.581</v>
      </c>
      <c r="AI73" s="100">
        <v>0</v>
      </c>
      <c r="AJ73" s="100">
        <v>0</v>
      </c>
      <c r="AK73" s="100">
        <v>0</v>
      </c>
      <c r="AL73" s="100">
        <v>0</v>
      </c>
      <c r="AM73" s="100">
        <v>0</v>
      </c>
      <c r="AN73" s="100">
        <v>0</v>
      </c>
      <c r="AO73" s="100">
        <v>0</v>
      </c>
      <c r="AP73" s="100">
        <v>35.307000000000002</v>
      </c>
      <c r="AQ73" s="100">
        <v>14.313000000000001</v>
      </c>
      <c r="AR73" s="100">
        <v>38.834000000000003</v>
      </c>
      <c r="AS73" s="100">
        <v>42.054000000000002</v>
      </c>
      <c r="AT73" s="100">
        <v>0</v>
      </c>
      <c r="AU73" s="100">
        <v>0</v>
      </c>
      <c r="AV73" s="100">
        <v>0</v>
      </c>
      <c r="AW73" s="100">
        <v>0</v>
      </c>
      <c r="AX73" s="100">
        <v>0</v>
      </c>
      <c r="AY73" s="100">
        <v>0</v>
      </c>
      <c r="AZ73" s="100">
        <v>0</v>
      </c>
      <c r="BA73" s="100">
        <v>0</v>
      </c>
      <c r="BB73" s="100">
        <v>4.6829999999999998</v>
      </c>
      <c r="BC73" s="100">
        <v>0</v>
      </c>
      <c r="BD73" s="100">
        <v>1.343</v>
      </c>
      <c r="BE73" s="100">
        <v>0</v>
      </c>
      <c r="BF73" s="100">
        <v>0</v>
      </c>
      <c r="BG73" s="100">
        <v>0</v>
      </c>
      <c r="BH73" s="100">
        <v>12666.864</v>
      </c>
      <c r="BI73" s="100">
        <v>475.46600000000001</v>
      </c>
      <c r="BJ73" s="100">
        <v>18892.924999999999</v>
      </c>
      <c r="BK73" s="100">
        <v>136.53399999999999</v>
      </c>
      <c r="BL73" s="102"/>
      <c r="BM73" s="102"/>
    </row>
    <row r="74" spans="2:65">
      <c r="B74" s="413" t="s">
        <v>779</v>
      </c>
      <c r="C74" s="132" t="s">
        <v>780</v>
      </c>
      <c r="D74" s="100">
        <v>0</v>
      </c>
      <c r="E74" s="100">
        <v>0</v>
      </c>
      <c r="F74" s="100">
        <v>0</v>
      </c>
      <c r="G74" s="100">
        <v>0</v>
      </c>
      <c r="H74" s="100">
        <v>0</v>
      </c>
      <c r="I74" s="100">
        <v>0</v>
      </c>
      <c r="J74" s="100">
        <v>0</v>
      </c>
      <c r="K74" s="100">
        <v>0.107</v>
      </c>
      <c r="L74" s="100">
        <v>0</v>
      </c>
      <c r="M74" s="100">
        <v>0</v>
      </c>
      <c r="N74" s="100">
        <v>0</v>
      </c>
      <c r="O74" s="100">
        <v>0</v>
      </c>
      <c r="P74" s="100">
        <v>0</v>
      </c>
      <c r="Q74" s="100">
        <v>0</v>
      </c>
      <c r="R74" s="100">
        <v>66.165999999999997</v>
      </c>
      <c r="S74" s="100">
        <v>0</v>
      </c>
      <c r="T74" s="100">
        <v>0</v>
      </c>
      <c r="U74" s="100">
        <v>0</v>
      </c>
      <c r="V74" s="100">
        <v>0</v>
      </c>
      <c r="W74" s="100">
        <v>0</v>
      </c>
      <c r="X74" s="100">
        <v>25.393000000000001</v>
      </c>
      <c r="Y74" s="100">
        <v>0.14799999999999999</v>
      </c>
      <c r="Z74" s="100">
        <v>27.327000000000002</v>
      </c>
      <c r="AA74" s="100">
        <v>0.40500000000000003</v>
      </c>
      <c r="AB74" s="100">
        <v>0</v>
      </c>
      <c r="AC74" s="100">
        <v>486.14800000000002</v>
      </c>
      <c r="AD74" s="100">
        <v>33.47</v>
      </c>
      <c r="AE74" s="100">
        <v>580.27800000000002</v>
      </c>
      <c r="AF74" s="100">
        <v>2.544</v>
      </c>
      <c r="AG74" s="100">
        <v>0.26200000000000001</v>
      </c>
      <c r="AH74" s="100">
        <v>3.1829999999999998</v>
      </c>
      <c r="AI74" s="100">
        <v>0</v>
      </c>
      <c r="AJ74" s="100">
        <v>0</v>
      </c>
      <c r="AK74" s="100">
        <v>0</v>
      </c>
      <c r="AL74" s="100">
        <v>0</v>
      </c>
      <c r="AM74" s="100">
        <v>0</v>
      </c>
      <c r="AN74" s="100">
        <v>0</v>
      </c>
      <c r="AO74" s="100">
        <v>0</v>
      </c>
      <c r="AP74" s="100">
        <v>8.0540000000000003</v>
      </c>
      <c r="AQ74" s="100">
        <v>641.42499999999995</v>
      </c>
      <c r="AR74" s="100">
        <v>4.2699999999999996</v>
      </c>
      <c r="AS74" s="100">
        <v>48.140999999999998</v>
      </c>
      <c r="AT74" s="100">
        <v>38.265000000000001</v>
      </c>
      <c r="AU74" s="100">
        <v>0</v>
      </c>
      <c r="AV74" s="100">
        <v>0</v>
      </c>
      <c r="AW74" s="100">
        <v>0</v>
      </c>
      <c r="AX74" s="100">
        <v>0</v>
      </c>
      <c r="AY74" s="100">
        <v>0</v>
      </c>
      <c r="AZ74" s="100">
        <v>0</v>
      </c>
      <c r="BA74" s="100">
        <v>0</v>
      </c>
      <c r="BB74" s="100">
        <v>187.65700000000001</v>
      </c>
      <c r="BC74" s="100">
        <v>0</v>
      </c>
      <c r="BD74" s="100">
        <v>11.06</v>
      </c>
      <c r="BE74" s="100">
        <v>0</v>
      </c>
      <c r="BF74" s="100">
        <v>0</v>
      </c>
      <c r="BG74" s="100">
        <v>0</v>
      </c>
      <c r="BH74" s="100">
        <v>2814.567</v>
      </c>
      <c r="BI74" s="100">
        <v>79.138999999999996</v>
      </c>
      <c r="BJ74" s="100">
        <v>5058.0090000000009</v>
      </c>
      <c r="BK74" s="100">
        <v>938.87099999999998</v>
      </c>
      <c r="BL74" s="102"/>
      <c r="BM74" s="102"/>
    </row>
    <row r="75" spans="2:65">
      <c r="B75" s="416" t="s">
        <v>781</v>
      </c>
      <c r="C75" s="423" t="s">
        <v>782</v>
      </c>
      <c r="D75" s="127">
        <v>0</v>
      </c>
      <c r="E75" s="127">
        <v>0</v>
      </c>
      <c r="F75" s="127">
        <v>0</v>
      </c>
      <c r="G75" s="127">
        <v>0</v>
      </c>
      <c r="H75" s="127">
        <v>0</v>
      </c>
      <c r="I75" s="127">
        <v>0</v>
      </c>
      <c r="J75" s="127">
        <v>27.033999999999999</v>
      </c>
      <c r="K75" s="127">
        <v>0</v>
      </c>
      <c r="L75" s="127">
        <v>0</v>
      </c>
      <c r="M75" s="127">
        <v>505.601</v>
      </c>
      <c r="N75" s="127">
        <v>0</v>
      </c>
      <c r="O75" s="127">
        <v>0</v>
      </c>
      <c r="P75" s="127">
        <v>0</v>
      </c>
      <c r="Q75" s="127">
        <v>750.11400000000003</v>
      </c>
      <c r="R75" s="127">
        <v>0</v>
      </c>
      <c r="S75" s="127">
        <v>0</v>
      </c>
      <c r="T75" s="127">
        <v>0</v>
      </c>
      <c r="U75" s="127">
        <v>0</v>
      </c>
      <c r="V75" s="127">
        <v>0</v>
      </c>
      <c r="W75" s="127">
        <v>0</v>
      </c>
      <c r="X75" s="127">
        <v>4767.7839999999997</v>
      </c>
      <c r="Y75" s="127">
        <v>808.34199999999998</v>
      </c>
      <c r="Z75" s="127">
        <v>0</v>
      </c>
      <c r="AA75" s="127">
        <v>0</v>
      </c>
      <c r="AB75" s="127">
        <v>0</v>
      </c>
      <c r="AC75" s="127">
        <v>0</v>
      </c>
      <c r="AD75" s="127">
        <v>0</v>
      </c>
      <c r="AE75" s="127">
        <v>0</v>
      </c>
      <c r="AF75" s="127">
        <v>0</v>
      </c>
      <c r="AG75" s="127">
        <v>0</v>
      </c>
      <c r="AH75" s="127">
        <v>0</v>
      </c>
      <c r="AI75" s="127">
        <v>43578.720000000001</v>
      </c>
      <c r="AJ75" s="127">
        <v>174.71100000000001</v>
      </c>
      <c r="AK75" s="127">
        <v>1140.954</v>
      </c>
      <c r="AL75" s="127">
        <v>1338.0160000000001</v>
      </c>
      <c r="AM75" s="127">
        <v>23.885999999999999</v>
      </c>
      <c r="AN75" s="127">
        <v>489.786</v>
      </c>
      <c r="AO75" s="127">
        <v>2710.136</v>
      </c>
      <c r="AP75" s="127">
        <v>0</v>
      </c>
      <c r="AQ75" s="127">
        <v>0</v>
      </c>
      <c r="AR75" s="127">
        <v>0</v>
      </c>
      <c r="AS75" s="127">
        <v>0</v>
      </c>
      <c r="AT75" s="127">
        <v>0</v>
      </c>
      <c r="AU75" s="127">
        <v>0</v>
      </c>
      <c r="AV75" s="127">
        <v>0</v>
      </c>
      <c r="AW75" s="127">
        <v>0</v>
      </c>
      <c r="AX75" s="127">
        <v>0</v>
      </c>
      <c r="AY75" s="127">
        <v>0</v>
      </c>
      <c r="AZ75" s="127">
        <v>0</v>
      </c>
      <c r="BA75" s="127">
        <v>0</v>
      </c>
      <c r="BB75" s="127">
        <v>0</v>
      </c>
      <c r="BC75" s="127">
        <v>0</v>
      </c>
      <c r="BD75" s="127">
        <v>0</v>
      </c>
      <c r="BE75" s="127">
        <v>0</v>
      </c>
      <c r="BF75" s="127">
        <v>0</v>
      </c>
      <c r="BG75" s="127">
        <v>0</v>
      </c>
      <c r="BH75" s="127">
        <v>0</v>
      </c>
      <c r="BI75" s="127">
        <v>0</v>
      </c>
      <c r="BJ75" s="127">
        <v>56315.084000000003</v>
      </c>
      <c r="BK75" s="127">
        <v>0</v>
      </c>
      <c r="BL75" s="102"/>
      <c r="BM75" s="102"/>
    </row>
    <row r="76" spans="2:65">
      <c r="B76" s="413" t="s">
        <v>783</v>
      </c>
      <c r="C76" s="419" t="s">
        <v>784</v>
      </c>
      <c r="D76" s="100">
        <v>0</v>
      </c>
      <c r="E76" s="100">
        <v>0</v>
      </c>
      <c r="F76" s="100">
        <v>0</v>
      </c>
      <c r="G76" s="100">
        <v>0</v>
      </c>
      <c r="H76" s="100">
        <v>0</v>
      </c>
      <c r="I76" s="100">
        <v>0</v>
      </c>
      <c r="J76" s="100">
        <v>27.033999999999999</v>
      </c>
      <c r="K76" s="100">
        <v>0</v>
      </c>
      <c r="L76" s="100">
        <v>0</v>
      </c>
      <c r="M76" s="100">
        <v>505.601</v>
      </c>
      <c r="N76" s="100">
        <v>0</v>
      </c>
      <c r="O76" s="100">
        <v>0</v>
      </c>
      <c r="P76" s="100">
        <v>0</v>
      </c>
      <c r="Q76" s="100">
        <v>750.11400000000003</v>
      </c>
      <c r="R76" s="100">
        <v>0</v>
      </c>
      <c r="S76" s="100">
        <v>0</v>
      </c>
      <c r="T76" s="100">
        <v>0</v>
      </c>
      <c r="U76" s="100">
        <v>0</v>
      </c>
      <c r="V76" s="100">
        <v>0</v>
      </c>
      <c r="W76" s="100">
        <v>0</v>
      </c>
      <c r="X76" s="100">
        <v>4767.7839999999997</v>
      </c>
      <c r="Y76" s="100">
        <v>808.34199999999998</v>
      </c>
      <c r="Z76" s="100">
        <v>0</v>
      </c>
      <c r="AA76" s="100">
        <v>0</v>
      </c>
      <c r="AB76" s="100">
        <v>0</v>
      </c>
      <c r="AC76" s="100">
        <v>0</v>
      </c>
      <c r="AD76" s="100">
        <v>0</v>
      </c>
      <c r="AE76" s="100">
        <v>0</v>
      </c>
      <c r="AF76" s="100">
        <v>0</v>
      </c>
      <c r="AG76" s="100">
        <v>0</v>
      </c>
      <c r="AH76" s="100">
        <v>0</v>
      </c>
      <c r="AI76" s="100">
        <v>43578.720000000001</v>
      </c>
      <c r="AJ76" s="100">
        <v>150.53800000000001</v>
      </c>
      <c r="AK76" s="100">
        <v>1140.954</v>
      </c>
      <c r="AL76" s="100">
        <v>1338.0160000000001</v>
      </c>
      <c r="AM76" s="100">
        <v>23.885999999999999</v>
      </c>
      <c r="AN76" s="100">
        <v>489.786</v>
      </c>
      <c r="AO76" s="100">
        <v>2710.136</v>
      </c>
      <c r="AP76" s="100">
        <v>0</v>
      </c>
      <c r="AQ76" s="100">
        <v>0</v>
      </c>
      <c r="AR76" s="100">
        <v>0</v>
      </c>
      <c r="AS76" s="100">
        <v>0</v>
      </c>
      <c r="AT76" s="100">
        <v>0</v>
      </c>
      <c r="AU76" s="100">
        <v>0</v>
      </c>
      <c r="AV76" s="100">
        <v>0</v>
      </c>
      <c r="AW76" s="100">
        <v>0</v>
      </c>
      <c r="AX76" s="100">
        <v>0</v>
      </c>
      <c r="AY76" s="100">
        <v>0</v>
      </c>
      <c r="AZ76" s="100">
        <v>0</v>
      </c>
      <c r="BA76" s="100">
        <v>0</v>
      </c>
      <c r="BB76" s="100">
        <v>0</v>
      </c>
      <c r="BC76" s="100">
        <v>0</v>
      </c>
      <c r="BD76" s="100">
        <v>0</v>
      </c>
      <c r="BE76" s="100">
        <v>0</v>
      </c>
      <c r="BF76" s="100">
        <v>0</v>
      </c>
      <c r="BG76" s="100">
        <v>0</v>
      </c>
      <c r="BH76" s="100">
        <v>0</v>
      </c>
      <c r="BI76" s="100">
        <v>0</v>
      </c>
      <c r="BJ76" s="100">
        <v>56290.911</v>
      </c>
      <c r="BK76" s="100">
        <v>0</v>
      </c>
      <c r="BL76" s="102"/>
      <c r="BM76" s="102"/>
    </row>
    <row r="77" spans="2:65">
      <c r="B77" s="413" t="s">
        <v>785</v>
      </c>
      <c r="C77" s="419" t="s">
        <v>786</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0">
        <v>0</v>
      </c>
      <c r="AH77" s="100">
        <v>0</v>
      </c>
      <c r="AI77" s="100">
        <v>0</v>
      </c>
      <c r="AJ77" s="100">
        <v>1E-3</v>
      </c>
      <c r="AK77" s="100">
        <v>0</v>
      </c>
      <c r="AL77" s="100">
        <v>0</v>
      </c>
      <c r="AM77" s="100">
        <v>0</v>
      </c>
      <c r="AN77" s="100">
        <v>0</v>
      </c>
      <c r="AO77" s="100">
        <v>0</v>
      </c>
      <c r="AP77" s="100">
        <v>0</v>
      </c>
      <c r="AQ77" s="100">
        <v>0</v>
      </c>
      <c r="AR77" s="100">
        <v>0</v>
      </c>
      <c r="AS77" s="100">
        <v>0</v>
      </c>
      <c r="AT77" s="100">
        <v>0</v>
      </c>
      <c r="AU77" s="100">
        <v>0</v>
      </c>
      <c r="AV77" s="100">
        <v>0</v>
      </c>
      <c r="AW77" s="100">
        <v>0</v>
      </c>
      <c r="AX77" s="100">
        <v>0</v>
      </c>
      <c r="AY77" s="100">
        <v>0</v>
      </c>
      <c r="AZ77" s="100">
        <v>0</v>
      </c>
      <c r="BA77" s="100">
        <v>0</v>
      </c>
      <c r="BB77" s="100">
        <v>0</v>
      </c>
      <c r="BC77" s="100">
        <v>0</v>
      </c>
      <c r="BD77" s="100">
        <v>0</v>
      </c>
      <c r="BE77" s="100">
        <v>0</v>
      </c>
      <c r="BF77" s="100">
        <v>0</v>
      </c>
      <c r="BG77" s="100">
        <v>0</v>
      </c>
      <c r="BH77" s="100">
        <v>0</v>
      </c>
      <c r="BI77" s="100">
        <v>0</v>
      </c>
      <c r="BJ77" s="100">
        <v>1E-3</v>
      </c>
      <c r="BK77" s="100">
        <v>0</v>
      </c>
      <c r="BL77" s="102"/>
      <c r="BM77" s="102"/>
    </row>
    <row r="78" spans="2:65">
      <c r="B78" s="413" t="s">
        <v>787</v>
      </c>
      <c r="C78" s="419" t="s">
        <v>788</v>
      </c>
      <c r="D78" s="100">
        <v>0</v>
      </c>
      <c r="E78" s="100">
        <v>0</v>
      </c>
      <c r="F78" s="100">
        <v>0</v>
      </c>
      <c r="G78" s="100">
        <v>0</v>
      </c>
      <c r="H78" s="100">
        <v>0</v>
      </c>
      <c r="I78" s="100">
        <v>0</v>
      </c>
      <c r="J78" s="100">
        <v>0</v>
      </c>
      <c r="K78" s="100">
        <v>0</v>
      </c>
      <c r="L78" s="100">
        <v>0</v>
      </c>
      <c r="M78" s="100">
        <v>0</v>
      </c>
      <c r="N78" s="100">
        <v>0</v>
      </c>
      <c r="O78" s="100">
        <v>0</v>
      </c>
      <c r="P78" s="100">
        <v>0</v>
      </c>
      <c r="Q78" s="100">
        <v>0</v>
      </c>
      <c r="R78" s="100">
        <v>0</v>
      </c>
      <c r="S78" s="100">
        <v>0</v>
      </c>
      <c r="T78" s="100">
        <v>0</v>
      </c>
      <c r="U78" s="100">
        <v>0</v>
      </c>
      <c r="V78" s="100">
        <v>0</v>
      </c>
      <c r="W78" s="100">
        <v>0</v>
      </c>
      <c r="X78" s="100">
        <v>0</v>
      </c>
      <c r="Y78" s="100">
        <v>0</v>
      </c>
      <c r="Z78" s="100">
        <v>0</v>
      </c>
      <c r="AA78" s="100">
        <v>0</v>
      </c>
      <c r="AB78" s="100">
        <v>0</v>
      </c>
      <c r="AC78" s="100">
        <v>0</v>
      </c>
      <c r="AD78" s="100">
        <v>0</v>
      </c>
      <c r="AE78" s="100">
        <v>0</v>
      </c>
      <c r="AF78" s="100">
        <v>0</v>
      </c>
      <c r="AG78" s="100">
        <v>0</v>
      </c>
      <c r="AH78" s="100">
        <v>0</v>
      </c>
      <c r="AI78" s="100">
        <v>0</v>
      </c>
      <c r="AJ78" s="100">
        <v>0</v>
      </c>
      <c r="AK78" s="100">
        <v>0</v>
      </c>
      <c r="AL78" s="100">
        <v>0</v>
      </c>
      <c r="AM78" s="100">
        <v>0</v>
      </c>
      <c r="AN78" s="100">
        <v>0</v>
      </c>
      <c r="AO78" s="100">
        <v>0</v>
      </c>
      <c r="AP78" s="100">
        <v>0</v>
      </c>
      <c r="AQ78" s="100">
        <v>0</v>
      </c>
      <c r="AR78" s="100">
        <v>0</v>
      </c>
      <c r="AS78" s="100">
        <v>0</v>
      </c>
      <c r="AT78" s="100">
        <v>0</v>
      </c>
      <c r="AU78" s="100">
        <v>0</v>
      </c>
      <c r="AV78" s="100">
        <v>0</v>
      </c>
      <c r="AW78" s="100">
        <v>0</v>
      </c>
      <c r="AX78" s="100">
        <v>0</v>
      </c>
      <c r="AY78" s="100">
        <v>0</v>
      </c>
      <c r="AZ78" s="100">
        <v>0</v>
      </c>
      <c r="BA78" s="100">
        <v>0</v>
      </c>
      <c r="BB78" s="100">
        <v>0</v>
      </c>
      <c r="BC78" s="100">
        <v>0</v>
      </c>
      <c r="BD78" s="100">
        <v>0</v>
      </c>
      <c r="BE78" s="100">
        <v>0</v>
      </c>
      <c r="BF78" s="100">
        <v>0</v>
      </c>
      <c r="BG78" s="100">
        <v>0</v>
      </c>
      <c r="BH78" s="100">
        <v>0</v>
      </c>
      <c r="BI78" s="100">
        <v>0</v>
      </c>
      <c r="BJ78" s="100">
        <v>0</v>
      </c>
      <c r="BK78" s="100">
        <v>0</v>
      </c>
      <c r="BL78" s="102"/>
      <c r="BM78" s="102"/>
    </row>
    <row r="79" spans="2:65">
      <c r="B79" s="413" t="s">
        <v>789</v>
      </c>
      <c r="C79" s="419" t="s">
        <v>790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0">
        <v>0</v>
      </c>
      <c r="AH79" s="100">
        <v>0</v>
      </c>
      <c r="AI79" s="100">
        <v>0</v>
      </c>
      <c r="AJ79" s="100">
        <v>24</v>
      </c>
      <c r="AK79" s="100">
        <v>0</v>
      </c>
      <c r="AL79" s="100">
        <v>0</v>
      </c>
      <c r="AM79" s="100">
        <v>0</v>
      </c>
      <c r="AN79" s="100">
        <v>0</v>
      </c>
      <c r="AO79" s="100">
        <v>0</v>
      </c>
      <c r="AP79" s="100">
        <v>0</v>
      </c>
      <c r="AQ79" s="100">
        <v>0</v>
      </c>
      <c r="AR79" s="100">
        <v>0</v>
      </c>
      <c r="AS79" s="100">
        <v>0</v>
      </c>
      <c r="AT79" s="100">
        <v>0</v>
      </c>
      <c r="AU79" s="100">
        <v>0</v>
      </c>
      <c r="AV79" s="100">
        <v>0</v>
      </c>
      <c r="AW79" s="100">
        <v>0</v>
      </c>
      <c r="AX79" s="100">
        <v>0</v>
      </c>
      <c r="AY79" s="100">
        <v>0</v>
      </c>
      <c r="AZ79" s="100">
        <v>0</v>
      </c>
      <c r="BA79" s="100">
        <v>0</v>
      </c>
      <c r="BB79" s="100">
        <v>0</v>
      </c>
      <c r="BC79" s="100">
        <v>0</v>
      </c>
      <c r="BD79" s="100">
        <v>0</v>
      </c>
      <c r="BE79" s="100">
        <v>0</v>
      </c>
      <c r="BF79" s="100">
        <v>0</v>
      </c>
      <c r="BG79" s="100">
        <v>0</v>
      </c>
      <c r="BH79" s="100">
        <v>0</v>
      </c>
      <c r="BI79" s="100">
        <v>0</v>
      </c>
      <c r="BJ79" s="100">
        <v>24</v>
      </c>
      <c r="BK79" s="100">
        <v>0</v>
      </c>
      <c r="BL79" s="102"/>
      <c r="BM79" s="102"/>
    </row>
    <row r="80" spans="2:65">
      <c r="B80" s="413" t="s">
        <v>791</v>
      </c>
      <c r="C80" s="419" t="s">
        <v>792</v>
      </c>
      <c r="D80" s="100">
        <v>0</v>
      </c>
      <c r="E80" s="100">
        <v>0</v>
      </c>
      <c r="F80" s="100">
        <v>0</v>
      </c>
      <c r="G80" s="100">
        <v>0</v>
      </c>
      <c r="H80" s="100">
        <v>0</v>
      </c>
      <c r="I80" s="100">
        <v>0</v>
      </c>
      <c r="J80" s="100">
        <v>0</v>
      </c>
      <c r="K80" s="100">
        <v>0</v>
      </c>
      <c r="L80" s="100">
        <v>0</v>
      </c>
      <c r="M80" s="100">
        <v>0</v>
      </c>
      <c r="N80" s="100">
        <v>0</v>
      </c>
      <c r="O80" s="100">
        <v>0</v>
      </c>
      <c r="P80" s="100">
        <v>0</v>
      </c>
      <c r="Q80" s="100">
        <v>0</v>
      </c>
      <c r="R80" s="100">
        <v>0</v>
      </c>
      <c r="S80" s="100">
        <v>0</v>
      </c>
      <c r="T80" s="100">
        <v>0</v>
      </c>
      <c r="U80" s="100">
        <v>0</v>
      </c>
      <c r="V80" s="100">
        <v>0</v>
      </c>
      <c r="W80" s="100">
        <v>0</v>
      </c>
      <c r="X80" s="100">
        <v>0</v>
      </c>
      <c r="Y80" s="100">
        <v>0</v>
      </c>
      <c r="Z80" s="100">
        <v>0</v>
      </c>
      <c r="AA80" s="100">
        <v>0</v>
      </c>
      <c r="AB80" s="100">
        <v>0</v>
      </c>
      <c r="AC80" s="100">
        <v>0</v>
      </c>
      <c r="AD80" s="100">
        <v>0</v>
      </c>
      <c r="AE80" s="100">
        <v>0</v>
      </c>
      <c r="AF80" s="100">
        <v>0</v>
      </c>
      <c r="AG80" s="100">
        <v>0</v>
      </c>
      <c r="AH80" s="100">
        <v>0</v>
      </c>
      <c r="AI80" s="100">
        <v>0</v>
      </c>
      <c r="AJ80" s="100">
        <v>0.17199999999999999</v>
      </c>
      <c r="AK80" s="100">
        <v>0</v>
      </c>
      <c r="AL80" s="100">
        <v>0</v>
      </c>
      <c r="AM80" s="100">
        <v>0</v>
      </c>
      <c r="AN80" s="100">
        <v>0</v>
      </c>
      <c r="AO80" s="100">
        <v>0</v>
      </c>
      <c r="AP80" s="100">
        <v>0</v>
      </c>
      <c r="AQ80" s="100">
        <v>0</v>
      </c>
      <c r="AR80" s="100">
        <v>0</v>
      </c>
      <c r="AS80" s="100">
        <v>0</v>
      </c>
      <c r="AT80" s="100">
        <v>0</v>
      </c>
      <c r="AU80" s="100">
        <v>0</v>
      </c>
      <c r="AV80" s="100">
        <v>0</v>
      </c>
      <c r="AW80" s="100">
        <v>0</v>
      </c>
      <c r="AX80" s="100">
        <v>0</v>
      </c>
      <c r="AY80" s="100">
        <v>0</v>
      </c>
      <c r="AZ80" s="100">
        <v>0</v>
      </c>
      <c r="BA80" s="100">
        <v>0</v>
      </c>
      <c r="BB80" s="100">
        <v>0</v>
      </c>
      <c r="BC80" s="100">
        <v>0</v>
      </c>
      <c r="BD80" s="100">
        <v>0</v>
      </c>
      <c r="BE80" s="100">
        <v>0</v>
      </c>
      <c r="BF80" s="100">
        <v>0</v>
      </c>
      <c r="BG80" s="100">
        <v>0</v>
      </c>
      <c r="BH80" s="100">
        <v>0</v>
      </c>
      <c r="BI80" s="100">
        <v>0</v>
      </c>
      <c r="BJ80" s="100">
        <v>0.17199999999999999</v>
      </c>
      <c r="BK80" s="100">
        <v>0</v>
      </c>
      <c r="BL80" s="102"/>
      <c r="BM80" s="102"/>
    </row>
    <row r="81" spans="2:65">
      <c r="B81" s="413" t="s">
        <v>793</v>
      </c>
      <c r="C81" s="419" t="s">
        <v>794</v>
      </c>
      <c r="D81" s="100">
        <v>0</v>
      </c>
      <c r="E81" s="100">
        <v>0</v>
      </c>
      <c r="F81" s="100">
        <v>0</v>
      </c>
      <c r="G81" s="100">
        <v>0</v>
      </c>
      <c r="H81" s="100">
        <v>0</v>
      </c>
      <c r="I81" s="100">
        <v>0</v>
      </c>
      <c r="J81" s="100">
        <v>0</v>
      </c>
      <c r="K81" s="100">
        <v>0</v>
      </c>
      <c r="L81" s="100">
        <v>0</v>
      </c>
      <c r="M81" s="100">
        <v>505.601</v>
      </c>
      <c r="N81" s="100">
        <v>0</v>
      </c>
      <c r="O81" s="100">
        <v>0</v>
      </c>
      <c r="P81" s="100">
        <v>0</v>
      </c>
      <c r="Q81" s="100">
        <v>95.147000000000006</v>
      </c>
      <c r="R81" s="100">
        <v>0</v>
      </c>
      <c r="S81" s="100">
        <v>0</v>
      </c>
      <c r="T81" s="100">
        <v>0</v>
      </c>
      <c r="U81" s="100">
        <v>0</v>
      </c>
      <c r="V81" s="100">
        <v>0</v>
      </c>
      <c r="W81" s="100">
        <v>0</v>
      </c>
      <c r="X81" s="100">
        <v>4767.7839999999997</v>
      </c>
      <c r="Y81" s="100">
        <v>808.34199999999998</v>
      </c>
      <c r="Z81" s="100">
        <v>0</v>
      </c>
      <c r="AA81" s="100">
        <v>0</v>
      </c>
      <c r="AB81" s="100">
        <v>0</v>
      </c>
      <c r="AC81" s="100">
        <v>0</v>
      </c>
      <c r="AD81" s="100">
        <v>0</v>
      </c>
      <c r="AE81" s="100">
        <v>0</v>
      </c>
      <c r="AF81" s="100">
        <v>0</v>
      </c>
      <c r="AG81" s="100">
        <v>0</v>
      </c>
      <c r="AH81" s="100">
        <v>0</v>
      </c>
      <c r="AI81" s="100">
        <v>43578.720000000001</v>
      </c>
      <c r="AJ81" s="100">
        <v>0</v>
      </c>
      <c r="AK81" s="100">
        <v>0</v>
      </c>
      <c r="AL81" s="100">
        <v>0</v>
      </c>
      <c r="AM81" s="100">
        <v>0</v>
      </c>
      <c r="AN81" s="100">
        <v>0</v>
      </c>
      <c r="AO81" s="100">
        <v>0</v>
      </c>
      <c r="AP81" s="100">
        <v>0</v>
      </c>
      <c r="AQ81" s="100">
        <v>0</v>
      </c>
      <c r="AR81" s="100">
        <v>0</v>
      </c>
      <c r="AS81" s="100">
        <v>0</v>
      </c>
      <c r="AT81" s="100">
        <v>0</v>
      </c>
      <c r="AU81" s="100">
        <v>0</v>
      </c>
      <c r="AV81" s="100">
        <v>0</v>
      </c>
      <c r="AW81" s="100">
        <v>0</v>
      </c>
      <c r="AX81" s="100">
        <v>0</v>
      </c>
      <c r="AY81" s="100">
        <v>0</v>
      </c>
      <c r="AZ81" s="100">
        <v>0</v>
      </c>
      <c r="BA81" s="100">
        <v>0</v>
      </c>
      <c r="BB81" s="100">
        <v>0</v>
      </c>
      <c r="BC81" s="100">
        <v>0</v>
      </c>
      <c r="BD81" s="100">
        <v>0</v>
      </c>
      <c r="BE81" s="100">
        <v>0</v>
      </c>
      <c r="BF81" s="100">
        <v>0</v>
      </c>
      <c r="BG81" s="100">
        <v>0</v>
      </c>
      <c r="BH81" s="100">
        <v>0</v>
      </c>
      <c r="BI81" s="100">
        <v>0</v>
      </c>
      <c r="BJ81" s="100">
        <v>49755.593999999997</v>
      </c>
      <c r="BK81" s="100">
        <v>0</v>
      </c>
      <c r="BL81" s="102"/>
      <c r="BM81" s="102"/>
    </row>
    <row r="82" spans="2:65">
      <c r="B82" s="417" t="s">
        <v>795</v>
      </c>
      <c r="C82" s="130" t="s">
        <v>796</v>
      </c>
      <c r="D82" s="131">
        <v>740.56700000000001</v>
      </c>
      <c r="E82" s="131">
        <v>1106.838</v>
      </c>
      <c r="F82" s="131">
        <v>0</v>
      </c>
      <c r="G82" s="418">
        <v>192045.14300000001</v>
      </c>
      <c r="H82" s="131">
        <v>4084.2719999999999</v>
      </c>
      <c r="I82" s="131">
        <v>0</v>
      </c>
      <c r="J82" s="131">
        <v>0</v>
      </c>
      <c r="K82" s="131">
        <v>0</v>
      </c>
      <c r="L82" s="131">
        <v>0</v>
      </c>
      <c r="M82" s="131">
        <v>0</v>
      </c>
      <c r="N82" s="131">
        <v>3949.2469999999998</v>
      </c>
      <c r="O82" s="131">
        <v>15462.376</v>
      </c>
      <c r="P82" s="131">
        <v>4654.1450000000004</v>
      </c>
      <c r="Q82" s="131">
        <v>169571.31299999999</v>
      </c>
      <c r="R82" s="131">
        <v>1455.7139999999999</v>
      </c>
      <c r="S82" s="131">
        <v>0</v>
      </c>
      <c r="T82" s="131">
        <v>0</v>
      </c>
      <c r="U82" s="131">
        <v>0</v>
      </c>
      <c r="V82" s="131">
        <v>0</v>
      </c>
      <c r="W82" s="131">
        <v>2580.9679999999998</v>
      </c>
      <c r="X82" s="131">
        <v>135.68100000000001</v>
      </c>
      <c r="Y82" s="131">
        <v>0</v>
      </c>
      <c r="Z82" s="131">
        <v>0</v>
      </c>
      <c r="AA82" s="131">
        <v>0</v>
      </c>
      <c r="AB82" s="131">
        <v>0</v>
      </c>
      <c r="AC82" s="131">
        <v>0</v>
      </c>
      <c r="AD82" s="131">
        <v>144.71299999999999</v>
      </c>
      <c r="AE82" s="131">
        <v>1028.9380000000001</v>
      </c>
      <c r="AF82" s="131">
        <v>0</v>
      </c>
      <c r="AG82" s="131">
        <v>0</v>
      </c>
      <c r="AH82" s="131">
        <v>927.34400000000005</v>
      </c>
      <c r="AI82" s="131">
        <v>0</v>
      </c>
      <c r="AJ82" s="131">
        <v>0</v>
      </c>
      <c r="AK82" s="131">
        <v>0</v>
      </c>
      <c r="AL82" s="131">
        <v>0</v>
      </c>
      <c r="AM82" s="131">
        <v>0</v>
      </c>
      <c r="AN82" s="131">
        <v>0</v>
      </c>
      <c r="AO82" s="131">
        <v>3268.8910000000001</v>
      </c>
      <c r="AP82" s="131">
        <v>473.59500000000003</v>
      </c>
      <c r="AQ82" s="131">
        <v>419.12</v>
      </c>
      <c r="AR82" s="131">
        <v>321.92099999999999</v>
      </c>
      <c r="AS82" s="131">
        <v>9202.2489999999998</v>
      </c>
      <c r="AT82" s="131">
        <v>152.74199999999999</v>
      </c>
      <c r="AU82" s="131">
        <v>206.76</v>
      </c>
      <c r="AV82" s="131">
        <v>0</v>
      </c>
      <c r="AW82" s="131">
        <v>0</v>
      </c>
      <c r="AX82" s="131">
        <v>1654.1790000000001</v>
      </c>
      <c r="AY82" s="131">
        <v>0</v>
      </c>
      <c r="AZ82" s="131">
        <v>176054.01300000001</v>
      </c>
      <c r="BA82" s="131">
        <v>3544.866</v>
      </c>
      <c r="BB82" s="131">
        <v>0</v>
      </c>
      <c r="BC82" s="131">
        <v>30726.26</v>
      </c>
      <c r="BD82" s="131">
        <v>0</v>
      </c>
      <c r="BE82" s="131">
        <v>423.84300000000002</v>
      </c>
      <c r="BF82" s="131">
        <v>3369.4580000000001</v>
      </c>
      <c r="BG82" s="131">
        <v>5409.6260000000002</v>
      </c>
      <c r="BH82" s="131">
        <v>0</v>
      </c>
      <c r="BI82" s="131">
        <v>166.386</v>
      </c>
      <c r="BJ82" s="418">
        <v>633281.16800000006</v>
      </c>
      <c r="BK82" s="131">
        <v>57869.446000000004</v>
      </c>
      <c r="BL82" s="102"/>
      <c r="BM82" s="102"/>
    </row>
    <row r="83" spans="2:65">
      <c r="B83" s="412" t="s">
        <v>797</v>
      </c>
      <c r="C83" s="132" t="s">
        <v>798</v>
      </c>
      <c r="D83" s="100">
        <v>740.56700000000001</v>
      </c>
      <c r="E83" s="100">
        <v>1106.838</v>
      </c>
      <c r="F83" s="100">
        <v>0</v>
      </c>
      <c r="G83" s="261">
        <v>180705.07699999999</v>
      </c>
      <c r="H83" s="100">
        <v>4084.2719999999999</v>
      </c>
      <c r="I83" s="100">
        <v>0</v>
      </c>
      <c r="J83" s="100">
        <v>0</v>
      </c>
      <c r="K83" s="100">
        <v>0</v>
      </c>
      <c r="L83" s="100">
        <v>0</v>
      </c>
      <c r="M83" s="100">
        <v>0</v>
      </c>
      <c r="N83" s="100">
        <v>0</v>
      </c>
      <c r="O83" s="100">
        <v>0</v>
      </c>
      <c r="P83" s="100">
        <v>1964.827</v>
      </c>
      <c r="Q83" s="100">
        <v>122022.264</v>
      </c>
      <c r="R83" s="100">
        <v>0</v>
      </c>
      <c r="S83" s="100">
        <v>0</v>
      </c>
      <c r="T83" s="100">
        <v>0</v>
      </c>
      <c r="U83" s="100">
        <v>0</v>
      </c>
      <c r="V83" s="100">
        <v>0</v>
      </c>
      <c r="W83" s="100">
        <v>0</v>
      </c>
      <c r="X83" s="100">
        <v>0</v>
      </c>
      <c r="Y83" s="100">
        <v>0</v>
      </c>
      <c r="Z83" s="100">
        <v>0</v>
      </c>
      <c r="AA83" s="100">
        <v>0</v>
      </c>
      <c r="AB83" s="100">
        <v>0</v>
      </c>
      <c r="AC83" s="100">
        <v>0</v>
      </c>
      <c r="AD83" s="100">
        <v>0</v>
      </c>
      <c r="AE83" s="100">
        <v>1028.9059999999999</v>
      </c>
      <c r="AF83" s="100">
        <v>0</v>
      </c>
      <c r="AG83" s="100">
        <v>0</v>
      </c>
      <c r="AH83" s="100">
        <v>589.35599999999999</v>
      </c>
      <c r="AI83" s="100">
        <v>0</v>
      </c>
      <c r="AJ83" s="100">
        <v>0</v>
      </c>
      <c r="AK83" s="100">
        <v>0</v>
      </c>
      <c r="AL83" s="100">
        <v>0</v>
      </c>
      <c r="AM83" s="100">
        <v>0</v>
      </c>
      <c r="AN83" s="100">
        <v>0</v>
      </c>
      <c r="AO83" s="100">
        <v>0</v>
      </c>
      <c r="AP83" s="100">
        <v>353.1</v>
      </c>
      <c r="AQ83" s="100">
        <v>133.07300000000001</v>
      </c>
      <c r="AR83" s="100">
        <v>229.70500000000001</v>
      </c>
      <c r="AS83" s="100">
        <v>5770.8050000000003</v>
      </c>
      <c r="AT83" s="100">
        <v>137.35599999999999</v>
      </c>
      <c r="AU83" s="100">
        <v>206.76</v>
      </c>
      <c r="AV83" s="100">
        <v>0</v>
      </c>
      <c r="AW83" s="100">
        <v>0</v>
      </c>
      <c r="AX83" s="100">
        <v>1654.1790000000001</v>
      </c>
      <c r="AY83" s="100">
        <v>0</v>
      </c>
      <c r="AZ83" s="100">
        <v>176054.01300000001</v>
      </c>
      <c r="BA83" s="100">
        <v>3541.1790000000001</v>
      </c>
      <c r="BB83" s="100">
        <v>0</v>
      </c>
      <c r="BC83" s="100">
        <v>26974.507000000001</v>
      </c>
      <c r="BD83" s="100">
        <v>0</v>
      </c>
      <c r="BE83" s="100">
        <v>423.84300000000002</v>
      </c>
      <c r="BF83" s="100">
        <v>3358.8560000000002</v>
      </c>
      <c r="BG83" s="100">
        <v>5329.6840000000002</v>
      </c>
      <c r="BH83" s="100">
        <v>0</v>
      </c>
      <c r="BI83" s="100">
        <v>0</v>
      </c>
      <c r="BJ83" s="261">
        <v>536409.16700000002</v>
      </c>
      <c r="BK83" s="100">
        <v>50077.875</v>
      </c>
      <c r="BL83" s="102"/>
      <c r="BM83" s="102"/>
    </row>
    <row r="84" spans="2:65">
      <c r="B84" s="412" t="s">
        <v>799</v>
      </c>
      <c r="C84" s="132" t="s">
        <v>800</v>
      </c>
      <c r="D84" s="100">
        <v>0</v>
      </c>
      <c r="E84" s="100">
        <v>0</v>
      </c>
      <c r="F84" s="100">
        <v>0</v>
      </c>
      <c r="G84" s="100">
        <v>130.54499999999999</v>
      </c>
      <c r="H84" s="100">
        <v>0</v>
      </c>
      <c r="I84" s="100">
        <v>0</v>
      </c>
      <c r="J84" s="100">
        <v>0</v>
      </c>
      <c r="K84" s="100">
        <v>0</v>
      </c>
      <c r="L84" s="100">
        <v>0</v>
      </c>
      <c r="M84" s="100">
        <v>0</v>
      </c>
      <c r="N84" s="100">
        <v>3949.2469999999998</v>
      </c>
      <c r="O84" s="100">
        <v>15462.376</v>
      </c>
      <c r="P84" s="100">
        <v>2689.3180000000002</v>
      </c>
      <c r="Q84" s="100">
        <v>1466.396</v>
      </c>
      <c r="R84" s="100">
        <v>18.355</v>
      </c>
      <c r="S84" s="100">
        <v>0</v>
      </c>
      <c r="T84" s="100">
        <v>0</v>
      </c>
      <c r="U84" s="100">
        <v>0</v>
      </c>
      <c r="V84" s="100">
        <v>0</v>
      </c>
      <c r="W84" s="100">
        <v>1619.4280000000001</v>
      </c>
      <c r="X84" s="100">
        <v>0</v>
      </c>
      <c r="Y84" s="100">
        <v>0</v>
      </c>
      <c r="Z84" s="100">
        <v>0</v>
      </c>
      <c r="AA84" s="100">
        <v>0</v>
      </c>
      <c r="AB84" s="100">
        <v>0</v>
      </c>
      <c r="AC84" s="100">
        <v>0</v>
      </c>
      <c r="AD84" s="100">
        <v>0</v>
      </c>
      <c r="AE84" s="100">
        <v>3.2000000000000001E-2</v>
      </c>
      <c r="AF84" s="100">
        <v>0</v>
      </c>
      <c r="AG84" s="100">
        <v>0</v>
      </c>
      <c r="AH84" s="100">
        <v>75.95</v>
      </c>
      <c r="AI84" s="100">
        <v>0</v>
      </c>
      <c r="AJ84" s="100">
        <v>0</v>
      </c>
      <c r="AK84" s="100">
        <v>0</v>
      </c>
      <c r="AL84" s="100">
        <v>0</v>
      </c>
      <c r="AM84" s="100">
        <v>0</v>
      </c>
      <c r="AN84" s="100">
        <v>0</v>
      </c>
      <c r="AO84" s="100">
        <v>0</v>
      </c>
      <c r="AP84" s="100">
        <v>104.098</v>
      </c>
      <c r="AQ84" s="100">
        <v>15.316000000000001</v>
      </c>
      <c r="AR84" s="100">
        <v>0</v>
      </c>
      <c r="AS84" s="100">
        <v>194.52600000000001</v>
      </c>
      <c r="AT84" s="100">
        <v>10.262</v>
      </c>
      <c r="AU84" s="100">
        <v>0</v>
      </c>
      <c r="AV84" s="100">
        <v>0</v>
      </c>
      <c r="AW84" s="100">
        <v>0</v>
      </c>
      <c r="AX84" s="100">
        <v>0</v>
      </c>
      <c r="AY84" s="100">
        <v>0</v>
      </c>
      <c r="AZ84" s="100">
        <v>0</v>
      </c>
      <c r="BA84" s="100">
        <v>3.6869999999999998</v>
      </c>
      <c r="BB84" s="100">
        <v>0</v>
      </c>
      <c r="BC84" s="100">
        <v>3751.752</v>
      </c>
      <c r="BD84" s="100">
        <v>0</v>
      </c>
      <c r="BE84" s="100">
        <v>0</v>
      </c>
      <c r="BF84" s="100">
        <v>10.602</v>
      </c>
      <c r="BG84" s="100">
        <v>79.941999999999993</v>
      </c>
      <c r="BH84" s="100">
        <v>0</v>
      </c>
      <c r="BI84" s="100">
        <v>0</v>
      </c>
      <c r="BJ84" s="100">
        <v>29581.832000000002</v>
      </c>
      <c r="BK84" s="100">
        <v>4170.1850000000004</v>
      </c>
      <c r="BL84" s="102"/>
      <c r="BM84" s="102"/>
    </row>
    <row r="85" spans="2:65">
      <c r="B85" s="412" t="s">
        <v>801</v>
      </c>
      <c r="C85" s="132" t="s">
        <v>802</v>
      </c>
      <c r="D85" s="100">
        <v>0</v>
      </c>
      <c r="E85" s="100">
        <v>0</v>
      </c>
      <c r="F85" s="100">
        <v>0</v>
      </c>
      <c r="G85" s="100">
        <v>0</v>
      </c>
      <c r="H85" s="100">
        <v>0</v>
      </c>
      <c r="I85" s="100">
        <v>0</v>
      </c>
      <c r="J85" s="100">
        <v>0</v>
      </c>
      <c r="K85" s="100">
        <v>0</v>
      </c>
      <c r="L85" s="100">
        <v>0</v>
      </c>
      <c r="M85" s="100">
        <v>0</v>
      </c>
      <c r="N85" s="100">
        <v>0</v>
      </c>
      <c r="O85" s="100">
        <v>0</v>
      </c>
      <c r="P85" s="100">
        <v>0</v>
      </c>
      <c r="Q85" s="100">
        <v>41415.574999999997</v>
      </c>
      <c r="R85" s="100">
        <v>1224.894</v>
      </c>
      <c r="S85" s="100">
        <v>0</v>
      </c>
      <c r="T85" s="100">
        <v>0</v>
      </c>
      <c r="U85" s="100">
        <v>0</v>
      </c>
      <c r="V85" s="100">
        <v>0</v>
      </c>
      <c r="W85" s="100">
        <v>0</v>
      </c>
      <c r="X85" s="100">
        <v>0</v>
      </c>
      <c r="Y85" s="100">
        <v>0</v>
      </c>
      <c r="Z85" s="100">
        <v>0</v>
      </c>
      <c r="AA85" s="100">
        <v>0</v>
      </c>
      <c r="AB85" s="100">
        <v>0</v>
      </c>
      <c r="AC85" s="100">
        <v>0</v>
      </c>
      <c r="AD85" s="100">
        <v>144.71299999999999</v>
      </c>
      <c r="AE85" s="100">
        <v>0</v>
      </c>
      <c r="AF85" s="100">
        <v>0</v>
      </c>
      <c r="AG85" s="100">
        <v>0</v>
      </c>
      <c r="AH85" s="100">
        <v>167.25399999999999</v>
      </c>
      <c r="AI85" s="100">
        <v>0</v>
      </c>
      <c r="AJ85" s="100">
        <v>0</v>
      </c>
      <c r="AK85" s="100">
        <v>0</v>
      </c>
      <c r="AL85" s="100">
        <v>0</v>
      </c>
      <c r="AM85" s="100">
        <v>0</v>
      </c>
      <c r="AN85" s="100">
        <v>0</v>
      </c>
      <c r="AO85" s="100">
        <v>0</v>
      </c>
      <c r="AP85" s="100">
        <v>2.4039999999999999</v>
      </c>
      <c r="AQ85" s="100">
        <v>198.119</v>
      </c>
      <c r="AR85" s="100">
        <v>25.369</v>
      </c>
      <c r="AS85" s="100">
        <v>6.1589999999999998</v>
      </c>
      <c r="AT85" s="100">
        <v>0</v>
      </c>
      <c r="AU85" s="100">
        <v>0</v>
      </c>
      <c r="AV85" s="100">
        <v>0</v>
      </c>
      <c r="AW85" s="100">
        <v>0</v>
      </c>
      <c r="AX85" s="100">
        <v>0</v>
      </c>
      <c r="AY85" s="100">
        <v>0</v>
      </c>
      <c r="AZ85" s="100">
        <v>0</v>
      </c>
      <c r="BA85" s="100">
        <v>0</v>
      </c>
      <c r="BB85" s="100">
        <v>0</v>
      </c>
      <c r="BC85" s="100">
        <v>0</v>
      </c>
      <c r="BD85" s="100">
        <v>0</v>
      </c>
      <c r="BE85" s="100">
        <v>0</v>
      </c>
      <c r="BF85" s="100">
        <v>0</v>
      </c>
      <c r="BG85" s="100">
        <v>0</v>
      </c>
      <c r="BH85" s="100">
        <v>0</v>
      </c>
      <c r="BI85" s="100">
        <v>0</v>
      </c>
      <c r="BJ85" s="100">
        <v>43184.487000000001</v>
      </c>
      <c r="BK85" s="100">
        <v>232.05099999999999</v>
      </c>
      <c r="BL85" s="102"/>
      <c r="BM85" s="102"/>
    </row>
    <row r="86" spans="2:65">
      <c r="B86" s="412" t="s">
        <v>803</v>
      </c>
      <c r="C86" s="132" t="s">
        <v>804</v>
      </c>
      <c r="D86" s="100">
        <v>0</v>
      </c>
      <c r="E86" s="100">
        <v>0</v>
      </c>
      <c r="F86" s="100">
        <v>0</v>
      </c>
      <c r="G86" s="100">
        <v>11209.521000000001</v>
      </c>
      <c r="H86" s="100">
        <v>0</v>
      </c>
      <c r="I86" s="100">
        <v>0</v>
      </c>
      <c r="J86" s="100">
        <v>0</v>
      </c>
      <c r="K86" s="100">
        <v>0</v>
      </c>
      <c r="L86" s="100">
        <v>0</v>
      </c>
      <c r="M86" s="100">
        <v>0</v>
      </c>
      <c r="N86" s="100">
        <v>0</v>
      </c>
      <c r="O86" s="100">
        <v>0</v>
      </c>
      <c r="P86" s="100">
        <v>0</v>
      </c>
      <c r="Q86" s="100">
        <v>4667.0770000000002</v>
      </c>
      <c r="R86" s="100">
        <v>212.465</v>
      </c>
      <c r="S86" s="100">
        <v>0</v>
      </c>
      <c r="T86" s="100">
        <v>0</v>
      </c>
      <c r="U86" s="100">
        <v>0</v>
      </c>
      <c r="V86" s="100">
        <v>0</v>
      </c>
      <c r="W86" s="100">
        <v>961.54</v>
      </c>
      <c r="X86" s="100">
        <v>135.68100000000001</v>
      </c>
      <c r="Y86" s="100">
        <v>0</v>
      </c>
      <c r="Z86" s="100">
        <v>0</v>
      </c>
      <c r="AA86" s="100">
        <v>0</v>
      </c>
      <c r="AB86" s="100">
        <v>0</v>
      </c>
      <c r="AC86" s="100">
        <v>0</v>
      </c>
      <c r="AD86" s="100">
        <v>0</v>
      </c>
      <c r="AE86" s="100">
        <v>0</v>
      </c>
      <c r="AF86" s="100">
        <v>0</v>
      </c>
      <c r="AG86" s="100">
        <v>0</v>
      </c>
      <c r="AH86" s="100">
        <v>94.784000000000006</v>
      </c>
      <c r="AI86" s="100">
        <v>0</v>
      </c>
      <c r="AJ86" s="100">
        <v>0</v>
      </c>
      <c r="AK86" s="100">
        <v>0</v>
      </c>
      <c r="AL86" s="100">
        <v>0</v>
      </c>
      <c r="AM86" s="100">
        <v>0</v>
      </c>
      <c r="AN86" s="100">
        <v>0</v>
      </c>
      <c r="AO86" s="100">
        <v>3268.8910000000001</v>
      </c>
      <c r="AP86" s="100">
        <v>13.993</v>
      </c>
      <c r="AQ86" s="100">
        <v>72.611999999999995</v>
      </c>
      <c r="AR86" s="100">
        <v>66.846999999999994</v>
      </c>
      <c r="AS86" s="100">
        <v>2138.1779999999999</v>
      </c>
      <c r="AT86" s="100">
        <v>5.1239999999999997</v>
      </c>
      <c r="AU86" s="100">
        <v>0</v>
      </c>
      <c r="AV86" s="100">
        <v>0</v>
      </c>
      <c r="AW86" s="100">
        <v>0</v>
      </c>
      <c r="AX86" s="100">
        <v>0</v>
      </c>
      <c r="AY86" s="100">
        <v>0</v>
      </c>
      <c r="AZ86" s="100">
        <v>0</v>
      </c>
      <c r="BA86" s="100">
        <v>0</v>
      </c>
      <c r="BB86" s="100">
        <v>0</v>
      </c>
      <c r="BC86" s="100">
        <v>0</v>
      </c>
      <c r="BD86" s="100">
        <v>0</v>
      </c>
      <c r="BE86" s="100">
        <v>0</v>
      </c>
      <c r="BF86" s="100">
        <v>0</v>
      </c>
      <c r="BG86" s="100">
        <v>0</v>
      </c>
      <c r="BH86" s="100">
        <v>0</v>
      </c>
      <c r="BI86" s="100">
        <v>0</v>
      </c>
      <c r="BJ86" s="100">
        <v>22846.713000000003</v>
      </c>
      <c r="BK86" s="100">
        <v>2296.7539999999999</v>
      </c>
      <c r="BL86" s="102"/>
      <c r="BM86" s="102"/>
    </row>
    <row r="87" spans="2:65">
      <c r="B87" s="412" t="s">
        <v>805</v>
      </c>
      <c r="C87" s="132" t="s">
        <v>806</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0">
        <v>0</v>
      </c>
      <c r="AH87" s="100">
        <v>0</v>
      </c>
      <c r="AI87" s="100">
        <v>0</v>
      </c>
      <c r="AJ87" s="100">
        <v>0</v>
      </c>
      <c r="AK87" s="100">
        <v>0</v>
      </c>
      <c r="AL87" s="100">
        <v>0</v>
      </c>
      <c r="AM87" s="100">
        <v>0</v>
      </c>
      <c r="AN87" s="100">
        <v>0</v>
      </c>
      <c r="AO87" s="100">
        <v>0</v>
      </c>
      <c r="AP87" s="100">
        <v>0</v>
      </c>
      <c r="AQ87" s="100">
        <v>0</v>
      </c>
      <c r="AR87" s="100">
        <v>0</v>
      </c>
      <c r="AS87" s="100">
        <v>0</v>
      </c>
      <c r="AT87" s="100">
        <v>0</v>
      </c>
      <c r="AU87" s="100">
        <v>0</v>
      </c>
      <c r="AV87" s="100">
        <v>0</v>
      </c>
      <c r="AW87" s="100">
        <v>0</v>
      </c>
      <c r="AX87" s="100">
        <v>0</v>
      </c>
      <c r="AY87" s="100">
        <v>0</v>
      </c>
      <c r="AZ87" s="100">
        <v>0</v>
      </c>
      <c r="BA87" s="100">
        <v>0</v>
      </c>
      <c r="BB87" s="100">
        <v>0</v>
      </c>
      <c r="BC87" s="100">
        <v>0</v>
      </c>
      <c r="BD87" s="100">
        <v>0</v>
      </c>
      <c r="BE87" s="100">
        <v>0</v>
      </c>
      <c r="BF87" s="100">
        <v>0</v>
      </c>
      <c r="BG87" s="100">
        <v>0</v>
      </c>
      <c r="BH87" s="100">
        <v>0</v>
      </c>
      <c r="BI87" s="100">
        <v>166.386</v>
      </c>
      <c r="BJ87" s="100">
        <v>166.386</v>
      </c>
      <c r="BK87" s="100">
        <v>0</v>
      </c>
      <c r="BL87" s="102"/>
      <c r="BM87" s="102"/>
    </row>
    <row r="88" spans="2:65">
      <c r="B88" s="407" t="s">
        <v>807</v>
      </c>
      <c r="C88" s="132" t="s">
        <v>808</v>
      </c>
      <c r="D88" s="100">
        <v>0</v>
      </c>
      <c r="E88" s="100">
        <v>0</v>
      </c>
      <c r="F88" s="100">
        <v>0</v>
      </c>
      <c r="G88" s="100">
        <v>79030.289000000004</v>
      </c>
      <c r="H88" s="100">
        <v>0</v>
      </c>
      <c r="I88" s="100">
        <v>0</v>
      </c>
      <c r="J88" s="100">
        <v>0</v>
      </c>
      <c r="K88" s="100">
        <v>0</v>
      </c>
      <c r="L88" s="100">
        <v>0</v>
      </c>
      <c r="M88" s="100">
        <v>0</v>
      </c>
      <c r="N88" s="100">
        <v>0</v>
      </c>
      <c r="O88" s="100">
        <v>0</v>
      </c>
      <c r="P88" s="100">
        <v>0</v>
      </c>
      <c r="Q88" s="100">
        <v>63160.139000000003</v>
      </c>
      <c r="R88" s="100">
        <v>24275.67</v>
      </c>
      <c r="S88" s="100">
        <v>0</v>
      </c>
      <c r="T88" s="100">
        <v>0</v>
      </c>
      <c r="U88" s="100">
        <v>0</v>
      </c>
      <c r="V88" s="100">
        <v>0</v>
      </c>
      <c r="W88" s="100">
        <v>20620.084999999999</v>
      </c>
      <c r="X88" s="100">
        <v>3805.05</v>
      </c>
      <c r="Y88" s="100">
        <v>0</v>
      </c>
      <c r="Z88" s="100">
        <v>0</v>
      </c>
      <c r="AA88" s="100">
        <v>0</v>
      </c>
      <c r="AB88" s="100">
        <v>0</v>
      </c>
      <c r="AC88" s="100">
        <v>0</v>
      </c>
      <c r="AD88" s="100">
        <v>2462.433</v>
      </c>
      <c r="AE88" s="100">
        <v>20.260999999999999</v>
      </c>
      <c r="AF88" s="100">
        <v>0</v>
      </c>
      <c r="AG88" s="100">
        <v>0</v>
      </c>
      <c r="AH88" s="100">
        <v>7416.9880000000003</v>
      </c>
      <c r="AI88" s="100">
        <v>0</v>
      </c>
      <c r="AJ88" s="100">
        <v>0</v>
      </c>
      <c r="AK88" s="100">
        <v>0</v>
      </c>
      <c r="AL88" s="100">
        <v>0</v>
      </c>
      <c r="AM88" s="100">
        <v>0</v>
      </c>
      <c r="AN88" s="100">
        <v>0</v>
      </c>
      <c r="AO88" s="100">
        <v>23193.46</v>
      </c>
      <c r="AP88" s="100">
        <v>3264.0450000000001</v>
      </c>
      <c r="AQ88" s="100">
        <v>6497.16</v>
      </c>
      <c r="AR88" s="100">
        <v>5974.9139999999998</v>
      </c>
      <c r="AS88" s="100">
        <v>5436.2740000000003</v>
      </c>
      <c r="AT88" s="100">
        <v>114.624</v>
      </c>
      <c r="AU88" s="100">
        <v>1051.027</v>
      </c>
      <c r="AV88" s="100">
        <v>0</v>
      </c>
      <c r="AW88" s="100">
        <v>0</v>
      </c>
      <c r="AX88" s="100">
        <v>0</v>
      </c>
      <c r="AY88" s="100">
        <v>0</v>
      </c>
      <c r="AZ88" s="100">
        <v>0</v>
      </c>
      <c r="BA88" s="100">
        <v>0</v>
      </c>
      <c r="BB88" s="100">
        <v>0</v>
      </c>
      <c r="BC88" s="100">
        <v>0</v>
      </c>
      <c r="BD88" s="100">
        <v>0</v>
      </c>
      <c r="BE88" s="100">
        <v>0</v>
      </c>
      <c r="BF88" s="100">
        <v>0</v>
      </c>
      <c r="BG88" s="100">
        <v>0</v>
      </c>
      <c r="BH88" s="100">
        <v>0</v>
      </c>
      <c r="BI88" s="100">
        <v>58245.118000000002</v>
      </c>
      <c r="BJ88" s="100">
        <v>304567.53700000001</v>
      </c>
      <c r="BK88" s="100">
        <v>22338.044000000002</v>
      </c>
      <c r="BL88" s="102"/>
      <c r="BM88" s="102"/>
    </row>
    <row r="89" spans="2:65">
      <c r="B89" s="412" t="s">
        <v>809</v>
      </c>
      <c r="C89" s="132" t="s">
        <v>802</v>
      </c>
      <c r="D89" s="100">
        <v>0</v>
      </c>
      <c r="E89" s="100">
        <v>0</v>
      </c>
      <c r="F89" s="100">
        <v>0</v>
      </c>
      <c r="G89" s="100">
        <v>0</v>
      </c>
      <c r="H89" s="100">
        <v>0</v>
      </c>
      <c r="I89" s="100">
        <v>0</v>
      </c>
      <c r="J89" s="100">
        <v>0</v>
      </c>
      <c r="K89" s="100">
        <v>0</v>
      </c>
      <c r="L89" s="100">
        <v>0</v>
      </c>
      <c r="M89" s="100">
        <v>0</v>
      </c>
      <c r="N89" s="100">
        <v>0</v>
      </c>
      <c r="O89" s="100">
        <v>0</v>
      </c>
      <c r="P89" s="100">
        <v>0</v>
      </c>
      <c r="Q89" s="100">
        <v>52767.264999999999</v>
      </c>
      <c r="R89" s="100">
        <v>8900.9950000000008</v>
      </c>
      <c r="S89" s="100">
        <v>0</v>
      </c>
      <c r="T89" s="100">
        <v>0</v>
      </c>
      <c r="U89" s="100">
        <v>0</v>
      </c>
      <c r="V89" s="100">
        <v>0</v>
      </c>
      <c r="W89" s="100">
        <v>0</v>
      </c>
      <c r="X89" s="100">
        <v>0</v>
      </c>
      <c r="Y89" s="100">
        <v>0</v>
      </c>
      <c r="Z89" s="100">
        <v>0</v>
      </c>
      <c r="AA89" s="100">
        <v>0</v>
      </c>
      <c r="AB89" s="100">
        <v>0</v>
      </c>
      <c r="AC89" s="100">
        <v>0</v>
      </c>
      <c r="AD89" s="100">
        <v>1285.2049999999999</v>
      </c>
      <c r="AE89" s="100">
        <v>0</v>
      </c>
      <c r="AF89" s="100">
        <v>0</v>
      </c>
      <c r="AG89" s="100">
        <v>0</v>
      </c>
      <c r="AH89" s="100">
        <v>1292.57</v>
      </c>
      <c r="AI89" s="100">
        <v>0</v>
      </c>
      <c r="AJ89" s="100">
        <v>0</v>
      </c>
      <c r="AK89" s="100">
        <v>0</v>
      </c>
      <c r="AL89" s="100">
        <v>0</v>
      </c>
      <c r="AM89" s="100">
        <v>0</v>
      </c>
      <c r="AN89" s="100">
        <v>0</v>
      </c>
      <c r="AO89" s="100">
        <v>0</v>
      </c>
      <c r="AP89" s="100">
        <v>168.96600000000001</v>
      </c>
      <c r="AQ89" s="100">
        <v>5870.2070000000003</v>
      </c>
      <c r="AR89" s="100">
        <v>792.31500000000005</v>
      </c>
      <c r="AS89" s="100">
        <v>979.18799999999999</v>
      </c>
      <c r="AT89" s="100">
        <v>43.326999999999998</v>
      </c>
      <c r="AU89" s="100">
        <v>0</v>
      </c>
      <c r="AV89" s="100">
        <v>0</v>
      </c>
      <c r="AW89" s="100">
        <v>0</v>
      </c>
      <c r="AX89" s="100">
        <v>0</v>
      </c>
      <c r="AY89" s="100">
        <v>0</v>
      </c>
      <c r="AZ89" s="100">
        <v>0</v>
      </c>
      <c r="BA89" s="100">
        <v>0</v>
      </c>
      <c r="BB89" s="100">
        <v>0</v>
      </c>
      <c r="BC89" s="100">
        <v>0</v>
      </c>
      <c r="BD89" s="100">
        <v>0</v>
      </c>
      <c r="BE89" s="100">
        <v>0</v>
      </c>
      <c r="BF89" s="100">
        <v>0</v>
      </c>
      <c r="BG89" s="100">
        <v>0</v>
      </c>
      <c r="BH89" s="100">
        <v>0</v>
      </c>
      <c r="BI89" s="100">
        <v>48761.309000000001</v>
      </c>
      <c r="BJ89" s="100">
        <v>120861.34700000001</v>
      </c>
      <c r="BK89" s="100">
        <v>7854.0020000000004</v>
      </c>
      <c r="BL89" s="102"/>
      <c r="BM89" s="102"/>
    </row>
    <row r="90" spans="2:65">
      <c r="B90" s="412" t="s">
        <v>810</v>
      </c>
      <c r="C90" s="132" t="s">
        <v>804</v>
      </c>
      <c r="D90" s="100">
        <v>0</v>
      </c>
      <c r="E90" s="100">
        <v>0</v>
      </c>
      <c r="F90" s="100">
        <v>0</v>
      </c>
      <c r="G90" s="100">
        <v>79030.289000000004</v>
      </c>
      <c r="H90" s="100">
        <v>0</v>
      </c>
      <c r="I90" s="100">
        <v>0</v>
      </c>
      <c r="J90" s="100">
        <v>0</v>
      </c>
      <c r="K90" s="100">
        <v>0</v>
      </c>
      <c r="L90" s="100">
        <v>0</v>
      </c>
      <c r="M90" s="100">
        <v>0</v>
      </c>
      <c r="N90" s="100">
        <v>0</v>
      </c>
      <c r="O90" s="100">
        <v>0</v>
      </c>
      <c r="P90" s="100">
        <v>0</v>
      </c>
      <c r="Q90" s="100">
        <v>9678.8940000000002</v>
      </c>
      <c r="R90" s="100">
        <v>3142.9360000000001</v>
      </c>
      <c r="S90" s="100">
        <v>0</v>
      </c>
      <c r="T90" s="100">
        <v>0</v>
      </c>
      <c r="U90" s="100">
        <v>0</v>
      </c>
      <c r="V90" s="100">
        <v>0</v>
      </c>
      <c r="W90" s="100">
        <v>20620.084999999999</v>
      </c>
      <c r="X90" s="100">
        <v>3560.556</v>
      </c>
      <c r="Y90" s="100">
        <v>0</v>
      </c>
      <c r="Z90" s="100">
        <v>0</v>
      </c>
      <c r="AA90" s="100">
        <v>0</v>
      </c>
      <c r="AB90" s="100">
        <v>0</v>
      </c>
      <c r="AC90" s="100">
        <v>0</v>
      </c>
      <c r="AD90" s="100">
        <v>0</v>
      </c>
      <c r="AE90" s="100">
        <v>0</v>
      </c>
      <c r="AF90" s="100">
        <v>0</v>
      </c>
      <c r="AG90" s="100">
        <v>0</v>
      </c>
      <c r="AH90" s="100">
        <v>2050.3719999999998</v>
      </c>
      <c r="AI90" s="100">
        <v>0</v>
      </c>
      <c r="AJ90" s="100">
        <v>0</v>
      </c>
      <c r="AK90" s="100">
        <v>0</v>
      </c>
      <c r="AL90" s="100">
        <v>0</v>
      </c>
      <c r="AM90" s="100">
        <v>0</v>
      </c>
      <c r="AN90" s="100">
        <v>0</v>
      </c>
      <c r="AO90" s="100">
        <v>22591.945</v>
      </c>
      <c r="AP90" s="100">
        <v>0</v>
      </c>
      <c r="AQ90" s="100">
        <v>0</v>
      </c>
      <c r="AR90" s="100">
        <v>3461.9169999999999</v>
      </c>
      <c r="AS90" s="100">
        <v>3889.4389999999999</v>
      </c>
      <c r="AT90" s="100">
        <v>0</v>
      </c>
      <c r="AU90" s="100">
        <v>34.56</v>
      </c>
      <c r="AV90" s="100">
        <v>0</v>
      </c>
      <c r="AW90" s="100">
        <v>0</v>
      </c>
      <c r="AX90" s="100">
        <v>0</v>
      </c>
      <c r="AY90" s="100">
        <v>0</v>
      </c>
      <c r="AZ90" s="100">
        <v>0</v>
      </c>
      <c r="BA90" s="100">
        <v>0</v>
      </c>
      <c r="BB90" s="100">
        <v>0</v>
      </c>
      <c r="BC90" s="100">
        <v>0</v>
      </c>
      <c r="BD90" s="100">
        <v>0</v>
      </c>
      <c r="BE90" s="100">
        <v>0</v>
      </c>
      <c r="BF90" s="100">
        <v>0</v>
      </c>
      <c r="BG90" s="100">
        <v>0</v>
      </c>
      <c r="BH90" s="100">
        <v>0</v>
      </c>
      <c r="BI90" s="100">
        <v>6580.92</v>
      </c>
      <c r="BJ90" s="100">
        <v>154641.913</v>
      </c>
      <c r="BK90" s="100">
        <v>7385.9160000000002</v>
      </c>
      <c r="BL90" s="102"/>
      <c r="BM90" s="102"/>
    </row>
    <row r="91" spans="2:65">
      <c r="B91" s="412" t="s">
        <v>811</v>
      </c>
      <c r="C91" s="132" t="s">
        <v>812</v>
      </c>
      <c r="D91" s="100">
        <v>0</v>
      </c>
      <c r="E91" s="100">
        <v>0</v>
      </c>
      <c r="F91" s="100">
        <v>0</v>
      </c>
      <c r="G91" s="100">
        <v>0</v>
      </c>
      <c r="H91" s="100">
        <v>0</v>
      </c>
      <c r="I91" s="100">
        <v>0</v>
      </c>
      <c r="J91" s="100">
        <v>0</v>
      </c>
      <c r="K91" s="100">
        <v>0</v>
      </c>
      <c r="L91" s="100">
        <v>0</v>
      </c>
      <c r="M91" s="100">
        <v>0</v>
      </c>
      <c r="N91" s="100">
        <v>0</v>
      </c>
      <c r="O91" s="100">
        <v>0</v>
      </c>
      <c r="P91" s="100">
        <v>0</v>
      </c>
      <c r="Q91" s="100">
        <v>683.10699999999997</v>
      </c>
      <c r="R91" s="100">
        <v>11317.387000000001</v>
      </c>
      <c r="S91" s="100">
        <v>0</v>
      </c>
      <c r="T91" s="100">
        <v>0</v>
      </c>
      <c r="U91" s="100">
        <v>0</v>
      </c>
      <c r="V91" s="100">
        <v>0</v>
      </c>
      <c r="W91" s="100">
        <v>0</v>
      </c>
      <c r="X91" s="100">
        <v>0</v>
      </c>
      <c r="Y91" s="100">
        <v>0</v>
      </c>
      <c r="Z91" s="100">
        <v>0</v>
      </c>
      <c r="AA91" s="100">
        <v>0</v>
      </c>
      <c r="AB91" s="100">
        <v>0</v>
      </c>
      <c r="AC91" s="100">
        <v>0</v>
      </c>
      <c r="AD91" s="100">
        <v>0</v>
      </c>
      <c r="AE91" s="100">
        <v>15.397</v>
      </c>
      <c r="AF91" s="100">
        <v>0</v>
      </c>
      <c r="AG91" s="100">
        <v>0</v>
      </c>
      <c r="AH91" s="100">
        <v>1135.0309999999999</v>
      </c>
      <c r="AI91" s="100">
        <v>0</v>
      </c>
      <c r="AJ91" s="100">
        <v>0</v>
      </c>
      <c r="AK91" s="100">
        <v>0</v>
      </c>
      <c r="AL91" s="100">
        <v>0</v>
      </c>
      <c r="AM91" s="100">
        <v>0</v>
      </c>
      <c r="AN91" s="100">
        <v>0</v>
      </c>
      <c r="AO91" s="100">
        <v>0</v>
      </c>
      <c r="AP91" s="100">
        <v>0</v>
      </c>
      <c r="AQ91" s="100">
        <v>0</v>
      </c>
      <c r="AR91" s="100">
        <v>0</v>
      </c>
      <c r="AS91" s="100">
        <v>0</v>
      </c>
      <c r="AT91" s="100">
        <v>0</v>
      </c>
      <c r="AU91" s="100">
        <v>1016.468</v>
      </c>
      <c r="AV91" s="100">
        <v>0</v>
      </c>
      <c r="AW91" s="100">
        <v>0</v>
      </c>
      <c r="AX91" s="100">
        <v>0</v>
      </c>
      <c r="AY91" s="100">
        <v>0</v>
      </c>
      <c r="AZ91" s="100">
        <v>0</v>
      </c>
      <c r="BA91" s="100">
        <v>0</v>
      </c>
      <c r="BB91" s="100">
        <v>0</v>
      </c>
      <c r="BC91" s="100">
        <v>0</v>
      </c>
      <c r="BD91" s="100">
        <v>0</v>
      </c>
      <c r="BE91" s="100">
        <v>0</v>
      </c>
      <c r="BF91" s="100">
        <v>0</v>
      </c>
      <c r="BG91" s="100">
        <v>0</v>
      </c>
      <c r="BH91" s="100">
        <v>0</v>
      </c>
      <c r="BI91" s="100">
        <v>0</v>
      </c>
      <c r="BJ91" s="100">
        <v>14167.390000000003</v>
      </c>
      <c r="BK91" s="100">
        <v>1016.468</v>
      </c>
      <c r="BL91" s="102"/>
      <c r="BM91" s="102"/>
    </row>
    <row r="92" spans="2:65">
      <c r="B92" s="412" t="s">
        <v>813</v>
      </c>
      <c r="C92" s="132" t="s">
        <v>814</v>
      </c>
      <c r="D92" s="100">
        <v>0</v>
      </c>
      <c r="E92" s="100">
        <v>0</v>
      </c>
      <c r="F92" s="100">
        <v>0</v>
      </c>
      <c r="G92" s="100">
        <v>0</v>
      </c>
      <c r="H92" s="100">
        <v>0</v>
      </c>
      <c r="I92" s="100">
        <v>0</v>
      </c>
      <c r="J92" s="100">
        <v>0</v>
      </c>
      <c r="K92" s="100">
        <v>0</v>
      </c>
      <c r="L92" s="100">
        <v>0</v>
      </c>
      <c r="M92" s="100">
        <v>0</v>
      </c>
      <c r="N92" s="100">
        <v>0</v>
      </c>
      <c r="O92" s="100">
        <v>0</v>
      </c>
      <c r="P92" s="100">
        <v>0</v>
      </c>
      <c r="Q92" s="100">
        <v>30.873000000000001</v>
      </c>
      <c r="R92" s="100">
        <v>914.35299999999995</v>
      </c>
      <c r="S92" s="100">
        <v>0</v>
      </c>
      <c r="T92" s="100">
        <v>0</v>
      </c>
      <c r="U92" s="100">
        <v>0</v>
      </c>
      <c r="V92" s="100">
        <v>0</v>
      </c>
      <c r="W92" s="100">
        <v>0</v>
      </c>
      <c r="X92" s="100">
        <v>244.494</v>
      </c>
      <c r="Y92" s="100">
        <v>0</v>
      </c>
      <c r="Z92" s="100">
        <v>0</v>
      </c>
      <c r="AA92" s="100">
        <v>0</v>
      </c>
      <c r="AB92" s="100">
        <v>0</v>
      </c>
      <c r="AC92" s="100">
        <v>0</v>
      </c>
      <c r="AD92" s="100">
        <v>1177.2280000000001</v>
      </c>
      <c r="AE92" s="100">
        <v>4.8639999999999999</v>
      </c>
      <c r="AF92" s="100">
        <v>0</v>
      </c>
      <c r="AG92" s="100">
        <v>0</v>
      </c>
      <c r="AH92" s="100">
        <v>2939.0149999999999</v>
      </c>
      <c r="AI92" s="100">
        <v>0</v>
      </c>
      <c r="AJ92" s="100">
        <v>0</v>
      </c>
      <c r="AK92" s="100">
        <v>0</v>
      </c>
      <c r="AL92" s="100">
        <v>0</v>
      </c>
      <c r="AM92" s="100">
        <v>0</v>
      </c>
      <c r="AN92" s="100">
        <v>0</v>
      </c>
      <c r="AO92" s="100">
        <v>601.51499999999999</v>
      </c>
      <c r="AP92" s="100">
        <v>3095.0790000000002</v>
      </c>
      <c r="AQ92" s="100">
        <v>0</v>
      </c>
      <c r="AR92" s="100">
        <v>1720.682</v>
      </c>
      <c r="AS92" s="100">
        <v>567.64800000000002</v>
      </c>
      <c r="AT92" s="100">
        <v>71.296999999999997</v>
      </c>
      <c r="AU92" s="100">
        <v>0</v>
      </c>
      <c r="AV92" s="100">
        <v>0</v>
      </c>
      <c r="AW92" s="100">
        <v>0</v>
      </c>
      <c r="AX92" s="100">
        <v>0</v>
      </c>
      <c r="AY92" s="100">
        <v>0</v>
      </c>
      <c r="AZ92" s="100">
        <v>0</v>
      </c>
      <c r="BA92" s="100">
        <v>0</v>
      </c>
      <c r="BB92" s="100">
        <v>0</v>
      </c>
      <c r="BC92" s="100">
        <v>0</v>
      </c>
      <c r="BD92" s="100">
        <v>0</v>
      </c>
      <c r="BE92" s="100">
        <v>0</v>
      </c>
      <c r="BF92" s="100">
        <v>0</v>
      </c>
      <c r="BG92" s="100">
        <v>0</v>
      </c>
      <c r="BH92" s="100">
        <v>0</v>
      </c>
      <c r="BI92" s="100">
        <v>0</v>
      </c>
      <c r="BJ92" s="100">
        <v>11367.048000000001</v>
      </c>
      <c r="BK92" s="100">
        <v>5454.7060000000001</v>
      </c>
      <c r="BL92" s="102"/>
      <c r="BM92" s="102"/>
    </row>
    <row r="93" spans="2:65">
      <c r="B93" s="412" t="s">
        <v>815</v>
      </c>
      <c r="C93" s="132" t="s">
        <v>816</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0">
        <v>0</v>
      </c>
      <c r="AH93" s="100">
        <v>0</v>
      </c>
      <c r="AI93" s="100">
        <v>0</v>
      </c>
      <c r="AJ93" s="100">
        <v>0</v>
      </c>
      <c r="AK93" s="100">
        <v>0</v>
      </c>
      <c r="AL93" s="100">
        <v>0</v>
      </c>
      <c r="AM93" s="100">
        <v>0</v>
      </c>
      <c r="AN93" s="100">
        <v>0</v>
      </c>
      <c r="AO93" s="100">
        <v>0</v>
      </c>
      <c r="AP93" s="100">
        <v>0</v>
      </c>
      <c r="AQ93" s="100">
        <v>0</v>
      </c>
      <c r="AR93" s="100">
        <v>0</v>
      </c>
      <c r="AS93" s="100">
        <v>0</v>
      </c>
      <c r="AT93" s="100">
        <v>0</v>
      </c>
      <c r="AU93" s="100">
        <v>0</v>
      </c>
      <c r="AV93" s="100">
        <v>0</v>
      </c>
      <c r="AW93" s="100">
        <v>0</v>
      </c>
      <c r="AX93" s="100">
        <v>0</v>
      </c>
      <c r="AY93" s="100">
        <v>0</v>
      </c>
      <c r="AZ93" s="100">
        <v>0</v>
      </c>
      <c r="BA93" s="100">
        <v>0</v>
      </c>
      <c r="BB93" s="100">
        <v>0</v>
      </c>
      <c r="BC93" s="100">
        <v>0</v>
      </c>
      <c r="BD93" s="100">
        <v>0</v>
      </c>
      <c r="BE93" s="100">
        <v>0</v>
      </c>
      <c r="BF93" s="100">
        <v>0</v>
      </c>
      <c r="BG93" s="100">
        <v>0</v>
      </c>
      <c r="BH93" s="100">
        <v>0</v>
      </c>
      <c r="BI93" s="100">
        <v>2902.8890000000001</v>
      </c>
      <c r="BJ93" s="100">
        <v>2902.8890000000001</v>
      </c>
      <c r="BK93" s="100">
        <v>0</v>
      </c>
      <c r="BL93" s="102"/>
      <c r="BM93" s="102"/>
    </row>
    <row r="94" spans="2:65">
      <c r="C94" s="2"/>
    </row>
  </sheetData>
  <mergeCells count="9">
    <mergeCell ref="AI1:AO1"/>
    <mergeCell ref="AP1:AX1"/>
    <mergeCell ref="AY1:BG1"/>
    <mergeCell ref="D1:P1"/>
    <mergeCell ref="Q1:R1"/>
    <mergeCell ref="T1:V1"/>
    <mergeCell ref="W1:Y1"/>
    <mergeCell ref="Z1:AE1"/>
    <mergeCell ref="AF1:AH1"/>
  </mergeCells>
  <phoneticPr fontId="35" type="noConversion"/>
  <conditionalFormatting sqref="D48:BK74">
    <cfRule type="cellIs" dxfId="0"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25" defaultRowHeight="16.5"/>
  <cols>
    <col min="1" max="1" width="20.5" style="30" customWidth="1"/>
    <col min="2" max="3" width="6.125" style="30" customWidth="1"/>
    <col min="4" max="4" width="6.125" style="30" customWidth="1" collapsed="1"/>
    <col min="5" max="7" width="6.125" style="30" customWidth="1"/>
    <col min="8" max="9" width="5.5" style="30" customWidth="1"/>
    <col min="10" max="10" width="0.5" style="55" customWidth="1"/>
    <col min="11" max="12" width="5.5" style="30" customWidth="1"/>
    <col min="13" max="16384" width="9.125" style="30"/>
  </cols>
  <sheetData>
    <row r="1" spans="1:12" ht="30" customHeight="1">
      <c r="A1" s="501" t="s">
        <v>817</v>
      </c>
      <c r="B1" s="502"/>
      <c r="C1" s="502"/>
      <c r="D1" s="502"/>
      <c r="E1" s="502"/>
      <c r="F1" s="502"/>
      <c r="G1" s="502"/>
      <c r="H1" s="502"/>
      <c r="I1" s="502"/>
      <c r="J1" s="502"/>
      <c r="K1" s="502"/>
      <c r="L1" s="502"/>
    </row>
    <row r="2" spans="1:12">
      <c r="A2" s="503" t="s">
        <v>159</v>
      </c>
      <c r="B2" s="503"/>
      <c r="C2" s="503"/>
      <c r="D2" s="503"/>
      <c r="E2" s="503"/>
      <c r="F2" s="503"/>
      <c r="G2" s="503"/>
      <c r="H2" s="503"/>
      <c r="I2" s="503"/>
      <c r="J2" s="503"/>
      <c r="K2" s="503"/>
      <c r="L2" s="503"/>
    </row>
    <row r="3" spans="1:12" ht="15" customHeight="1">
      <c r="A3" s="31"/>
      <c r="B3" s="32"/>
      <c r="C3" s="32"/>
      <c r="D3" s="32"/>
      <c r="E3" s="32"/>
      <c r="F3" s="32"/>
      <c r="G3" s="32"/>
      <c r="H3" s="495" t="s">
        <v>160</v>
      </c>
      <c r="I3" s="495"/>
      <c r="J3" s="33"/>
      <c r="K3" s="495" t="s">
        <v>161</v>
      </c>
      <c r="L3" s="495"/>
    </row>
    <row r="4" spans="1:12" ht="15" customHeight="1">
      <c r="A4" s="31"/>
      <c r="B4" s="34">
        <v>2000</v>
      </c>
      <c r="C4" s="34">
        <v>2018</v>
      </c>
      <c r="D4" s="34">
        <v>2025</v>
      </c>
      <c r="E4" s="34">
        <v>2030</v>
      </c>
      <c r="F4" s="34">
        <v>2035</v>
      </c>
      <c r="G4" s="34">
        <v>2040</v>
      </c>
      <c r="H4" s="35">
        <v>2018</v>
      </c>
      <c r="I4" s="35">
        <v>2040</v>
      </c>
      <c r="J4" s="33"/>
      <c r="K4" s="35" t="s">
        <v>162</v>
      </c>
      <c r="L4" s="35" t="s">
        <v>163</v>
      </c>
    </row>
    <row r="5" spans="1:12" ht="13.5" customHeight="1">
      <c r="A5" s="37" t="s">
        <v>818</v>
      </c>
      <c r="B5" s="38"/>
      <c r="C5" s="38"/>
      <c r="D5" s="39"/>
      <c r="E5" s="39"/>
      <c r="F5" s="39"/>
      <c r="G5" s="39"/>
      <c r="H5" s="58"/>
      <c r="I5" s="58"/>
      <c r="J5" s="46"/>
      <c r="K5" s="58"/>
      <c r="L5" s="58"/>
    </row>
    <row r="6" spans="1:12" ht="13.5" customHeight="1">
      <c r="A6" s="42" t="s">
        <v>819</v>
      </c>
      <c r="B6" s="59">
        <v>12.022</v>
      </c>
      <c r="C6" s="59">
        <v>23.111999999999998</v>
      </c>
      <c r="D6" s="60">
        <v>25.736000000000001</v>
      </c>
      <c r="E6" s="60">
        <v>26.933</v>
      </c>
      <c r="F6" s="60">
        <v>27.626000000000001</v>
      </c>
      <c r="G6" s="60">
        <v>27.773</v>
      </c>
      <c r="H6" s="61">
        <v>100</v>
      </c>
      <c r="I6" s="61">
        <v>99.990000000000009</v>
      </c>
      <c r="J6" s="62"/>
      <c r="K6" s="63">
        <v>3.7</v>
      </c>
      <c r="L6" s="63">
        <v>0.84</v>
      </c>
    </row>
    <row r="7" spans="1:12" ht="13.5" customHeight="1">
      <c r="A7" s="48" t="s">
        <v>820</v>
      </c>
      <c r="B7" s="43">
        <v>8.0839999999999996</v>
      </c>
      <c r="C7" s="43">
        <v>18.677</v>
      </c>
      <c r="D7" s="44">
        <v>21.309000000000001</v>
      </c>
      <c r="E7" s="44">
        <v>22.584</v>
      </c>
      <c r="F7" s="44">
        <v>23.367999999999999</v>
      </c>
      <c r="G7" s="44">
        <v>23.658000000000001</v>
      </c>
      <c r="H7" s="45">
        <v>80.81</v>
      </c>
      <c r="I7" s="45">
        <v>85.18</v>
      </c>
      <c r="J7" s="64"/>
      <c r="K7" s="47">
        <v>4.76</v>
      </c>
      <c r="L7" s="47">
        <v>1.08</v>
      </c>
    </row>
    <row r="8" spans="1:12" ht="13.5" customHeight="1">
      <c r="A8" s="48" t="s">
        <v>821</v>
      </c>
      <c r="B8" s="43">
        <v>2.5110000000000001</v>
      </c>
      <c r="C8" s="43">
        <v>3.5910000000000002</v>
      </c>
      <c r="D8" s="44">
        <v>3.5659999999999998</v>
      </c>
      <c r="E8" s="44">
        <v>3.5059999999999998</v>
      </c>
      <c r="F8" s="44">
        <v>3.427</v>
      </c>
      <c r="G8" s="44">
        <v>3.3140000000000001</v>
      </c>
      <c r="H8" s="45">
        <v>15.54</v>
      </c>
      <c r="I8" s="45">
        <v>11.93</v>
      </c>
      <c r="J8" s="64"/>
      <c r="K8" s="47">
        <v>2.0099999999999998</v>
      </c>
      <c r="L8" s="47">
        <v>-0.36</v>
      </c>
    </row>
    <row r="9" spans="1:12" ht="13.5" customHeight="1">
      <c r="A9" s="48" t="s">
        <v>822</v>
      </c>
      <c r="B9" s="43">
        <v>1.427</v>
      </c>
      <c r="C9" s="43">
        <v>0.84399999999999997</v>
      </c>
      <c r="D9" s="44">
        <v>0.86099999999999999</v>
      </c>
      <c r="E9" s="44">
        <v>0.84299999999999997</v>
      </c>
      <c r="F9" s="44">
        <v>0.83</v>
      </c>
      <c r="G9" s="44">
        <v>0.80100000000000005</v>
      </c>
      <c r="H9" s="45">
        <v>3.65</v>
      </c>
      <c r="I9" s="45">
        <v>2.88</v>
      </c>
      <c r="J9" s="64"/>
      <c r="K9" s="47">
        <v>-2.88</v>
      </c>
      <c r="L9" s="47">
        <v>-0.24</v>
      </c>
    </row>
    <row r="10" spans="1:12" ht="13.5" customHeight="1">
      <c r="A10" s="42" t="s">
        <v>823</v>
      </c>
      <c r="B10" s="59"/>
      <c r="C10" s="59"/>
      <c r="D10" s="60"/>
      <c r="E10" s="60"/>
      <c r="F10" s="60"/>
      <c r="G10" s="60"/>
      <c r="H10" s="61"/>
      <c r="I10" s="61"/>
      <c r="J10" s="62"/>
      <c r="K10" s="63"/>
      <c r="L10" s="63"/>
    </row>
    <row r="11" spans="1:12" ht="13.5" customHeight="1">
      <c r="A11" s="48" t="s">
        <v>265</v>
      </c>
      <c r="B11" s="43">
        <v>7.2140000000000004</v>
      </c>
      <c r="C11" s="43">
        <v>11.016</v>
      </c>
      <c r="D11" s="44">
        <v>12.173</v>
      </c>
      <c r="E11" s="44">
        <v>12.933999999999999</v>
      </c>
      <c r="F11" s="44">
        <v>13.081</v>
      </c>
      <c r="G11" s="44">
        <v>12.734</v>
      </c>
      <c r="H11" s="45">
        <v>47.67</v>
      </c>
      <c r="I11" s="45">
        <v>45.85</v>
      </c>
      <c r="J11" s="64"/>
      <c r="K11" s="47">
        <v>2.38</v>
      </c>
      <c r="L11" s="47">
        <v>0.66</v>
      </c>
    </row>
    <row r="12" spans="1:12" ht="13.5" customHeight="1">
      <c r="A12" s="48" t="s">
        <v>270</v>
      </c>
      <c r="B12" s="43">
        <v>3.5579999999999998</v>
      </c>
      <c r="C12" s="43">
        <v>9.8409999999999993</v>
      </c>
      <c r="D12" s="44">
        <v>11.253</v>
      </c>
      <c r="E12" s="44">
        <v>10.962</v>
      </c>
      <c r="F12" s="44">
        <v>10.247</v>
      </c>
      <c r="G12" s="44">
        <v>9.4390000000000001</v>
      </c>
      <c r="H12" s="45">
        <v>42.58</v>
      </c>
      <c r="I12" s="45">
        <v>33.99</v>
      </c>
      <c r="J12" s="64"/>
      <c r="K12" s="47">
        <v>5.81</v>
      </c>
      <c r="L12" s="47">
        <v>-0.19</v>
      </c>
    </row>
    <row r="13" spans="1:12" ht="13.5" customHeight="1">
      <c r="A13" s="48" t="s">
        <v>824</v>
      </c>
      <c r="B13" s="43">
        <v>0</v>
      </c>
      <c r="C13" s="43">
        <v>5.6000000000000001E-2</v>
      </c>
      <c r="D13" s="44">
        <v>0.27600000000000002</v>
      </c>
      <c r="E13" s="44">
        <v>0.73899999999999999</v>
      </c>
      <c r="F13" s="44">
        <v>1.5960000000000001</v>
      </c>
      <c r="G13" s="44">
        <v>2.5499999999999998</v>
      </c>
      <c r="H13" s="45">
        <v>0.24</v>
      </c>
      <c r="I13" s="45">
        <v>9.18</v>
      </c>
      <c r="J13" s="64"/>
      <c r="K13" s="47">
        <v>66.11</v>
      </c>
      <c r="L13" s="47">
        <v>18.989999999999998</v>
      </c>
    </row>
    <row r="14" spans="1:12" ht="13.5" customHeight="1">
      <c r="A14" s="48" t="s">
        <v>825</v>
      </c>
      <c r="B14" s="43">
        <v>0</v>
      </c>
      <c r="C14" s="43">
        <v>0</v>
      </c>
      <c r="D14" s="44">
        <v>1.2E-2</v>
      </c>
      <c r="E14" s="44">
        <v>0.185</v>
      </c>
      <c r="F14" s="44">
        <v>0.52</v>
      </c>
      <c r="G14" s="44">
        <v>0.91800000000000004</v>
      </c>
      <c r="H14" s="45">
        <v>0</v>
      </c>
      <c r="I14" s="45">
        <v>3.31</v>
      </c>
      <c r="J14" s="64"/>
      <c r="K14" s="47" t="s">
        <v>170</v>
      </c>
      <c r="L14" s="47">
        <v>49.25</v>
      </c>
    </row>
    <row r="15" spans="1:12" ht="13.5" customHeight="1">
      <c r="A15" s="48" t="s">
        <v>826</v>
      </c>
      <c r="B15" s="43">
        <v>1.25</v>
      </c>
      <c r="C15" s="43">
        <v>2.1989999999999998</v>
      </c>
      <c r="D15" s="44">
        <v>2.0209999999999999</v>
      </c>
      <c r="E15" s="44">
        <v>2.113</v>
      </c>
      <c r="F15" s="44">
        <v>2.181</v>
      </c>
      <c r="G15" s="44">
        <v>2.1309999999999998</v>
      </c>
      <c r="H15" s="45">
        <v>9.51</v>
      </c>
      <c r="I15" s="45">
        <v>7.67</v>
      </c>
      <c r="J15" s="64"/>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827</v>
      </c>
      <c r="B17" s="65">
        <v>30.945</v>
      </c>
      <c r="C17" s="65">
        <v>42.96</v>
      </c>
      <c r="D17" s="66">
        <v>45.814</v>
      </c>
      <c r="E17" s="66">
        <v>46.411999999999999</v>
      </c>
      <c r="F17" s="66">
        <v>45.834000000000003</v>
      </c>
      <c r="G17" s="66">
        <v>44.567999999999998</v>
      </c>
      <c r="H17" s="61">
        <v>99.98</v>
      </c>
      <c r="I17" s="61">
        <v>99.990000000000009</v>
      </c>
      <c r="J17" s="62"/>
      <c r="K17" s="63">
        <v>1.84</v>
      </c>
      <c r="L17" s="63">
        <v>0.17</v>
      </c>
    </row>
    <row r="18" spans="1:12" ht="13.5" customHeight="1">
      <c r="A18" s="42" t="s">
        <v>828</v>
      </c>
      <c r="B18" s="43">
        <v>7.8840000000000003</v>
      </c>
      <c r="C18" s="43">
        <v>9.6489999999999991</v>
      </c>
      <c r="D18" s="44">
        <v>10.265000000000001</v>
      </c>
      <c r="E18" s="44">
        <v>10.637</v>
      </c>
      <c r="F18" s="44">
        <v>10.525</v>
      </c>
      <c r="G18" s="44">
        <v>10.021000000000001</v>
      </c>
      <c r="H18" s="45">
        <v>22.46</v>
      </c>
      <c r="I18" s="45">
        <v>22.48</v>
      </c>
      <c r="J18" s="64"/>
      <c r="K18" s="47">
        <v>1.1299999999999999</v>
      </c>
      <c r="L18" s="47">
        <v>0.17</v>
      </c>
    </row>
    <row r="19" spans="1:12" ht="13.5" customHeight="1">
      <c r="A19" s="42" t="s">
        <v>829</v>
      </c>
      <c r="B19" s="43">
        <v>13.282999999999999</v>
      </c>
      <c r="C19" s="43">
        <v>19.643999999999998</v>
      </c>
      <c r="D19" s="44">
        <v>20.93</v>
      </c>
      <c r="E19" s="44">
        <v>20.303000000000001</v>
      </c>
      <c r="F19" s="44">
        <v>19.315999999999999</v>
      </c>
      <c r="G19" s="44">
        <v>18.34</v>
      </c>
      <c r="H19" s="45">
        <v>45.73</v>
      </c>
      <c r="I19" s="45">
        <v>41.15</v>
      </c>
      <c r="J19" s="64"/>
      <c r="K19" s="47">
        <v>2.2000000000000002</v>
      </c>
      <c r="L19" s="47">
        <v>-0.31</v>
      </c>
    </row>
    <row r="20" spans="1:12" ht="13.5" customHeight="1">
      <c r="A20" s="42" t="s">
        <v>830</v>
      </c>
      <c r="B20" s="43">
        <v>3.97</v>
      </c>
      <c r="C20" s="43">
        <v>2.8069999999999999</v>
      </c>
      <c r="D20" s="44">
        <v>2.8730000000000002</v>
      </c>
      <c r="E20" s="44">
        <v>2.8690000000000002</v>
      </c>
      <c r="F20" s="44">
        <v>2.851</v>
      </c>
      <c r="G20" s="44">
        <v>2.802</v>
      </c>
      <c r="H20" s="45">
        <v>6.53</v>
      </c>
      <c r="I20" s="45">
        <v>6.29</v>
      </c>
      <c r="J20" s="64"/>
      <c r="K20" s="47">
        <v>-1.91</v>
      </c>
      <c r="L20" s="47">
        <v>-0.01</v>
      </c>
    </row>
    <row r="21" spans="1:12" ht="13.5" customHeight="1">
      <c r="A21" s="42" t="s">
        <v>831</v>
      </c>
      <c r="B21" s="43">
        <v>2.1669999999999998</v>
      </c>
      <c r="C21" s="43">
        <v>5.0140000000000002</v>
      </c>
      <c r="D21" s="44">
        <v>5.9390000000000001</v>
      </c>
      <c r="E21" s="44">
        <v>6.5380000000000003</v>
      </c>
      <c r="F21" s="44">
        <v>6.9610000000000003</v>
      </c>
      <c r="G21" s="44">
        <v>7.2569999999999997</v>
      </c>
      <c r="H21" s="45">
        <v>11.67</v>
      </c>
      <c r="I21" s="45">
        <v>16.28</v>
      </c>
      <c r="J21" s="64"/>
      <c r="K21" s="47">
        <v>4.7699999999999996</v>
      </c>
      <c r="L21" s="47">
        <v>1.7</v>
      </c>
    </row>
    <row r="22" spans="1:12" ht="13.5" customHeight="1">
      <c r="A22" s="42" t="s">
        <v>608</v>
      </c>
      <c r="B22" s="43">
        <v>3.4460000000000002</v>
      </c>
      <c r="C22" s="43">
        <v>3.6619999999999999</v>
      </c>
      <c r="D22" s="44">
        <v>3.34</v>
      </c>
      <c r="E22" s="44">
        <v>3.3860000000000001</v>
      </c>
      <c r="F22" s="44">
        <v>3.359</v>
      </c>
      <c r="G22" s="44">
        <v>3.2429999999999999</v>
      </c>
      <c r="H22" s="45">
        <v>8.52</v>
      </c>
      <c r="I22" s="45">
        <v>7.28</v>
      </c>
      <c r="J22" s="64"/>
      <c r="K22" s="47">
        <v>0.34</v>
      </c>
      <c r="L22" s="47">
        <v>-0.55000000000000004</v>
      </c>
    </row>
    <row r="23" spans="1:12" ht="13.5" customHeight="1">
      <c r="A23" s="42" t="s">
        <v>832</v>
      </c>
      <c r="B23" s="43">
        <v>7.0000000000000001E-3</v>
      </c>
      <c r="C23" s="43">
        <v>5.0000000000000001E-3</v>
      </c>
      <c r="D23" s="44">
        <v>6.0000000000000001E-3</v>
      </c>
      <c r="E23" s="44">
        <v>6.0000000000000001E-3</v>
      </c>
      <c r="F23" s="44">
        <v>6.0000000000000001E-3</v>
      </c>
      <c r="G23" s="44">
        <v>6.0000000000000001E-3</v>
      </c>
      <c r="H23" s="45">
        <v>0.01</v>
      </c>
      <c r="I23" s="45">
        <v>0.01</v>
      </c>
      <c r="J23" s="64"/>
      <c r="K23" s="47">
        <v>-1.67</v>
      </c>
      <c r="L23" s="47">
        <v>0.13</v>
      </c>
    </row>
    <row r="24" spans="1:12" ht="13.5" customHeight="1">
      <c r="A24" s="42" t="s">
        <v>833</v>
      </c>
      <c r="B24" s="43">
        <v>0</v>
      </c>
      <c r="C24" s="43">
        <v>1.2390000000000001</v>
      </c>
      <c r="D24" s="44">
        <v>1.452</v>
      </c>
      <c r="E24" s="44">
        <v>1.526</v>
      </c>
      <c r="F24" s="44">
        <v>1.4370000000000001</v>
      </c>
      <c r="G24" s="44">
        <v>1.3149999999999999</v>
      </c>
      <c r="H24" s="45">
        <v>2.88</v>
      </c>
      <c r="I24" s="45">
        <v>2.95</v>
      </c>
      <c r="J24" s="64"/>
      <c r="K24" s="47" t="s">
        <v>170</v>
      </c>
      <c r="L24" s="47">
        <v>0.27</v>
      </c>
    </row>
    <row r="25" spans="1:12" ht="13.5" customHeight="1">
      <c r="A25" s="42" t="s">
        <v>186</v>
      </c>
      <c r="B25" s="43">
        <v>0.17499999999999999</v>
      </c>
      <c r="C25" s="43">
        <v>0.255</v>
      </c>
      <c r="D25" s="44">
        <v>0.36399999999999999</v>
      </c>
      <c r="E25" s="44">
        <v>0.52200000000000002</v>
      </c>
      <c r="F25" s="44">
        <v>0.78400000000000003</v>
      </c>
      <c r="G25" s="44">
        <v>1.018</v>
      </c>
      <c r="H25" s="45">
        <v>0.59</v>
      </c>
      <c r="I25" s="45">
        <v>2.2799999999999998</v>
      </c>
      <c r="J25" s="64"/>
      <c r="K25" s="47">
        <v>2.11</v>
      </c>
      <c r="L25" s="47">
        <v>6.49</v>
      </c>
    </row>
    <row r="26" spans="1:12" ht="13.5" customHeight="1">
      <c r="A26" s="42" t="s">
        <v>834</v>
      </c>
      <c r="B26" s="43">
        <v>0</v>
      </c>
      <c r="C26" s="43">
        <v>0.68400000000000005</v>
      </c>
      <c r="D26" s="44">
        <v>0.64400000000000002</v>
      </c>
      <c r="E26" s="44">
        <v>0.625</v>
      </c>
      <c r="F26" s="44">
        <v>0.59499999999999997</v>
      </c>
      <c r="G26" s="44">
        <v>0.56599999999999995</v>
      </c>
      <c r="H26" s="45">
        <v>1.59</v>
      </c>
      <c r="I26" s="45">
        <v>1.27</v>
      </c>
      <c r="J26" s="64"/>
      <c r="K26" s="47" t="s">
        <v>170</v>
      </c>
      <c r="L26" s="47">
        <v>-0.86</v>
      </c>
    </row>
    <row r="27" spans="1:12" s="55" customFormat="1" ht="3" customHeight="1">
      <c r="A27" s="50"/>
      <c r="B27" s="51"/>
      <c r="C27" s="51"/>
      <c r="D27" s="52"/>
      <c r="E27" s="52"/>
      <c r="F27" s="52"/>
      <c r="G27" s="52"/>
      <c r="H27" s="52"/>
      <c r="I27" s="52"/>
      <c r="J27" s="54"/>
      <c r="K27" s="54"/>
      <c r="L27" s="54"/>
    </row>
    <row r="28" spans="1:12" ht="13.5" customHeight="1">
      <c r="A28" s="37" t="s">
        <v>835</v>
      </c>
      <c r="B28" s="43"/>
      <c r="C28" s="43"/>
      <c r="D28" s="66"/>
      <c r="E28" s="66"/>
      <c r="F28" s="66"/>
      <c r="G28" s="66"/>
      <c r="H28" s="67"/>
      <c r="I28" s="67"/>
      <c r="J28" s="68"/>
      <c r="K28" s="69"/>
      <c r="L28" s="69"/>
    </row>
    <row r="29" spans="1:12" ht="13.5" customHeight="1">
      <c r="A29" s="42" t="s">
        <v>770</v>
      </c>
      <c r="B29" s="43">
        <v>23.553999999999998</v>
      </c>
      <c r="C29" s="43">
        <v>34.396000000000001</v>
      </c>
      <c r="D29" s="44">
        <v>36.292000000000002</v>
      </c>
      <c r="E29" s="44">
        <v>36.322000000000003</v>
      </c>
      <c r="F29" s="44">
        <v>35.371000000000002</v>
      </c>
      <c r="G29" s="44">
        <v>33.89</v>
      </c>
      <c r="H29" s="45">
        <v>80.06</v>
      </c>
      <c r="I29" s="45">
        <v>76.040000000000006</v>
      </c>
      <c r="J29" s="64"/>
      <c r="K29" s="47">
        <v>2.13</v>
      </c>
      <c r="L29" s="47">
        <v>-7.0000000000000007E-2</v>
      </c>
    </row>
    <row r="30" spans="1:12" ht="13.5" customHeight="1">
      <c r="A30" s="42" t="s">
        <v>768</v>
      </c>
      <c r="B30" s="43">
        <v>0.51300000000000001</v>
      </c>
      <c r="C30" s="43">
        <v>0.35599999999999998</v>
      </c>
      <c r="D30" s="44">
        <v>0.34599999999999997</v>
      </c>
      <c r="E30" s="44">
        <v>0.34</v>
      </c>
      <c r="F30" s="44">
        <v>0.33100000000000002</v>
      </c>
      <c r="G30" s="44">
        <v>0.318</v>
      </c>
      <c r="H30" s="45">
        <v>0.83</v>
      </c>
      <c r="I30" s="45">
        <v>0.71</v>
      </c>
      <c r="J30" s="64"/>
      <c r="K30" s="47">
        <v>-2.0099999999999998</v>
      </c>
      <c r="L30" s="47">
        <v>-0.5</v>
      </c>
    </row>
    <row r="31" spans="1:12" ht="13.5" customHeight="1">
      <c r="A31" s="42" t="s">
        <v>836</v>
      </c>
      <c r="B31" s="43">
        <v>2.1739999999999999</v>
      </c>
      <c r="C31" s="43">
        <v>5.0149999999999997</v>
      </c>
      <c r="D31" s="44">
        <v>5.9409999999999998</v>
      </c>
      <c r="E31" s="44">
        <v>6.54</v>
      </c>
      <c r="F31" s="44">
        <v>6.9630000000000001</v>
      </c>
      <c r="G31" s="44">
        <v>7.26</v>
      </c>
      <c r="H31" s="45">
        <v>11.67</v>
      </c>
      <c r="I31" s="45">
        <v>16.29</v>
      </c>
      <c r="J31" s="64"/>
      <c r="K31" s="47">
        <v>4.75</v>
      </c>
      <c r="L31" s="47">
        <v>1.7</v>
      </c>
    </row>
    <row r="32" spans="1:12" ht="13.5" customHeight="1" thickBot="1">
      <c r="A32" s="42" t="s">
        <v>837</v>
      </c>
      <c r="B32" s="43">
        <v>4.7050000000000001</v>
      </c>
      <c r="C32" s="43">
        <v>3.194</v>
      </c>
      <c r="D32" s="44">
        <v>3.2360000000000002</v>
      </c>
      <c r="E32" s="44">
        <v>3.2109999999999999</v>
      </c>
      <c r="F32" s="44">
        <v>3.17</v>
      </c>
      <c r="G32" s="44">
        <v>3.1</v>
      </c>
      <c r="H32" s="45">
        <v>7.43</v>
      </c>
      <c r="I32" s="45">
        <v>6.96</v>
      </c>
      <c r="J32" s="64"/>
      <c r="K32" s="47">
        <v>-2.13</v>
      </c>
      <c r="L32" s="47">
        <v>-0.14000000000000001</v>
      </c>
    </row>
    <row r="33" spans="1:12" ht="22.5" customHeight="1">
      <c r="A33" s="496" t="s">
        <v>838</v>
      </c>
      <c r="B33" s="497"/>
      <c r="C33" s="497"/>
      <c r="D33" s="497"/>
      <c r="E33" s="497"/>
      <c r="F33" s="497"/>
      <c r="G33" s="497"/>
      <c r="H33" s="497"/>
      <c r="I33" s="497"/>
      <c r="J33" s="497"/>
      <c r="K33" s="497"/>
      <c r="L33" s="497"/>
    </row>
    <row r="34" spans="1:12">
      <c r="H34" s="56"/>
      <c r="I34" s="56"/>
      <c r="J34" s="57"/>
      <c r="K34" s="56"/>
      <c r="L34" s="56"/>
    </row>
    <row r="35" spans="1:12">
      <c r="H35" s="56"/>
      <c r="I35" s="56"/>
      <c r="J35" s="57"/>
      <c r="K35" s="56"/>
      <c r="L35" s="56"/>
    </row>
    <row r="36" spans="1:12">
      <c r="H36" s="56"/>
      <c r="I36" s="56"/>
      <c r="J36" s="57"/>
      <c r="K36" s="56"/>
      <c r="L36" s="56"/>
    </row>
    <row r="37" spans="1:12">
      <c r="H37" s="56"/>
      <c r="I37" s="56"/>
      <c r="J37" s="57"/>
      <c r="K37" s="56"/>
      <c r="L37" s="56"/>
    </row>
    <row r="38" spans="1:12">
      <c r="H38" s="56"/>
      <c r="I38" s="56"/>
      <c r="J38" s="57"/>
      <c r="K38" s="56"/>
      <c r="L38" s="56"/>
    </row>
    <row r="39" spans="1:12">
      <c r="H39" s="56"/>
      <c r="I39" s="56"/>
      <c r="J39" s="57"/>
      <c r="K39" s="56"/>
      <c r="L39" s="56"/>
    </row>
    <row r="40" spans="1:12">
      <c r="H40" s="56"/>
      <c r="I40" s="56"/>
      <c r="J40" s="57"/>
      <c r="K40" s="56"/>
      <c r="L40" s="56"/>
    </row>
    <row r="41" spans="1:12">
      <c r="H41" s="56"/>
      <c r="I41" s="56"/>
      <c r="J41" s="57"/>
      <c r="K41" s="56"/>
      <c r="L41" s="56"/>
    </row>
    <row r="42" spans="1:12">
      <c r="H42" s="56"/>
      <c r="I42" s="56"/>
      <c r="J42" s="57"/>
      <c r="K42" s="56"/>
      <c r="L42" s="56"/>
    </row>
    <row r="43" spans="1:12">
      <c r="H43" s="56"/>
      <c r="I43" s="56"/>
      <c r="J43" s="57"/>
      <c r="K43" s="56"/>
      <c r="L43" s="56"/>
    </row>
    <row r="44" spans="1:12">
      <c r="H44" s="56"/>
      <c r="I44" s="56"/>
      <c r="J44" s="57"/>
      <c r="K44" s="56"/>
      <c r="L44" s="56"/>
    </row>
    <row r="45" spans="1:12">
      <c r="H45" s="56"/>
      <c r="I45" s="56"/>
      <c r="J45" s="57"/>
      <c r="K45" s="56"/>
      <c r="L45" s="56"/>
    </row>
    <row r="46" spans="1:12">
      <c r="H46" s="56"/>
      <c r="I46" s="56"/>
      <c r="J46" s="57"/>
      <c r="K46" s="56"/>
      <c r="L46" s="56"/>
    </row>
    <row r="47" spans="1:12">
      <c r="H47" s="56"/>
      <c r="I47" s="56"/>
      <c r="J47" s="57"/>
      <c r="K47" s="56"/>
      <c r="L47" s="56"/>
    </row>
    <row r="48" spans="1:12">
      <c r="H48" s="56"/>
      <c r="I48" s="56"/>
      <c r="J48" s="57"/>
      <c r="K48" s="56"/>
      <c r="L48" s="56"/>
    </row>
    <row r="49" spans="8:12">
      <c r="H49" s="56"/>
      <c r="I49" s="56"/>
      <c r="J49" s="57"/>
      <c r="K49" s="56"/>
      <c r="L49" s="56"/>
    </row>
    <row r="50" spans="8:12">
      <c r="H50" s="56"/>
      <c r="I50" s="56"/>
      <c r="J50" s="57"/>
      <c r="K50" s="56"/>
      <c r="L50" s="56"/>
    </row>
    <row r="51" spans="8:12">
      <c r="H51" s="56"/>
      <c r="I51" s="56"/>
      <c r="J51" s="57"/>
      <c r="K51" s="56"/>
      <c r="L51" s="56"/>
    </row>
    <row r="52" spans="8:12">
      <c r="H52" s="56"/>
      <c r="I52" s="56"/>
      <c r="J52" s="57"/>
      <c r="K52" s="56"/>
      <c r="L52" s="56"/>
    </row>
    <row r="53" spans="8:12">
      <c r="H53" s="56"/>
      <c r="I53" s="56"/>
      <c r="J53" s="57"/>
      <c r="K53" s="56"/>
      <c r="L53" s="56"/>
    </row>
    <row r="54" spans="8:12">
      <c r="H54" s="56"/>
      <c r="I54" s="56"/>
      <c r="J54" s="57"/>
      <c r="K54" s="56"/>
      <c r="L54" s="56"/>
    </row>
    <row r="55" spans="8:12">
      <c r="H55" s="56"/>
      <c r="I55" s="56"/>
      <c r="J55" s="57"/>
      <c r="K55" s="56"/>
      <c r="L55" s="56"/>
    </row>
    <row r="56" spans="8:12">
      <c r="H56" s="56"/>
      <c r="I56" s="56"/>
      <c r="J56" s="57"/>
      <c r="K56" s="56"/>
      <c r="L56" s="56"/>
    </row>
    <row r="57" spans="8:12">
      <c r="H57" s="56"/>
      <c r="I57" s="56"/>
      <c r="J57" s="57"/>
      <c r="K57" s="56"/>
      <c r="L57" s="56"/>
    </row>
    <row r="58" spans="8:12">
      <c r="H58" s="56"/>
      <c r="I58" s="56"/>
      <c r="J58" s="57"/>
      <c r="K58" s="56"/>
      <c r="L58" s="56"/>
    </row>
    <row r="59" spans="8:12">
      <c r="H59" s="56"/>
      <c r="I59" s="56"/>
      <c r="J59" s="57"/>
      <c r="K59" s="56"/>
      <c r="L59" s="56"/>
    </row>
    <row r="60" spans="8:12">
      <c r="H60" s="56"/>
      <c r="I60" s="56"/>
      <c r="J60" s="57"/>
      <c r="K60" s="56"/>
      <c r="L60" s="56"/>
    </row>
    <row r="61" spans="8:12">
      <c r="H61" s="56"/>
      <c r="I61" s="56"/>
      <c r="J61" s="57"/>
      <c r="K61" s="56"/>
      <c r="L61" s="56"/>
    </row>
    <row r="62" spans="8:12">
      <c r="H62" s="56"/>
      <c r="I62" s="56"/>
      <c r="J62" s="57"/>
      <c r="K62" s="56"/>
      <c r="L62" s="56"/>
    </row>
    <row r="63" spans="8:12">
      <c r="H63" s="56"/>
      <c r="I63" s="56"/>
      <c r="J63" s="57"/>
      <c r="K63" s="56"/>
      <c r="L63" s="56"/>
    </row>
    <row r="64" spans="8:12">
      <c r="H64" s="56"/>
      <c r="I64" s="56"/>
      <c r="J64" s="57"/>
      <c r="K64" s="56"/>
      <c r="L64" s="56"/>
    </row>
    <row r="65" spans="8:12">
      <c r="H65" s="56"/>
      <c r="I65" s="56"/>
      <c r="J65" s="57"/>
      <c r="K65" s="56"/>
      <c r="L65" s="56"/>
    </row>
    <row r="66" spans="8:12">
      <c r="H66" s="56"/>
      <c r="I66" s="56"/>
      <c r="J66" s="57"/>
      <c r="K66" s="56"/>
      <c r="L66" s="56"/>
    </row>
    <row r="67" spans="8:12">
      <c r="H67" s="56"/>
      <c r="I67" s="56"/>
      <c r="J67" s="57"/>
      <c r="K67" s="56"/>
      <c r="L67" s="56"/>
    </row>
    <row r="68" spans="8:12">
      <c r="H68" s="56"/>
      <c r="I68" s="56"/>
      <c r="J68" s="57"/>
      <c r="K68" s="56"/>
      <c r="L68" s="56"/>
    </row>
    <row r="69" spans="8:12">
      <c r="H69" s="56"/>
      <c r="I69" s="56"/>
      <c r="J69" s="57"/>
      <c r="K69" s="56"/>
      <c r="L69" s="56"/>
    </row>
    <row r="70" spans="8:12">
      <c r="H70" s="56"/>
      <c r="I70" s="56"/>
      <c r="J70" s="57"/>
      <c r="K70" s="56"/>
      <c r="L70" s="56"/>
    </row>
    <row r="71" spans="8:12">
      <c r="H71" s="56"/>
      <c r="I71" s="56"/>
      <c r="J71" s="57"/>
      <c r="K71" s="56"/>
      <c r="L71" s="56"/>
    </row>
    <row r="72" spans="8:12">
      <c r="H72" s="56"/>
      <c r="I72" s="56"/>
      <c r="J72" s="57"/>
      <c r="K72" s="56"/>
      <c r="L72" s="56"/>
    </row>
    <row r="73" spans="8:12">
      <c r="H73" s="56"/>
      <c r="I73" s="56"/>
      <c r="J73" s="57"/>
      <c r="K73" s="56"/>
      <c r="L73" s="56"/>
    </row>
    <row r="74" spans="8:12">
      <c r="H74" s="56"/>
      <c r="I74" s="56"/>
      <c r="J74" s="57"/>
      <c r="K74" s="56"/>
      <c r="L74" s="56"/>
    </row>
    <row r="75" spans="8:12">
      <c r="H75" s="56"/>
      <c r="I75" s="56"/>
      <c r="J75" s="57"/>
      <c r="K75" s="56"/>
      <c r="L75" s="56"/>
    </row>
    <row r="76" spans="8:12">
      <c r="H76" s="56"/>
      <c r="I76" s="56"/>
      <c r="J76" s="57"/>
      <c r="K76" s="56"/>
      <c r="L76" s="56"/>
    </row>
    <row r="77" spans="8:12">
      <c r="H77" s="56"/>
      <c r="I77" s="56"/>
      <c r="J77" s="57"/>
      <c r="K77" s="56"/>
      <c r="L77" s="56"/>
    </row>
    <row r="78" spans="8:12">
      <c r="H78" s="56"/>
      <c r="I78" s="56"/>
      <c r="J78" s="57"/>
      <c r="K78" s="56"/>
      <c r="L78" s="56"/>
    </row>
    <row r="79" spans="8:12">
      <c r="H79" s="56"/>
      <c r="I79" s="56"/>
      <c r="J79" s="57"/>
      <c r="K79" s="56"/>
      <c r="L79" s="56"/>
    </row>
    <row r="80" spans="8:12">
      <c r="H80" s="56"/>
      <c r="I80" s="56"/>
      <c r="J80" s="57"/>
      <c r="K80" s="56"/>
      <c r="L80" s="56"/>
    </row>
    <row r="81" spans="8:12">
      <c r="H81" s="56"/>
      <c r="I81" s="56"/>
      <c r="J81" s="57"/>
      <c r="K81" s="56"/>
      <c r="L81" s="56"/>
    </row>
    <row r="82" spans="8:12">
      <c r="H82" s="56"/>
      <c r="I82" s="56"/>
      <c r="J82" s="57"/>
      <c r="K82" s="56"/>
      <c r="L82" s="56"/>
    </row>
    <row r="83" spans="8:12">
      <c r="H83" s="56"/>
      <c r="I83" s="56"/>
      <c r="J83" s="57"/>
      <c r="K83" s="56"/>
      <c r="L83" s="56"/>
    </row>
    <row r="84" spans="8:12">
      <c r="H84" s="56"/>
      <c r="I84" s="56"/>
      <c r="J84" s="57"/>
      <c r="K84" s="56"/>
      <c r="L84" s="56"/>
    </row>
    <row r="85" spans="8:12">
      <c r="H85" s="56"/>
      <c r="I85" s="56"/>
      <c r="J85" s="57"/>
      <c r="K85" s="56"/>
      <c r="L85" s="56"/>
    </row>
    <row r="86" spans="8:12">
      <c r="H86" s="56"/>
      <c r="I86" s="56"/>
      <c r="J86" s="57"/>
      <c r="K86" s="56"/>
      <c r="L86" s="56"/>
    </row>
    <row r="87" spans="8:12">
      <c r="H87" s="56"/>
      <c r="I87" s="56"/>
      <c r="J87" s="57"/>
      <c r="K87" s="56"/>
      <c r="L87" s="56"/>
    </row>
    <row r="88" spans="8:12">
      <c r="H88" s="56"/>
      <c r="I88" s="56"/>
      <c r="J88" s="57"/>
      <c r="K88" s="56"/>
      <c r="L88" s="56"/>
    </row>
    <row r="89" spans="8:12">
      <c r="H89" s="56"/>
      <c r="I89" s="56"/>
      <c r="J89" s="57"/>
      <c r="K89" s="56"/>
      <c r="L89" s="56"/>
    </row>
    <row r="90" spans="8:12">
      <c r="H90" s="56"/>
      <c r="I90" s="56"/>
      <c r="J90" s="57"/>
      <c r="K90" s="56"/>
      <c r="L90" s="56"/>
    </row>
    <row r="91" spans="8:12">
      <c r="H91" s="56"/>
      <c r="I91" s="56"/>
      <c r="J91" s="57"/>
      <c r="K91" s="56"/>
      <c r="L91" s="56"/>
    </row>
    <row r="92" spans="8:12">
      <c r="H92" s="56"/>
      <c r="I92" s="56"/>
      <c r="J92" s="57"/>
      <c r="K92" s="56"/>
      <c r="L92" s="56"/>
    </row>
    <row r="93" spans="8:12">
      <c r="H93" s="56"/>
      <c r="I93" s="56"/>
      <c r="J93" s="57"/>
      <c r="K93" s="56"/>
      <c r="L93" s="56"/>
    </row>
    <row r="94" spans="8:12">
      <c r="H94" s="56"/>
      <c r="I94" s="56"/>
      <c r="J94" s="57"/>
      <c r="K94" s="56"/>
      <c r="L94" s="56"/>
    </row>
    <row r="95" spans="8:12">
      <c r="H95" s="56"/>
      <c r="I95" s="56"/>
      <c r="J95" s="57"/>
      <c r="K95" s="56"/>
      <c r="L95" s="56"/>
    </row>
    <row r="96" spans="8:12">
      <c r="H96" s="56"/>
      <c r="I96" s="56"/>
      <c r="J96" s="57"/>
      <c r="K96" s="56"/>
      <c r="L96" s="56"/>
    </row>
    <row r="97" spans="8:12">
      <c r="H97" s="56"/>
      <c r="I97" s="56"/>
      <c r="J97" s="57"/>
      <c r="K97" s="56"/>
      <c r="L97" s="56"/>
    </row>
    <row r="98" spans="8:12">
      <c r="H98" s="56"/>
      <c r="I98" s="56"/>
      <c r="J98" s="57"/>
      <c r="K98" s="56"/>
      <c r="L98" s="56"/>
    </row>
    <row r="99" spans="8:12">
      <c r="H99" s="56"/>
      <c r="I99" s="56"/>
      <c r="J99" s="57"/>
      <c r="K99" s="56"/>
      <c r="L99" s="56"/>
    </row>
    <row r="100" spans="8:12">
      <c r="H100" s="56"/>
      <c r="I100" s="56"/>
      <c r="J100" s="57"/>
      <c r="K100" s="56"/>
      <c r="L100" s="56"/>
    </row>
    <row r="101" spans="8:12">
      <c r="H101" s="56"/>
      <c r="I101" s="56"/>
      <c r="J101" s="57"/>
      <c r="K101" s="56"/>
      <c r="L101" s="56"/>
    </row>
  </sheetData>
  <mergeCells count="5">
    <mergeCell ref="A1:L1"/>
    <mergeCell ref="A2:L2"/>
    <mergeCell ref="H3:I3"/>
    <mergeCell ref="K3:L3"/>
    <mergeCell ref="A33:L33"/>
  </mergeCells>
  <phoneticPr fontId="35"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25" defaultRowHeight="16.5"/>
  <cols>
    <col min="1" max="1" width="20.5" style="30" customWidth="1"/>
    <col min="2" max="3" width="6.125" style="30" customWidth="1"/>
    <col min="4" max="4" width="6.125" style="30" customWidth="1" collapsed="1"/>
    <col min="5" max="7" width="6.125" style="30" customWidth="1"/>
    <col min="8" max="9" width="5.5" style="30" customWidth="1"/>
    <col min="10" max="10" width="0.5" style="55" customWidth="1"/>
    <col min="11" max="12" width="5.5" style="30" customWidth="1"/>
    <col min="13" max="16384" width="9.125" style="30"/>
  </cols>
  <sheetData>
    <row r="1" spans="1:12" ht="30" customHeight="1">
      <c r="A1" s="501" t="s">
        <v>839</v>
      </c>
      <c r="B1" s="502"/>
      <c r="C1" s="502"/>
      <c r="D1" s="502"/>
      <c r="E1" s="502"/>
      <c r="F1" s="502"/>
      <c r="G1" s="502"/>
      <c r="H1" s="502"/>
      <c r="I1" s="502"/>
      <c r="J1" s="502"/>
      <c r="K1" s="502"/>
      <c r="L1" s="502"/>
    </row>
    <row r="2" spans="1:12">
      <c r="A2" s="503" t="s">
        <v>159</v>
      </c>
      <c r="B2" s="503"/>
      <c r="C2" s="503"/>
      <c r="D2" s="503"/>
      <c r="E2" s="503"/>
      <c r="F2" s="503"/>
      <c r="G2" s="503"/>
      <c r="H2" s="503"/>
      <c r="I2" s="503"/>
      <c r="J2" s="503"/>
      <c r="K2" s="503"/>
      <c r="L2" s="503"/>
    </row>
    <row r="3" spans="1:12" ht="15" customHeight="1">
      <c r="A3" s="31"/>
      <c r="B3" s="32"/>
      <c r="C3" s="32"/>
      <c r="D3" s="32"/>
      <c r="E3" s="32"/>
      <c r="F3" s="32"/>
      <c r="G3" s="32"/>
      <c r="H3" s="495" t="s">
        <v>160</v>
      </c>
      <c r="I3" s="495"/>
      <c r="J3" s="33"/>
      <c r="K3" s="495" t="s">
        <v>161</v>
      </c>
      <c r="L3" s="495"/>
    </row>
    <row r="4" spans="1:12" ht="15" customHeight="1">
      <c r="A4" s="31"/>
      <c r="B4" s="34">
        <v>2000</v>
      </c>
      <c r="C4" s="34">
        <v>2018</v>
      </c>
      <c r="D4" s="34">
        <v>2025</v>
      </c>
      <c r="E4" s="34">
        <v>2030</v>
      </c>
      <c r="F4" s="34">
        <v>2035</v>
      </c>
      <c r="G4" s="34">
        <v>2040</v>
      </c>
      <c r="H4" s="35">
        <v>2018</v>
      </c>
      <c r="I4" s="35">
        <v>2040</v>
      </c>
      <c r="J4" s="36"/>
      <c r="K4" s="35" t="s">
        <v>162</v>
      </c>
      <c r="L4" s="35" t="s">
        <v>163</v>
      </c>
    </row>
    <row r="5" spans="1:12" ht="13.5" customHeight="1">
      <c r="A5" s="37" t="s">
        <v>818</v>
      </c>
      <c r="B5" s="38"/>
      <c r="C5" s="38"/>
      <c r="D5" s="39"/>
      <c r="E5" s="39"/>
      <c r="F5" s="39"/>
      <c r="G5" s="39"/>
      <c r="H5" s="45"/>
      <c r="I5" s="45"/>
      <c r="J5" s="46"/>
      <c r="K5" s="47"/>
      <c r="L5" s="47"/>
    </row>
    <row r="6" spans="1:12" ht="13.5" customHeight="1">
      <c r="A6" s="42" t="s">
        <v>840</v>
      </c>
      <c r="B6" s="70">
        <v>47.008000000000003</v>
      </c>
      <c r="C6" s="70">
        <v>51.606999999999999</v>
      </c>
      <c r="D6" s="71">
        <v>51.905000000000001</v>
      </c>
      <c r="E6" s="71">
        <v>51.927</v>
      </c>
      <c r="F6" s="71">
        <v>51.63</v>
      </c>
      <c r="G6" s="71">
        <v>50.854999999999997</v>
      </c>
      <c r="H6" s="39" t="s">
        <v>170</v>
      </c>
      <c r="I6" s="39" t="s">
        <v>170</v>
      </c>
      <c r="J6" s="72"/>
      <c r="K6" s="73">
        <v>0.52</v>
      </c>
      <c r="L6" s="73">
        <v>-7.0000000000000007E-2</v>
      </c>
    </row>
    <row r="7" spans="1:12" ht="13.5" customHeight="1">
      <c r="A7" s="42" t="s">
        <v>841</v>
      </c>
      <c r="B7" s="70">
        <v>14.507</v>
      </c>
      <c r="C7" s="70">
        <v>19.751999999999999</v>
      </c>
      <c r="D7" s="71">
        <v>21.013999999999999</v>
      </c>
      <c r="E7" s="71">
        <v>21.640999999999998</v>
      </c>
      <c r="F7" s="71">
        <v>22.067</v>
      </c>
      <c r="G7" s="71">
        <v>22.306000000000001</v>
      </c>
      <c r="H7" s="39" t="s">
        <v>170</v>
      </c>
      <c r="I7" s="39" t="s">
        <v>170</v>
      </c>
      <c r="J7" s="72"/>
      <c r="K7" s="73">
        <v>1.73</v>
      </c>
      <c r="L7" s="73">
        <v>0.55000000000000004</v>
      </c>
    </row>
    <row r="8" spans="1:12" ht="13.5" customHeight="1">
      <c r="A8" s="42" t="s">
        <v>842</v>
      </c>
      <c r="B8" s="70">
        <v>10.959</v>
      </c>
      <c r="C8" s="70">
        <v>16.198</v>
      </c>
      <c r="D8" s="71">
        <v>17.721</v>
      </c>
      <c r="E8" s="71">
        <v>18.483000000000001</v>
      </c>
      <c r="F8" s="71">
        <v>19.041</v>
      </c>
      <c r="G8" s="71">
        <v>19.407</v>
      </c>
      <c r="H8" s="39">
        <v>99.990000000000009</v>
      </c>
      <c r="I8" s="39">
        <v>99.990000000000009</v>
      </c>
      <c r="J8" s="72"/>
      <c r="K8" s="73">
        <v>2.19</v>
      </c>
      <c r="L8" s="73">
        <v>0.82</v>
      </c>
    </row>
    <row r="9" spans="1:12" ht="13.5" customHeight="1">
      <c r="A9" s="48" t="s">
        <v>843</v>
      </c>
      <c r="B9" s="74">
        <v>4.069</v>
      </c>
      <c r="C9" s="74">
        <v>3.6080000000000001</v>
      </c>
      <c r="D9" s="75">
        <v>3.633</v>
      </c>
      <c r="E9" s="75">
        <v>3.6379999999999999</v>
      </c>
      <c r="F9" s="75">
        <v>3.5859999999999999</v>
      </c>
      <c r="G9" s="75">
        <v>3.4470000000000001</v>
      </c>
      <c r="H9" s="45">
        <v>22.27</v>
      </c>
      <c r="I9" s="45">
        <v>17.760000000000002</v>
      </c>
      <c r="J9" s="46"/>
      <c r="K9" s="47">
        <v>-0.67</v>
      </c>
      <c r="L9" s="47">
        <v>-0.21</v>
      </c>
    </row>
    <row r="10" spans="1:12" ht="13.5" customHeight="1">
      <c r="A10" s="48" t="s">
        <v>844</v>
      </c>
      <c r="B10" s="74">
        <v>5.2309999999999999</v>
      </c>
      <c r="C10" s="74">
        <v>10.048999999999999</v>
      </c>
      <c r="D10" s="75">
        <v>11.414999999999999</v>
      </c>
      <c r="E10" s="75">
        <v>12.19</v>
      </c>
      <c r="F10" s="75">
        <v>12.816000000000001</v>
      </c>
      <c r="G10" s="75">
        <v>13.166</v>
      </c>
      <c r="H10" s="45">
        <v>62.04</v>
      </c>
      <c r="I10" s="45">
        <v>67.84</v>
      </c>
      <c r="J10" s="46"/>
      <c r="K10" s="47">
        <v>3.69</v>
      </c>
      <c r="L10" s="47">
        <v>1.24</v>
      </c>
    </row>
    <row r="11" spans="1:12" ht="13.5" customHeight="1">
      <c r="A11" s="48" t="s">
        <v>845</v>
      </c>
      <c r="B11" s="74">
        <v>1.659</v>
      </c>
      <c r="C11" s="74">
        <v>2.54</v>
      </c>
      <c r="D11" s="75">
        <v>2.673</v>
      </c>
      <c r="E11" s="75">
        <v>2.6549999999999998</v>
      </c>
      <c r="F11" s="75">
        <v>2.6389999999999998</v>
      </c>
      <c r="G11" s="75">
        <v>2.7930000000000001</v>
      </c>
      <c r="H11" s="45">
        <v>15.68</v>
      </c>
      <c r="I11" s="45">
        <v>14.39</v>
      </c>
      <c r="J11" s="46"/>
      <c r="K11" s="47">
        <v>2.39</v>
      </c>
      <c r="L11" s="47">
        <v>0.43</v>
      </c>
    </row>
    <row r="12" spans="1:12" ht="13.5" customHeight="1">
      <c r="A12" s="42" t="s">
        <v>846</v>
      </c>
      <c r="B12" s="74">
        <v>85.533000000000001</v>
      </c>
      <c r="C12" s="74">
        <v>76.766999999999996</v>
      </c>
      <c r="D12" s="75">
        <v>75.245999999999995</v>
      </c>
      <c r="E12" s="75">
        <v>74.905000000000001</v>
      </c>
      <c r="F12" s="75">
        <v>74.394000000000005</v>
      </c>
      <c r="G12" s="75">
        <v>73.525000000000006</v>
      </c>
      <c r="H12" s="45" t="s">
        <v>170</v>
      </c>
      <c r="I12" s="45" t="s">
        <v>170</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847</v>
      </c>
      <c r="B14" s="65"/>
      <c r="C14" s="65"/>
      <c r="D14" s="66"/>
      <c r="E14" s="66"/>
      <c r="F14" s="66"/>
      <c r="G14" s="66"/>
      <c r="H14" s="45"/>
      <c r="I14" s="45"/>
      <c r="J14" s="46"/>
      <c r="K14" s="47"/>
      <c r="L14" s="47"/>
    </row>
    <row r="15" spans="1:12" ht="13.5" customHeight="1">
      <c r="A15" s="42" t="s">
        <v>848</v>
      </c>
      <c r="B15" s="76">
        <v>1.931</v>
      </c>
      <c r="C15" s="76">
        <v>1.4319999999999999</v>
      </c>
      <c r="D15" s="58">
        <v>1.24</v>
      </c>
      <c r="E15" s="58">
        <v>1.1839999999999999</v>
      </c>
      <c r="F15" s="58">
        <v>1.1459999999999999</v>
      </c>
      <c r="G15" s="58">
        <v>1.117</v>
      </c>
      <c r="H15" s="45" t="s">
        <v>170</v>
      </c>
      <c r="I15" s="45" t="s">
        <v>170</v>
      </c>
      <c r="J15" s="46"/>
      <c r="K15" s="47">
        <v>-1.648258306376682</v>
      </c>
      <c r="L15" s="47">
        <v>-1.1200000000000001</v>
      </c>
    </row>
    <row r="16" spans="1:12" ht="13.5" customHeight="1">
      <c r="A16" s="42" t="s">
        <v>849</v>
      </c>
      <c r="B16" s="76">
        <v>2.3E-2</v>
      </c>
      <c r="C16" s="76">
        <v>1.9E-2</v>
      </c>
      <c r="D16" s="58">
        <v>1.6E-2</v>
      </c>
      <c r="E16" s="58">
        <v>1.6E-2</v>
      </c>
      <c r="F16" s="58">
        <v>1.4999999999999999E-2</v>
      </c>
      <c r="G16" s="58">
        <v>1.4999999999999999E-2</v>
      </c>
      <c r="H16" s="45" t="s">
        <v>170</v>
      </c>
      <c r="I16" s="45" t="s">
        <v>170</v>
      </c>
      <c r="J16" s="46"/>
      <c r="K16" s="47">
        <v>-1.0556516173888864</v>
      </c>
      <c r="L16" s="47">
        <v>-0.93</v>
      </c>
    </row>
    <row r="17" spans="1:12" ht="13.5" customHeight="1">
      <c r="A17" s="42" t="s">
        <v>850</v>
      </c>
      <c r="B17" s="76">
        <v>1.4590000000000001</v>
      </c>
      <c r="C17" s="76">
        <v>1.1739999999999999</v>
      </c>
      <c r="D17" s="58">
        <v>1.046</v>
      </c>
      <c r="E17" s="58">
        <v>1.0109999999999999</v>
      </c>
      <c r="F17" s="58">
        <v>0.98899999999999999</v>
      </c>
      <c r="G17" s="58">
        <v>0.97199999999999998</v>
      </c>
      <c r="H17" s="45" t="s">
        <v>170</v>
      </c>
      <c r="I17" s="45" t="s">
        <v>170</v>
      </c>
      <c r="J17" s="46"/>
      <c r="K17" s="47">
        <v>-1.198853439235481</v>
      </c>
      <c r="L17" s="47">
        <v>-0.85</v>
      </c>
    </row>
    <row r="18" spans="1:12" ht="13.5" customHeight="1">
      <c r="A18" s="42" t="s">
        <v>851</v>
      </c>
      <c r="B18" s="76">
        <v>0.78900000000000003</v>
      </c>
      <c r="C18" s="76">
        <v>1.37</v>
      </c>
      <c r="D18" s="58">
        <v>1.4690000000000001</v>
      </c>
      <c r="E18" s="58">
        <v>1.526</v>
      </c>
      <c r="F18" s="58">
        <v>1.575</v>
      </c>
      <c r="G18" s="58">
        <v>1.6220000000000001</v>
      </c>
      <c r="H18" s="45" t="s">
        <v>170</v>
      </c>
      <c r="I18" s="45" t="s">
        <v>170</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827</v>
      </c>
      <c r="B20" s="65">
        <v>21.16</v>
      </c>
      <c r="C20" s="65">
        <v>23.187999999999999</v>
      </c>
      <c r="D20" s="66">
        <v>21.98</v>
      </c>
      <c r="E20" s="66">
        <v>21.879000000000001</v>
      </c>
      <c r="F20" s="66">
        <v>21.817</v>
      </c>
      <c r="G20" s="66">
        <v>21.684000000000001</v>
      </c>
      <c r="H20" s="39">
        <v>100.01</v>
      </c>
      <c r="I20" s="39">
        <v>100</v>
      </c>
      <c r="J20" s="72"/>
      <c r="K20" s="73">
        <v>0.50971366550720543</v>
      </c>
      <c r="L20" s="73">
        <v>-0.3</v>
      </c>
    </row>
    <row r="21" spans="1:12" ht="13.5" customHeight="1">
      <c r="A21" s="42" t="s">
        <v>165</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166</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167</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168</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208</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171</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852</v>
      </c>
      <c r="B28" s="65"/>
      <c r="C28" s="65"/>
      <c r="D28" s="66"/>
      <c r="E28" s="66"/>
      <c r="F28" s="66"/>
      <c r="G28" s="66"/>
      <c r="H28" s="67"/>
      <c r="I28" s="67"/>
      <c r="J28" s="77"/>
      <c r="K28" s="69"/>
      <c r="L28" s="69"/>
    </row>
    <row r="29" spans="1:12" ht="13.5" customHeight="1">
      <c r="A29" s="42" t="s">
        <v>853</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854</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855</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856</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857</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496" t="s">
        <v>858</v>
      </c>
      <c r="B34" s="497"/>
      <c r="C34" s="497"/>
      <c r="D34" s="497"/>
      <c r="E34" s="497"/>
      <c r="F34" s="497"/>
      <c r="G34" s="497"/>
      <c r="H34" s="497"/>
      <c r="I34" s="497"/>
      <c r="J34" s="497"/>
      <c r="K34" s="497"/>
      <c r="L34" s="497"/>
    </row>
    <row r="35" spans="1:12">
      <c r="H35" s="56"/>
      <c r="I35" s="56"/>
      <c r="J35" s="57"/>
      <c r="K35" s="56"/>
      <c r="L35" s="56"/>
    </row>
    <row r="36" spans="1:12">
      <c r="H36" s="56"/>
      <c r="I36" s="56"/>
      <c r="J36" s="57"/>
      <c r="K36" s="56"/>
      <c r="L36" s="56"/>
    </row>
    <row r="37" spans="1:12">
      <c r="H37" s="56"/>
      <c r="I37" s="56"/>
      <c r="J37" s="57"/>
      <c r="K37" s="56"/>
      <c r="L37" s="56"/>
    </row>
    <row r="38" spans="1:12">
      <c r="H38" s="56"/>
      <c r="I38" s="56"/>
      <c r="J38" s="57"/>
      <c r="K38" s="56"/>
      <c r="L38" s="56"/>
    </row>
    <row r="39" spans="1:12">
      <c r="H39" s="56"/>
      <c r="I39" s="56"/>
      <c r="J39" s="57"/>
      <c r="K39" s="56"/>
      <c r="L39" s="56"/>
    </row>
    <row r="40" spans="1:12">
      <c r="H40" s="56"/>
      <c r="I40" s="56"/>
      <c r="J40" s="57"/>
      <c r="K40" s="56"/>
      <c r="L40" s="56"/>
    </row>
    <row r="41" spans="1:12">
      <c r="H41" s="56"/>
      <c r="I41" s="56"/>
      <c r="J41" s="57"/>
      <c r="K41" s="56"/>
      <c r="L41" s="56"/>
    </row>
    <row r="42" spans="1:12">
      <c r="H42" s="56"/>
      <c r="I42" s="56"/>
      <c r="J42" s="57"/>
      <c r="K42" s="56"/>
      <c r="L42" s="56"/>
    </row>
    <row r="43" spans="1:12">
      <c r="H43" s="56"/>
      <c r="I43" s="56"/>
      <c r="J43" s="57"/>
      <c r="K43" s="56"/>
      <c r="L43" s="56"/>
    </row>
    <row r="44" spans="1:12">
      <c r="H44" s="56"/>
      <c r="I44" s="56"/>
      <c r="J44" s="57"/>
      <c r="K44" s="56"/>
      <c r="L44" s="56"/>
    </row>
    <row r="45" spans="1:12">
      <c r="H45" s="56"/>
      <c r="I45" s="56"/>
      <c r="J45" s="57"/>
      <c r="K45" s="56"/>
      <c r="L45" s="56"/>
    </row>
    <row r="46" spans="1:12">
      <c r="H46" s="56"/>
      <c r="I46" s="56"/>
      <c r="J46" s="57"/>
      <c r="K46" s="56"/>
      <c r="L46" s="56"/>
    </row>
    <row r="47" spans="1:12">
      <c r="H47" s="56"/>
      <c r="I47" s="56"/>
      <c r="J47" s="57"/>
      <c r="K47" s="56"/>
      <c r="L47" s="56"/>
    </row>
    <row r="48" spans="1:12">
      <c r="H48" s="56"/>
      <c r="I48" s="56"/>
      <c r="J48" s="57"/>
      <c r="K48" s="56"/>
      <c r="L48" s="56"/>
    </row>
    <row r="49" spans="8:12">
      <c r="H49" s="56"/>
      <c r="I49" s="56"/>
      <c r="J49" s="57"/>
      <c r="K49" s="56"/>
      <c r="L49" s="56"/>
    </row>
    <row r="50" spans="8:12">
      <c r="H50" s="56"/>
      <c r="I50" s="56"/>
      <c r="J50" s="57"/>
      <c r="K50" s="56"/>
      <c r="L50" s="56"/>
    </row>
    <row r="51" spans="8:12">
      <c r="H51" s="56"/>
      <c r="I51" s="56"/>
      <c r="J51" s="57"/>
      <c r="K51" s="56"/>
      <c r="L51" s="56"/>
    </row>
    <row r="52" spans="8:12">
      <c r="H52" s="56"/>
      <c r="I52" s="56"/>
      <c r="J52" s="57"/>
      <c r="K52" s="56"/>
      <c r="L52" s="56"/>
    </row>
    <row r="53" spans="8:12">
      <c r="H53" s="56"/>
      <c r="I53" s="56"/>
      <c r="J53" s="57"/>
      <c r="K53" s="56"/>
      <c r="L53" s="56"/>
    </row>
    <row r="54" spans="8:12">
      <c r="H54" s="56"/>
      <c r="I54" s="56"/>
      <c r="J54" s="57"/>
      <c r="K54" s="56"/>
      <c r="L54" s="56"/>
    </row>
    <row r="55" spans="8:12">
      <c r="H55" s="56"/>
      <c r="I55" s="56"/>
      <c r="J55" s="57"/>
      <c r="K55" s="56"/>
      <c r="L55" s="56"/>
    </row>
    <row r="56" spans="8:12">
      <c r="H56" s="56"/>
      <c r="I56" s="56"/>
      <c r="J56" s="57"/>
      <c r="K56" s="56"/>
      <c r="L56" s="56"/>
    </row>
    <row r="57" spans="8:12">
      <c r="H57" s="56"/>
      <c r="I57" s="56"/>
      <c r="J57" s="57"/>
      <c r="K57" s="56"/>
      <c r="L57" s="56"/>
    </row>
    <row r="58" spans="8:12">
      <c r="H58" s="56"/>
      <c r="I58" s="56"/>
      <c r="J58" s="57"/>
      <c r="K58" s="56"/>
      <c r="L58" s="56"/>
    </row>
    <row r="59" spans="8:12">
      <c r="H59" s="56"/>
      <c r="I59" s="56"/>
      <c r="J59" s="57"/>
      <c r="K59" s="56"/>
      <c r="L59" s="56"/>
    </row>
    <row r="60" spans="8:12">
      <c r="H60" s="56"/>
      <c r="I60" s="56"/>
      <c r="J60" s="57"/>
      <c r="K60" s="56"/>
      <c r="L60" s="56"/>
    </row>
    <row r="61" spans="8:12">
      <c r="H61" s="56"/>
      <c r="I61" s="56"/>
      <c r="J61" s="57"/>
      <c r="K61" s="56"/>
      <c r="L61" s="56"/>
    </row>
    <row r="62" spans="8:12">
      <c r="H62" s="56"/>
      <c r="I62" s="56"/>
      <c r="J62" s="57"/>
      <c r="K62" s="56"/>
      <c r="L62" s="56"/>
    </row>
    <row r="63" spans="8:12">
      <c r="H63" s="56"/>
      <c r="I63" s="56"/>
      <c r="J63" s="57"/>
      <c r="K63" s="56"/>
      <c r="L63" s="56"/>
    </row>
    <row r="64" spans="8:12">
      <c r="H64" s="56"/>
      <c r="I64" s="56"/>
      <c r="J64" s="57"/>
      <c r="K64" s="56"/>
      <c r="L64" s="56"/>
    </row>
    <row r="65" spans="8:12">
      <c r="H65" s="56"/>
      <c r="I65" s="56"/>
      <c r="J65" s="57"/>
      <c r="K65" s="56"/>
      <c r="L65" s="56"/>
    </row>
    <row r="66" spans="8:12">
      <c r="H66" s="56"/>
      <c r="I66" s="56"/>
      <c r="J66" s="57"/>
      <c r="K66" s="56"/>
      <c r="L66" s="56"/>
    </row>
    <row r="67" spans="8:12">
      <c r="H67" s="56"/>
      <c r="I67" s="56"/>
      <c r="J67" s="57"/>
      <c r="K67" s="56"/>
      <c r="L67" s="56"/>
    </row>
    <row r="68" spans="8:12">
      <c r="H68" s="56"/>
      <c r="I68" s="56"/>
      <c r="J68" s="57"/>
      <c r="K68" s="56"/>
      <c r="L68" s="56"/>
    </row>
    <row r="69" spans="8:12">
      <c r="H69" s="56"/>
      <c r="I69" s="56"/>
      <c r="J69" s="57"/>
      <c r="K69" s="56"/>
      <c r="L69" s="56"/>
    </row>
    <row r="70" spans="8:12">
      <c r="H70" s="56"/>
      <c r="I70" s="56"/>
      <c r="J70" s="57"/>
      <c r="K70" s="56"/>
      <c r="L70" s="56"/>
    </row>
    <row r="71" spans="8:12">
      <c r="H71" s="56"/>
      <c r="I71" s="56"/>
      <c r="J71" s="57"/>
      <c r="K71" s="56"/>
      <c r="L71" s="56"/>
    </row>
    <row r="72" spans="8:12">
      <c r="H72" s="56"/>
      <c r="I72" s="56"/>
      <c r="J72" s="57"/>
      <c r="K72" s="56"/>
      <c r="L72" s="56"/>
    </row>
    <row r="73" spans="8:12">
      <c r="H73" s="56"/>
      <c r="I73" s="56"/>
      <c r="J73" s="57"/>
      <c r="K73" s="56"/>
      <c r="L73" s="56"/>
    </row>
    <row r="74" spans="8:12">
      <c r="H74" s="56"/>
      <c r="I74" s="56"/>
      <c r="J74" s="57"/>
      <c r="K74" s="56"/>
      <c r="L74" s="56"/>
    </row>
    <row r="75" spans="8:12">
      <c r="H75" s="56"/>
      <c r="I75" s="56"/>
      <c r="J75" s="57"/>
      <c r="K75" s="56"/>
      <c r="L75" s="56"/>
    </row>
    <row r="76" spans="8:12">
      <c r="H76" s="56"/>
      <c r="I76" s="56"/>
      <c r="J76" s="57"/>
      <c r="K76" s="56"/>
      <c r="L76" s="56"/>
    </row>
    <row r="77" spans="8:12">
      <c r="H77" s="56"/>
      <c r="I77" s="56"/>
      <c r="J77" s="57"/>
      <c r="K77" s="56"/>
      <c r="L77" s="56"/>
    </row>
    <row r="78" spans="8:12">
      <c r="H78" s="56"/>
      <c r="I78" s="56"/>
      <c r="J78" s="57"/>
      <c r="K78" s="56"/>
      <c r="L78" s="56"/>
    </row>
    <row r="79" spans="8:12">
      <c r="H79" s="56"/>
      <c r="I79" s="56"/>
      <c r="J79" s="57"/>
      <c r="K79" s="56"/>
      <c r="L79" s="56"/>
    </row>
    <row r="80" spans="8:12">
      <c r="H80" s="56"/>
      <c r="I80" s="56"/>
      <c r="J80" s="57"/>
      <c r="K80" s="56"/>
      <c r="L80" s="56"/>
    </row>
    <row r="81" spans="8:12">
      <c r="H81" s="56"/>
      <c r="I81" s="56"/>
      <c r="J81" s="57"/>
      <c r="K81" s="56"/>
      <c r="L81" s="56"/>
    </row>
    <row r="82" spans="8:12">
      <c r="H82" s="56"/>
      <c r="I82" s="56"/>
      <c r="J82" s="57"/>
      <c r="K82" s="56"/>
      <c r="L82" s="56"/>
    </row>
    <row r="83" spans="8:12">
      <c r="H83" s="56"/>
      <c r="I83" s="56"/>
      <c r="J83" s="57"/>
      <c r="K83" s="56"/>
      <c r="L83" s="56"/>
    </row>
    <row r="84" spans="8:12">
      <c r="H84" s="56"/>
      <c r="I84" s="56"/>
      <c r="J84" s="57"/>
      <c r="K84" s="56"/>
      <c r="L84" s="56"/>
    </row>
    <row r="85" spans="8:12">
      <c r="H85" s="56"/>
      <c r="I85" s="56"/>
      <c r="J85" s="57"/>
      <c r="K85" s="56"/>
      <c r="L85" s="56"/>
    </row>
    <row r="86" spans="8:12">
      <c r="H86" s="56"/>
      <c r="I86" s="56"/>
      <c r="J86" s="57"/>
      <c r="K86" s="56"/>
      <c r="L86" s="56"/>
    </row>
    <row r="87" spans="8:12">
      <c r="H87" s="56"/>
      <c r="I87" s="56"/>
      <c r="J87" s="57"/>
      <c r="K87" s="56"/>
      <c r="L87" s="56"/>
    </row>
    <row r="88" spans="8:12">
      <c r="H88" s="56"/>
      <c r="I88" s="56"/>
      <c r="J88" s="57"/>
      <c r="K88" s="56"/>
      <c r="L88" s="56"/>
    </row>
    <row r="89" spans="8:12">
      <c r="H89" s="56"/>
      <c r="I89" s="56"/>
      <c r="J89" s="57"/>
      <c r="K89" s="56"/>
      <c r="L89" s="56"/>
    </row>
    <row r="90" spans="8:12">
      <c r="H90" s="56"/>
      <c r="I90" s="56"/>
      <c r="J90" s="57"/>
      <c r="K90" s="56"/>
      <c r="L90" s="56"/>
    </row>
    <row r="91" spans="8:12">
      <c r="H91" s="56"/>
      <c r="I91" s="56"/>
      <c r="J91" s="57"/>
      <c r="K91" s="56"/>
      <c r="L91" s="56"/>
    </row>
    <row r="92" spans="8:12">
      <c r="H92" s="56"/>
      <c r="I92" s="56"/>
      <c r="J92" s="57"/>
      <c r="K92" s="56"/>
      <c r="L92" s="56"/>
    </row>
    <row r="93" spans="8:12">
      <c r="H93" s="56"/>
      <c r="I93" s="56"/>
      <c r="J93" s="57"/>
      <c r="K93" s="56"/>
      <c r="L93" s="56"/>
    </row>
    <row r="94" spans="8:12">
      <c r="H94" s="56"/>
      <c r="I94" s="56"/>
      <c r="J94" s="57"/>
      <c r="K94" s="56"/>
      <c r="L94" s="56"/>
    </row>
    <row r="95" spans="8:12">
      <c r="H95" s="56"/>
      <c r="I95" s="56"/>
      <c r="J95" s="57"/>
      <c r="K95" s="56"/>
      <c r="L95" s="56"/>
    </row>
    <row r="96" spans="8:12">
      <c r="H96" s="56"/>
      <c r="I96" s="56"/>
      <c r="J96" s="57"/>
      <c r="K96" s="56"/>
      <c r="L96" s="56"/>
    </row>
    <row r="97" spans="8:12">
      <c r="H97" s="56"/>
      <c r="I97" s="56"/>
      <c r="J97" s="57"/>
      <c r="K97" s="56"/>
      <c r="L97" s="56"/>
    </row>
    <row r="98" spans="8:12">
      <c r="H98" s="56"/>
      <c r="I98" s="56"/>
      <c r="J98" s="57"/>
      <c r="K98" s="56"/>
      <c r="L98" s="56"/>
    </row>
    <row r="99" spans="8:12">
      <c r="H99" s="56"/>
      <c r="I99" s="56"/>
      <c r="J99" s="57"/>
      <c r="K99" s="56"/>
      <c r="L99" s="56"/>
    </row>
    <row r="100" spans="8:12">
      <c r="H100" s="56"/>
      <c r="I100" s="56"/>
      <c r="J100" s="57"/>
      <c r="K100" s="56"/>
      <c r="L100" s="56"/>
    </row>
    <row r="101" spans="8:12">
      <c r="H101" s="56"/>
      <c r="I101" s="56"/>
      <c r="J101" s="57"/>
      <c r="K101" s="56"/>
      <c r="L101" s="56"/>
    </row>
    <row r="102" spans="8:12">
      <c r="H102" s="56"/>
      <c r="I102" s="56"/>
      <c r="J102" s="57"/>
      <c r="K102" s="56"/>
      <c r="L102" s="56"/>
    </row>
    <row r="103" spans="8:12">
      <c r="H103" s="56"/>
      <c r="I103" s="56"/>
      <c r="J103" s="57"/>
      <c r="K103" s="56"/>
      <c r="L103" s="56"/>
    </row>
    <row r="104" spans="8:12">
      <c r="H104" s="56"/>
      <c r="I104" s="56"/>
      <c r="J104" s="57"/>
      <c r="K104" s="56"/>
      <c r="L104" s="56"/>
    </row>
    <row r="105" spans="8:12">
      <c r="H105" s="56"/>
      <c r="I105" s="56"/>
      <c r="J105" s="57"/>
      <c r="K105" s="56"/>
      <c r="L105" s="56"/>
    </row>
  </sheetData>
  <mergeCells count="5">
    <mergeCell ref="A1:L1"/>
    <mergeCell ref="A2:L2"/>
    <mergeCell ref="H3:I3"/>
    <mergeCell ref="K3:L3"/>
    <mergeCell ref="A34:L34"/>
  </mergeCells>
  <phoneticPr fontId="35"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25" defaultRowHeight="16.5"/>
  <cols>
    <col min="1" max="1" width="20.5" style="30" customWidth="1"/>
    <col min="2" max="3" width="6.125" style="30" customWidth="1"/>
    <col min="4" max="4" width="6.125" style="30" customWidth="1" collapsed="1"/>
    <col min="5" max="7" width="6.125" style="30" customWidth="1"/>
    <col min="8" max="9" width="5.5" style="30" customWidth="1"/>
    <col min="10" max="10" width="0.5" style="55" customWidth="1"/>
    <col min="11" max="12" width="5.5" style="30" customWidth="1"/>
    <col min="13" max="16384" width="9.125" style="30"/>
  </cols>
  <sheetData>
    <row r="1" spans="1:12" ht="30" customHeight="1">
      <c r="A1" s="501" t="s">
        <v>859</v>
      </c>
      <c r="B1" s="502"/>
      <c r="C1" s="502"/>
      <c r="D1" s="502"/>
      <c r="E1" s="502"/>
      <c r="F1" s="502"/>
      <c r="G1" s="502"/>
      <c r="H1" s="502"/>
      <c r="I1" s="502"/>
      <c r="J1" s="502"/>
      <c r="K1" s="502"/>
      <c r="L1" s="502"/>
    </row>
    <row r="2" spans="1:12">
      <c r="A2" s="503" t="s">
        <v>159</v>
      </c>
      <c r="B2" s="503"/>
      <c r="C2" s="503"/>
      <c r="D2" s="503"/>
      <c r="E2" s="503"/>
      <c r="F2" s="503"/>
      <c r="G2" s="503"/>
      <c r="H2" s="503"/>
      <c r="I2" s="503"/>
      <c r="J2" s="503"/>
      <c r="K2" s="503"/>
      <c r="L2" s="503"/>
    </row>
    <row r="3" spans="1:12" ht="15" customHeight="1">
      <c r="A3" s="31"/>
      <c r="B3" s="32"/>
      <c r="C3" s="32"/>
      <c r="D3" s="32"/>
      <c r="E3" s="32"/>
      <c r="F3" s="32"/>
      <c r="G3" s="32"/>
      <c r="H3" s="495" t="s">
        <v>160</v>
      </c>
      <c r="I3" s="495"/>
      <c r="J3" s="33"/>
      <c r="K3" s="495" t="s">
        <v>161</v>
      </c>
      <c r="L3" s="495"/>
    </row>
    <row r="4" spans="1:12" ht="15" customHeight="1">
      <c r="A4" s="31"/>
      <c r="B4" s="34">
        <v>2000</v>
      </c>
      <c r="C4" s="34">
        <v>2018</v>
      </c>
      <c r="D4" s="34">
        <v>2025</v>
      </c>
      <c r="E4" s="34">
        <v>2030</v>
      </c>
      <c r="F4" s="34">
        <v>2035</v>
      </c>
      <c r="G4" s="34">
        <v>2040</v>
      </c>
      <c r="H4" s="35">
        <v>2018</v>
      </c>
      <c r="I4" s="35">
        <v>2040</v>
      </c>
      <c r="J4" s="36"/>
      <c r="K4" s="35" t="s">
        <v>162</v>
      </c>
      <c r="L4" s="35" t="s">
        <v>163</v>
      </c>
    </row>
    <row r="5" spans="1:12" ht="13.5" customHeight="1">
      <c r="A5" s="78" t="s">
        <v>860</v>
      </c>
      <c r="B5" s="38"/>
      <c r="C5" s="38"/>
      <c r="D5" s="39"/>
      <c r="E5" s="39"/>
      <c r="F5" s="39"/>
      <c r="G5" s="39"/>
      <c r="H5" s="58"/>
      <c r="I5" s="58"/>
      <c r="J5" s="46"/>
      <c r="K5" s="58"/>
      <c r="L5" s="58"/>
    </row>
    <row r="6" spans="1:12" ht="13.5" customHeight="1">
      <c r="A6" s="42" t="s">
        <v>861</v>
      </c>
      <c r="B6" s="43">
        <v>134.37799999999999</v>
      </c>
      <c r="C6" s="43">
        <v>253.982</v>
      </c>
      <c r="D6" s="44">
        <v>294.09800000000001</v>
      </c>
      <c r="E6" s="44">
        <v>325.851</v>
      </c>
      <c r="F6" s="44">
        <v>355.07</v>
      </c>
      <c r="G6" s="44">
        <v>385.41500000000002</v>
      </c>
      <c r="H6" s="79" t="s">
        <v>170</v>
      </c>
      <c r="I6" s="79" t="s">
        <v>170</v>
      </c>
      <c r="J6" s="46"/>
      <c r="K6" s="47">
        <v>3.6</v>
      </c>
      <c r="L6" s="47">
        <v>1.91</v>
      </c>
    </row>
    <row r="7" spans="1:12" ht="13.5" customHeight="1">
      <c r="A7" s="42" t="s">
        <v>862</v>
      </c>
      <c r="B7" s="43">
        <v>60.713000000000001</v>
      </c>
      <c r="C7" s="43">
        <v>133.59399999999999</v>
      </c>
      <c r="D7" s="44">
        <v>152.941</v>
      </c>
      <c r="E7" s="44">
        <v>167.72399999999999</v>
      </c>
      <c r="F7" s="44">
        <v>180.529</v>
      </c>
      <c r="G7" s="44">
        <v>193.14</v>
      </c>
      <c r="H7" s="79" t="s">
        <v>170</v>
      </c>
      <c r="I7" s="79" t="s">
        <v>170</v>
      </c>
      <c r="J7" s="46"/>
      <c r="K7" s="47">
        <v>4.4800000000000004</v>
      </c>
      <c r="L7" s="47">
        <v>1.69</v>
      </c>
    </row>
    <row r="8" spans="1:12" ht="13.5" customHeight="1">
      <c r="A8" s="42" t="s">
        <v>863</v>
      </c>
      <c r="B8" s="43">
        <v>69.081000000000003</v>
      </c>
      <c r="C8" s="43">
        <v>151.90899999999999</v>
      </c>
      <c r="D8" s="44">
        <v>181.34399999999999</v>
      </c>
      <c r="E8" s="44">
        <v>204.148</v>
      </c>
      <c r="F8" s="44">
        <v>224.75800000000001</v>
      </c>
      <c r="G8" s="44">
        <v>245.01599999999999</v>
      </c>
      <c r="H8" s="79" t="s">
        <v>170</v>
      </c>
      <c r="I8" s="79" t="s">
        <v>170</v>
      </c>
      <c r="J8" s="46"/>
      <c r="K8" s="47">
        <v>4.4800000000000004</v>
      </c>
      <c r="L8" s="47">
        <v>2.2000000000000002</v>
      </c>
    </row>
    <row r="9" spans="1:12" ht="13.5" customHeight="1">
      <c r="A9" s="42" t="s">
        <v>864</v>
      </c>
      <c r="B9" s="43">
        <v>56.167000000000002</v>
      </c>
      <c r="C9" s="43">
        <v>148.08199999999999</v>
      </c>
      <c r="D9" s="44">
        <v>193.99</v>
      </c>
      <c r="E9" s="44">
        <v>227.83699999999999</v>
      </c>
      <c r="F9" s="44">
        <v>256.67099999999999</v>
      </c>
      <c r="G9" s="44">
        <v>282.01299999999998</v>
      </c>
      <c r="H9" s="79" t="s">
        <v>170</v>
      </c>
      <c r="I9" s="79" t="s">
        <v>170</v>
      </c>
      <c r="J9" s="46"/>
      <c r="K9" s="47">
        <v>5.53</v>
      </c>
      <c r="L9" s="47">
        <v>2.97</v>
      </c>
    </row>
    <row r="10" spans="1:12" ht="13.5" customHeight="1">
      <c r="A10" s="42" t="s">
        <v>865</v>
      </c>
      <c r="B10" s="43">
        <v>72.938000000000002</v>
      </c>
      <c r="C10" s="43">
        <v>145.285</v>
      </c>
      <c r="D10" s="44">
        <v>169.85400000000001</v>
      </c>
      <c r="E10" s="44">
        <v>182.83699999999999</v>
      </c>
      <c r="F10" s="44">
        <v>188.202</v>
      </c>
      <c r="G10" s="44">
        <v>189.215</v>
      </c>
      <c r="H10" s="79" t="s">
        <v>170</v>
      </c>
      <c r="I10" s="79" t="s">
        <v>170</v>
      </c>
      <c r="J10" s="46"/>
      <c r="K10" s="47">
        <v>3.9</v>
      </c>
      <c r="L10" s="47">
        <v>1.21</v>
      </c>
    </row>
    <row r="11" spans="1:12" ht="13.5" customHeight="1">
      <c r="A11" s="42" t="s">
        <v>866</v>
      </c>
      <c r="B11" s="43">
        <v>65.349000000000004</v>
      </c>
      <c r="C11" s="43">
        <v>127.735</v>
      </c>
      <c r="D11" s="44">
        <v>142.875</v>
      </c>
      <c r="E11" s="44">
        <v>151.63</v>
      </c>
      <c r="F11" s="44">
        <v>155.69</v>
      </c>
      <c r="G11" s="44">
        <v>157.684</v>
      </c>
      <c r="H11" s="79" t="s">
        <v>170</v>
      </c>
      <c r="I11" s="79" t="s">
        <v>170</v>
      </c>
      <c r="J11" s="46"/>
      <c r="K11" s="47">
        <v>3.79</v>
      </c>
      <c r="L11" s="47">
        <v>0.96</v>
      </c>
    </row>
    <row r="12" spans="1:12" ht="13.5" customHeight="1">
      <c r="A12" s="42" t="s">
        <v>867</v>
      </c>
      <c r="B12" s="43">
        <v>41.045999999999999</v>
      </c>
      <c r="C12" s="43">
        <v>148.143</v>
      </c>
      <c r="D12" s="44">
        <v>209.715</v>
      </c>
      <c r="E12" s="44">
        <v>254.54599999999999</v>
      </c>
      <c r="F12" s="44">
        <v>293.08</v>
      </c>
      <c r="G12" s="44">
        <v>327.08800000000002</v>
      </c>
      <c r="H12" s="79" t="s">
        <v>170</v>
      </c>
      <c r="I12" s="79" t="s">
        <v>170</v>
      </c>
      <c r="J12" s="46"/>
      <c r="K12" s="47">
        <v>7.39</v>
      </c>
      <c r="L12" s="47">
        <v>3.67</v>
      </c>
    </row>
    <row r="13" spans="1:12" ht="13.5" customHeight="1">
      <c r="A13" s="42" t="s">
        <v>868</v>
      </c>
      <c r="B13" s="43">
        <v>15.548</v>
      </c>
      <c r="C13" s="43">
        <v>40.884</v>
      </c>
      <c r="D13" s="44">
        <v>53.927999999999997</v>
      </c>
      <c r="E13" s="44">
        <v>63.49</v>
      </c>
      <c r="F13" s="44">
        <v>71.534000000000006</v>
      </c>
      <c r="G13" s="44">
        <v>78.622</v>
      </c>
      <c r="H13" s="79" t="s">
        <v>170</v>
      </c>
      <c r="I13" s="79" t="s">
        <v>170</v>
      </c>
      <c r="J13" s="46"/>
      <c r="K13" s="47">
        <v>5.52</v>
      </c>
      <c r="L13" s="47">
        <v>3.02</v>
      </c>
    </row>
    <row r="14" spans="1:12" ht="13.5" customHeight="1">
      <c r="A14" s="42" t="s">
        <v>869</v>
      </c>
      <c r="B14" s="43">
        <v>283.90199999999999</v>
      </c>
      <c r="C14" s="43">
        <v>708.05700000000002</v>
      </c>
      <c r="D14" s="44">
        <v>901.47799999999995</v>
      </c>
      <c r="E14" s="44">
        <v>1036.441</v>
      </c>
      <c r="F14" s="44">
        <v>1146.75</v>
      </c>
      <c r="G14" s="44">
        <v>1242.6189999999999</v>
      </c>
      <c r="H14" s="79" t="s">
        <v>170</v>
      </c>
      <c r="I14" s="79" t="s">
        <v>170</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827</v>
      </c>
      <c r="B16" s="65">
        <v>13.616</v>
      </c>
      <c r="C16" s="65">
        <v>25.498000000000001</v>
      </c>
      <c r="D16" s="66">
        <v>28.228000000000002</v>
      </c>
      <c r="E16" s="66">
        <v>30.004000000000001</v>
      </c>
      <c r="F16" s="66">
        <v>31.234999999999999</v>
      </c>
      <c r="G16" s="66">
        <v>32.037999999999997</v>
      </c>
      <c r="H16" s="39">
        <v>100</v>
      </c>
      <c r="I16" s="39">
        <v>100</v>
      </c>
      <c r="J16" s="80"/>
      <c r="K16" s="63">
        <v>3.55</v>
      </c>
      <c r="L16" s="63">
        <v>1.04</v>
      </c>
    </row>
    <row r="17" spans="1:12" ht="13.5" customHeight="1">
      <c r="A17" s="42" t="s">
        <v>870</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541</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168</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208</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171</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871</v>
      </c>
      <c r="B23" s="65"/>
      <c r="C23" s="65"/>
      <c r="D23" s="66"/>
      <c r="E23" s="66"/>
      <c r="F23" s="66"/>
      <c r="G23" s="66"/>
      <c r="H23" s="45"/>
      <c r="I23" s="45"/>
      <c r="J23" s="46"/>
      <c r="K23" s="47"/>
      <c r="L23" s="47"/>
    </row>
    <row r="24" spans="1:12" ht="13.5" customHeight="1">
      <c r="A24" s="42" t="s">
        <v>872</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873</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496"/>
      <c r="B26" s="497"/>
      <c r="C26" s="497"/>
      <c r="D26" s="497"/>
      <c r="E26" s="497"/>
      <c r="F26" s="497"/>
      <c r="G26" s="497"/>
      <c r="H26" s="497"/>
      <c r="I26" s="497"/>
      <c r="J26" s="497"/>
      <c r="K26" s="497"/>
      <c r="L26" s="497"/>
    </row>
    <row r="27" spans="1:12">
      <c r="H27" s="56"/>
      <c r="I27" s="56"/>
      <c r="J27" s="57"/>
      <c r="K27" s="56"/>
      <c r="L27" s="56"/>
    </row>
    <row r="28" spans="1:12">
      <c r="H28" s="56"/>
      <c r="I28" s="56"/>
      <c r="J28" s="57"/>
      <c r="K28" s="56"/>
      <c r="L28" s="56"/>
    </row>
    <row r="29" spans="1:12">
      <c r="H29" s="56"/>
      <c r="I29" s="56"/>
      <c r="J29" s="57"/>
      <c r="K29" s="56"/>
      <c r="L29" s="56"/>
    </row>
    <row r="30" spans="1:12">
      <c r="H30" s="56"/>
      <c r="I30" s="56"/>
      <c r="J30" s="57"/>
      <c r="K30" s="56"/>
      <c r="L30" s="56"/>
    </row>
    <row r="31" spans="1:12">
      <c r="H31" s="56"/>
      <c r="I31" s="56"/>
      <c r="J31" s="57"/>
      <c r="K31" s="56"/>
      <c r="L31" s="56"/>
    </row>
    <row r="32" spans="1:12">
      <c r="H32" s="56"/>
      <c r="I32" s="56"/>
      <c r="J32" s="57"/>
      <c r="K32" s="56"/>
      <c r="L32" s="56"/>
    </row>
    <row r="33" spans="8:12">
      <c r="H33" s="56"/>
      <c r="I33" s="56"/>
      <c r="J33" s="57"/>
      <c r="K33" s="56"/>
      <c r="L33" s="56"/>
    </row>
    <row r="34" spans="8:12">
      <c r="H34" s="56"/>
      <c r="I34" s="56"/>
      <c r="J34" s="57"/>
      <c r="K34" s="56"/>
      <c r="L34" s="56"/>
    </row>
    <row r="35" spans="8:12">
      <c r="H35" s="56"/>
      <c r="I35" s="56"/>
      <c r="J35" s="57"/>
      <c r="K35" s="56"/>
      <c r="L35" s="56"/>
    </row>
    <row r="36" spans="8:12">
      <c r="H36" s="56"/>
      <c r="I36" s="56"/>
      <c r="J36" s="57"/>
      <c r="K36" s="56"/>
      <c r="L36" s="56"/>
    </row>
    <row r="37" spans="8:12">
      <c r="H37" s="56"/>
      <c r="I37" s="56"/>
      <c r="J37" s="57"/>
      <c r="K37" s="56"/>
      <c r="L37" s="56"/>
    </row>
    <row r="38" spans="8:12">
      <c r="H38" s="56"/>
      <c r="I38" s="56"/>
      <c r="J38" s="57"/>
      <c r="K38" s="56"/>
      <c r="L38" s="56"/>
    </row>
    <row r="39" spans="8:12">
      <c r="H39" s="56"/>
      <c r="I39" s="56"/>
      <c r="J39" s="57"/>
      <c r="K39" s="56"/>
      <c r="L39" s="56"/>
    </row>
    <row r="40" spans="8:12">
      <c r="H40" s="56"/>
      <c r="I40" s="56"/>
      <c r="J40" s="57"/>
      <c r="K40" s="56"/>
      <c r="L40" s="56"/>
    </row>
    <row r="41" spans="8:12">
      <c r="H41" s="56"/>
      <c r="I41" s="56"/>
      <c r="J41" s="57"/>
      <c r="K41" s="56"/>
      <c r="L41" s="56"/>
    </row>
    <row r="42" spans="8:12">
      <c r="H42" s="56"/>
      <c r="I42" s="56"/>
      <c r="J42" s="57"/>
      <c r="K42" s="56"/>
      <c r="L42" s="56"/>
    </row>
    <row r="43" spans="8:12">
      <c r="H43" s="56"/>
      <c r="I43" s="56"/>
      <c r="J43" s="57"/>
      <c r="K43" s="56"/>
      <c r="L43" s="56"/>
    </row>
    <row r="44" spans="8:12">
      <c r="H44" s="56"/>
      <c r="I44" s="56"/>
      <c r="J44" s="57"/>
      <c r="K44" s="56"/>
      <c r="L44" s="56"/>
    </row>
    <row r="45" spans="8:12">
      <c r="H45" s="56"/>
      <c r="I45" s="56"/>
      <c r="J45" s="57"/>
      <c r="K45" s="56"/>
      <c r="L45" s="56"/>
    </row>
    <row r="46" spans="8:12">
      <c r="H46" s="56"/>
      <c r="I46" s="56"/>
      <c r="J46" s="57"/>
      <c r="K46" s="56"/>
      <c r="L46" s="56"/>
    </row>
    <row r="47" spans="8:12">
      <c r="H47" s="56"/>
      <c r="I47" s="56"/>
      <c r="J47" s="57"/>
      <c r="K47" s="56"/>
      <c r="L47" s="56"/>
    </row>
    <row r="48" spans="8:12">
      <c r="H48" s="56"/>
      <c r="I48" s="56"/>
      <c r="J48" s="57"/>
      <c r="K48" s="56"/>
      <c r="L48" s="56"/>
    </row>
    <row r="49" spans="8:12">
      <c r="H49" s="56"/>
      <c r="I49" s="56"/>
      <c r="J49" s="57"/>
      <c r="K49" s="56"/>
      <c r="L49" s="56"/>
    </row>
    <row r="50" spans="8:12">
      <c r="H50" s="56"/>
      <c r="I50" s="56"/>
      <c r="J50" s="57"/>
      <c r="K50" s="56"/>
      <c r="L50" s="56"/>
    </row>
    <row r="51" spans="8:12">
      <c r="H51" s="56"/>
      <c r="I51" s="56"/>
      <c r="J51" s="57"/>
      <c r="K51" s="56"/>
      <c r="L51" s="56"/>
    </row>
    <row r="52" spans="8:12">
      <c r="H52" s="56"/>
      <c r="I52" s="56"/>
      <c r="J52" s="57"/>
      <c r="K52" s="56"/>
      <c r="L52" s="56"/>
    </row>
    <row r="53" spans="8:12">
      <c r="H53" s="56"/>
      <c r="I53" s="56"/>
      <c r="J53" s="57"/>
      <c r="K53" s="56"/>
      <c r="L53" s="56"/>
    </row>
    <row r="54" spans="8:12">
      <c r="H54" s="56"/>
      <c r="I54" s="56"/>
      <c r="J54" s="57"/>
      <c r="K54" s="56"/>
      <c r="L54" s="56"/>
    </row>
    <row r="55" spans="8:12">
      <c r="H55" s="56"/>
      <c r="I55" s="56"/>
      <c r="J55" s="57"/>
      <c r="K55" s="56"/>
      <c r="L55" s="56"/>
    </row>
    <row r="56" spans="8:12">
      <c r="H56" s="56"/>
      <c r="I56" s="56"/>
      <c r="J56" s="57"/>
      <c r="K56" s="56"/>
      <c r="L56" s="56"/>
    </row>
    <row r="57" spans="8:12">
      <c r="H57" s="56"/>
      <c r="I57" s="56"/>
      <c r="J57" s="57"/>
      <c r="K57" s="56"/>
      <c r="L57" s="56"/>
    </row>
    <row r="58" spans="8:12">
      <c r="H58" s="56"/>
      <c r="I58" s="56"/>
      <c r="J58" s="57"/>
      <c r="K58" s="56"/>
      <c r="L58" s="56"/>
    </row>
    <row r="59" spans="8:12">
      <c r="H59" s="56"/>
      <c r="I59" s="56"/>
      <c r="J59" s="57"/>
      <c r="K59" s="56"/>
      <c r="L59" s="56"/>
    </row>
    <row r="60" spans="8:12">
      <c r="H60" s="56"/>
      <c r="I60" s="56"/>
      <c r="J60" s="57"/>
      <c r="K60" s="56"/>
      <c r="L60" s="56"/>
    </row>
    <row r="61" spans="8:12">
      <c r="H61" s="56"/>
      <c r="I61" s="56"/>
      <c r="J61" s="57"/>
      <c r="K61" s="56"/>
      <c r="L61" s="56"/>
    </row>
    <row r="62" spans="8:12">
      <c r="H62" s="56"/>
      <c r="I62" s="56"/>
      <c r="J62" s="57"/>
      <c r="K62" s="56"/>
      <c r="L62" s="56"/>
    </row>
    <row r="63" spans="8:12">
      <c r="H63" s="56"/>
      <c r="I63" s="56"/>
      <c r="J63" s="57"/>
      <c r="K63" s="56"/>
      <c r="L63" s="56"/>
    </row>
    <row r="64" spans="8:12">
      <c r="H64" s="56"/>
      <c r="I64" s="56"/>
      <c r="J64" s="57"/>
      <c r="K64" s="56"/>
      <c r="L64" s="56"/>
    </row>
    <row r="65" spans="8:12">
      <c r="H65" s="56"/>
      <c r="I65" s="56"/>
      <c r="J65" s="57"/>
      <c r="K65" s="56"/>
      <c r="L65" s="56"/>
    </row>
    <row r="66" spans="8:12">
      <c r="H66" s="56"/>
      <c r="I66" s="56"/>
      <c r="J66" s="57"/>
      <c r="K66" s="56"/>
      <c r="L66" s="56"/>
    </row>
    <row r="67" spans="8:12">
      <c r="H67" s="56"/>
      <c r="I67" s="56"/>
      <c r="J67" s="57"/>
      <c r="K67" s="56"/>
      <c r="L67" s="56"/>
    </row>
    <row r="68" spans="8:12">
      <c r="H68" s="56"/>
      <c r="I68" s="56"/>
      <c r="J68" s="57"/>
      <c r="K68" s="56"/>
      <c r="L68" s="56"/>
    </row>
    <row r="69" spans="8:12">
      <c r="H69" s="56"/>
      <c r="I69" s="56"/>
      <c r="J69" s="57"/>
      <c r="K69" s="56"/>
      <c r="L69" s="56"/>
    </row>
    <row r="70" spans="8:12">
      <c r="H70" s="56"/>
      <c r="I70" s="56"/>
      <c r="J70" s="57"/>
      <c r="K70" s="56"/>
      <c r="L70" s="56"/>
    </row>
    <row r="71" spans="8:12">
      <c r="H71" s="56"/>
      <c r="I71" s="56"/>
      <c r="J71" s="57"/>
      <c r="K71" s="56"/>
      <c r="L71" s="56"/>
    </row>
    <row r="72" spans="8:12">
      <c r="H72" s="56"/>
      <c r="I72" s="56"/>
      <c r="J72" s="57"/>
      <c r="K72" s="56"/>
      <c r="L72" s="56"/>
    </row>
    <row r="73" spans="8:12">
      <c r="H73" s="56"/>
      <c r="I73" s="56"/>
      <c r="J73" s="57"/>
      <c r="K73" s="56"/>
      <c r="L73" s="56"/>
    </row>
    <row r="74" spans="8:12">
      <c r="H74" s="56"/>
      <c r="I74" s="56"/>
      <c r="J74" s="57"/>
      <c r="K74" s="56"/>
      <c r="L74" s="56"/>
    </row>
    <row r="75" spans="8:12">
      <c r="H75" s="56"/>
      <c r="I75" s="56"/>
      <c r="J75" s="57"/>
      <c r="K75" s="56"/>
      <c r="L75" s="56"/>
    </row>
    <row r="76" spans="8:12">
      <c r="H76" s="56"/>
      <c r="I76" s="56"/>
      <c r="J76" s="57"/>
      <c r="K76" s="56"/>
      <c r="L76" s="56"/>
    </row>
    <row r="77" spans="8:12">
      <c r="H77" s="56"/>
      <c r="I77" s="56"/>
      <c r="J77" s="57"/>
      <c r="K77" s="56"/>
      <c r="L77" s="56"/>
    </row>
    <row r="78" spans="8:12">
      <c r="H78" s="56"/>
      <c r="I78" s="56"/>
      <c r="J78" s="57"/>
      <c r="K78" s="56"/>
      <c r="L78" s="56"/>
    </row>
    <row r="79" spans="8:12">
      <c r="H79" s="56"/>
      <c r="I79" s="56"/>
      <c r="J79" s="57"/>
      <c r="K79" s="56"/>
      <c r="L79" s="56"/>
    </row>
    <row r="80" spans="8:12">
      <c r="H80" s="56"/>
      <c r="I80" s="56"/>
      <c r="J80" s="57"/>
      <c r="K80" s="56"/>
      <c r="L80" s="56"/>
    </row>
    <row r="81" spans="8:12">
      <c r="H81" s="56"/>
      <c r="I81" s="56"/>
      <c r="J81" s="57"/>
      <c r="K81" s="56"/>
      <c r="L81" s="56"/>
    </row>
    <row r="82" spans="8:12">
      <c r="H82" s="56"/>
      <c r="I82" s="56"/>
      <c r="J82" s="57"/>
      <c r="K82" s="56"/>
      <c r="L82" s="56"/>
    </row>
    <row r="83" spans="8:12">
      <c r="H83" s="56"/>
      <c r="I83" s="56"/>
      <c r="J83" s="57"/>
      <c r="K83" s="56"/>
      <c r="L83" s="56"/>
    </row>
    <row r="84" spans="8:12">
      <c r="H84" s="56"/>
      <c r="I84" s="56"/>
      <c r="J84" s="57"/>
      <c r="K84" s="56"/>
      <c r="L84" s="56"/>
    </row>
    <row r="85" spans="8:12">
      <c r="H85" s="56"/>
      <c r="I85" s="56"/>
      <c r="J85" s="57"/>
      <c r="K85" s="56"/>
      <c r="L85" s="56"/>
    </row>
    <row r="86" spans="8:12">
      <c r="H86" s="56"/>
      <c r="I86" s="56"/>
      <c r="J86" s="57"/>
      <c r="K86" s="56"/>
      <c r="L86" s="56"/>
    </row>
    <row r="87" spans="8:12">
      <c r="H87" s="56"/>
      <c r="I87" s="56"/>
      <c r="J87" s="57"/>
      <c r="K87" s="56"/>
      <c r="L87" s="56"/>
    </row>
    <row r="88" spans="8:12">
      <c r="H88" s="56"/>
      <c r="I88" s="56"/>
      <c r="J88" s="57"/>
      <c r="K88" s="56"/>
      <c r="L88" s="56"/>
    </row>
    <row r="89" spans="8:12">
      <c r="H89" s="56"/>
      <c r="I89" s="56"/>
      <c r="J89" s="57"/>
      <c r="K89" s="56"/>
      <c r="L89" s="56"/>
    </row>
    <row r="90" spans="8:12">
      <c r="H90" s="56"/>
      <c r="I90" s="56"/>
      <c r="J90" s="57"/>
      <c r="K90" s="56"/>
      <c r="L90" s="56"/>
    </row>
    <row r="91" spans="8:12">
      <c r="H91" s="56"/>
      <c r="I91" s="56"/>
      <c r="J91" s="57"/>
      <c r="K91" s="56"/>
      <c r="L91" s="56"/>
    </row>
    <row r="92" spans="8:12">
      <c r="H92" s="56"/>
      <c r="I92" s="56"/>
      <c r="J92" s="57"/>
      <c r="K92" s="56"/>
      <c r="L92" s="56"/>
    </row>
    <row r="93" spans="8:12">
      <c r="H93" s="56"/>
      <c r="I93" s="56"/>
      <c r="J93" s="57"/>
      <c r="K93" s="56"/>
      <c r="L93" s="56"/>
    </row>
    <row r="94" spans="8:12">
      <c r="H94" s="56"/>
      <c r="I94" s="56"/>
      <c r="J94" s="57"/>
      <c r="K94" s="56"/>
      <c r="L94" s="56"/>
    </row>
    <row r="95" spans="8:12">
      <c r="H95" s="56"/>
      <c r="I95" s="56"/>
      <c r="J95" s="57"/>
      <c r="K95" s="56"/>
      <c r="L95" s="56"/>
    </row>
    <row r="96" spans="8:12">
      <c r="H96" s="56"/>
      <c r="I96" s="56"/>
      <c r="J96" s="57"/>
      <c r="K96" s="56"/>
      <c r="L96" s="56"/>
    </row>
    <row r="97" spans="8:12">
      <c r="H97" s="56"/>
      <c r="I97" s="56"/>
      <c r="J97" s="57"/>
      <c r="K97" s="56"/>
      <c r="L97" s="56"/>
    </row>
    <row r="98" spans="8:12">
      <c r="H98" s="56"/>
      <c r="I98" s="56"/>
      <c r="J98" s="57"/>
      <c r="K98" s="56"/>
      <c r="L98" s="56"/>
    </row>
    <row r="99" spans="8:12">
      <c r="H99" s="56"/>
      <c r="I99" s="56"/>
      <c r="J99" s="57"/>
      <c r="K99" s="56"/>
      <c r="L99" s="56"/>
    </row>
    <row r="100" spans="8:12">
      <c r="H100" s="56"/>
      <c r="I100" s="56"/>
      <c r="J100" s="57"/>
      <c r="K100" s="56"/>
      <c r="L100" s="56"/>
    </row>
    <row r="101" spans="8:12">
      <c r="H101" s="56"/>
      <c r="I101" s="56"/>
      <c r="J101" s="57"/>
      <c r="K101" s="56"/>
      <c r="L101" s="56"/>
    </row>
    <row r="102" spans="8:12">
      <c r="H102" s="56"/>
      <c r="I102" s="56"/>
      <c r="J102" s="57"/>
      <c r="K102" s="56"/>
      <c r="L102" s="56"/>
    </row>
    <row r="103" spans="8:12">
      <c r="H103" s="56"/>
      <c r="I103" s="56"/>
      <c r="J103" s="57"/>
      <c r="K103" s="56"/>
      <c r="L103" s="56"/>
    </row>
    <row r="104" spans="8:12">
      <c r="H104" s="56"/>
      <c r="I104" s="56"/>
      <c r="J104" s="57"/>
      <c r="K104" s="56"/>
      <c r="L104" s="56"/>
    </row>
    <row r="105" spans="8:12">
      <c r="H105" s="56"/>
      <c r="I105" s="56"/>
      <c r="J105" s="57"/>
      <c r="K105" s="56"/>
      <c r="L105" s="56"/>
    </row>
    <row r="106" spans="8:12">
      <c r="H106" s="56"/>
      <c r="I106" s="56"/>
      <c r="J106" s="57"/>
      <c r="K106" s="56"/>
      <c r="L106" s="56"/>
    </row>
    <row r="107" spans="8:12">
      <c r="H107" s="56"/>
      <c r="I107" s="56"/>
      <c r="J107" s="57"/>
      <c r="K107" s="56"/>
      <c r="L107" s="56"/>
    </row>
  </sheetData>
  <mergeCells count="5">
    <mergeCell ref="A1:L1"/>
    <mergeCell ref="A2:L2"/>
    <mergeCell ref="H3:I3"/>
    <mergeCell ref="K3:L3"/>
    <mergeCell ref="A26:L26"/>
  </mergeCells>
  <phoneticPr fontId="35"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 defaultRowHeight="15"/>
  <cols>
    <col min="1" max="1" width="2.625" style="137" customWidth="1"/>
    <col min="2" max="2" width="24.5" style="137" customWidth="1"/>
    <col min="3" max="4" width="30.375" style="137" customWidth="1"/>
    <col min="5" max="14" width="14.375" style="137" customWidth="1"/>
    <col min="15" max="16384" width="8.5" style="137"/>
  </cols>
  <sheetData>
    <row r="2" spans="2:5">
      <c r="B2" s="264" t="s">
        <v>874</v>
      </c>
    </row>
    <row r="4" spans="2:5">
      <c r="B4" s="173" t="s">
        <v>875</v>
      </c>
      <c r="C4" s="265" t="s">
        <v>876</v>
      </c>
      <c r="D4" s="265" t="s">
        <v>877</v>
      </c>
    </row>
    <row r="5" spans="2:5">
      <c r="B5" s="163" t="s">
        <v>106</v>
      </c>
      <c r="C5" s="164">
        <f>SUM('2019 KESIS Energy Balance'!Z61:AE61)</f>
        <v>13.368</v>
      </c>
      <c r="D5" s="165">
        <f>C5/SUM($C$5:$C$7)</f>
        <v>0.17361264432005613</v>
      </c>
    </row>
    <row r="6" spans="2:5">
      <c r="B6" s="163" t="s">
        <v>878</v>
      </c>
      <c r="C6" s="164">
        <f>SUM('2019 KESIS Energy Balance'!AF61:AH61)</f>
        <v>17.835000000000001</v>
      </c>
      <c r="D6" s="165">
        <f t="shared" ref="D6:D7" si="0">C6/SUM($C$5:$C$7)</f>
        <v>0.23162638475824363</v>
      </c>
    </row>
    <row r="7" spans="2:5">
      <c r="B7" s="163" t="s">
        <v>879</v>
      </c>
      <c r="C7" s="164">
        <f>SUM('2019 KESIS Energy Balance'!W61:Y61)</f>
        <v>45.795999999999999</v>
      </c>
      <c r="D7" s="165">
        <f t="shared" si="0"/>
        <v>0.59476097092170033</v>
      </c>
      <c r="E7" s="431"/>
    </row>
    <row r="9" spans="2:5">
      <c r="B9" s="173" t="s">
        <v>880</v>
      </c>
      <c r="C9" s="265" t="s">
        <v>876</v>
      </c>
      <c r="D9" s="265" t="s">
        <v>877</v>
      </c>
      <c r="E9" s="432" t="s">
        <v>881</v>
      </c>
    </row>
    <row r="10" spans="2:5">
      <c r="B10" s="163" t="s">
        <v>106</v>
      </c>
      <c r="C10" s="164">
        <f>SUM('2022 Energy Balance'!Z61:AE61)</f>
        <v>3.7439999999999998</v>
      </c>
      <c r="D10" s="165">
        <f>C10/SUM($C$5:$C$7)</f>
        <v>4.8624008104001352E-2</v>
      </c>
    </row>
    <row r="11" spans="2:5">
      <c r="B11" s="163" t="s">
        <v>878</v>
      </c>
      <c r="C11" s="164">
        <f>SUM('2022 Energy Balance'!AF61:AH61)</f>
        <v>1.8000000000000002E-2</v>
      </c>
      <c r="D11" s="165">
        <f t="shared" ref="D11:D12" si="1">C11/SUM($C$5:$C$7)</f>
        <v>2.3376926973077576E-4</v>
      </c>
    </row>
    <row r="12" spans="2:5">
      <c r="B12" s="163" t="s">
        <v>879</v>
      </c>
      <c r="C12" s="164">
        <f>SUM('2022 Energy Balance'!W61:Y61)</f>
        <v>51.706999999999994</v>
      </c>
      <c r="D12" s="165">
        <f t="shared" si="1"/>
        <v>0.67152820166495664</v>
      </c>
    </row>
    <row r="14" spans="2:5" ht="16.5">
      <c r="B14" s="137" t="s">
        <v>882</v>
      </c>
    </row>
    <row r="29" spans="3:3">
      <c r="C29" s="94"/>
    </row>
  </sheetData>
  <phoneticPr fontId="35"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workbookViewId="0"/>
  </sheetViews>
  <sheetFormatPr defaultColWidth="8.5" defaultRowHeight="15"/>
  <cols>
    <col min="1" max="1" width="2.625" style="137" customWidth="1"/>
    <col min="2" max="2" width="24.5" style="137" customWidth="1"/>
    <col min="3" max="4" width="30.375" style="137" customWidth="1"/>
    <col min="5" max="14" width="14.375" style="137" customWidth="1"/>
    <col min="15" max="16384" width="8.5" style="137"/>
  </cols>
  <sheetData>
    <row r="2" spans="2:14">
      <c r="B2" s="264" t="s">
        <v>883</v>
      </c>
    </row>
    <row r="4" spans="2:14">
      <c r="B4" s="173" t="s">
        <v>884</v>
      </c>
      <c r="C4" s="173"/>
    </row>
    <row r="5" spans="2:14" s="278" customFormat="1" ht="30">
      <c r="B5" s="275"/>
      <c r="C5" s="275" t="s">
        <v>885</v>
      </c>
      <c r="D5" s="275" t="s">
        <v>886</v>
      </c>
      <c r="E5" s="276" t="s">
        <v>887</v>
      </c>
      <c r="F5" s="277" t="s">
        <v>888</v>
      </c>
      <c r="G5" s="277" t="s">
        <v>889</v>
      </c>
      <c r="H5" s="277" t="s">
        <v>890</v>
      </c>
      <c r="I5" s="277" t="s">
        <v>891</v>
      </c>
      <c r="J5" s="277" t="s">
        <v>892</v>
      </c>
      <c r="K5" s="277" t="s">
        <v>893</v>
      </c>
      <c r="L5" s="277" t="s">
        <v>878</v>
      </c>
      <c r="M5" s="277" t="s">
        <v>879</v>
      </c>
      <c r="N5" s="277" t="s">
        <v>894</v>
      </c>
    </row>
    <row r="6" spans="2:14" s="288" customFormat="1" ht="198">
      <c r="B6" s="284" t="s">
        <v>47</v>
      </c>
      <c r="C6" s="285" t="str">
        <f>VLOOKUP($B6,About!$B$47:$E$71,3,0)</f>
        <v>EndUse&gt;Industry&gt;chemical and Petro-chemical</v>
      </c>
      <c r="D6" s="285" t="str">
        <f>VLOOKUP($B6,About!$B$47:$E$71,4,0)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6">
        <f>1-E7</f>
        <v>0.55209607472478606</v>
      </c>
      <c r="F6" s="286">
        <f t="shared" ref="F6:M6" si="0">1-F7</f>
        <v>0.44441460794844245</v>
      </c>
      <c r="G6" s="286">
        <f t="shared" si="0"/>
        <v>0.48703570787726536</v>
      </c>
      <c r="H6" s="286">
        <f>1-H7</f>
        <v>0.96770405167351736</v>
      </c>
      <c r="I6" s="286">
        <f t="shared" si="0"/>
        <v>0.6588235294117647</v>
      </c>
      <c r="J6" s="286">
        <f t="shared" si="0"/>
        <v>0.58344383405948097</v>
      </c>
      <c r="K6" s="287" t="s">
        <v>236</v>
      </c>
      <c r="L6" s="286">
        <f t="shared" si="0"/>
        <v>0.97435897435897434</v>
      </c>
      <c r="M6" s="286">
        <f t="shared" si="0"/>
        <v>0.69558576447227738</v>
      </c>
      <c r="N6" s="287" t="s">
        <v>236</v>
      </c>
    </row>
    <row r="7" spans="2:14" s="288" customFormat="1" ht="66">
      <c r="B7" s="289" t="s">
        <v>51</v>
      </c>
      <c r="C7" s="290" t="str">
        <f>VLOOKUP($B7,About!$B$47:$E$71,3,0)</f>
        <v>EndUse&gt;Industry&gt;chemical and Petro-chemical</v>
      </c>
      <c r="D7" s="290" t="str">
        <f>VLOOKUP($B7,About!$B$47:$E$71,4,0)</f>
        <v>Synthetic rubber and plastic material manufacturing, rubber product manufacturing, plastic product manufacturing</v>
      </c>
      <c r="E7" s="291">
        <f>SUM(E33,L33:M33)/SUM(D33:M33)</f>
        <v>0.447903925275214</v>
      </c>
      <c r="F7" s="292">
        <f>SUM(E18,L18:M18)/SUM(D18:M18)</f>
        <v>0.55558539205155755</v>
      </c>
      <c r="G7" s="293">
        <f>SUM(E30,L30:M30)/SUM(D30:M30)</f>
        <v>0.51296429212273464</v>
      </c>
      <c r="H7" s="291">
        <f>SUM(E31,L31:M31)/SUM(D31:M31)</f>
        <v>3.2295948326482679E-2</v>
      </c>
      <c r="I7" s="291">
        <f>SUM(E20:E22,L20:M22)/SUM(D20:M22)</f>
        <v>0.3411764705882353</v>
      </c>
      <c r="J7" s="294">
        <f>SUM(E32,L32:M32)/SUM(D32:M32)</f>
        <v>0.41655616594051903</v>
      </c>
      <c r="K7" s="295" t="s">
        <v>895</v>
      </c>
      <c r="L7" s="291">
        <f>SUM(E23:E25,L23:M25)/SUM(D23:M25)</f>
        <v>2.5641025641025637E-2</v>
      </c>
      <c r="M7" s="291">
        <f>SUM(E27:E28,L27:M28)/SUM(D27:M28)</f>
        <v>0.30441423552772262</v>
      </c>
      <c r="N7" s="295" t="s">
        <v>895</v>
      </c>
    </row>
    <row r="8" spans="2:14" s="139" customFormat="1">
      <c r="B8" s="266" t="s">
        <v>896</v>
      </c>
      <c r="C8" s="266"/>
      <c r="D8" s="266"/>
      <c r="E8" s="267">
        <f t="shared" ref="E8:M8" si="1">SUM(E6:E7)</f>
        <v>1</v>
      </c>
      <c r="F8" s="267">
        <f t="shared" si="1"/>
        <v>1</v>
      </c>
      <c r="G8" s="267">
        <f t="shared" si="1"/>
        <v>1</v>
      </c>
      <c r="H8" s="267">
        <f t="shared" si="1"/>
        <v>1</v>
      </c>
      <c r="I8" s="267">
        <f t="shared" si="1"/>
        <v>1</v>
      </c>
      <c r="J8" s="267">
        <f t="shared" si="1"/>
        <v>1</v>
      </c>
      <c r="K8" s="268" t="s">
        <v>895</v>
      </c>
      <c r="L8" s="267">
        <f t="shared" si="1"/>
        <v>1</v>
      </c>
      <c r="M8" s="267">
        <f t="shared" si="1"/>
        <v>1</v>
      </c>
      <c r="N8" s="268" t="s">
        <v>895</v>
      </c>
    </row>
    <row r="10" spans="2:14">
      <c r="B10" s="173" t="s">
        <v>897</v>
      </c>
    </row>
    <row r="11" spans="2:14" s="170" customFormat="1" ht="16.5">
      <c r="B11" s="2" t="s">
        <v>898</v>
      </c>
      <c r="C11" s="2" t="s">
        <v>899</v>
      </c>
    </row>
    <row r="12" spans="2:14" s="170" customFormat="1" ht="16.5">
      <c r="B12" s="2" t="s">
        <v>900</v>
      </c>
      <c r="C12" s="2" t="s">
        <v>901</v>
      </c>
    </row>
    <row r="13" spans="2:14" s="170" customFormat="1" ht="16.5">
      <c r="B13" s="2" t="s">
        <v>902</v>
      </c>
      <c r="C13" s="2" t="s">
        <v>903</v>
      </c>
    </row>
    <row r="14" spans="2:14" s="170" customFormat="1" ht="16.5">
      <c r="B14" s="2" t="s">
        <v>904</v>
      </c>
      <c r="C14" s="2" t="s">
        <v>905</v>
      </c>
    </row>
    <row r="15" spans="2:14" s="170" customFormat="1" ht="20.100000000000001" customHeight="1">
      <c r="B15" s="510" t="s">
        <v>906</v>
      </c>
      <c r="C15" s="510" t="s">
        <v>907</v>
      </c>
      <c r="D15" s="511" t="s">
        <v>908</v>
      </c>
      <c r="E15" s="511" t="s">
        <v>908</v>
      </c>
      <c r="F15" s="511" t="s">
        <v>908</v>
      </c>
      <c r="G15" s="511" t="s">
        <v>908</v>
      </c>
      <c r="H15" s="511" t="s">
        <v>908</v>
      </c>
      <c r="I15" s="511" t="s">
        <v>908</v>
      </c>
      <c r="J15" s="511" t="s">
        <v>908</v>
      </c>
      <c r="K15" s="511" t="s">
        <v>908</v>
      </c>
      <c r="L15" s="511" t="s">
        <v>908</v>
      </c>
      <c r="M15" s="511" t="s">
        <v>908</v>
      </c>
    </row>
    <row r="16" spans="2:14" s="170" customFormat="1" ht="20.100000000000001" customHeight="1">
      <c r="B16" s="511" t="s">
        <v>906</v>
      </c>
      <c r="C16" s="511" t="s">
        <v>907</v>
      </c>
      <c r="D16" s="271" t="s">
        <v>909</v>
      </c>
      <c r="E16" s="270" t="s">
        <v>910</v>
      </c>
      <c r="F16" s="271" t="s">
        <v>911</v>
      </c>
      <c r="G16" s="271" t="s">
        <v>912</v>
      </c>
      <c r="H16" s="271" t="s">
        <v>913</v>
      </c>
      <c r="I16" s="271" t="s">
        <v>914</v>
      </c>
      <c r="J16" s="271" t="s">
        <v>915</v>
      </c>
      <c r="K16" s="271" t="s">
        <v>916</v>
      </c>
      <c r="L16" s="270" t="s">
        <v>917</v>
      </c>
      <c r="M16" s="270" t="s">
        <v>918</v>
      </c>
    </row>
    <row r="17" spans="2:13" s="170" customFormat="1" ht="20.100000000000001" customHeight="1">
      <c r="B17" s="272" t="s">
        <v>196</v>
      </c>
      <c r="C17" s="272" t="s">
        <v>919</v>
      </c>
      <c r="D17" s="171">
        <v>23977.599999999999</v>
      </c>
      <c r="E17" s="171">
        <v>8599</v>
      </c>
      <c r="F17" s="171">
        <v>92.9</v>
      </c>
      <c r="G17" s="171">
        <v>614.4</v>
      </c>
      <c r="H17" s="171">
        <v>454.8</v>
      </c>
      <c r="I17" s="171">
        <v>87.5</v>
      </c>
      <c r="J17" s="171">
        <v>212.8</v>
      </c>
      <c r="K17" s="171">
        <v>13.5</v>
      </c>
      <c r="L17" s="171">
        <v>407</v>
      </c>
      <c r="M17" s="171">
        <v>1404.5</v>
      </c>
    </row>
    <row r="18" spans="2:13" s="170" customFormat="1" ht="20.100000000000001" customHeight="1">
      <c r="B18" s="272" t="s">
        <v>920</v>
      </c>
      <c r="C18" s="272" t="s">
        <v>919</v>
      </c>
      <c r="D18" s="171">
        <v>100.8</v>
      </c>
      <c r="E18" s="171">
        <v>206.9</v>
      </c>
      <c r="F18" s="172" t="s">
        <v>170</v>
      </c>
      <c r="G18" s="171">
        <v>1.3</v>
      </c>
      <c r="H18" s="171">
        <v>63.4</v>
      </c>
      <c r="I18" s="172" t="s">
        <v>170</v>
      </c>
      <c r="J18" s="172" t="s">
        <v>170</v>
      </c>
      <c r="K18" s="172" t="s">
        <v>170</v>
      </c>
      <c r="L18" s="172" t="s">
        <v>170</v>
      </c>
      <c r="M18" s="171">
        <v>0</v>
      </c>
    </row>
    <row r="19" spans="2:13" s="170" customFormat="1" ht="20.100000000000001" customHeight="1">
      <c r="B19" s="272" t="s">
        <v>921</v>
      </c>
      <c r="C19" s="272" t="s">
        <v>919</v>
      </c>
      <c r="D19" s="171">
        <v>19772.5</v>
      </c>
      <c r="E19" s="171">
        <v>5725.5</v>
      </c>
      <c r="F19" s="171">
        <v>6.2</v>
      </c>
      <c r="G19" s="171">
        <v>12.8</v>
      </c>
      <c r="H19" s="171">
        <v>33.299999999999997</v>
      </c>
      <c r="I19" s="171">
        <v>0.5</v>
      </c>
      <c r="J19" s="171">
        <v>1.3</v>
      </c>
      <c r="K19" s="171">
        <v>0</v>
      </c>
      <c r="L19" s="171">
        <v>3.1</v>
      </c>
      <c r="M19" s="171">
        <v>29.5</v>
      </c>
    </row>
    <row r="20" spans="2:13" s="170" customFormat="1" ht="20.100000000000001" customHeight="1">
      <c r="B20" s="273" t="s">
        <v>922</v>
      </c>
      <c r="C20" s="272" t="s">
        <v>265</v>
      </c>
      <c r="D20" s="171">
        <v>0</v>
      </c>
      <c r="E20" s="171">
        <v>0</v>
      </c>
      <c r="F20" s="172" t="s">
        <v>170</v>
      </c>
      <c r="G20" s="171">
        <v>0</v>
      </c>
      <c r="H20" s="172" t="s">
        <v>170</v>
      </c>
      <c r="I20" s="172" t="s">
        <v>170</v>
      </c>
      <c r="J20" s="171">
        <v>0</v>
      </c>
      <c r="K20" s="171">
        <v>0</v>
      </c>
      <c r="L20" s="171">
        <v>0</v>
      </c>
      <c r="M20" s="171">
        <v>0</v>
      </c>
    </row>
    <row r="21" spans="2:13" s="170" customFormat="1" ht="20.100000000000001" customHeight="1">
      <c r="B21" s="273" t="s">
        <v>922</v>
      </c>
      <c r="C21" s="272" t="s">
        <v>923</v>
      </c>
      <c r="D21" s="171">
        <v>0.9</v>
      </c>
      <c r="E21" s="171">
        <v>0.3</v>
      </c>
      <c r="F21" s="171">
        <v>0.3</v>
      </c>
      <c r="G21" s="171">
        <v>2.5</v>
      </c>
      <c r="H21" s="172" t="s">
        <v>170</v>
      </c>
      <c r="I21" s="171">
        <v>0</v>
      </c>
      <c r="J21" s="171">
        <v>0.2</v>
      </c>
      <c r="K21" s="171">
        <v>0</v>
      </c>
      <c r="L21" s="171">
        <v>0.8</v>
      </c>
      <c r="M21" s="171">
        <v>0.5</v>
      </c>
    </row>
    <row r="22" spans="2:13" s="170" customFormat="1" ht="20.100000000000001" customHeight="1">
      <c r="B22" s="273" t="s">
        <v>922</v>
      </c>
      <c r="C22" s="272" t="s">
        <v>270</v>
      </c>
      <c r="D22" s="171">
        <v>0.8</v>
      </c>
      <c r="E22" s="171">
        <v>0.2</v>
      </c>
      <c r="F22" s="171">
        <v>0.5</v>
      </c>
      <c r="G22" s="171">
        <v>0.3</v>
      </c>
      <c r="H22" s="171">
        <v>0</v>
      </c>
      <c r="I22" s="171">
        <v>0</v>
      </c>
      <c r="J22" s="171">
        <v>0.1</v>
      </c>
      <c r="K22" s="171">
        <v>0</v>
      </c>
      <c r="L22" s="171">
        <v>0.2</v>
      </c>
      <c r="M22" s="171">
        <v>0.9</v>
      </c>
    </row>
    <row r="23" spans="2:13" s="170" customFormat="1" ht="20.100000000000001" customHeight="1">
      <c r="B23" s="273" t="s">
        <v>922</v>
      </c>
      <c r="C23" s="272" t="s">
        <v>924</v>
      </c>
      <c r="D23" s="172" t="s">
        <v>170</v>
      </c>
      <c r="E23" s="172" t="s">
        <v>170</v>
      </c>
      <c r="F23" s="172" t="s">
        <v>170</v>
      </c>
      <c r="G23" s="172" t="s">
        <v>170</v>
      </c>
      <c r="H23" s="172" t="s">
        <v>170</v>
      </c>
      <c r="I23" s="172" t="s">
        <v>170</v>
      </c>
      <c r="J23" s="172" t="s">
        <v>170</v>
      </c>
      <c r="K23" s="172" t="s">
        <v>170</v>
      </c>
      <c r="L23" s="171">
        <v>0.2</v>
      </c>
      <c r="M23" s="171">
        <v>0.1</v>
      </c>
    </row>
    <row r="24" spans="2:13" s="170" customFormat="1" ht="20.100000000000001" customHeight="1">
      <c r="B24" s="273" t="s">
        <v>922</v>
      </c>
      <c r="C24" s="272" t="s">
        <v>925</v>
      </c>
      <c r="D24" s="172" t="s">
        <v>170</v>
      </c>
      <c r="E24" s="172" t="s">
        <v>170</v>
      </c>
      <c r="F24" s="172" t="s">
        <v>170</v>
      </c>
      <c r="G24" s="171">
        <v>0.2</v>
      </c>
      <c r="H24" s="172" t="s">
        <v>170</v>
      </c>
      <c r="I24" s="172" t="s">
        <v>170</v>
      </c>
      <c r="J24" s="172" t="s">
        <v>170</v>
      </c>
      <c r="K24" s="172" t="s">
        <v>170</v>
      </c>
      <c r="L24" s="172" t="s">
        <v>170</v>
      </c>
      <c r="M24" s="171">
        <v>0.1</v>
      </c>
    </row>
    <row r="25" spans="2:13" s="170" customFormat="1" ht="20.100000000000001" customHeight="1">
      <c r="B25" s="273" t="s">
        <v>922</v>
      </c>
      <c r="C25" s="272" t="s">
        <v>926</v>
      </c>
      <c r="D25" s="171">
        <v>340</v>
      </c>
      <c r="E25" s="172" t="s">
        <v>170</v>
      </c>
      <c r="F25" s="171">
        <v>5.3</v>
      </c>
      <c r="G25" s="171">
        <v>3</v>
      </c>
      <c r="H25" s="171">
        <v>8.6999999999999993</v>
      </c>
      <c r="I25" s="172" t="s">
        <v>170</v>
      </c>
      <c r="J25" s="171">
        <v>0</v>
      </c>
      <c r="K25" s="172" t="s">
        <v>170</v>
      </c>
      <c r="L25" s="171">
        <v>0.8</v>
      </c>
      <c r="M25" s="171">
        <v>8.1999999999999993</v>
      </c>
    </row>
    <row r="26" spans="2:13" s="170" customFormat="1" ht="20.100000000000001" customHeight="1">
      <c r="B26" s="273" t="s">
        <v>922</v>
      </c>
      <c r="C26" s="272" t="s">
        <v>274</v>
      </c>
      <c r="D26" s="171">
        <v>16323.8</v>
      </c>
      <c r="E26" s="171">
        <v>4525.5</v>
      </c>
      <c r="F26" s="172" t="s">
        <v>170</v>
      </c>
      <c r="G26" s="172" t="s">
        <v>170</v>
      </c>
      <c r="H26" s="172" t="s">
        <v>170</v>
      </c>
      <c r="I26" s="172" t="s">
        <v>170</v>
      </c>
      <c r="J26" s="172" t="s">
        <v>170</v>
      </c>
      <c r="K26" s="172" t="s">
        <v>170</v>
      </c>
      <c r="L26" s="172" t="s">
        <v>170</v>
      </c>
      <c r="M26" s="171">
        <v>0.3</v>
      </c>
    </row>
    <row r="27" spans="2:13" s="170" customFormat="1" ht="20.100000000000001" customHeight="1">
      <c r="B27" s="273" t="s">
        <v>922</v>
      </c>
      <c r="C27" s="272" t="s">
        <v>263</v>
      </c>
      <c r="D27" s="171">
        <v>2103.9</v>
      </c>
      <c r="E27" s="171">
        <v>817.1</v>
      </c>
      <c r="F27" s="171">
        <v>0.1</v>
      </c>
      <c r="G27" s="171">
        <v>5.8</v>
      </c>
      <c r="H27" s="171">
        <v>24.6</v>
      </c>
      <c r="I27" s="171">
        <v>0.5</v>
      </c>
      <c r="J27" s="171">
        <v>0.1</v>
      </c>
      <c r="K27" s="171">
        <v>0</v>
      </c>
      <c r="L27" s="171">
        <v>0.9</v>
      </c>
      <c r="M27" s="171">
        <v>18.100000000000001</v>
      </c>
    </row>
    <row r="28" spans="2:13" s="170" customFormat="1" ht="20.100000000000001" customHeight="1">
      <c r="B28" s="273" t="s">
        <v>922</v>
      </c>
      <c r="C28" s="272" t="s">
        <v>264</v>
      </c>
      <c r="D28" s="171">
        <v>142</v>
      </c>
      <c r="E28" s="171">
        <v>160.4</v>
      </c>
      <c r="F28" s="171">
        <v>0</v>
      </c>
      <c r="G28" s="171">
        <v>0</v>
      </c>
      <c r="H28" s="172" t="s">
        <v>170</v>
      </c>
      <c r="I28" s="172" t="s">
        <v>170</v>
      </c>
      <c r="J28" s="172" t="s">
        <v>170</v>
      </c>
      <c r="K28" s="171">
        <v>0</v>
      </c>
      <c r="L28" s="171">
        <v>0</v>
      </c>
      <c r="M28" s="171">
        <v>0</v>
      </c>
    </row>
    <row r="29" spans="2:13" s="170" customFormat="1" ht="20.100000000000001" customHeight="1">
      <c r="B29" s="273" t="s">
        <v>922</v>
      </c>
      <c r="C29" s="272" t="s">
        <v>927</v>
      </c>
      <c r="D29" s="171">
        <v>861</v>
      </c>
      <c r="E29" s="171">
        <v>222</v>
      </c>
      <c r="F29" s="171">
        <v>0.1</v>
      </c>
      <c r="G29" s="171">
        <v>0.9</v>
      </c>
      <c r="H29" s="172" t="s">
        <v>170</v>
      </c>
      <c r="I29" s="171">
        <v>0</v>
      </c>
      <c r="J29" s="171">
        <v>0.9</v>
      </c>
      <c r="K29" s="172" t="s">
        <v>170</v>
      </c>
      <c r="L29" s="171">
        <v>0.3</v>
      </c>
      <c r="M29" s="171">
        <v>1.3</v>
      </c>
    </row>
    <row r="30" spans="2:13" s="170" customFormat="1" ht="20.100000000000001" customHeight="1">
      <c r="B30" s="272" t="s">
        <v>167</v>
      </c>
      <c r="C30" s="272" t="s">
        <v>919</v>
      </c>
      <c r="D30" s="171">
        <v>715.6</v>
      </c>
      <c r="E30" s="171">
        <v>747.8</v>
      </c>
      <c r="F30" s="171">
        <v>15.3</v>
      </c>
      <c r="G30" s="171">
        <v>192.8</v>
      </c>
      <c r="H30" s="171">
        <v>64.099999999999994</v>
      </c>
      <c r="I30" s="171">
        <v>17.3</v>
      </c>
      <c r="J30" s="171">
        <v>77.2</v>
      </c>
      <c r="K30" s="171">
        <v>3.4</v>
      </c>
      <c r="L30" s="171">
        <v>147.19999999999999</v>
      </c>
      <c r="M30" s="171">
        <v>248.5</v>
      </c>
    </row>
    <row r="31" spans="2:13" s="170" customFormat="1" ht="20.100000000000001" customHeight="1">
      <c r="B31" s="272" t="s">
        <v>928</v>
      </c>
      <c r="C31" s="272" t="s">
        <v>919</v>
      </c>
      <c r="D31" s="171">
        <v>162.6</v>
      </c>
      <c r="E31" s="171">
        <v>3.6</v>
      </c>
      <c r="F31" s="171">
        <v>2</v>
      </c>
      <c r="G31" s="172" t="s">
        <v>170</v>
      </c>
      <c r="H31" s="171">
        <v>0.2</v>
      </c>
      <c r="I31" s="172" t="s">
        <v>170</v>
      </c>
      <c r="J31" s="172" t="s">
        <v>170</v>
      </c>
      <c r="K31" s="172" t="s">
        <v>170</v>
      </c>
      <c r="L31" s="172" t="s">
        <v>170</v>
      </c>
      <c r="M31" s="171">
        <v>1.9</v>
      </c>
    </row>
    <row r="32" spans="2:13" s="170" customFormat="1" ht="20.100000000000001" customHeight="1">
      <c r="B32" s="272" t="s">
        <v>169</v>
      </c>
      <c r="C32" s="272" t="s">
        <v>919</v>
      </c>
      <c r="D32" s="171">
        <v>1022.8</v>
      </c>
      <c r="E32" s="171">
        <v>777.4</v>
      </c>
      <c r="F32" s="171">
        <v>2</v>
      </c>
      <c r="G32" s="171">
        <v>96</v>
      </c>
      <c r="H32" s="171">
        <v>77.8</v>
      </c>
      <c r="I32" s="171">
        <v>16.100000000000001</v>
      </c>
      <c r="J32" s="171">
        <v>16.899999999999999</v>
      </c>
      <c r="K32" s="171">
        <v>0.4</v>
      </c>
      <c r="L32" s="171">
        <v>17.399999999999999</v>
      </c>
      <c r="M32" s="171">
        <v>84.8</v>
      </c>
    </row>
    <row r="33" spans="2:13" s="170" customFormat="1" ht="20.100000000000001" customHeight="1">
      <c r="B33" s="274" t="s">
        <v>198</v>
      </c>
      <c r="C33" s="274" t="s">
        <v>919</v>
      </c>
      <c r="D33" s="171">
        <v>2203.4</v>
      </c>
      <c r="E33" s="171">
        <v>1137.7</v>
      </c>
      <c r="F33" s="171">
        <v>67.400000000000006</v>
      </c>
      <c r="G33" s="171">
        <v>311.5</v>
      </c>
      <c r="H33" s="171">
        <v>216.1</v>
      </c>
      <c r="I33" s="171">
        <v>53.7</v>
      </c>
      <c r="J33" s="171">
        <v>117.3</v>
      </c>
      <c r="K33" s="171">
        <v>9.6</v>
      </c>
      <c r="L33" s="171">
        <v>239.3</v>
      </c>
      <c r="M33" s="171">
        <v>1039.8</v>
      </c>
    </row>
    <row r="35" spans="2:13">
      <c r="B35" s="173" t="s">
        <v>875</v>
      </c>
      <c r="C35" s="173"/>
    </row>
    <row r="36" spans="2:13">
      <c r="C36" s="265" t="s">
        <v>876</v>
      </c>
      <c r="D36" s="265" t="s">
        <v>877</v>
      </c>
    </row>
    <row r="37" spans="2:13">
      <c r="B37" s="163" t="s">
        <v>106</v>
      </c>
      <c r="C37" s="164">
        <f>SUM('2019 KESIS Energy Balance'!Z59:AE59)</f>
        <v>50.731999999999999</v>
      </c>
      <c r="D37" s="165">
        <f>C37/SUM($C$37:$C$39)</f>
        <v>4.8876454289358787E-2</v>
      </c>
    </row>
    <row r="38" spans="2:13">
      <c r="B38" s="163" t="s">
        <v>878</v>
      </c>
      <c r="C38" s="164">
        <f>SUM('2019 KESIS Energy Balance'!AF59:AH59)</f>
        <v>174.44899999999998</v>
      </c>
      <c r="D38" s="165">
        <f>C38/SUM($C$37:$C$39)</f>
        <v>0.16806844938745466</v>
      </c>
    </row>
    <row r="39" spans="2:13">
      <c r="B39" s="163" t="s">
        <v>879</v>
      </c>
      <c r="C39" s="164">
        <f>SUM('2019 KESIS Energy Balance'!W59:Z59)</f>
        <v>812.7829999999999</v>
      </c>
      <c r="D39" s="165">
        <f>C39/SUM($C$37:$C$39)</f>
        <v>0.78305509632318648</v>
      </c>
    </row>
    <row r="41" spans="2:13">
      <c r="B41" s="173" t="s">
        <v>880</v>
      </c>
      <c r="C41" s="173"/>
    </row>
    <row r="42" spans="2:13">
      <c r="C42" s="265" t="s">
        <v>876</v>
      </c>
      <c r="D42" s="265" t="s">
        <v>877</v>
      </c>
    </row>
    <row r="43" spans="2:13">
      <c r="B43" s="163" t="s">
        <v>106</v>
      </c>
      <c r="C43" s="164">
        <f>SUM('2022 Energy Balance'!Z59:AE59)</f>
        <v>15.571999999999999</v>
      </c>
      <c r="D43" s="165">
        <f>C43/SUM($C$37:$C$39)</f>
        <v>1.5002447098357938E-2</v>
      </c>
    </row>
    <row r="44" spans="2:13">
      <c r="B44" s="163" t="s">
        <v>878</v>
      </c>
      <c r="C44" s="164">
        <f>SUM('2022 Energy Balance'!AF59:AH59)</f>
        <v>186.02199999999999</v>
      </c>
      <c r="D44" s="165">
        <f>C44/SUM($C$37:$C$39)</f>
        <v>0.17921816170888394</v>
      </c>
    </row>
    <row r="45" spans="2:13">
      <c r="B45" s="163" t="s">
        <v>879</v>
      </c>
      <c r="C45" s="164">
        <f>SUM('2022 Energy Balance'!W59:Z59)</f>
        <v>307.72999999999996</v>
      </c>
      <c r="D45" s="165">
        <f>C45/SUM($C$37:$C$39)</f>
        <v>0.29647463688528697</v>
      </c>
    </row>
    <row r="46" spans="2:13" ht="16.5">
      <c r="B46" s="137" t="s">
        <v>882</v>
      </c>
    </row>
  </sheetData>
  <mergeCells count="3">
    <mergeCell ref="B15:B16"/>
    <mergeCell ref="C15:C16"/>
    <mergeCell ref="D15:M15"/>
  </mergeCells>
  <phoneticPr fontId="35"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workbookViewId="0"/>
  </sheetViews>
  <sheetFormatPr defaultColWidth="8.5" defaultRowHeight="15"/>
  <cols>
    <col min="1" max="1" width="2.625" style="137" customWidth="1"/>
    <col min="2" max="2" width="24.5" style="137" customWidth="1"/>
    <col min="3" max="4" width="30.375" style="137" customWidth="1"/>
    <col min="5" max="14" width="14.375" style="137" customWidth="1"/>
    <col min="15" max="16384" width="8.5" style="137"/>
  </cols>
  <sheetData>
    <row r="2" spans="2:14">
      <c r="B2" s="264" t="s">
        <v>929</v>
      </c>
    </row>
    <row r="4" spans="2:14">
      <c r="B4" s="173" t="s">
        <v>884</v>
      </c>
      <c r="C4" s="173"/>
    </row>
    <row r="5" spans="2:14" s="278" customFormat="1" ht="30">
      <c r="B5" s="275"/>
      <c r="C5" s="275" t="s">
        <v>885</v>
      </c>
      <c r="D5" s="275" t="s">
        <v>886</v>
      </c>
      <c r="E5" s="275" t="s">
        <v>887</v>
      </c>
      <c r="F5" s="280" t="s">
        <v>888</v>
      </c>
      <c r="G5" s="280" t="s">
        <v>889</v>
      </c>
      <c r="H5" s="280" t="s">
        <v>890</v>
      </c>
      <c r="I5" s="280" t="s">
        <v>891</v>
      </c>
      <c r="J5" s="280" t="s">
        <v>892</v>
      </c>
      <c r="K5" s="280" t="s">
        <v>893</v>
      </c>
      <c r="L5" s="280" t="s">
        <v>878</v>
      </c>
      <c r="M5" s="280" t="s">
        <v>879</v>
      </c>
      <c r="N5" s="280" t="s">
        <v>894</v>
      </c>
    </row>
    <row r="6" spans="2:14" s="283" customFormat="1" ht="30">
      <c r="B6" s="296" t="s">
        <v>61</v>
      </c>
      <c r="C6" s="297" t="str">
        <f>VLOOKUP($B6,About!$B$47:$E$71,3,0)</f>
        <v>EndUse&gt;Industry&gt;non-ferrous metals</v>
      </c>
      <c r="D6" s="297" t="str">
        <f>VLOOKUP($B6,About!$B$47:$E$71,4,0)</f>
        <v>Primary non-ferrous metals manufacturing</v>
      </c>
      <c r="E6" s="298">
        <f>D40/SUM(D40:H40)</f>
        <v>0.33838301347488775</v>
      </c>
      <c r="F6" s="298">
        <f>D18/SUM(D18:H18)</f>
        <v>0.97029702970297016</v>
      </c>
      <c r="G6" s="299">
        <f>D37/SUM(D37:H37)</f>
        <v>0.40929344366645448</v>
      </c>
      <c r="H6" s="298">
        <f>D38/SUM(D38:H38)</f>
        <v>0.76582278481012667</v>
      </c>
      <c r="I6" s="298">
        <f>SUM(D27:D29)/SUM(D27:H29)</f>
        <v>0.10526315789473685</v>
      </c>
      <c r="J6" s="299">
        <f>D39/SUM(D39:H39)</f>
        <v>0.59027777777777779</v>
      </c>
      <c r="K6" s="296" t="s">
        <v>236</v>
      </c>
      <c r="L6" s="298">
        <f>SUM(D30:D32)/SUM(D30:H32)</f>
        <v>0.93931398416886547</v>
      </c>
      <c r="M6" s="298">
        <f>SUM(D34:D35)/SUM(D34:H35)</f>
        <v>0.38990825688073388</v>
      </c>
      <c r="N6" s="296" t="s">
        <v>236</v>
      </c>
    </row>
    <row r="7" spans="2:14" s="283" customFormat="1" ht="75">
      <c r="B7" s="300" t="s">
        <v>65</v>
      </c>
      <c r="C7" s="301" t="str">
        <f>VLOOKUP($B7,About!$B$47:$E$71,3,0)</f>
        <v>EndUse&gt;Industry&gt;non-ferrous metals</v>
      </c>
      <c r="D7" s="301" t="str">
        <f>VLOOKUP($B7,About!$B$47:$E$71,4,0)</f>
        <v>Metal Foundry, Structural Metal Products, Tank and Steam Generator Manufacturing, Weapons and Gun Ammunition Manufacturing, other Metalworking Products Manufacturing</v>
      </c>
      <c r="E7" s="302">
        <f>1-E6</f>
        <v>0.66161698652511225</v>
      </c>
      <c r="F7" s="302">
        <f t="shared" ref="F7:M7" si="0">1-F6</f>
        <v>2.970297029702984E-2</v>
      </c>
      <c r="G7" s="302">
        <f t="shared" si="0"/>
        <v>0.59070655633354552</v>
      </c>
      <c r="H7" s="302">
        <f>1-H6</f>
        <v>0.23417721518987333</v>
      </c>
      <c r="I7" s="302">
        <f t="shared" si="0"/>
        <v>0.89473684210526316</v>
      </c>
      <c r="J7" s="302">
        <f t="shared" si="0"/>
        <v>0.40972222222222221</v>
      </c>
      <c r="K7" s="300" t="s">
        <v>895</v>
      </c>
      <c r="L7" s="302">
        <f t="shared" si="0"/>
        <v>6.0686015831134532E-2</v>
      </c>
      <c r="M7" s="302">
        <f t="shared" si="0"/>
        <v>0.61009174311926606</v>
      </c>
      <c r="N7" s="300" t="s">
        <v>895</v>
      </c>
    </row>
    <row r="8" spans="2:14" s="139" customFormat="1">
      <c r="B8" s="139" t="s">
        <v>930</v>
      </c>
      <c r="E8" s="279">
        <f t="shared" ref="E8:N8" si="1">SUM(E6:E7)</f>
        <v>1</v>
      </c>
      <c r="F8" s="279">
        <f t="shared" si="1"/>
        <v>1</v>
      </c>
      <c r="G8" s="279">
        <f t="shared" si="1"/>
        <v>1</v>
      </c>
      <c r="H8" s="279">
        <f t="shared" si="1"/>
        <v>1</v>
      </c>
      <c r="I8" s="279">
        <f t="shared" si="1"/>
        <v>1</v>
      </c>
      <c r="J8" s="279">
        <f t="shared" si="1"/>
        <v>1</v>
      </c>
      <c r="K8" s="279">
        <f t="shared" si="1"/>
        <v>0</v>
      </c>
      <c r="L8" s="279">
        <f t="shared" si="1"/>
        <v>1</v>
      </c>
      <c r="M8" s="279">
        <f t="shared" si="1"/>
        <v>1</v>
      </c>
      <c r="N8" s="279">
        <f t="shared" si="1"/>
        <v>0</v>
      </c>
    </row>
    <row r="10" spans="2:14" s="170" customFormat="1" ht="16.5">
      <c r="B10" s="173" t="s">
        <v>897</v>
      </c>
      <c r="C10" s="2"/>
    </row>
    <row r="11" spans="2:14" s="170" customFormat="1" ht="16.5">
      <c r="B11" s="2" t="s">
        <v>898</v>
      </c>
      <c r="C11" s="2" t="s">
        <v>899</v>
      </c>
    </row>
    <row r="12" spans="2:14" s="170" customFormat="1" ht="16.5">
      <c r="B12" s="2" t="s">
        <v>900</v>
      </c>
      <c r="C12" s="2" t="s">
        <v>931</v>
      </c>
    </row>
    <row r="13" spans="2:14" s="170" customFormat="1" ht="16.5">
      <c r="B13" s="2" t="s">
        <v>902</v>
      </c>
      <c r="C13" s="2" t="s">
        <v>903</v>
      </c>
    </row>
    <row r="14" spans="2:14" s="170" customFormat="1" ht="16.5">
      <c r="B14" s="2" t="s">
        <v>904</v>
      </c>
      <c r="C14" s="2" t="s">
        <v>905</v>
      </c>
    </row>
    <row r="15" spans="2:14" s="170" customFormat="1" ht="20.100000000000001" customHeight="1">
      <c r="B15" s="510" t="s">
        <v>906</v>
      </c>
      <c r="C15" s="510" t="s">
        <v>907</v>
      </c>
      <c r="D15" s="512" t="s">
        <v>908</v>
      </c>
      <c r="E15" s="512" t="s">
        <v>908</v>
      </c>
      <c r="F15" s="512" t="s">
        <v>908</v>
      </c>
      <c r="G15" s="512" t="s">
        <v>908</v>
      </c>
      <c r="H15" s="512" t="s">
        <v>908</v>
      </c>
    </row>
    <row r="16" spans="2:14" s="170" customFormat="1" ht="20.100000000000001" customHeight="1">
      <c r="B16" s="511" t="s">
        <v>906</v>
      </c>
      <c r="C16" s="511" t="s">
        <v>907</v>
      </c>
      <c r="D16" s="271" t="s">
        <v>932</v>
      </c>
      <c r="E16" s="270" t="s">
        <v>933</v>
      </c>
      <c r="F16" s="270" t="s">
        <v>934</v>
      </c>
      <c r="G16" s="270" t="s">
        <v>935</v>
      </c>
      <c r="H16" s="270" t="s">
        <v>936</v>
      </c>
    </row>
    <row r="17" spans="2:8" s="170" customFormat="1" ht="20.100000000000001" customHeight="1">
      <c r="B17" s="272" t="s">
        <v>196</v>
      </c>
      <c r="C17" s="272" t="s">
        <v>919</v>
      </c>
      <c r="D17" s="171">
        <v>1798.8</v>
      </c>
      <c r="E17" s="171">
        <v>307.2</v>
      </c>
      <c r="F17" s="171">
        <v>335.9</v>
      </c>
      <c r="G17" s="171">
        <v>47.5</v>
      </c>
      <c r="H17" s="171">
        <v>1404.5</v>
      </c>
    </row>
    <row r="18" spans="2:8" s="170" customFormat="1" ht="20.100000000000001" customHeight="1">
      <c r="B18" s="272" t="s">
        <v>920</v>
      </c>
      <c r="C18" s="272" t="s">
        <v>919</v>
      </c>
      <c r="D18" s="171">
        <v>284.2</v>
      </c>
      <c r="E18" s="171">
        <v>6.1</v>
      </c>
      <c r="F18" s="172" t="s">
        <v>170</v>
      </c>
      <c r="G18" s="172" t="s">
        <v>170</v>
      </c>
      <c r="H18" s="171">
        <v>2.6</v>
      </c>
    </row>
    <row r="19" spans="2:8" s="170" customFormat="1" ht="20.100000000000001" customHeight="1">
      <c r="B19" s="273" t="s">
        <v>922</v>
      </c>
      <c r="C19" s="272" t="s">
        <v>937</v>
      </c>
      <c r="D19" s="172" t="s">
        <v>170</v>
      </c>
      <c r="E19" s="171">
        <v>0.1</v>
      </c>
      <c r="F19" s="172" t="s">
        <v>170</v>
      </c>
      <c r="G19" s="172" t="s">
        <v>170</v>
      </c>
      <c r="H19" s="171">
        <v>0</v>
      </c>
    </row>
    <row r="20" spans="2:8" s="170" customFormat="1" ht="20.100000000000001" customHeight="1">
      <c r="B20" s="273" t="s">
        <v>922</v>
      </c>
      <c r="C20" s="272" t="s">
        <v>245</v>
      </c>
      <c r="D20" s="172" t="s">
        <v>170</v>
      </c>
      <c r="E20" s="172" t="s">
        <v>170</v>
      </c>
      <c r="F20" s="172" t="s">
        <v>170</v>
      </c>
      <c r="G20" s="172" t="s">
        <v>170</v>
      </c>
      <c r="H20" s="171">
        <v>0</v>
      </c>
    </row>
    <row r="21" spans="2:8" s="170" customFormat="1" ht="20.100000000000001" customHeight="1">
      <c r="B21" s="273" t="s">
        <v>922</v>
      </c>
      <c r="C21" s="272" t="s">
        <v>246</v>
      </c>
      <c r="D21" s="171">
        <v>131.6</v>
      </c>
      <c r="E21" s="171">
        <v>4.5</v>
      </c>
      <c r="F21" s="172" t="s">
        <v>170</v>
      </c>
      <c r="G21" s="172" t="s">
        <v>170</v>
      </c>
      <c r="H21" s="172" t="s">
        <v>170</v>
      </c>
    </row>
    <row r="22" spans="2:8" s="170" customFormat="1" ht="20.100000000000001" customHeight="1">
      <c r="B22" s="273" t="s">
        <v>922</v>
      </c>
      <c r="C22" s="272" t="s">
        <v>938</v>
      </c>
      <c r="D22" s="171">
        <v>131.1</v>
      </c>
      <c r="E22" s="172" t="s">
        <v>170</v>
      </c>
      <c r="F22" s="172" t="s">
        <v>170</v>
      </c>
      <c r="G22" s="172" t="s">
        <v>170</v>
      </c>
      <c r="H22" s="172" t="s">
        <v>170</v>
      </c>
    </row>
    <row r="23" spans="2:8" s="170" customFormat="1" ht="20.100000000000001" customHeight="1">
      <c r="B23" s="273" t="s">
        <v>922</v>
      </c>
      <c r="C23" s="272" t="s">
        <v>939</v>
      </c>
      <c r="D23" s="172" t="s">
        <v>170</v>
      </c>
      <c r="E23" s="172" t="s">
        <v>170</v>
      </c>
      <c r="F23" s="172" t="s">
        <v>170</v>
      </c>
      <c r="G23" s="172" t="s">
        <v>170</v>
      </c>
      <c r="H23" s="172" t="s">
        <v>170</v>
      </c>
    </row>
    <row r="24" spans="2:8" s="170" customFormat="1" ht="20.100000000000001" customHeight="1">
      <c r="B24" s="273" t="s">
        <v>922</v>
      </c>
      <c r="C24" s="272" t="s">
        <v>940</v>
      </c>
      <c r="D24" s="171">
        <v>21.4</v>
      </c>
      <c r="E24" s="171">
        <v>1.5</v>
      </c>
      <c r="F24" s="172" t="s">
        <v>170</v>
      </c>
      <c r="G24" s="172" t="s">
        <v>170</v>
      </c>
      <c r="H24" s="171">
        <v>2.6</v>
      </c>
    </row>
    <row r="25" spans="2:8" s="170" customFormat="1" ht="20.100000000000001" customHeight="1">
      <c r="B25" s="273" t="s">
        <v>922</v>
      </c>
      <c r="C25" s="272" t="s">
        <v>941</v>
      </c>
      <c r="D25" s="172" t="s">
        <v>170</v>
      </c>
      <c r="E25" s="172" t="s">
        <v>170</v>
      </c>
      <c r="F25" s="172" t="s">
        <v>170</v>
      </c>
      <c r="G25" s="172" t="s">
        <v>170</v>
      </c>
      <c r="H25" s="171">
        <v>0</v>
      </c>
    </row>
    <row r="26" spans="2:8" s="170" customFormat="1" ht="20.100000000000001" customHeight="1">
      <c r="B26" s="272" t="s">
        <v>921</v>
      </c>
      <c r="C26" s="272" t="s">
        <v>919</v>
      </c>
      <c r="D26" s="171">
        <v>335.5</v>
      </c>
      <c r="E26" s="171">
        <v>17.600000000000001</v>
      </c>
      <c r="F26" s="171">
        <v>13.5</v>
      </c>
      <c r="G26" s="171">
        <v>5.4</v>
      </c>
      <c r="H26" s="171">
        <v>26.6</v>
      </c>
    </row>
    <row r="27" spans="2:8" s="170" customFormat="1" ht="20.100000000000001" customHeight="1">
      <c r="B27" s="273" t="s">
        <v>922</v>
      </c>
      <c r="C27" s="272" t="s">
        <v>265</v>
      </c>
      <c r="D27" s="171">
        <v>0</v>
      </c>
      <c r="E27" s="171">
        <v>0</v>
      </c>
      <c r="F27" s="171">
        <v>0</v>
      </c>
      <c r="G27" s="172" t="s">
        <v>170</v>
      </c>
      <c r="H27" s="171">
        <v>0.1</v>
      </c>
    </row>
    <row r="28" spans="2:8" s="170" customFormat="1" ht="20.100000000000001" customHeight="1">
      <c r="B28" s="273" t="s">
        <v>922</v>
      </c>
      <c r="C28" s="272" t="s">
        <v>923</v>
      </c>
      <c r="D28" s="171">
        <v>0.1</v>
      </c>
      <c r="E28" s="171">
        <v>0.4</v>
      </c>
      <c r="F28" s="171">
        <v>0</v>
      </c>
      <c r="G28" s="171">
        <v>0</v>
      </c>
      <c r="H28" s="171">
        <v>0.9</v>
      </c>
    </row>
    <row r="29" spans="2:8" s="170" customFormat="1" ht="20.100000000000001" customHeight="1">
      <c r="B29" s="273" t="s">
        <v>922</v>
      </c>
      <c r="C29" s="272" t="s">
        <v>270</v>
      </c>
      <c r="D29" s="171">
        <v>0.3</v>
      </c>
      <c r="E29" s="171">
        <v>0.5</v>
      </c>
      <c r="F29" s="171">
        <v>0.4</v>
      </c>
      <c r="G29" s="171">
        <v>0.1</v>
      </c>
      <c r="H29" s="171">
        <v>1</v>
      </c>
    </row>
    <row r="30" spans="2:8" s="170" customFormat="1" ht="20.100000000000001" customHeight="1">
      <c r="B30" s="273" t="s">
        <v>922</v>
      </c>
      <c r="C30" s="272" t="s">
        <v>924</v>
      </c>
      <c r="D30" s="171">
        <v>0</v>
      </c>
      <c r="E30" s="171">
        <v>0.2</v>
      </c>
      <c r="F30" s="171">
        <v>0.4</v>
      </c>
      <c r="G30" s="172" t="s">
        <v>170</v>
      </c>
      <c r="H30" s="171">
        <v>0</v>
      </c>
    </row>
    <row r="31" spans="2:8" s="170" customFormat="1" ht="20.100000000000001" customHeight="1">
      <c r="B31" s="273" t="s">
        <v>922</v>
      </c>
      <c r="C31" s="272" t="s">
        <v>925</v>
      </c>
      <c r="D31" s="172" t="s">
        <v>170</v>
      </c>
      <c r="E31" s="171">
        <v>0.3</v>
      </c>
      <c r="F31" s="172" t="s">
        <v>170</v>
      </c>
      <c r="G31" s="172" t="s">
        <v>170</v>
      </c>
      <c r="H31" s="172" t="s">
        <v>170</v>
      </c>
    </row>
    <row r="32" spans="2:8" s="170" customFormat="1" ht="20.100000000000001" customHeight="1">
      <c r="B32" s="273" t="s">
        <v>922</v>
      </c>
      <c r="C32" s="272" t="s">
        <v>926</v>
      </c>
      <c r="D32" s="171">
        <v>35.6</v>
      </c>
      <c r="E32" s="171">
        <v>0.1</v>
      </c>
      <c r="F32" s="171">
        <v>0.4</v>
      </c>
      <c r="G32" s="172" t="s">
        <v>170</v>
      </c>
      <c r="H32" s="171">
        <v>0.9</v>
      </c>
    </row>
    <row r="33" spans="2:8" s="170" customFormat="1" ht="20.100000000000001" customHeight="1">
      <c r="B33" s="273" t="s">
        <v>922</v>
      </c>
      <c r="C33" s="272" t="s">
        <v>274</v>
      </c>
      <c r="D33" s="172" t="s">
        <v>170</v>
      </c>
      <c r="E33" s="172" t="s">
        <v>170</v>
      </c>
      <c r="F33" s="172" t="s">
        <v>170</v>
      </c>
      <c r="G33" s="172" t="s">
        <v>170</v>
      </c>
      <c r="H33" s="172" t="s">
        <v>170</v>
      </c>
    </row>
    <row r="34" spans="2:8" s="170" customFormat="1" ht="20.100000000000001" customHeight="1">
      <c r="B34" s="273" t="s">
        <v>922</v>
      </c>
      <c r="C34" s="272" t="s">
        <v>263</v>
      </c>
      <c r="D34" s="171">
        <v>24.3</v>
      </c>
      <c r="E34" s="171">
        <v>11.1</v>
      </c>
      <c r="F34" s="171">
        <v>4.4000000000000004</v>
      </c>
      <c r="G34" s="171">
        <v>0.4</v>
      </c>
      <c r="H34" s="171">
        <v>23.3</v>
      </c>
    </row>
    <row r="35" spans="2:8" s="170" customFormat="1" ht="20.100000000000001" customHeight="1">
      <c r="B35" s="273" t="s">
        <v>922</v>
      </c>
      <c r="C35" s="272" t="s">
        <v>264</v>
      </c>
      <c r="D35" s="171">
        <v>1.2</v>
      </c>
      <c r="E35" s="171">
        <v>0</v>
      </c>
      <c r="F35" s="171">
        <v>0.4</v>
      </c>
      <c r="G35" s="171">
        <v>0</v>
      </c>
      <c r="H35" s="171">
        <v>0.3</v>
      </c>
    </row>
    <row r="36" spans="2:8" s="170" customFormat="1" ht="20.100000000000001" customHeight="1">
      <c r="B36" s="273" t="s">
        <v>922</v>
      </c>
      <c r="C36" s="272" t="s">
        <v>927</v>
      </c>
      <c r="D36" s="171">
        <v>274.2</v>
      </c>
      <c r="E36" s="171">
        <v>5</v>
      </c>
      <c r="F36" s="171">
        <v>7.4</v>
      </c>
      <c r="G36" s="171">
        <v>4.8</v>
      </c>
      <c r="H36" s="171">
        <v>0.1</v>
      </c>
    </row>
    <row r="37" spans="2:8" s="170" customFormat="1" ht="20.100000000000001" customHeight="1">
      <c r="B37" s="272" t="s">
        <v>167</v>
      </c>
      <c r="C37" s="272" t="s">
        <v>919</v>
      </c>
      <c r="D37" s="171">
        <v>257.2</v>
      </c>
      <c r="E37" s="171">
        <v>22.8</v>
      </c>
      <c r="F37" s="171">
        <v>62.4</v>
      </c>
      <c r="G37" s="171">
        <v>13</v>
      </c>
      <c r="H37" s="171">
        <v>273</v>
      </c>
    </row>
    <row r="38" spans="2:8" s="170" customFormat="1" ht="20.100000000000001" customHeight="1">
      <c r="B38" s="272" t="s">
        <v>928</v>
      </c>
      <c r="C38" s="272" t="s">
        <v>919</v>
      </c>
      <c r="D38" s="171">
        <v>84.7</v>
      </c>
      <c r="E38" s="171">
        <v>0.1</v>
      </c>
      <c r="F38" s="171">
        <v>9.1999999999999993</v>
      </c>
      <c r="G38" s="172" t="s">
        <v>170</v>
      </c>
      <c r="H38" s="171">
        <v>16.600000000000001</v>
      </c>
    </row>
    <row r="39" spans="2:8" s="170" customFormat="1" ht="20.100000000000001" customHeight="1">
      <c r="B39" s="272" t="s">
        <v>169</v>
      </c>
      <c r="C39" s="272" t="s">
        <v>919</v>
      </c>
      <c r="D39" s="171">
        <v>8.5</v>
      </c>
      <c r="E39" s="171">
        <v>0</v>
      </c>
      <c r="F39" s="172" t="s">
        <v>170</v>
      </c>
      <c r="G39" s="171">
        <v>1.8</v>
      </c>
      <c r="H39" s="171">
        <v>4.0999999999999996</v>
      </c>
    </row>
    <row r="40" spans="2:8" s="170" customFormat="1" ht="20.100000000000001" customHeight="1">
      <c r="B40" s="274" t="s">
        <v>198</v>
      </c>
      <c r="C40" s="274" t="s">
        <v>919</v>
      </c>
      <c r="D40" s="171">
        <v>828.7</v>
      </c>
      <c r="E40" s="171">
        <v>260.7</v>
      </c>
      <c r="F40" s="171">
        <v>250.8</v>
      </c>
      <c r="G40" s="171">
        <v>27.3</v>
      </c>
      <c r="H40" s="171">
        <v>1081.5</v>
      </c>
    </row>
    <row r="42" spans="2:8">
      <c r="B42" s="173" t="s">
        <v>875</v>
      </c>
      <c r="C42" s="173"/>
    </row>
    <row r="43" spans="2:8">
      <c r="C43" s="137" t="s">
        <v>876</v>
      </c>
      <c r="D43" s="137" t="s">
        <v>877</v>
      </c>
    </row>
    <row r="44" spans="2:8">
      <c r="B44" s="163" t="s">
        <v>106</v>
      </c>
      <c r="C44" s="164">
        <f>SUM('2019 KESIS Energy Balance'!Z62:AE62)</f>
        <v>3.2590000000000003</v>
      </c>
      <c r="D44" s="165">
        <f>C44/SUM($C$44:$C$46)</f>
        <v>0.1176789196215787</v>
      </c>
    </row>
    <row r="45" spans="2:8">
      <c r="B45" s="163" t="s">
        <v>878</v>
      </c>
      <c r="C45" s="164">
        <f>SUM('2019 KESIS Energy Balance'!AF62:AH62)</f>
        <v>12.266999999999999</v>
      </c>
      <c r="D45" s="165">
        <f>C45/SUM($C$44:$C$46)</f>
        <v>0.44294793095977469</v>
      </c>
    </row>
    <row r="46" spans="2:8">
      <c r="B46" s="163" t="s">
        <v>879</v>
      </c>
      <c r="C46" s="164">
        <f>SUM('2019 KESIS Energy Balance'!W62:Y62)</f>
        <v>12.167999999999999</v>
      </c>
      <c r="D46" s="165">
        <f>C46/SUM($C$44:$C$46)</f>
        <v>0.43937314941864664</v>
      </c>
    </row>
    <row r="48" spans="2:8">
      <c r="B48" s="173" t="s">
        <v>880</v>
      </c>
      <c r="C48" s="173"/>
    </row>
    <row r="49" spans="2:4">
      <c r="C49" s="137" t="s">
        <v>876</v>
      </c>
      <c r="D49" s="137" t="s">
        <v>877</v>
      </c>
    </row>
    <row r="50" spans="2:4">
      <c r="B50" s="163" t="s">
        <v>106</v>
      </c>
      <c r="C50" s="164">
        <f>SUM('2022 Energy Balance'!Z62:AE62)</f>
        <v>3.1829999999999998</v>
      </c>
      <c r="D50" s="165">
        <f>C50/SUM($C$44:$C$46)</f>
        <v>0.11493464288293492</v>
      </c>
    </row>
    <row r="51" spans="2:4">
      <c r="B51" s="163" t="s">
        <v>878</v>
      </c>
      <c r="C51" s="164">
        <f>SUM('2022 Energy Balance'!AF62:AH62)</f>
        <v>23.244</v>
      </c>
      <c r="D51" s="165">
        <f>C51/SUM($C$44:$C$46)</f>
        <v>0.83931537517151733</v>
      </c>
    </row>
    <row r="52" spans="2:4">
      <c r="B52" s="163" t="s">
        <v>879</v>
      </c>
      <c r="C52" s="164">
        <f>SUM('2022 Energy Balance'!W62:Y62)</f>
        <v>17.863</v>
      </c>
      <c r="D52" s="165">
        <f>C52/SUM($C$44:$C$46)</f>
        <v>0.64501336029464862</v>
      </c>
    </row>
    <row r="53" spans="2:4" ht="16.5">
      <c r="B53" s="137" t="s">
        <v>882</v>
      </c>
    </row>
  </sheetData>
  <mergeCells count="3">
    <mergeCell ref="B15:B16"/>
    <mergeCell ref="C15:C16"/>
    <mergeCell ref="D15:H15"/>
  </mergeCells>
  <phoneticPr fontId="35"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heetViews>
  <sheetFormatPr defaultColWidth="8.5" defaultRowHeight="15"/>
  <cols>
    <col min="1" max="1" width="2.625" style="137" customWidth="1"/>
    <col min="2" max="2" width="24.5" style="137" customWidth="1"/>
    <col min="3" max="4" width="30.375" style="137" customWidth="1"/>
    <col min="5" max="14" width="14.375" style="137" customWidth="1"/>
    <col min="15" max="16384" width="8.5" style="137"/>
  </cols>
  <sheetData>
    <row r="2" spans="2:14">
      <c r="B2" s="264" t="s">
        <v>942</v>
      </c>
    </row>
    <row r="4" spans="2:14">
      <c r="B4" s="173" t="s">
        <v>884</v>
      </c>
    </row>
    <row r="5" spans="2:14" s="278" customFormat="1" ht="30">
      <c r="B5" s="275"/>
      <c r="C5" s="275" t="s">
        <v>885</v>
      </c>
      <c r="D5" s="275" t="s">
        <v>886</v>
      </c>
      <c r="E5" s="275" t="s">
        <v>887</v>
      </c>
      <c r="F5" s="326" t="s">
        <v>888</v>
      </c>
      <c r="G5" s="326" t="s">
        <v>889</v>
      </c>
      <c r="H5" s="326" t="s">
        <v>890</v>
      </c>
      <c r="I5" s="326" t="s">
        <v>891</v>
      </c>
      <c r="J5" s="326"/>
      <c r="K5" s="326" t="s">
        <v>893</v>
      </c>
      <c r="L5" s="326" t="s">
        <v>878</v>
      </c>
      <c r="M5" s="326" t="s">
        <v>879</v>
      </c>
      <c r="N5" s="326" t="s">
        <v>894</v>
      </c>
    </row>
    <row r="6" spans="2:14" s="278" customFormat="1" ht="30">
      <c r="B6" s="275" t="s">
        <v>25</v>
      </c>
      <c r="C6" s="280" t="str">
        <f>VLOOKUP($B6,About!$B$47:$E$71,3,0)</f>
        <v>EndUse&gt;Industry&gt;agriculture and fishery</v>
      </c>
      <c r="D6" s="327">
        <f>VLOOKUP($B6,About!$B$47:$E$71,4,0)</f>
        <v>0</v>
      </c>
      <c r="E6" s="281">
        <f>SUM('2019 KESIS Energy Balance'!BH51,'2019 KESIS Energy Balance'!BH52)/SUM('2019 KESIS Energy Balance'!BH51:BH53,'2019 KESIS Energy Balance'!BH55:BH58,'2019 KESIS Energy Balance'!BH60,'2019 KESIS Energy Balance'!BH65:BH66)</f>
        <v>0.24518732467066875</v>
      </c>
      <c r="F6" s="281">
        <f>SUM('2019 KESIS Energy Balance'!D51:P51)/SUM('2019 KESIS Energy Balance'!D51:P53,'2019 KESIS Energy Balance'!D55:P58,'2019 KESIS Energy Balance'!D60:P60,'2019 KESIS Energy Balance'!D65:P66)</f>
        <v>1.1245283295027787E-2</v>
      </c>
      <c r="G6" s="282">
        <f>SUM('2019 KESIS Energy Balance'!Q51:R51)/SUM('2019 KESIS Energy Balance'!Q51:R53,'2019 KESIS Energy Balance'!Q55:R58,'2019 KESIS Energy Balance'!Q60:R60,'2019 KESIS Energy Balance'!Q65:R66)</f>
        <v>1.7271178993865361E-5</v>
      </c>
      <c r="H6" s="281">
        <f>SUM('2019 KESIS Energy Balance'!AP51:AX52)/SUM('2019 KESIS Energy Balance'!AP51:AX53,'2019 KESIS Energy Balance'!AP55:AX58,'2019 KESIS Energy Balance'!AP60:AX60,'2019 KESIS Energy Balance'!AP65:AX66)</f>
        <v>6.4885741127741509E-2</v>
      </c>
      <c r="I6" s="281">
        <f>SUM('2019 KESIS Energy Balance'!Z51:AE52)/SUM('2019 KESIS Energy Balance'!Z51:AE53,'2019 KESIS Energy Balance'!Z55:AE58,'2019 KESIS Energy Balance'!Z60:AE60,'2019 KESIS Energy Balance'!Z65:AE66)</f>
        <v>0.52772283732120484</v>
      </c>
      <c r="J6" s="282"/>
      <c r="K6" s="275" t="s">
        <v>236</v>
      </c>
      <c r="L6" s="281">
        <f>SUM('2019 KESIS Energy Balance'!AF51:AH52)/SUM('2019 KESIS Energy Balance'!AF51:AH53,'2019 KESIS Energy Balance'!AF55:AH58,'2019 KESIS Energy Balance'!AF60:AH60,'2019 KESIS Energy Balance'!AF65:AH66)</f>
        <v>7.2250152556777844E-2</v>
      </c>
      <c r="M6" s="281">
        <f>SUM('2019 KESIS Energy Balance'!W51:Y52)/SUM('2019 KESIS Energy Balance'!W51:Y53,'2019 KESIS Energy Balance'!W55:Y58,'2019 KESIS Energy Balance'!W60:Y60,'2019 KESIS Energy Balance'!W65:Y66)</f>
        <v>6.2617354256935759E-3</v>
      </c>
      <c r="N6" s="275" t="s">
        <v>236</v>
      </c>
    </row>
    <row r="7" spans="2:14" s="278" customFormat="1" ht="30">
      <c r="B7" s="275" t="s">
        <v>34</v>
      </c>
      <c r="C7" s="280" t="str">
        <f>VLOOKUP($B7,About!$B$47:$E$71,3,0)</f>
        <v>EndUse&gt;Industry&gt;mining(exc. Coal mining)</v>
      </c>
      <c r="D7" s="327">
        <f>VLOOKUP($B7,About!$B$47:$E$71,4,0)</f>
        <v>0</v>
      </c>
      <c r="E7" s="281">
        <f>'2019 KESIS Energy Balance'!BH53/SUM('2019 KESIS Energy Balance'!BH51:BH53,'2019 KESIS Energy Balance'!BH55:BH58,'2019 KESIS Energy Balance'!BH60,'2019 KESIS Energy Balance'!BH65:BH66)</f>
        <v>2.1147186600081816E-2</v>
      </c>
      <c r="F7" s="328">
        <f>SUM('2019 KESIS Energy Balance'!D53:P53)/SUM('2019 KESIS Energy Balance'!D51:P53,'2019 KESIS Energy Balance'!D55:P58,'2019 KESIS Energy Balance'!D60:P60,'2019 KESIS Energy Balance'!D65:P66)</f>
        <v>0</v>
      </c>
      <c r="G7" s="329">
        <f>SUM('2019 KESIS Energy Balance'!Q53:R53)/SUM('2019 KESIS Energy Balance'!Q51:R53,'2019 KESIS Energy Balance'!Q55:R58,'2019 KESIS Energy Balance'!Q60:R60,'2019 KESIS Energy Balance'!Q65:R66)</f>
        <v>0</v>
      </c>
      <c r="H7" s="281">
        <f>SUM('2019 KESIS Energy Balance'!AP53:AX53)/SUM('2019 KESIS Energy Balance'!AP51:AX53,'2019 KESIS Energy Balance'!AP55:AX58,'2019 KESIS Energy Balance'!AP60:AX60,'2019 KESIS Energy Balance'!AP65:AX66)</f>
        <v>2.8951339071810415E-5</v>
      </c>
      <c r="I7" s="281">
        <f>SUM('2019 KESIS Energy Balance'!Z53:AE53)/SUM('2019 KESIS Energy Balance'!Z51:AE53,'2019 KESIS Energy Balance'!Z55:AE58,'2019 KESIS Energy Balance'!Z60:AE60,'2019 KESIS Energy Balance'!Z65:AE66)</f>
        <v>1.3689642221595119E-2</v>
      </c>
      <c r="J7" s="282"/>
      <c r="K7" s="275" t="s">
        <v>895</v>
      </c>
      <c r="L7" s="281">
        <f>SUM('2019 KESIS Energy Balance'!AF53:AH53)/SUM('2019 KESIS Energy Balance'!AF51:AH53,'2019 KESIS Energy Balance'!AF55:AH58,'2019 KESIS Energy Balance'!AF60:AH60,'2019 KESIS Energy Balance'!AF65:AH66)</f>
        <v>9.4778778845214309E-3</v>
      </c>
      <c r="M7" s="281">
        <f>SUM('2019 KESIS Energy Balance'!W53:Z53)/SUM('2019 KESIS Energy Balance'!W51:Y53,'2019 KESIS Energy Balance'!W55:Y58,'2019 KESIS Energy Balance'!W60:Y60,'2019 KESIS Energy Balance'!W65:Y66)</f>
        <v>2.3007295411968053E-3</v>
      </c>
      <c r="N7" s="275" t="s">
        <v>895</v>
      </c>
    </row>
    <row r="8" spans="2:14" s="278" customFormat="1" ht="30">
      <c r="B8" s="275" t="s">
        <v>36</v>
      </c>
      <c r="C8" s="280" t="str">
        <f>VLOOKUP($B8,About!$B$47:$E$71,3,0)</f>
        <v>EndUse&gt;Industry&gt;food and tobacco</v>
      </c>
      <c r="D8" s="327">
        <f>VLOOKUP($B8,About!$B$47:$E$71,4,0)</f>
        <v>0</v>
      </c>
      <c r="E8" s="281">
        <f>'2019 KESIS Energy Balance'!BH55/SUM('2019 KESIS Energy Balance'!BH51:BH53,'2019 KESIS Energy Balance'!BH55:BH58,'2019 KESIS Energy Balance'!BH60,'2019 KESIS Energy Balance'!BH65:BH66)</f>
        <v>0.19424912379612064</v>
      </c>
      <c r="F8" s="328">
        <f>SUM('2019 KESIS Energy Balance'!D55:P55)/SUM('2019 KESIS Energy Balance'!D51:P53,'2019 KESIS Energy Balance'!D55:P58,'2019 KESIS Energy Balance'!D60:P60,'2019 KESIS Energy Balance'!D65:P66)</f>
        <v>0</v>
      </c>
      <c r="G8" s="329">
        <f>SUM('2019 KESIS Energy Balance'!Q55:R55)/SUM('2019 KESIS Energy Balance'!Q51:R53,'2019 KESIS Energy Balance'!Q55:R58,'2019 KESIS Energy Balance'!Q60:R60,'2019 KESIS Energy Balance'!Q65:R66)</f>
        <v>0.34223936421841389</v>
      </c>
      <c r="H8" s="281">
        <f>SUM('2019 KESIS Energy Balance'!AP55:AX55)/SUM('2019 KESIS Energy Balance'!AP51:AX53,'2019 KESIS Energy Balance'!AP55:AX58,'2019 KESIS Energy Balance'!AP60:AX60,'2019 KESIS Energy Balance'!AP65:AX66)</f>
        <v>2.4516476448326923E-2</v>
      </c>
      <c r="I8" s="281">
        <f>SUM('2019 KESIS Energy Balance'!Z55:AE55)/SUM('2019 KESIS Energy Balance'!Z51:AE53,'2019 KESIS Energy Balance'!Z55:AE58,'2019 KESIS Energy Balance'!Z60:AE60,'2019 KESIS Energy Balance'!Z65:AE66)</f>
        <v>1.5778228870258485E-2</v>
      </c>
      <c r="J8" s="282"/>
      <c r="K8" s="275" t="s">
        <v>895</v>
      </c>
      <c r="L8" s="281">
        <f>SUM('2019 KESIS Energy Balance'!AF55:AH55)/SUM('2019 KESIS Energy Balance'!AF51:AH53,'2019 KESIS Energy Balance'!AF55:AH58,'2019 KESIS Energy Balance'!AF60:AH60,'2019 KESIS Energy Balance'!AF65:AH66)</f>
        <v>4.2177570558661996E-2</v>
      </c>
      <c r="M8" s="281">
        <f>SUM('2019 KESIS Energy Balance'!W55:Y55)/SUM('2019 KESIS Energy Balance'!W51:Y53,'2019 KESIS Energy Balance'!W55:Y58,'2019 KESIS Energy Balance'!W60:Y60,'2019 KESIS Energy Balance'!W65:Y66)</f>
        <v>2.605930532673769E-2</v>
      </c>
      <c r="N8" s="275" t="s">
        <v>895</v>
      </c>
    </row>
    <row r="9" spans="2:14" s="278" customFormat="1" ht="30">
      <c r="B9" s="275" t="s">
        <v>38</v>
      </c>
      <c r="C9" s="280" t="str">
        <f>VLOOKUP($B9,About!$B$47:$E$71,3,0)</f>
        <v>EndUse&gt;Industry&gt;fiber and leather</v>
      </c>
      <c r="D9" s="327">
        <f>VLOOKUP($B9,About!$B$47:$E$71,4,0)</f>
        <v>0</v>
      </c>
      <c r="E9" s="281">
        <f>'2019 KESIS Energy Balance'!BH56/SUM('2019 KESIS Energy Balance'!BH51:BH53,'2019 KESIS Energy Balance'!BH55:BH58,'2019 KESIS Energy Balance'!BH60,'2019 KESIS Energy Balance'!BH65:BH66)</f>
        <v>0.14636678331811279</v>
      </c>
      <c r="F9" s="328">
        <f>SUM('2019 KESIS Energy Balance'!D56:P56)/SUM('2019 KESIS Energy Balance'!D51:P53,'2019 KESIS Energy Balance'!D55:P58,'2019 KESIS Energy Balance'!D60:P60,'2019 KESIS Energy Balance'!D65:P66)</f>
        <v>9.4724608667475202E-2</v>
      </c>
      <c r="G9" s="329">
        <f>SUM('2019 KESIS Energy Balance'!Q56:R56)/SUM('2019 KESIS Energy Balance'!Q51:R53,'2019 KESIS Energy Balance'!Q55:R58,'2019 KESIS Energy Balance'!Q60:R60,'2019 KESIS Energy Balance'!Q65:R66)</f>
        <v>0.10993231804075747</v>
      </c>
      <c r="H9" s="281">
        <f>SUM('2019 KESIS Energy Balance'!AP56:AX56)/SUM('2019 KESIS Energy Balance'!AP51:AX53,'2019 KESIS Energy Balance'!AP55:AX58,'2019 KESIS Energy Balance'!AP60:AX60,'2019 KESIS Energy Balance'!AP65:AX66)</f>
        <v>5.290326440823704E-2</v>
      </c>
      <c r="I9" s="281">
        <f>SUM('2019 KESIS Energy Balance'!Z56:AE56)/SUM('2019 KESIS Energy Balance'!Z51:AE53,'2019 KESIS Energy Balance'!Z55:AE58,'2019 KESIS Energy Balance'!Z60:AE60,'2019 KESIS Energy Balance'!Z65:AE66)</f>
        <v>2.8583268912864821E-3</v>
      </c>
      <c r="J9" s="282"/>
      <c r="K9" s="275" t="s">
        <v>895</v>
      </c>
      <c r="L9" s="281">
        <f>SUM('2019 KESIS Energy Balance'!AF56:AH56)/SUM('2019 KESIS Energy Balance'!AF51:AH53,'2019 KESIS Energy Balance'!AF55:AH58,'2019 KESIS Energy Balance'!AF60:AH60,'2019 KESIS Energy Balance'!AF65:AH66)</f>
        <v>3.2802933514742234E-2</v>
      </c>
      <c r="M9" s="281">
        <f>SUM('2019 KESIS Energy Balance'!W56:Y56)/SUM('2019 KESIS Energy Balance'!W51:Y53,'2019 KESIS Energy Balance'!W55:Y58,'2019 KESIS Energy Balance'!W60:Y60,'2019 KESIS Energy Balance'!W65:Y66)</f>
        <v>4.1624129633694874E-3</v>
      </c>
      <c r="N9" s="275" t="s">
        <v>895</v>
      </c>
    </row>
    <row r="10" spans="2:14" s="278" customFormat="1" ht="30">
      <c r="B10" s="275" t="s">
        <v>40</v>
      </c>
      <c r="C10" s="280" t="str">
        <f>VLOOKUP($B10,About!$B$47:$E$71,3,0)</f>
        <v>EndUse&gt;Industry&gt;wood and wood products</v>
      </c>
      <c r="D10" s="327">
        <f>VLOOKUP($B10,About!$B$47:$E$71,4,0)</f>
        <v>0</v>
      </c>
      <c r="E10" s="281">
        <f>'2019 KESIS Energy Balance'!BH57/SUM('2019 KESIS Energy Balance'!BH51:BH53,'2019 KESIS Energy Balance'!BH55:BH58,'2019 KESIS Energy Balance'!BH60,'2019 KESIS Energy Balance'!BH65:BH66)</f>
        <v>2.4576544706291909E-2</v>
      </c>
      <c r="F10" s="330">
        <f>SUM('2019 KESIS Energy Balance'!D57:P57)/SUM('2019 KESIS Energy Balance'!D51:P53,'2019 KESIS Energy Balance'!D55:P58,'2019 KESIS Energy Balance'!D60:P60,'2019 KESIS Energy Balance'!D65:P66)</f>
        <v>0</v>
      </c>
      <c r="G10" s="329">
        <f>SUM('2019 KESIS Energy Balance'!Q57:R57)/SUM('2019 KESIS Energy Balance'!Q51:R53,'2019 KESIS Energy Balance'!Q55:R58,'2019 KESIS Energy Balance'!Q60:R60,'2019 KESIS Energy Balance'!Q65:R66)</f>
        <v>1.1373703239862556E-2</v>
      </c>
      <c r="H10" s="281">
        <f>SUM('2019 KESIS Energy Balance'!AP57:AX57)/SUM('2019 KESIS Energy Balance'!AP51:AX53,'2019 KESIS Energy Balance'!AP55:AX58,'2019 KESIS Energy Balance'!AP60:AX60,'2019 KESIS Energy Balance'!AP65:AX66)</f>
        <v>3.2626711566976753E-2</v>
      </c>
      <c r="I10" s="281">
        <f>SUM('2019 KESIS Energy Balance'!Z57:AE57)/SUM('2019 KESIS Energy Balance'!Z51:AE53,'2019 KESIS Energy Balance'!Z55:AE58,'2019 KESIS Energy Balance'!Z60:AE60,'2019 KESIS Energy Balance'!Z65:AE66)</f>
        <v>4.4746574490651351E-4</v>
      </c>
      <c r="J10" s="282"/>
      <c r="K10" s="275" t="s">
        <v>895</v>
      </c>
      <c r="L10" s="281">
        <f>SUM('2019 KESIS Energy Balance'!AF57:AH57)/SUM('2019 KESIS Energy Balance'!AF51:AH53,'2019 KESIS Energy Balance'!AF55:AH58,'2019 KESIS Energy Balance'!AF60:AH60,'2019 KESIS Energy Balance'!AF65:AH66)</f>
        <v>2.3118573949017459E-3</v>
      </c>
      <c r="M10" s="281">
        <f>SUM('2019 KESIS Energy Balance'!W57:Y57)/SUM('2019 KESIS Energy Balance'!W51:Y53,'2019 KESIS Energy Balance'!W55:Y58,'2019 KESIS Energy Balance'!W60:Y60,'2019 KESIS Energy Balance'!W65:Y66)</f>
        <v>2.5682066671071333E-4</v>
      </c>
      <c r="N10" s="275" t="s">
        <v>895</v>
      </c>
    </row>
    <row r="11" spans="2:14" s="278" customFormat="1">
      <c r="B11" s="275" t="s">
        <v>42</v>
      </c>
      <c r="C11" s="280" t="str">
        <f>VLOOKUP($B11,About!$B$47:$E$71,3,0)</f>
        <v>EndUse&gt;Industry&gt;paper and printing</v>
      </c>
      <c r="D11" s="327">
        <f>VLOOKUP($B11,About!$B$47:$E$71,4,0)</f>
        <v>0</v>
      </c>
      <c r="E11" s="281">
        <f>'2019 KESIS Energy Balance'!BH58/SUM('2019 KESIS Energy Balance'!BH51:BH53,'2019 KESIS Energy Balance'!BH55:BH58,'2019 KESIS Energy Balance'!BH60,'2019 KESIS Energy Balance'!BH65:BH66)</f>
        <v>0.14030893713952816</v>
      </c>
      <c r="F11" s="328">
        <f>SUM('2019 KESIS Energy Balance'!D58:P58)/SUM('2019 KESIS Energy Balance'!D51:P53,'2019 KESIS Energy Balance'!D55:P58,'2019 KESIS Energy Balance'!D60:P60,'2019 KESIS Energy Balance'!D65:P66)</f>
        <v>0</v>
      </c>
      <c r="G11" s="329">
        <f>SUM('2019 KESIS Energy Balance'!Q58:R58)/SUM('2019 KESIS Energy Balance'!Q51:R53,'2019 KESIS Energy Balance'!Q55:R58,'2019 KESIS Energy Balance'!Q60:R60,'2019 KESIS Energy Balance'!Q65:R66)</f>
        <v>0.12327956941687025</v>
      </c>
      <c r="H11" s="281">
        <f>SUM('2019 KESIS Energy Balance'!AP58:AX58)/SUM('2019 KESIS Energy Balance'!AP51:AX53,'2019 KESIS Energy Balance'!AP55:AX58,'2019 KESIS Energy Balance'!AP60:AX60,'2019 KESIS Energy Balance'!AP65:AX66)</f>
        <v>0.28959638455677666</v>
      </c>
      <c r="I11" s="281">
        <f>SUM('2019 KESIS Energy Balance'!Z58:AE58)/SUM('2019 KESIS Energy Balance'!Z51:AE53,'2019 KESIS Energy Balance'!Z55:AE58,'2019 KESIS Energy Balance'!Z60:AE60,'2019 KESIS Energy Balance'!Z65:AE66)</f>
        <v>1.387846202346241E-3</v>
      </c>
      <c r="J11" s="282"/>
      <c r="K11" s="275" t="s">
        <v>895</v>
      </c>
      <c r="L11" s="281">
        <f>SUM('2019 KESIS Energy Balance'!AF58:AH58)/SUM('2019 KESIS Energy Balance'!AF51:AH53,'2019 KESIS Energy Balance'!AF55:AH58,'2019 KESIS Energy Balance'!AF60:AH60,'2019 KESIS Energy Balance'!AF65:AH66)</f>
        <v>3.3577239819254784E-2</v>
      </c>
      <c r="M11" s="281">
        <f>SUM('2019 KESIS Energy Balance'!W58:Y58)/SUM('2019 KESIS Energy Balance'!W51:Y53,'2019 KESIS Energy Balance'!W55:Y58,'2019 KESIS Energy Balance'!W60:Y60,'2019 KESIS Energy Balance'!W65:Y66)</f>
        <v>5.6692362941950002E-3</v>
      </c>
      <c r="N11" s="275" t="s">
        <v>895</v>
      </c>
    </row>
    <row r="12" spans="2:14" s="278" customFormat="1" ht="30">
      <c r="B12" s="334" t="s">
        <v>53</v>
      </c>
      <c r="C12" s="335" t="str">
        <f>VLOOKUP($B12,About!$B$47:$E$71,3,0)</f>
        <v>EndUse&gt;Industry&gt;non-metallic minerals</v>
      </c>
      <c r="D12" s="336" t="str">
        <f>VLOOKUP($B12,About!$B$47:$E$71,4,0)</f>
        <v>Glass and glassware manufacturing</v>
      </c>
      <c r="E12" s="337">
        <f>'2019 KESIS Energy Balance'!BH60/SUM('2019 KESIS Energy Balance'!BH51:BH53,'2019 KESIS Energy Balance'!BH55:BH58,'2019 KESIS Energy Balance'!BH60,'2019 KESIS Energy Balance'!BH65:BH66)*SUM(D42)/SUM(D42:H42)</f>
        <v>4.7190059339062639E-2</v>
      </c>
      <c r="F12" s="337">
        <f>SUM('2019 KESIS Energy Balance'!D60:P60)/SUM('2019 KESIS Energy Balance'!D51:P53,'2019 KESIS Energy Balance'!D55:P58,'2019 KESIS Energy Balance'!D60:P60,'2019 KESIS Energy Balance'!D65:P66)*SUM(D27)/SUM(D27:H27)</f>
        <v>0</v>
      </c>
      <c r="G12" s="338">
        <f>SUM('2019 KESIS Energy Balance'!Q60:R60)/SUM('2019 KESIS Energy Balance'!Q51:R53,'2019 KESIS Energy Balance'!Q55:R58,'2019 KESIS Energy Balance'!Q60:R60,'2019 KESIS Energy Balance'!Q65:R66)*SUM(D39)/SUM(D39:H39)</f>
        <v>9.8699459275715454E-2</v>
      </c>
      <c r="H12" s="337">
        <f>SUM('2019 KESIS Energy Balance'!AP60:AX60)/SUM('2019 KESIS Energy Balance'!AP51:AX53,'2019 KESIS Energy Balance'!AP55:AX58,'2019 KESIS Energy Balance'!AP60:AX60,'2019 KESIS Energy Balance'!AP65:AX66)*SUM(D40)/SUM(D40:H40)</f>
        <v>0</v>
      </c>
      <c r="I12" s="337">
        <f>SUM('2019 KESIS Energy Balance'!Z60:AE60)/SUM('2019 KESIS Energy Balance'!Z51:AE53,'2019 KESIS Energy Balance'!Z55:AE58,'2019 KESIS Energy Balance'!Z60:AE60,'2019 KESIS Energy Balance'!Z65:AE66)*SUM(D29:D31)/SUM(D29:H31)</f>
        <v>4.9108612939415528E-4</v>
      </c>
      <c r="J12" s="339"/>
      <c r="K12" s="337" t="s">
        <v>236</v>
      </c>
      <c r="L12" s="337">
        <f>SUM('2019 KESIS Energy Balance'!AF60:AH60)/SUM('2019 KESIS Energy Balance'!AF51:AH53,'2019 KESIS Energy Balance'!AF55:AH58,'2019 KESIS Energy Balance'!AF60:AH60,'2019 KESIS Energy Balance'!AF65:AH66)*SUM(D32:D34)/SUM(D32:H34)</f>
        <v>0.41954224422056896</v>
      </c>
      <c r="M12" s="337">
        <f>SUM('2019 KESIS Energy Balance'!W60:Y60)/SUM('2019 KESIS Energy Balance'!W51:Y53,'2019 KESIS Energy Balance'!W55:Y58,'2019 KESIS Energy Balance'!W60:Y60,'2019 KESIS Energy Balance'!W65:Y66)*SUM(D36:D37)/SUM(D36:H37)</f>
        <v>6.0299450468703298E-4</v>
      </c>
      <c r="N12" s="337" t="s">
        <v>236</v>
      </c>
    </row>
    <row r="13" spans="2:14" s="278" customFormat="1" ht="105">
      <c r="B13" s="340" t="s">
        <v>56</v>
      </c>
      <c r="C13" s="341" t="str">
        <f>VLOOKUP($B13,About!$B$47:$E$71,3,0)</f>
        <v>EndUse&gt;Industry&gt;non-metallic minerals</v>
      </c>
      <c r="D13" s="342" t="str">
        <f>VLOOKUP($B13,About!$B$47:$E$71,4,0)</f>
        <v>Refractory and non-refractory ceramic products manufacturing business, cement, lime, plaster and its products manufacturing business, cement manufacturing business, other non-metallic minerals product manufacturing business</v>
      </c>
      <c r="E13" s="343">
        <f>'2019 KESIS Energy Balance'!BH60/SUM('2019 KESIS Energy Balance'!BH51:BH53,'2019 KESIS Energy Balance'!BH55:BH58,'2019 KESIS Energy Balance'!BH60,'2019 KESIS Energy Balance'!BH65:BH66)*(1-SUM(D42)/SUM(D42:H42))</f>
        <v>0.11892728945655964</v>
      </c>
      <c r="F13" s="343">
        <f>SUM('2019 KESIS Energy Balance'!D60:P60)/SUM('2019 KESIS Energy Balance'!D51:P53,'2019 KESIS Energy Balance'!D55:P58,'2019 KESIS Energy Balance'!D60:P60,'2019 KESIS Energy Balance'!D65:P66)*(1-SUM(D27)/SUM(D27:H27))</f>
        <v>0.48002548372525877</v>
      </c>
      <c r="G13" s="344">
        <f>SUM('2019 KESIS Energy Balance'!Q60:R60)/SUM('2019 KESIS Energy Balance'!Q51:R53,'2019 KESIS Energy Balance'!Q55:R58,'2019 KESIS Energy Balance'!Q60:R60,'2019 KESIS Energy Balance'!Q65:R66)*(1-SUM(D39)/SUM(D39:H39))</f>
        <v>0.15332032085796346</v>
      </c>
      <c r="H13" s="343">
        <f>SUM('2019 KESIS Energy Balance'!AP60:AX60)/SUM('2019 KESIS Energy Balance'!AP51:AX53,'2019 KESIS Energy Balance'!AP55:AX58,'2019 KESIS Energy Balance'!AP60:AX60,'2019 KESIS Energy Balance'!AP65:AX66)*(1-SUM(D40)/SUM(D40:H40))</f>
        <v>0.33752436134552311</v>
      </c>
      <c r="I13" s="343">
        <f>SUM('2019 KESIS Energy Balance'!Z60:AE60)/SUM('2019 KESIS Energy Balance'!Z51:AE53,'2019 KESIS Energy Balance'!Z55:AE58,'2019 KESIS Energy Balance'!Z60:AE60,'2019 KESIS Energy Balance'!Z65:AE66)*(1-SUM(D29:D31)/SUM(D29:H31))</f>
        <v>5.680229563325729E-2</v>
      </c>
      <c r="J13" s="345"/>
      <c r="K13" s="343" t="s">
        <v>236</v>
      </c>
      <c r="L13" s="343">
        <f>SUM('2019 KESIS Energy Balance'!AF60:AH60)/SUM('2019 KESIS Energy Balance'!AF51:AH53,'2019 KESIS Energy Balance'!AF55:AH58,'2019 KESIS Energy Balance'!AF60:AH60,'2019 KESIS Energy Balance'!AF65:AH66)*(1-SUM(D32:D34)/SUM(D32:H34))</f>
        <v>6.7098206646930614E-2</v>
      </c>
      <c r="M13" s="343">
        <f>SUM('2019 KESIS Energy Balance'!W60:Y60)/SUM('2019 KESIS Energy Balance'!W51:Y53,'2019 KESIS Energy Balance'!W55:Y58,'2019 KESIS Energy Balance'!W60:Y60,'2019 KESIS Energy Balance'!W65:Y66)*(1-SUM(D36:D37)/SUM(D36:H37))</f>
        <v>1.6682847963007914E-2</v>
      </c>
      <c r="N13" s="343" t="s">
        <v>236</v>
      </c>
    </row>
    <row r="14" spans="2:14" s="278" customFormat="1">
      <c r="B14" s="275" t="s">
        <v>80</v>
      </c>
      <c r="C14" s="280" t="str">
        <f>VLOOKUP($B14,About!$B$47:$E$71,3,0)</f>
        <v>EndUse&gt;Industry&gt;other manufacturing</v>
      </c>
      <c r="D14" s="327">
        <f>VLOOKUP($B14,About!$B$47:$E$71,4,0)</f>
        <v>0</v>
      </c>
      <c r="E14" s="328">
        <f>'2019 KESIS Energy Balance'!BH65/SUM('2019 KESIS Energy Balance'!BH51:BH53,'2019 KESIS Energy Balance'!BH55:BH58,'2019 KESIS Energy Balance'!BH60,'2019 KESIS Energy Balance'!BH65:BH66)</f>
        <v>6.1909016485137774E-2</v>
      </c>
      <c r="F14" s="328">
        <f>SUM('2019 KESIS Energy Balance'!D65:P65)/SUM('2019 KESIS Energy Balance'!D51:P53,'2019 KESIS Energy Balance'!D55:P58,'2019 KESIS Energy Balance'!D60:P60,'2019 KESIS Energy Balance'!D65:P66)</f>
        <v>0.41388732924623384</v>
      </c>
      <c r="G14" s="329">
        <f>SUM('2019 KESIS Energy Balance'!Q65:R65)/SUM('2019 KESIS Energy Balance'!Q51:R53,'2019 KESIS Energy Balance'!Q55:R58,'2019 KESIS Energy Balance'!Q60:R60,'2019 KESIS Energy Balance'!Q65:R66)</f>
        <v>0.16108323149656451</v>
      </c>
      <c r="H14" s="281">
        <f>SUM('2019 KESIS Energy Balance'!AP65:AX65)/SUM('2019 KESIS Energy Balance'!AP51:AX53,'2019 KESIS Energy Balance'!AP55:AX58,'2019 KESIS Energy Balance'!AP60:AX60,'2019 KESIS Energy Balance'!AP65:AX66)</f>
        <v>0.18176808722845453</v>
      </c>
      <c r="I14" s="281">
        <f>SUM('2019 KESIS Energy Balance'!Z65:AE65)/SUM('2019 KESIS Energy Balance'!Z51:AE53,'2019 KESIS Energy Balance'!Z55:AE58,'2019 KESIS Energy Balance'!Z60:AE60,'2019 KESIS Energy Balance'!Z65:AE66)</f>
        <v>8.3296802004051554E-2</v>
      </c>
      <c r="J14" s="282"/>
      <c r="K14" s="275" t="s">
        <v>236</v>
      </c>
      <c r="L14" s="281">
        <f>SUM('2019 KESIS Energy Balance'!AF65:AH65)/SUM('2019 KESIS Energy Balance'!AF51:AH53,'2019 KESIS Energy Balance'!AF55:AH58,'2019 KESIS Energy Balance'!AF60:AH60,'2019 KESIS Energy Balance'!AF65:AH66)</f>
        <v>0.28629606892063542</v>
      </c>
      <c r="M14" s="281">
        <f>SUM('2019 KESIS Energy Balance'!W65:Y65)/SUM('2019 KESIS Energy Balance'!W51:Y53,'2019 KESIS Energy Balance'!W55:Y58,'2019 KESIS Energy Balance'!W60:Y60,'2019 KESIS Energy Balance'!W65:Y66)</f>
        <v>0.91695741039516276</v>
      </c>
      <c r="N14" s="275" t="s">
        <v>236</v>
      </c>
    </row>
    <row r="15" spans="2:14" s="278" customFormat="1">
      <c r="B15" s="275" t="s">
        <v>89</v>
      </c>
      <c r="C15" s="280" t="str">
        <f>VLOOKUP($B15,About!$B$47:$E$71,3,0)</f>
        <v>EndUse&gt;Industry&gt;construction</v>
      </c>
      <c r="D15" s="327">
        <f>VLOOKUP($B15,About!$B$47:$E$71,4,0)</f>
        <v>0</v>
      </c>
      <c r="E15" s="331">
        <f>SUM('2019 KESIS Energy Balance'!BH66)/SUM('2019 KESIS Energy Balance'!BH51:BH53,'2019 KESIS Energy Balance'!BH55:BH58,'2019 KESIS Energy Balance'!BH60,'2019 KESIS Energy Balance'!BH65:BH66)</f>
        <v>1.3773448843582223E-4</v>
      </c>
      <c r="F15" s="331">
        <f>SUM('2019 KESIS Energy Balance'!D66:P66)/SUM('2019 KESIS Energy Balance'!D51:P53,'2019 KESIS Energy Balance'!D55:P58,'2019 KESIS Energy Balance'!D60:P60,'2019 KESIS Energy Balance'!D65:P66)</f>
        <v>1.1729506600439339E-4</v>
      </c>
      <c r="G15" s="332">
        <f>SUM('2019 KESIS Energy Balance'!Q66:R66)/SUM('2019 KESIS Energy Balance'!Q51:R53,'2019 KESIS Energy Balance'!Q55:R58,'2019 KESIS Energy Balance'!Q60:R60,'2019 KESIS Energy Balance'!Q65:R66)</f>
        <v>5.4762274858597493E-5</v>
      </c>
      <c r="H15" s="330">
        <f>SUM('2019 KESIS Energy Balance'!AP66:AX66)/SUM('2019 KESIS Energy Balance'!AP51:AX53,'2019 KESIS Energy Balance'!AP55:AX58,'2019 KESIS Energy Balance'!AP60:AX60,'2019 KESIS Energy Balance'!AP65:AX66)</f>
        <v>1.6150021978891576E-2</v>
      </c>
      <c r="I15" s="330">
        <f>SUM('2019 KESIS Energy Balance'!Z66:AE66)/SUM('2019 KESIS Energy Balance'!Z51:AE53,'2019 KESIS Energy Balance'!Z55:AE58,'2019 KESIS Energy Balance'!Z60:AE60,'2019 KESIS Energy Balance'!Z65:AE66)</f>
        <v>0.29752546898169935</v>
      </c>
      <c r="J15" s="333"/>
      <c r="K15" s="275" t="s">
        <v>236</v>
      </c>
      <c r="L15" s="330">
        <f>SUM('2019 KESIS Energy Balance'!AF66:AH66)/SUM('2019 KESIS Energy Balance'!AF51:AH53,'2019 KESIS Energy Balance'!AF55:AH58,'2019 KESIS Energy Balance'!AF60:AH60,'2019 KESIS Energy Balance'!AF65:AH66)</f>
        <v>3.4465848483004893E-2</v>
      </c>
      <c r="M15" s="330">
        <f>SUM('2019 KESIS Energy Balance'!W66:Y66)/SUM('2019 KESIS Energy Balance'!W51:Y53,'2019 KESIS Energy Balance'!W55:Y58,'2019 KESIS Energy Balance'!W60:Y60,'2019 KESIS Energy Balance'!W65:Y66)</f>
        <v>2.1470633995383622E-2</v>
      </c>
      <c r="N15" s="275" t="s">
        <v>236</v>
      </c>
    </row>
    <row r="16" spans="2:14" s="139" customFormat="1">
      <c r="B16" s="139" t="s">
        <v>943</v>
      </c>
      <c r="E16" s="279">
        <f>SUM(E6:E15)</f>
        <v>0.99999999999999989</v>
      </c>
      <c r="F16" s="279">
        <f t="shared" ref="F16:N16" si="0">SUM(F6:F15)</f>
        <v>1</v>
      </c>
      <c r="G16" s="279">
        <f t="shared" si="0"/>
        <v>1</v>
      </c>
      <c r="H16" s="279">
        <f t="shared" si="0"/>
        <v>0.99999999999999989</v>
      </c>
      <c r="I16" s="279">
        <f t="shared" si="0"/>
        <v>1</v>
      </c>
      <c r="J16" s="279"/>
      <c r="K16" s="279">
        <f t="shared" si="0"/>
        <v>0</v>
      </c>
      <c r="L16" s="279">
        <f t="shared" si="0"/>
        <v>0.99999999999999989</v>
      </c>
      <c r="M16" s="279">
        <f t="shared" si="0"/>
        <v>1.0004241270761445</v>
      </c>
      <c r="N16" s="279">
        <f t="shared" si="0"/>
        <v>0</v>
      </c>
    </row>
    <row r="19" spans="2:10" ht="16.5">
      <c r="B19" s="173" t="s">
        <v>897</v>
      </c>
      <c r="C19" s="2" t="s">
        <v>944</v>
      </c>
    </row>
    <row r="20" spans="2:10" ht="16.5">
      <c r="B20" s="454" t="s">
        <v>1134</v>
      </c>
      <c r="C20" s="2" t="s">
        <v>899</v>
      </c>
      <c r="D20" s="454" t="s">
        <v>1154</v>
      </c>
      <c r="I20"/>
      <c r="J20" s="454"/>
    </row>
    <row r="21" spans="2:10" ht="16.5">
      <c r="B21" s="454" t="s">
        <v>1135</v>
      </c>
      <c r="C21" s="2" t="s">
        <v>945</v>
      </c>
      <c r="J21" s="454"/>
    </row>
    <row r="22" spans="2:10" ht="16.5">
      <c r="B22" s="454" t="s">
        <v>1136</v>
      </c>
      <c r="C22" s="2" t="s">
        <v>903</v>
      </c>
      <c r="J22" s="454"/>
    </row>
    <row r="23" spans="2:10" ht="16.5">
      <c r="B23" s="454" t="s">
        <v>1137</v>
      </c>
      <c r="C23" s="2" t="s">
        <v>905</v>
      </c>
      <c r="J23" s="454"/>
    </row>
    <row r="24" spans="2:10" s="170" customFormat="1" ht="20.100000000000001" customHeight="1">
      <c r="B24" s="516" t="s">
        <v>1138</v>
      </c>
      <c r="C24" s="516" t="s">
        <v>1148</v>
      </c>
      <c r="D24" s="513" t="s">
        <v>908</v>
      </c>
      <c r="E24" s="514"/>
      <c r="F24" s="514"/>
      <c r="G24" s="514"/>
      <c r="H24" s="515"/>
      <c r="J24" s="454"/>
    </row>
    <row r="25" spans="2:10" s="170" customFormat="1" ht="20.100000000000001" customHeight="1">
      <c r="B25" s="517"/>
      <c r="C25" s="517"/>
      <c r="D25" s="465" t="s">
        <v>1149</v>
      </c>
      <c r="E25" s="325" t="s">
        <v>1150</v>
      </c>
      <c r="F25" s="325" t="s">
        <v>1151</v>
      </c>
      <c r="G25" s="325" t="s">
        <v>1153</v>
      </c>
      <c r="H25" s="466" t="s">
        <v>1152</v>
      </c>
      <c r="J25" s="455"/>
    </row>
    <row r="26" spans="2:10" s="170" customFormat="1" ht="20.100000000000001" customHeight="1">
      <c r="B26" s="463" t="s">
        <v>1139</v>
      </c>
      <c r="C26" s="272" t="s">
        <v>1142</v>
      </c>
      <c r="D26" s="171">
        <v>840.2</v>
      </c>
      <c r="E26" s="171">
        <v>241.3</v>
      </c>
      <c r="F26" s="171">
        <v>630.70000000000005</v>
      </c>
      <c r="G26" s="171">
        <v>4400.2</v>
      </c>
      <c r="H26" s="171">
        <v>265.39999999999998</v>
      </c>
      <c r="J26" s="454"/>
    </row>
    <row r="27" spans="2:10" s="170" customFormat="1" ht="20.100000000000001" customHeight="1">
      <c r="B27" s="463" t="s">
        <v>1013</v>
      </c>
      <c r="C27" s="272" t="s">
        <v>1142</v>
      </c>
      <c r="D27" s="171">
        <v>0</v>
      </c>
      <c r="E27" s="171">
        <v>1.1000000000000001</v>
      </c>
      <c r="F27" s="171">
        <v>154.69999999999999</v>
      </c>
      <c r="G27" s="171">
        <v>2192</v>
      </c>
      <c r="H27" s="171">
        <v>2.6</v>
      </c>
      <c r="J27" s="454"/>
    </row>
    <row r="28" spans="2:10" s="170" customFormat="1" ht="20.100000000000001" customHeight="1">
      <c r="B28" s="463" t="s">
        <v>1053</v>
      </c>
      <c r="C28" s="272" t="s">
        <v>1142</v>
      </c>
      <c r="D28" s="171">
        <v>251</v>
      </c>
      <c r="E28" s="171">
        <v>45</v>
      </c>
      <c r="F28" s="171">
        <v>101.9</v>
      </c>
      <c r="G28" s="171">
        <v>1070.7</v>
      </c>
      <c r="H28" s="171">
        <v>80</v>
      </c>
      <c r="J28" s="454"/>
    </row>
    <row r="29" spans="2:10" s="170" customFormat="1" ht="20.100000000000001" customHeight="1">
      <c r="B29" s="273" t="s">
        <v>922</v>
      </c>
      <c r="C29" s="454" t="s">
        <v>1105</v>
      </c>
      <c r="D29" s="171">
        <v>0</v>
      </c>
      <c r="E29" s="171">
        <v>0</v>
      </c>
      <c r="F29" s="171">
        <v>0</v>
      </c>
      <c r="G29" s="172" t="s">
        <v>170</v>
      </c>
      <c r="H29" s="171">
        <v>0</v>
      </c>
      <c r="J29" s="455"/>
    </row>
    <row r="30" spans="2:10" s="170" customFormat="1" ht="20.100000000000001" customHeight="1">
      <c r="B30" s="273" t="s">
        <v>922</v>
      </c>
      <c r="C30" s="454" t="s">
        <v>328</v>
      </c>
      <c r="D30" s="171">
        <v>0.1</v>
      </c>
      <c r="E30" s="171">
        <v>0</v>
      </c>
      <c r="F30" s="171">
        <v>0.9</v>
      </c>
      <c r="G30" s="171">
        <v>0.2</v>
      </c>
      <c r="H30" s="171">
        <v>0.1</v>
      </c>
      <c r="J30" s="454"/>
    </row>
    <row r="31" spans="2:10" s="170" customFormat="1" ht="20.100000000000001" customHeight="1">
      <c r="B31" s="273" t="s">
        <v>922</v>
      </c>
      <c r="C31" s="454" t="s">
        <v>1147</v>
      </c>
      <c r="D31" s="171">
        <v>0.2</v>
      </c>
      <c r="E31" s="171">
        <v>0.3</v>
      </c>
      <c r="F31" s="171">
        <v>4.0999999999999996</v>
      </c>
      <c r="G31" s="171">
        <v>0.1</v>
      </c>
      <c r="H31" s="171">
        <v>29</v>
      </c>
      <c r="J31" s="454"/>
    </row>
    <row r="32" spans="2:10" s="170" customFormat="1" ht="20.100000000000001" customHeight="1">
      <c r="B32" s="273" t="s">
        <v>922</v>
      </c>
      <c r="C32" s="454" t="s">
        <v>1143</v>
      </c>
      <c r="D32" s="172" t="s">
        <v>170</v>
      </c>
      <c r="E32" s="172" t="s">
        <v>170</v>
      </c>
      <c r="F32" s="171">
        <v>0</v>
      </c>
      <c r="G32" s="171">
        <v>1.6</v>
      </c>
      <c r="H32" s="172" t="s">
        <v>170</v>
      </c>
      <c r="J32" s="454"/>
    </row>
    <row r="33" spans="2:10" s="170" customFormat="1" ht="20.100000000000001" customHeight="1">
      <c r="B33" s="273" t="s">
        <v>922</v>
      </c>
      <c r="C33" s="454" t="s">
        <v>1144</v>
      </c>
      <c r="D33" s="172" t="s">
        <v>170</v>
      </c>
      <c r="E33" s="172" t="s">
        <v>170</v>
      </c>
      <c r="F33" s="172" t="s">
        <v>170</v>
      </c>
      <c r="G33" s="172" t="s">
        <v>170</v>
      </c>
      <c r="H33" s="172" t="s">
        <v>170</v>
      </c>
      <c r="J33" s="456"/>
    </row>
    <row r="34" spans="2:10" s="170" customFormat="1" ht="20.100000000000001" customHeight="1">
      <c r="B34" s="273" t="s">
        <v>922</v>
      </c>
      <c r="C34" s="454" t="s">
        <v>1145</v>
      </c>
      <c r="D34" s="171">
        <v>235.1</v>
      </c>
      <c r="E34" s="171">
        <v>13.1</v>
      </c>
      <c r="F34" s="171">
        <v>11.2</v>
      </c>
      <c r="G34" s="171">
        <v>2.9</v>
      </c>
      <c r="H34" s="171">
        <v>8.8000000000000007</v>
      </c>
    </row>
    <row r="35" spans="2:10" s="170" customFormat="1" ht="20.100000000000001" customHeight="1">
      <c r="B35" s="273" t="s">
        <v>922</v>
      </c>
      <c r="C35" s="454" t="s">
        <v>330</v>
      </c>
      <c r="D35" s="172" t="s">
        <v>170</v>
      </c>
      <c r="E35" s="172" t="s">
        <v>170</v>
      </c>
      <c r="F35" s="172" t="s">
        <v>170</v>
      </c>
      <c r="G35" s="172" t="s">
        <v>170</v>
      </c>
      <c r="H35" s="172" t="s">
        <v>170</v>
      </c>
    </row>
    <row r="36" spans="2:10" s="170" customFormat="1" ht="20.100000000000001" customHeight="1">
      <c r="B36" s="273" t="s">
        <v>922</v>
      </c>
      <c r="C36" s="454" t="s">
        <v>322</v>
      </c>
      <c r="D36" s="171">
        <v>1.2</v>
      </c>
      <c r="E36" s="171">
        <v>14.4</v>
      </c>
      <c r="F36" s="171">
        <v>15.3</v>
      </c>
      <c r="G36" s="171">
        <v>2.2000000000000002</v>
      </c>
      <c r="H36" s="171">
        <v>0.5</v>
      </c>
    </row>
    <row r="37" spans="2:10" s="170" customFormat="1" ht="20.100000000000001" customHeight="1">
      <c r="B37" s="273" t="s">
        <v>922</v>
      </c>
      <c r="C37" s="454" t="s">
        <v>323</v>
      </c>
      <c r="D37" s="171">
        <v>0</v>
      </c>
      <c r="E37" s="171">
        <v>0</v>
      </c>
      <c r="F37" s="171">
        <v>0.8</v>
      </c>
      <c r="G37" s="172" t="s">
        <v>170</v>
      </c>
      <c r="H37" s="171">
        <v>0</v>
      </c>
    </row>
    <row r="38" spans="2:10" s="170" customFormat="1" ht="20.100000000000001" customHeight="1">
      <c r="B38" s="273" t="s">
        <v>922</v>
      </c>
      <c r="C38" s="456" t="s">
        <v>1146</v>
      </c>
      <c r="D38" s="171">
        <v>14.5</v>
      </c>
      <c r="E38" s="171">
        <v>17.100000000000001</v>
      </c>
      <c r="F38" s="171">
        <v>69.599999999999994</v>
      </c>
      <c r="G38" s="171">
        <v>1063.7</v>
      </c>
      <c r="H38" s="171">
        <v>41.5</v>
      </c>
    </row>
    <row r="39" spans="2:10" s="170" customFormat="1" ht="20.100000000000001" customHeight="1">
      <c r="B39" s="463" t="s">
        <v>1065</v>
      </c>
      <c r="C39" s="272" t="s">
        <v>1142</v>
      </c>
      <c r="D39" s="171">
        <v>248.1</v>
      </c>
      <c r="E39" s="171">
        <v>129.69999999999999</v>
      </c>
      <c r="F39" s="171">
        <v>162.5</v>
      </c>
      <c r="G39" s="171">
        <v>24.6</v>
      </c>
      <c r="H39" s="171">
        <v>68.599999999999994</v>
      </c>
    </row>
    <row r="40" spans="2:10" s="170" customFormat="1" ht="20.100000000000001" customHeight="1">
      <c r="B40" s="463" t="s">
        <v>1140</v>
      </c>
      <c r="C40" s="272" t="s">
        <v>1142</v>
      </c>
      <c r="D40" s="172" t="s">
        <v>170</v>
      </c>
      <c r="E40" s="171">
        <v>0.1</v>
      </c>
      <c r="F40" s="171">
        <v>4.5</v>
      </c>
      <c r="G40" s="171">
        <v>612.6</v>
      </c>
      <c r="H40" s="171">
        <v>0.1</v>
      </c>
    </row>
    <row r="41" spans="2:10" s="170" customFormat="1" ht="20.100000000000001" customHeight="1">
      <c r="B41" s="463" t="s">
        <v>1141</v>
      </c>
      <c r="C41" s="272" t="s">
        <v>1142</v>
      </c>
      <c r="D41" s="171">
        <v>1.5</v>
      </c>
      <c r="E41" s="171">
        <v>2</v>
      </c>
      <c r="F41" s="171">
        <v>3.1</v>
      </c>
      <c r="G41" s="171">
        <v>26.3</v>
      </c>
      <c r="H41" s="172" t="s">
        <v>170</v>
      </c>
    </row>
    <row r="42" spans="2:10" s="170" customFormat="1" ht="20.100000000000001" customHeight="1">
      <c r="B42" s="464" t="s">
        <v>355</v>
      </c>
      <c r="C42" s="272" t="s">
        <v>1142</v>
      </c>
      <c r="D42" s="171">
        <v>339.5</v>
      </c>
      <c r="E42" s="171">
        <v>63.5</v>
      </c>
      <c r="F42" s="171">
        <v>203.9</v>
      </c>
      <c r="G42" s="171">
        <v>474</v>
      </c>
      <c r="H42" s="171">
        <v>114.2</v>
      </c>
    </row>
    <row r="44" spans="2:10">
      <c r="B44" s="173" t="s">
        <v>875</v>
      </c>
      <c r="C44" s="324"/>
      <c r="D44" s="265"/>
    </row>
    <row r="45" spans="2:10">
      <c r="C45" s="265" t="s">
        <v>876</v>
      </c>
      <c r="D45" s="265" t="s">
        <v>877</v>
      </c>
    </row>
    <row r="46" spans="2:10">
      <c r="B46" s="163" t="s">
        <v>106</v>
      </c>
      <c r="C46" s="164">
        <f>SUM('2019 KESIS Energy Balance'!Z51:AE53,'2019 KESIS Energy Balance'!Z55:AE58,'2019 KESIS Energy Balance'!Z60:AE60,'2019 KESIS Energy Balance'!Z65:AE66)</f>
        <v>2420.297</v>
      </c>
      <c r="D46" s="165">
        <f>C46/SUM($C$46:$C$48)</f>
        <v>0.62041144123886605</v>
      </c>
    </row>
    <row r="47" spans="2:10">
      <c r="B47" s="163" t="s">
        <v>878</v>
      </c>
      <c r="C47" s="164">
        <f>SUM('2019 KESIS Energy Balance'!AF51:AH53,'2019 KESIS Energy Balance'!AF55:AH58,'2019 KESIS Energy Balance'!AF60:AH60,'2019 KESIS Energy Balance'!AF65:AH66)</f>
        <v>542.42100000000005</v>
      </c>
      <c r="D47" s="165">
        <f>C47/SUM($C$46:$C$48)</f>
        <v>0.13904252014039062</v>
      </c>
    </row>
    <row r="48" spans="2:10">
      <c r="B48" s="163" t="s">
        <v>879</v>
      </c>
      <c r="C48" s="164">
        <f>SUM('2019 KESIS Energy Balance'!W51:Y53,'2019 KESIS Energy Balance'!W55:Y58,'2019 KESIS Energy Balance'!W60:Y60,'2019 KESIS Energy Balance'!W65:Y66)</f>
        <v>938.39800000000002</v>
      </c>
      <c r="D48" s="165">
        <f>C48/SUM($C$46:$C$48)</f>
        <v>0.24054603862074339</v>
      </c>
    </row>
    <row r="50" spans="2:5">
      <c r="B50" s="173" t="s">
        <v>880</v>
      </c>
      <c r="C50" s="324"/>
      <c r="D50" s="265"/>
    </row>
    <row r="51" spans="2:5">
      <c r="C51" s="265" t="s">
        <v>876</v>
      </c>
      <c r="D51" s="265" t="s">
        <v>877</v>
      </c>
    </row>
    <row r="52" spans="2:5">
      <c r="B52" s="163" t="s">
        <v>106</v>
      </c>
      <c r="C52" s="164">
        <f>SUM('2022 Energy Balance'!Z51:AE53,'2022 Energy Balance'!Z55:AE58,'2022 Energy Balance'!Z60:AE60,'2022 Energy Balance'!Z65:AE66)</f>
        <v>2200.857</v>
      </c>
      <c r="D52" s="165">
        <f>C52/SUM($C$46:$C$48)</f>
        <v>0.56416087088925326</v>
      </c>
    </row>
    <row r="53" spans="2:5">
      <c r="B53" s="163" t="s">
        <v>878</v>
      </c>
      <c r="C53" s="164">
        <f>SUM('2022 Energy Balance'!AF51:AH53,'2022 Energy Balance'!AF55:AH58,'2022 Energy Balance'!AF60:AH60,'2022 Energy Balance'!AF65:AH66)</f>
        <v>352.24999999999994</v>
      </c>
      <c r="D53" s="165">
        <f>C53/SUM($C$46:$C$48)</f>
        <v>9.02946746520739E-2</v>
      </c>
    </row>
    <row r="54" spans="2:5">
      <c r="B54" s="163" t="s">
        <v>879</v>
      </c>
      <c r="C54" s="164">
        <f>SUM('2022 Energy Balance'!W51:Y53,'2022 Energy Balance'!W55:Y58,'2022 Energy Balance'!W60:Y60,'2022 Energy Balance'!W65:Y66)</f>
        <v>831.9860000000001</v>
      </c>
      <c r="D54" s="165">
        <f>C54/SUM($C$46:$C$48)</f>
        <v>0.21326871592641697</v>
      </c>
    </row>
    <row r="55" spans="2:5" ht="16.5">
      <c r="B55" s="137" t="s">
        <v>882</v>
      </c>
    </row>
    <row r="56" spans="2:5">
      <c r="B56" s="454" t="s">
        <v>1155</v>
      </c>
      <c r="E56" s="454"/>
    </row>
    <row r="57" spans="2:5">
      <c r="E57" s="454"/>
    </row>
    <row r="59" spans="2:5" ht="16.5">
      <c r="B59" s="430" t="s">
        <v>946</v>
      </c>
    </row>
    <row r="60" spans="2:5">
      <c r="B60" s="454" t="s">
        <v>1156</v>
      </c>
    </row>
  </sheetData>
  <mergeCells count="3">
    <mergeCell ref="D24:H24"/>
    <mergeCell ref="B24:B25"/>
    <mergeCell ref="C24:C25"/>
  </mergeCells>
  <phoneticPr fontId="35"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D49"/>
  <sheetViews>
    <sheetView workbookViewId="0"/>
  </sheetViews>
  <sheetFormatPr defaultColWidth="8.5" defaultRowHeight="15"/>
  <cols>
    <col min="1" max="1" width="2.625" style="137" customWidth="1"/>
    <col min="2" max="2" width="24.5" style="137" customWidth="1"/>
    <col min="3" max="4" width="30.375" style="137" customWidth="1"/>
    <col min="5" max="14" width="14.375" style="137" customWidth="1"/>
    <col min="15" max="29" width="19.5" style="137" customWidth="1"/>
    <col min="30" max="16384" width="8.5" style="137"/>
  </cols>
  <sheetData>
    <row r="2" spans="2:14">
      <c r="B2" s="264" t="s">
        <v>947</v>
      </c>
    </row>
    <row r="4" spans="2:14">
      <c r="B4" s="173" t="s">
        <v>884</v>
      </c>
    </row>
    <row r="5" spans="2:14" s="278" customFormat="1" ht="30">
      <c r="B5" s="275"/>
      <c r="C5" s="275" t="s">
        <v>885</v>
      </c>
      <c r="D5" s="275" t="s">
        <v>886</v>
      </c>
      <c r="E5" s="276" t="s">
        <v>887</v>
      </c>
      <c r="F5" s="277" t="s">
        <v>888</v>
      </c>
      <c r="G5" s="277" t="s">
        <v>889</v>
      </c>
      <c r="H5" s="277" t="s">
        <v>890</v>
      </c>
      <c r="I5" s="277" t="s">
        <v>891</v>
      </c>
      <c r="J5" s="277" t="s">
        <v>892</v>
      </c>
      <c r="K5" s="277" t="s">
        <v>893</v>
      </c>
      <c r="L5" s="277" t="s">
        <v>878</v>
      </c>
      <c r="M5" s="277" t="s">
        <v>879</v>
      </c>
      <c r="N5" s="277" t="s">
        <v>894</v>
      </c>
    </row>
    <row r="6" spans="2:14" ht="135">
      <c r="B6" s="305" t="s">
        <v>67</v>
      </c>
      <c r="C6" s="306" t="str">
        <f>VLOOKUP($B6,About!$B$47:$E$71,3,0)</f>
        <v>EndUse&gt;Industry&gt;machinery</v>
      </c>
      <c r="D6" s="306" t="str">
        <f>VLOOKUP($B6,About!$B$47:$E$71,4,0)</f>
        <v>Semiconductor manufacturing business, electronic component manufacturing business, computer and peripheral device manufacturing business, communication and broadcasting equipment manufacturing business, video and audio equipment manufacturing business</v>
      </c>
      <c r="E6" s="307">
        <f>SUM(E37:I37)/SUM($E$37:$AD$37)</f>
        <v>0.55477986857442951</v>
      </c>
      <c r="F6" s="307">
        <f>SUM(E22:I22)/SUM($E$22:$AD$22)</f>
        <v>0</v>
      </c>
      <c r="G6" s="307">
        <f>SUM(E34:I34)/SUM($E$34:$AD$34)</f>
        <v>0.5136790714812085</v>
      </c>
      <c r="H6" s="307">
        <f>SUM(E35:I35)/SUM($E$35:$AD$35)</f>
        <v>0.9375</v>
      </c>
      <c r="I6" s="307">
        <f>SUM(E24:I26)/SUM($E$24:$AD$26)</f>
        <v>1.0554089709762534E-2</v>
      </c>
      <c r="J6" s="307">
        <f>SUM(E36:I36)/SUM($E$36:$AD$36)</f>
        <v>0.80044101433296577</v>
      </c>
      <c r="K6" s="179" t="s">
        <v>236</v>
      </c>
      <c r="L6" s="307">
        <f>SUM(E27:I29)/SUM($E$27:$AD$29)</f>
        <v>0</v>
      </c>
      <c r="M6" s="307">
        <f>SUM(E31:I32)/SUM($E$31:$AD$32)</f>
        <v>4.0089086859688192E-2</v>
      </c>
      <c r="N6" s="179" t="s">
        <v>236</v>
      </c>
    </row>
    <row r="7" spans="2:14" ht="135">
      <c r="B7" s="308" t="s">
        <v>71</v>
      </c>
      <c r="C7" s="309" t="str">
        <f>VLOOKUP($B7,About!$B$47:$E$71,3,0)</f>
        <v>EndUse&gt;Industry&gt;machinery</v>
      </c>
      <c r="D7" s="309" t="str">
        <f>VLOOKUP($B7,About!$B$47:$E$71,4,0)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0">
        <f>SUM(O37:T37)/SUM($E$37:$AD$37)</f>
        <v>9.660932276121792E-2</v>
      </c>
      <c r="F7" s="310">
        <f>SUM(O22:T22)/SUM($E$22:$AD$22)</f>
        <v>0</v>
      </c>
      <c r="G7" s="310">
        <f>SUM(O34:T34)/SUM($E$34:$AD$34)</f>
        <v>7.5580324244657326E-2</v>
      </c>
      <c r="H7" s="310">
        <f>SUM(O35:T35)/SUM($E$35:$AD$35)</f>
        <v>0</v>
      </c>
      <c r="I7" s="310">
        <f>SUM(O24:T26)/SUM($E$24:$AD$26)</f>
        <v>1.3192612137203167E-2</v>
      </c>
      <c r="J7" s="310">
        <f>SUM(O36:T36)/SUM($E$36:$AD$36)</f>
        <v>0.16317530319735396</v>
      </c>
      <c r="K7" s="311" t="s">
        <v>895</v>
      </c>
      <c r="L7" s="310">
        <f>SUM(O27:T29)/SUM($E$27:$AD$29)</f>
        <v>1.515151515151515E-2</v>
      </c>
      <c r="M7" s="310">
        <f>SUM(O31:T32)/SUM($E$31:$AD$32)</f>
        <v>5.1224944320712694E-2</v>
      </c>
      <c r="N7" s="311" t="s">
        <v>895</v>
      </c>
    </row>
    <row r="8" spans="2:14" ht="180">
      <c r="B8" s="312" t="s">
        <v>73</v>
      </c>
      <c r="C8" s="313" t="str">
        <f>VLOOKUP($B8,About!$B$47:$E$71,3,0)</f>
        <v>EndUse&gt;Industry&gt;machinery</v>
      </c>
      <c r="D8" s="313" t="str">
        <f>VLOOKUP($B8,About!$B$47:$E$71,4,0)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4">
        <f>SUM(J37:N37,U37:V37)/SUM($E$37:$AD$37)</f>
        <v>0.15081916815043489</v>
      </c>
      <c r="F8" s="314">
        <f>SUM(J22:N22,U22:V22)/SUM($E$22:$AD$22)</f>
        <v>1</v>
      </c>
      <c r="G8" s="314">
        <f>SUM(J34:N34,U34:V34)/SUM($E$34:$AD$34)</f>
        <v>6.0058953574060409E-2</v>
      </c>
      <c r="H8" s="314">
        <f>SUM(J35:N35,U35:V35)/SUM($E$35:$AD$35)</f>
        <v>6.25E-2</v>
      </c>
      <c r="I8" s="314">
        <f>SUM(J24:N26,U24:V26)/SUM($E$24:$AD$26)</f>
        <v>5.4089709762532981E-2</v>
      </c>
      <c r="J8" s="314">
        <f>SUM(J36:N36,U36:V36)/SUM($E$36:$AD$36)</f>
        <v>7.1664829106945997E-3</v>
      </c>
      <c r="K8" s="315" t="s">
        <v>895</v>
      </c>
      <c r="L8" s="314">
        <f>SUM(J27:N29,,U27:V29)/SUM($E$27:$AD$29)</f>
        <v>0.33333333333333337</v>
      </c>
      <c r="M8" s="314">
        <f>SUM(J31:N32,U31:V32)/SUM($E$31:$AD$32)</f>
        <v>0.19376391982182625</v>
      </c>
      <c r="N8" s="315" t="s">
        <v>895</v>
      </c>
    </row>
    <row r="9" spans="2:14" ht="105">
      <c r="B9" s="316" t="s">
        <v>75</v>
      </c>
      <c r="C9" s="317" t="str">
        <f>VLOOKUP($B9,About!$B$47:$E$71,3,0)</f>
        <v>EndUse&gt;Industry&gt;transportation equiment</v>
      </c>
      <c r="D9" s="317" t="str">
        <f>VLOOKUP($B9,About!$B$47:$E$71,4,0)</f>
        <v>Automobile engine and automobile manufacturing business, automobile body and trailer manufacturing business, new automobile parts manufacturing business, automobile remanufactured parts manufacturing business</v>
      </c>
      <c r="E9" s="318">
        <f>SUM(I38:M38,W37:Z37)/SUM($E$37:$AD$37)</f>
        <v>0.15746730372628637</v>
      </c>
      <c r="F9" s="318">
        <f>SUM(W22:Z22)/SUM($E$22:$AD$22)</f>
        <v>0</v>
      </c>
      <c r="G9" s="318">
        <f>SUM(W34:Z34)/SUM($E$34:$AD$34)</f>
        <v>0.31553979366249074</v>
      </c>
      <c r="H9" s="318">
        <f>SUM(W35:Z35)/SUM($E$35:$AD$35)</f>
        <v>0</v>
      </c>
      <c r="I9" s="318">
        <f>SUM(W24:Z26)/SUM($E$24:$AD$26)</f>
        <v>0.46569920844327173</v>
      </c>
      <c r="J9" s="318">
        <f>SUM(W36:Z36)/SUM($E$36:$AD$36)</f>
        <v>2.9217199558985673E-2</v>
      </c>
      <c r="K9" s="319" t="s">
        <v>895</v>
      </c>
      <c r="L9" s="318">
        <f>SUM(W27:Z29)/SUM($E$27:$AD$29)</f>
        <v>0.10101010101010101</v>
      </c>
      <c r="M9" s="318">
        <f>SUM(W31:Z32)/SUM($E$31:$AD$32)</f>
        <v>0.47216035634743875</v>
      </c>
      <c r="N9" s="319" t="s">
        <v>895</v>
      </c>
    </row>
    <row r="10" spans="2:14" ht="90">
      <c r="B10" s="320" t="s">
        <v>78</v>
      </c>
      <c r="C10" s="321" t="str">
        <f>VLOOKUP($B10,About!$B$47:$E$71,3,0)</f>
        <v>EndUse&gt;Industry&gt;transportation equiment</v>
      </c>
      <c r="D10" s="321" t="str">
        <f>VLOOKUP($B10,About!$B$47:$E$71,4,0)</f>
        <v>Ship and boat construction business, railway equipment manufacturing business, aircraft, spaceship and parts manufacturing business, and other transportation equipment manufacturing business</v>
      </c>
      <c r="E10" s="322">
        <f>SUM(AA37:AE37)/SUM($E$37:$AD$37)</f>
        <v>4.0324336787631136E-2</v>
      </c>
      <c r="F10" s="322">
        <f>SUM(AA22:AD22)/SUM($E$22:$AD$22)</f>
        <v>0</v>
      </c>
      <c r="G10" s="322">
        <f>SUM(AA34:AD34)/SUM($E$34:$AD$34)</f>
        <v>3.5141857037582908E-2</v>
      </c>
      <c r="H10" s="322">
        <f>SUM(AA35:AD35)/SUM($E$35:$AD$35)</f>
        <v>0</v>
      </c>
      <c r="I10" s="322">
        <f>SUM(AA24:AD26)/SUM($E$24:$AD$26)</f>
        <v>0.45646437994722949</v>
      </c>
      <c r="J10" s="322">
        <f>SUM(AA36:AD36)/SUM($E$36:$AD$36)</f>
        <v>0</v>
      </c>
      <c r="K10" s="323" t="s">
        <v>895</v>
      </c>
      <c r="L10" s="322">
        <f>SUM(AA27:AD29)/SUM($E$27:$AD$29)</f>
        <v>0.5505050505050505</v>
      </c>
      <c r="M10" s="322">
        <f>SUM(AA31:AD32)/SUM($E$31:$AD$32)</f>
        <v>0.24276169265033407</v>
      </c>
      <c r="N10" s="323" t="s">
        <v>895</v>
      </c>
    </row>
    <row r="11" spans="2:14" s="139" customFormat="1">
      <c r="B11" s="304" t="s">
        <v>948</v>
      </c>
      <c r="C11" s="266"/>
      <c r="D11" s="266"/>
      <c r="E11" s="267">
        <f>SUM(E6:E10)</f>
        <v>0.99999999999999978</v>
      </c>
      <c r="F11" s="267">
        <f t="shared" ref="F11:M11" si="0">SUM(F6:F10)</f>
        <v>1</v>
      </c>
      <c r="G11" s="267">
        <f t="shared" si="0"/>
        <v>0.99999999999999989</v>
      </c>
      <c r="H11" s="267">
        <f t="shared" si="0"/>
        <v>1</v>
      </c>
      <c r="I11" s="267">
        <f t="shared" si="0"/>
        <v>1</v>
      </c>
      <c r="J11" s="267">
        <f t="shared" si="0"/>
        <v>1</v>
      </c>
      <c r="K11" s="138" t="s">
        <v>895</v>
      </c>
      <c r="L11" s="267">
        <f t="shared" si="0"/>
        <v>1</v>
      </c>
      <c r="M11" s="267">
        <f t="shared" si="0"/>
        <v>0.99999999999999989</v>
      </c>
      <c r="N11" s="138" t="s">
        <v>895</v>
      </c>
    </row>
    <row r="13" spans="2:14" s="170" customFormat="1" ht="16.5">
      <c r="B13" s="173" t="s">
        <v>897</v>
      </c>
      <c r="C13" s="2"/>
    </row>
    <row r="14" spans="2:14" s="170" customFormat="1" ht="16.5">
      <c r="B14" s="468" t="s">
        <v>1190</v>
      </c>
      <c r="C14" s="2" t="s">
        <v>899</v>
      </c>
      <c r="D14" s="486" t="s">
        <v>1189</v>
      </c>
    </row>
    <row r="15" spans="2:14" s="170" customFormat="1" ht="16.5">
      <c r="B15" s="468" t="s">
        <v>1191</v>
      </c>
      <c r="C15" s="2" t="s">
        <v>949</v>
      </c>
    </row>
    <row r="16" spans="2:14" s="170" customFormat="1" ht="16.5">
      <c r="B16" s="468" t="s">
        <v>1192</v>
      </c>
      <c r="C16" s="2" t="s">
        <v>903</v>
      </c>
    </row>
    <row r="17" spans="2:30" s="170" customFormat="1" ht="16.5">
      <c r="B17" s="469" t="s">
        <v>1137</v>
      </c>
      <c r="C17" s="2" t="s">
        <v>905</v>
      </c>
    </row>
    <row r="18" spans="2:30" s="170" customFormat="1" ht="20.100000000000001" customHeight="1">
      <c r="B18" s="482" t="s">
        <v>906</v>
      </c>
      <c r="C18" s="481" t="s">
        <v>1157</v>
      </c>
      <c r="D18" s="518" t="s">
        <v>907</v>
      </c>
      <c r="E18" s="512" t="s">
        <v>908</v>
      </c>
      <c r="F18" s="512" t="s">
        <v>908</v>
      </c>
      <c r="G18" s="512" t="s">
        <v>908</v>
      </c>
      <c r="H18" s="512" t="s">
        <v>908</v>
      </c>
      <c r="I18" s="512" t="s">
        <v>908</v>
      </c>
      <c r="J18" s="512" t="s">
        <v>908</v>
      </c>
      <c r="K18" s="512" t="s">
        <v>908</v>
      </c>
      <c r="L18" s="512" t="s">
        <v>908</v>
      </c>
      <c r="M18" s="512" t="s">
        <v>908</v>
      </c>
      <c r="N18" s="512" t="s">
        <v>908</v>
      </c>
      <c r="O18" s="512" t="s">
        <v>908</v>
      </c>
      <c r="P18" s="512" t="s">
        <v>908</v>
      </c>
      <c r="Q18" s="512" t="s">
        <v>908</v>
      </c>
      <c r="R18" s="512" t="s">
        <v>908</v>
      </c>
      <c r="S18" s="512" t="s">
        <v>908</v>
      </c>
      <c r="T18" s="512" t="s">
        <v>908</v>
      </c>
      <c r="U18" s="512" t="s">
        <v>908</v>
      </c>
      <c r="V18" s="512" t="s">
        <v>908</v>
      </c>
      <c r="W18" s="512" t="s">
        <v>908</v>
      </c>
      <c r="X18" s="512" t="s">
        <v>908</v>
      </c>
      <c r="Y18" s="512" t="s">
        <v>908</v>
      </c>
      <c r="Z18" s="512" t="s">
        <v>908</v>
      </c>
      <c r="AA18" s="512" t="s">
        <v>908</v>
      </c>
      <c r="AB18" s="512" t="s">
        <v>908</v>
      </c>
      <c r="AC18" s="512" t="s">
        <v>908</v>
      </c>
      <c r="AD18" s="512" t="s">
        <v>908</v>
      </c>
    </row>
    <row r="19" spans="2:30" s="170" customFormat="1" ht="20.100000000000001" customHeight="1">
      <c r="B19" s="483" t="s">
        <v>906</v>
      </c>
      <c r="C19" s="480"/>
      <c r="D19" s="519" t="s">
        <v>907</v>
      </c>
      <c r="E19" s="195" t="s">
        <v>950</v>
      </c>
      <c r="F19" s="195" t="s">
        <v>951</v>
      </c>
      <c r="G19" s="195" t="s">
        <v>952</v>
      </c>
      <c r="H19" s="195" t="s">
        <v>953</v>
      </c>
      <c r="I19" s="195" t="s">
        <v>954</v>
      </c>
      <c r="J19" s="197" t="s">
        <v>955</v>
      </c>
      <c r="K19" s="197" t="s">
        <v>956</v>
      </c>
      <c r="L19" s="197" t="s">
        <v>957</v>
      </c>
      <c r="M19" s="197" t="s">
        <v>958</v>
      </c>
      <c r="N19" s="197" t="s">
        <v>959</v>
      </c>
      <c r="O19" s="196" t="s">
        <v>960</v>
      </c>
      <c r="P19" s="196" t="s">
        <v>961</v>
      </c>
      <c r="Q19" s="196" t="s">
        <v>962</v>
      </c>
      <c r="R19" s="196" t="s">
        <v>963</v>
      </c>
      <c r="S19" s="196" t="s">
        <v>964</v>
      </c>
      <c r="T19" s="196" t="s">
        <v>965</v>
      </c>
      <c r="U19" s="197" t="s">
        <v>966</v>
      </c>
      <c r="V19" s="197" t="s">
        <v>967</v>
      </c>
      <c r="W19" s="198" t="s">
        <v>968</v>
      </c>
      <c r="X19" s="198" t="s">
        <v>969</v>
      </c>
      <c r="Y19" s="198" t="s">
        <v>970</v>
      </c>
      <c r="Z19" s="198" t="s">
        <v>971</v>
      </c>
      <c r="AA19" s="199" t="s">
        <v>972</v>
      </c>
      <c r="AB19" s="199" t="s">
        <v>973</v>
      </c>
      <c r="AC19" s="199" t="s">
        <v>974</v>
      </c>
      <c r="AD19" s="199" t="s">
        <v>975</v>
      </c>
    </row>
    <row r="20" spans="2:30" s="170" customFormat="1" ht="20.100000000000001" customHeight="1">
      <c r="B20" s="274"/>
      <c r="C20" s="480"/>
      <c r="D20" s="272"/>
      <c r="E20" s="470" t="s">
        <v>1163</v>
      </c>
      <c r="F20" s="195" t="s">
        <v>1164</v>
      </c>
      <c r="G20" s="195" t="s">
        <v>1165</v>
      </c>
      <c r="H20" s="195" t="s">
        <v>1166</v>
      </c>
      <c r="I20" s="195" t="s">
        <v>1167</v>
      </c>
      <c r="J20" s="471" t="s">
        <v>1168</v>
      </c>
      <c r="K20" s="197" t="s">
        <v>1169</v>
      </c>
      <c r="L20" s="197" t="s">
        <v>1170</v>
      </c>
      <c r="M20" s="197" t="s">
        <v>1171</v>
      </c>
      <c r="N20" s="197" t="s">
        <v>1172</v>
      </c>
      <c r="O20" s="472" t="s">
        <v>1173</v>
      </c>
      <c r="P20" s="196" t="s">
        <v>1174</v>
      </c>
      <c r="Q20" s="196" t="s">
        <v>1175</v>
      </c>
      <c r="R20" s="196" t="s">
        <v>1176</v>
      </c>
      <c r="S20" s="196" t="s">
        <v>1177</v>
      </c>
      <c r="T20" s="196" t="s">
        <v>1178</v>
      </c>
      <c r="U20" s="473" t="s">
        <v>1179</v>
      </c>
      <c r="V20" s="197" t="s">
        <v>1180</v>
      </c>
      <c r="W20" s="474" t="s">
        <v>1181</v>
      </c>
      <c r="X20" s="198" t="s">
        <v>1182</v>
      </c>
      <c r="Y20" s="198" t="s">
        <v>1183</v>
      </c>
      <c r="Z20" s="198" t="s">
        <v>1184</v>
      </c>
      <c r="AA20" s="475" t="s">
        <v>1185</v>
      </c>
      <c r="AB20" s="199" t="s">
        <v>1186</v>
      </c>
      <c r="AC20" s="199" t="s">
        <v>1187</v>
      </c>
      <c r="AD20" s="199" t="s">
        <v>1188</v>
      </c>
    </row>
    <row r="21" spans="2:30" s="170" customFormat="1" ht="20.100000000000001" customHeight="1">
      <c r="B21" s="481" t="s">
        <v>1139</v>
      </c>
      <c r="C21" s="476" t="s">
        <v>1142</v>
      </c>
      <c r="D21" s="272" t="s">
        <v>919</v>
      </c>
      <c r="E21" s="171">
        <v>2812.4</v>
      </c>
      <c r="F21" s="171">
        <v>2583.3000000000002</v>
      </c>
      <c r="G21" s="171">
        <v>9.6999999999999993</v>
      </c>
      <c r="H21" s="171">
        <v>105.1</v>
      </c>
      <c r="I21" s="171">
        <v>87</v>
      </c>
      <c r="J21" s="171">
        <v>2.8</v>
      </c>
      <c r="K21" s="171">
        <v>74.2</v>
      </c>
      <c r="L21" s="171">
        <v>114.9</v>
      </c>
      <c r="M21" s="171">
        <v>40.6</v>
      </c>
      <c r="N21" s="171">
        <v>0.8</v>
      </c>
      <c r="O21" s="171">
        <v>264.5</v>
      </c>
      <c r="P21" s="171">
        <v>409.6</v>
      </c>
      <c r="Q21" s="171">
        <v>83</v>
      </c>
      <c r="R21" s="171">
        <v>71.900000000000006</v>
      </c>
      <c r="S21" s="171">
        <v>99.2</v>
      </c>
      <c r="T21" s="171">
        <v>23.7</v>
      </c>
      <c r="U21" s="171">
        <v>499.3</v>
      </c>
      <c r="V21" s="171">
        <v>596.79999999999995</v>
      </c>
      <c r="W21" s="171">
        <v>699</v>
      </c>
      <c r="X21" s="171">
        <v>24</v>
      </c>
      <c r="Y21" s="171">
        <v>1253.9000000000001</v>
      </c>
      <c r="Z21" s="171">
        <v>2.2000000000000002</v>
      </c>
      <c r="AA21" s="171">
        <v>392.9</v>
      </c>
      <c r="AB21" s="171">
        <v>14.3</v>
      </c>
      <c r="AC21" s="171">
        <v>47.2</v>
      </c>
      <c r="AD21" s="171">
        <v>6</v>
      </c>
    </row>
    <row r="22" spans="2:30" s="170" customFormat="1" ht="20.100000000000001" customHeight="1">
      <c r="B22" s="484" t="s">
        <v>1013</v>
      </c>
      <c r="C22" s="476" t="s">
        <v>1142</v>
      </c>
      <c r="D22" s="272" t="s">
        <v>919</v>
      </c>
      <c r="E22" s="172" t="s">
        <v>170</v>
      </c>
      <c r="F22" s="172" t="s">
        <v>170</v>
      </c>
      <c r="G22" s="172" t="s">
        <v>170</v>
      </c>
      <c r="H22" s="172" t="s">
        <v>170</v>
      </c>
      <c r="I22" s="172" t="s">
        <v>170</v>
      </c>
      <c r="J22" s="172" t="s">
        <v>170</v>
      </c>
      <c r="K22" s="171">
        <v>0.1</v>
      </c>
      <c r="L22" s="171">
        <v>0</v>
      </c>
      <c r="M22" s="172" t="s">
        <v>170</v>
      </c>
      <c r="N22" s="172" t="s">
        <v>170</v>
      </c>
      <c r="O22" s="171">
        <v>0</v>
      </c>
      <c r="P22" s="172" t="s">
        <v>170</v>
      </c>
      <c r="Q22" s="172" t="s">
        <v>170</v>
      </c>
      <c r="R22" s="171">
        <v>0</v>
      </c>
      <c r="S22" s="171">
        <v>0</v>
      </c>
      <c r="T22" s="172" t="s">
        <v>170</v>
      </c>
      <c r="U22" s="171">
        <v>0</v>
      </c>
      <c r="V22" s="171">
        <v>0</v>
      </c>
      <c r="W22" s="172" t="s">
        <v>170</v>
      </c>
      <c r="X22" s="172" t="s">
        <v>170</v>
      </c>
      <c r="Y22" s="172" t="s">
        <v>170</v>
      </c>
      <c r="Z22" s="172" t="s">
        <v>170</v>
      </c>
      <c r="AA22" s="172" t="s">
        <v>170</v>
      </c>
      <c r="AB22" s="172" t="s">
        <v>170</v>
      </c>
      <c r="AC22" s="172" t="s">
        <v>170</v>
      </c>
      <c r="AD22" s="172" t="s">
        <v>170</v>
      </c>
    </row>
    <row r="23" spans="2:30" s="170" customFormat="1" ht="20.100000000000001" customHeight="1">
      <c r="B23" s="485" t="s">
        <v>1053</v>
      </c>
      <c r="C23" s="476" t="s">
        <v>1142</v>
      </c>
      <c r="D23" s="272" t="s">
        <v>919</v>
      </c>
      <c r="E23" s="171">
        <v>1.7</v>
      </c>
      <c r="F23" s="171">
        <v>0.8</v>
      </c>
      <c r="G23" s="171">
        <v>0</v>
      </c>
      <c r="H23" s="171">
        <v>0.3</v>
      </c>
      <c r="I23" s="171">
        <v>0.1</v>
      </c>
      <c r="J23" s="172" t="s">
        <v>170</v>
      </c>
      <c r="K23" s="171">
        <v>1.4</v>
      </c>
      <c r="L23" s="171">
        <v>0.3</v>
      </c>
      <c r="M23" s="171">
        <v>0</v>
      </c>
      <c r="N23" s="172" t="s">
        <v>170</v>
      </c>
      <c r="O23" s="171">
        <v>0.5</v>
      </c>
      <c r="P23" s="171">
        <v>0</v>
      </c>
      <c r="Q23" s="171">
        <v>1.7</v>
      </c>
      <c r="R23" s="171">
        <v>0.5</v>
      </c>
      <c r="S23" s="171">
        <v>1.2</v>
      </c>
      <c r="T23" s="171">
        <v>0.1</v>
      </c>
      <c r="U23" s="171">
        <v>13.8</v>
      </c>
      <c r="V23" s="171">
        <v>4.4000000000000004</v>
      </c>
      <c r="W23" s="171">
        <v>4.4000000000000004</v>
      </c>
      <c r="X23" s="171">
        <v>0.1</v>
      </c>
      <c r="Y23" s="171">
        <v>54.6</v>
      </c>
      <c r="Z23" s="171">
        <v>0.2</v>
      </c>
      <c r="AA23" s="171">
        <v>62</v>
      </c>
      <c r="AB23" s="171">
        <v>0</v>
      </c>
      <c r="AC23" s="171">
        <v>7.3</v>
      </c>
      <c r="AD23" s="171">
        <v>0</v>
      </c>
    </row>
    <row r="24" spans="2:30" s="170" customFormat="1" ht="20.100000000000001" customHeight="1">
      <c r="B24" s="273" t="s">
        <v>922</v>
      </c>
      <c r="C24" s="476" t="s">
        <v>1105</v>
      </c>
      <c r="D24" s="272" t="s">
        <v>265</v>
      </c>
      <c r="E24" s="171">
        <v>0</v>
      </c>
      <c r="F24" s="171">
        <v>0</v>
      </c>
      <c r="G24" s="171">
        <v>0</v>
      </c>
      <c r="H24" s="171">
        <v>0</v>
      </c>
      <c r="I24" s="171">
        <v>0</v>
      </c>
      <c r="J24" s="172" t="s">
        <v>170</v>
      </c>
      <c r="K24" s="171">
        <v>0</v>
      </c>
      <c r="L24" s="171">
        <v>0</v>
      </c>
      <c r="M24" s="172" t="s">
        <v>170</v>
      </c>
      <c r="N24" s="172" t="s">
        <v>170</v>
      </c>
      <c r="O24" s="171">
        <v>0</v>
      </c>
      <c r="P24" s="172" t="s">
        <v>170</v>
      </c>
      <c r="Q24" s="171">
        <v>0</v>
      </c>
      <c r="R24" s="171">
        <v>0</v>
      </c>
      <c r="S24" s="171">
        <v>0</v>
      </c>
      <c r="T24" s="171">
        <v>0</v>
      </c>
      <c r="U24" s="171">
        <v>0.6</v>
      </c>
      <c r="V24" s="171">
        <v>0.1</v>
      </c>
      <c r="W24" s="171">
        <v>0.6</v>
      </c>
      <c r="X24" s="171">
        <v>0</v>
      </c>
      <c r="Y24" s="171">
        <v>0.1</v>
      </c>
      <c r="Z24" s="171">
        <v>0</v>
      </c>
      <c r="AA24" s="172" t="s">
        <v>170</v>
      </c>
      <c r="AB24" s="172" t="s">
        <v>170</v>
      </c>
      <c r="AC24" s="172" t="s">
        <v>170</v>
      </c>
      <c r="AD24" s="172" t="s">
        <v>170</v>
      </c>
    </row>
    <row r="25" spans="2:30" s="170" customFormat="1" ht="20.100000000000001" customHeight="1">
      <c r="B25" s="273" t="s">
        <v>922</v>
      </c>
      <c r="C25" s="478" t="s">
        <v>328</v>
      </c>
      <c r="D25" s="272" t="s">
        <v>923</v>
      </c>
      <c r="E25" s="171">
        <v>0</v>
      </c>
      <c r="F25" s="171">
        <v>0.2</v>
      </c>
      <c r="G25" s="171">
        <v>0</v>
      </c>
      <c r="H25" s="171">
        <v>0</v>
      </c>
      <c r="I25" s="171">
        <v>0</v>
      </c>
      <c r="J25" s="172" t="s">
        <v>170</v>
      </c>
      <c r="K25" s="171">
        <v>0.1</v>
      </c>
      <c r="L25" s="171">
        <v>0</v>
      </c>
      <c r="M25" s="172" t="s">
        <v>170</v>
      </c>
      <c r="N25" s="172" t="s">
        <v>170</v>
      </c>
      <c r="O25" s="171">
        <v>0</v>
      </c>
      <c r="P25" s="171">
        <v>0</v>
      </c>
      <c r="Q25" s="171">
        <v>0.2</v>
      </c>
      <c r="R25" s="171">
        <v>0</v>
      </c>
      <c r="S25" s="171">
        <v>0.2</v>
      </c>
      <c r="T25" s="171">
        <v>0</v>
      </c>
      <c r="U25" s="171">
        <v>0.2</v>
      </c>
      <c r="V25" s="171">
        <v>0.2</v>
      </c>
      <c r="W25" s="171">
        <v>0.6</v>
      </c>
      <c r="X25" s="171">
        <v>0</v>
      </c>
      <c r="Y25" s="171">
        <v>1.4</v>
      </c>
      <c r="Z25" s="171">
        <v>0</v>
      </c>
      <c r="AA25" s="171">
        <v>0.7</v>
      </c>
      <c r="AB25" s="171">
        <v>0</v>
      </c>
      <c r="AC25" s="171">
        <v>0.1</v>
      </c>
      <c r="AD25" s="171">
        <v>0</v>
      </c>
    </row>
    <row r="26" spans="2:30" s="170" customFormat="1" ht="20.100000000000001" customHeight="1">
      <c r="B26" s="273" t="s">
        <v>922</v>
      </c>
      <c r="C26" s="478" t="s">
        <v>1158</v>
      </c>
      <c r="D26" s="272" t="s">
        <v>270</v>
      </c>
      <c r="E26" s="171">
        <v>0.2</v>
      </c>
      <c r="F26" s="171">
        <v>0.2</v>
      </c>
      <c r="G26" s="171">
        <v>0</v>
      </c>
      <c r="H26" s="171">
        <v>0.1</v>
      </c>
      <c r="I26" s="171">
        <v>0.1</v>
      </c>
      <c r="J26" s="172" t="s">
        <v>170</v>
      </c>
      <c r="K26" s="171">
        <v>0.1</v>
      </c>
      <c r="L26" s="171">
        <v>0.1</v>
      </c>
      <c r="M26" s="171">
        <v>0</v>
      </c>
      <c r="N26" s="172" t="s">
        <v>170</v>
      </c>
      <c r="O26" s="171">
        <v>0.2</v>
      </c>
      <c r="P26" s="171">
        <v>0</v>
      </c>
      <c r="Q26" s="171">
        <v>0.1</v>
      </c>
      <c r="R26" s="171">
        <v>0.1</v>
      </c>
      <c r="S26" s="171">
        <v>0.1</v>
      </c>
      <c r="T26" s="171">
        <v>0.1</v>
      </c>
      <c r="U26" s="171">
        <v>1.7</v>
      </c>
      <c r="V26" s="171">
        <v>1</v>
      </c>
      <c r="W26" s="171">
        <v>3</v>
      </c>
      <c r="X26" s="171">
        <v>0</v>
      </c>
      <c r="Y26" s="171">
        <v>29.6</v>
      </c>
      <c r="Z26" s="171">
        <v>0</v>
      </c>
      <c r="AA26" s="171">
        <v>33.799999999999997</v>
      </c>
      <c r="AB26" s="171">
        <v>0</v>
      </c>
      <c r="AC26" s="171">
        <v>0</v>
      </c>
      <c r="AD26" s="171">
        <v>0</v>
      </c>
    </row>
    <row r="27" spans="2:30" s="170" customFormat="1" ht="20.100000000000001" customHeight="1">
      <c r="B27" s="273" t="s">
        <v>922</v>
      </c>
      <c r="C27" s="478" t="s">
        <v>1159</v>
      </c>
      <c r="D27" s="272" t="s">
        <v>924</v>
      </c>
      <c r="E27" s="172" t="s">
        <v>170</v>
      </c>
      <c r="F27" s="172" t="s">
        <v>170</v>
      </c>
      <c r="G27" s="172" t="s">
        <v>170</v>
      </c>
      <c r="H27" s="172" t="s">
        <v>170</v>
      </c>
      <c r="I27" s="172" t="s">
        <v>170</v>
      </c>
      <c r="J27" s="172" t="s">
        <v>170</v>
      </c>
      <c r="K27" s="172" t="s">
        <v>170</v>
      </c>
      <c r="L27" s="172" t="s">
        <v>170</v>
      </c>
      <c r="M27" s="172" t="s">
        <v>170</v>
      </c>
      <c r="N27" s="172" t="s">
        <v>170</v>
      </c>
      <c r="O27" s="172" t="s">
        <v>170</v>
      </c>
      <c r="P27" s="172" t="s">
        <v>170</v>
      </c>
      <c r="Q27" s="171">
        <v>0.3</v>
      </c>
      <c r="R27" s="172" t="s">
        <v>170</v>
      </c>
      <c r="S27" s="171">
        <v>0</v>
      </c>
      <c r="T27" s="172" t="s">
        <v>170</v>
      </c>
      <c r="U27" s="171">
        <v>5.4</v>
      </c>
      <c r="V27" s="171">
        <v>0</v>
      </c>
      <c r="W27" s="172" t="s">
        <v>170</v>
      </c>
      <c r="X27" s="172" t="s">
        <v>170</v>
      </c>
      <c r="Y27" s="172" t="s">
        <v>170</v>
      </c>
      <c r="Z27" s="172" t="s">
        <v>170</v>
      </c>
      <c r="AA27" s="171">
        <v>10.9</v>
      </c>
      <c r="AB27" s="172" t="s">
        <v>170</v>
      </c>
      <c r="AC27" s="172" t="s">
        <v>170</v>
      </c>
      <c r="AD27" s="172" t="s">
        <v>170</v>
      </c>
    </row>
    <row r="28" spans="2:30" s="170" customFormat="1" ht="20.100000000000001" customHeight="1">
      <c r="B28" s="273" t="s">
        <v>922</v>
      </c>
      <c r="C28" s="478" t="s">
        <v>1160</v>
      </c>
      <c r="D28" s="272" t="s">
        <v>925</v>
      </c>
      <c r="E28" s="172" t="s">
        <v>170</v>
      </c>
      <c r="F28" s="172" t="s">
        <v>170</v>
      </c>
      <c r="G28" s="172" t="s">
        <v>170</v>
      </c>
      <c r="H28" s="172" t="s">
        <v>170</v>
      </c>
      <c r="I28" s="172" t="s">
        <v>170</v>
      </c>
      <c r="J28" s="172" t="s">
        <v>170</v>
      </c>
      <c r="K28" s="172" t="s">
        <v>170</v>
      </c>
      <c r="L28" s="172" t="s">
        <v>170</v>
      </c>
      <c r="M28" s="172" t="s">
        <v>170</v>
      </c>
      <c r="N28" s="172" t="s">
        <v>170</v>
      </c>
      <c r="O28" s="172" t="s">
        <v>170</v>
      </c>
      <c r="P28" s="172" t="s">
        <v>170</v>
      </c>
      <c r="Q28" s="172" t="s">
        <v>170</v>
      </c>
      <c r="R28" s="172" t="s">
        <v>170</v>
      </c>
      <c r="S28" s="171">
        <v>0</v>
      </c>
      <c r="T28" s="172" t="s">
        <v>170</v>
      </c>
      <c r="U28" s="172" t="s">
        <v>170</v>
      </c>
      <c r="V28" s="172" t="s">
        <v>170</v>
      </c>
      <c r="W28" s="172" t="s">
        <v>170</v>
      </c>
      <c r="X28" s="172" t="s">
        <v>170</v>
      </c>
      <c r="Y28" s="171">
        <v>0</v>
      </c>
      <c r="Z28" s="172" t="s">
        <v>170</v>
      </c>
      <c r="AA28" s="172" t="s">
        <v>170</v>
      </c>
      <c r="AB28" s="172" t="s">
        <v>170</v>
      </c>
      <c r="AC28" s="172" t="s">
        <v>170</v>
      </c>
      <c r="AD28" s="172" t="s">
        <v>170</v>
      </c>
    </row>
    <row r="29" spans="2:30" s="170" customFormat="1" ht="20.100000000000001" customHeight="1">
      <c r="B29" s="273" t="s">
        <v>922</v>
      </c>
      <c r="C29" s="478" t="s">
        <v>1161</v>
      </c>
      <c r="D29" s="272" t="s">
        <v>926</v>
      </c>
      <c r="E29" s="172" t="s">
        <v>170</v>
      </c>
      <c r="F29" s="171">
        <v>0</v>
      </c>
      <c r="G29" s="172" t="s">
        <v>170</v>
      </c>
      <c r="H29" s="171">
        <v>0</v>
      </c>
      <c r="I29" s="172" t="s">
        <v>170</v>
      </c>
      <c r="J29" s="172" t="s">
        <v>170</v>
      </c>
      <c r="K29" s="172" t="s">
        <v>170</v>
      </c>
      <c r="L29" s="171">
        <v>0</v>
      </c>
      <c r="M29" s="171">
        <v>0</v>
      </c>
      <c r="N29" s="172" t="s">
        <v>170</v>
      </c>
      <c r="O29" s="171">
        <v>0</v>
      </c>
      <c r="P29" s="172" t="s">
        <v>170</v>
      </c>
      <c r="Q29" s="172" t="s">
        <v>170</v>
      </c>
      <c r="R29" s="171">
        <v>0</v>
      </c>
      <c r="S29" s="172" t="s">
        <v>170</v>
      </c>
      <c r="T29" s="171">
        <v>0</v>
      </c>
      <c r="U29" s="171">
        <v>0.9</v>
      </c>
      <c r="V29" s="171">
        <v>0.3</v>
      </c>
      <c r="W29" s="172" t="s">
        <v>170</v>
      </c>
      <c r="X29" s="172" t="s">
        <v>170</v>
      </c>
      <c r="Y29" s="171">
        <v>2</v>
      </c>
      <c r="Z29" s="172" t="s">
        <v>170</v>
      </c>
      <c r="AA29" s="172" t="s">
        <v>170</v>
      </c>
      <c r="AB29" s="171">
        <v>0</v>
      </c>
      <c r="AC29" s="172" t="s">
        <v>170</v>
      </c>
      <c r="AD29" s="172" t="s">
        <v>170</v>
      </c>
    </row>
    <row r="30" spans="2:30" s="170" customFormat="1" ht="20.100000000000001" customHeight="1">
      <c r="B30" s="273" t="s">
        <v>922</v>
      </c>
      <c r="C30" s="478" t="s">
        <v>330</v>
      </c>
      <c r="D30" s="272" t="s">
        <v>274</v>
      </c>
      <c r="E30" s="172" t="s">
        <v>170</v>
      </c>
      <c r="F30" s="172" t="s">
        <v>170</v>
      </c>
      <c r="G30" s="172" t="s">
        <v>170</v>
      </c>
      <c r="H30" s="172" t="s">
        <v>170</v>
      </c>
      <c r="I30" s="172" t="s">
        <v>170</v>
      </c>
      <c r="J30" s="172" t="s">
        <v>170</v>
      </c>
      <c r="K30" s="172" t="s">
        <v>170</v>
      </c>
      <c r="L30" s="172" t="s">
        <v>170</v>
      </c>
      <c r="M30" s="172" t="s">
        <v>170</v>
      </c>
      <c r="N30" s="172" t="s">
        <v>170</v>
      </c>
      <c r="O30" s="172" t="s">
        <v>170</v>
      </c>
      <c r="P30" s="172" t="s">
        <v>170</v>
      </c>
      <c r="Q30" s="172" t="s">
        <v>170</v>
      </c>
      <c r="R30" s="172" t="s">
        <v>170</v>
      </c>
      <c r="S30" s="172" t="s">
        <v>170</v>
      </c>
      <c r="T30" s="172" t="s">
        <v>170</v>
      </c>
      <c r="U30" s="172" t="s">
        <v>170</v>
      </c>
      <c r="V30" s="172" t="s">
        <v>170</v>
      </c>
      <c r="W30" s="172" t="s">
        <v>170</v>
      </c>
      <c r="X30" s="172" t="s">
        <v>170</v>
      </c>
      <c r="Y30" s="171">
        <v>0.2</v>
      </c>
      <c r="Z30" s="172" t="s">
        <v>170</v>
      </c>
      <c r="AA30" s="172" t="s">
        <v>170</v>
      </c>
      <c r="AB30" s="172" t="s">
        <v>170</v>
      </c>
      <c r="AC30" s="172" t="s">
        <v>170</v>
      </c>
      <c r="AD30" s="172" t="s">
        <v>170</v>
      </c>
    </row>
    <row r="31" spans="2:30" s="170" customFormat="1" ht="20.100000000000001" customHeight="1">
      <c r="B31" s="273" t="s">
        <v>922</v>
      </c>
      <c r="C31" s="478" t="s">
        <v>322</v>
      </c>
      <c r="D31" s="272" t="s">
        <v>263</v>
      </c>
      <c r="E31" s="171">
        <v>1.5</v>
      </c>
      <c r="F31" s="171">
        <v>0.1</v>
      </c>
      <c r="G31" s="171">
        <v>0</v>
      </c>
      <c r="H31" s="171">
        <v>0</v>
      </c>
      <c r="I31" s="172" t="s">
        <v>170</v>
      </c>
      <c r="J31" s="172" t="s">
        <v>170</v>
      </c>
      <c r="K31" s="171">
        <v>1.2</v>
      </c>
      <c r="L31" s="171">
        <v>0.1</v>
      </c>
      <c r="M31" s="171">
        <v>0</v>
      </c>
      <c r="N31" s="172" t="s">
        <v>170</v>
      </c>
      <c r="O31" s="171">
        <v>0.1</v>
      </c>
      <c r="P31" s="172" t="s">
        <v>170</v>
      </c>
      <c r="Q31" s="171">
        <v>1.1000000000000001</v>
      </c>
      <c r="R31" s="171">
        <v>0.3</v>
      </c>
      <c r="S31" s="171">
        <v>0.6</v>
      </c>
      <c r="T31" s="171">
        <v>0</v>
      </c>
      <c r="U31" s="171">
        <v>4.2</v>
      </c>
      <c r="V31" s="171">
        <v>2.6</v>
      </c>
      <c r="W31" s="171">
        <v>0.2</v>
      </c>
      <c r="X31" s="171">
        <v>0.1</v>
      </c>
      <c r="Y31" s="171">
        <v>20</v>
      </c>
      <c r="Z31" s="171">
        <v>0.2</v>
      </c>
      <c r="AA31" s="171">
        <v>8.4</v>
      </c>
      <c r="AB31" s="171">
        <v>0</v>
      </c>
      <c r="AC31" s="171">
        <v>0</v>
      </c>
      <c r="AD31" s="171">
        <v>0</v>
      </c>
    </row>
    <row r="32" spans="2:30" s="170" customFormat="1" ht="20.100000000000001" customHeight="1">
      <c r="B32" s="273" t="s">
        <v>922</v>
      </c>
      <c r="C32" s="478" t="s">
        <v>323</v>
      </c>
      <c r="D32" s="272" t="s">
        <v>264</v>
      </c>
      <c r="E32" s="172" t="s">
        <v>170</v>
      </c>
      <c r="F32" s="172" t="s">
        <v>170</v>
      </c>
      <c r="G32" s="172" t="s">
        <v>170</v>
      </c>
      <c r="H32" s="171">
        <v>0.2</v>
      </c>
      <c r="I32" s="171">
        <v>0</v>
      </c>
      <c r="J32" s="172" t="s">
        <v>170</v>
      </c>
      <c r="K32" s="171">
        <v>0</v>
      </c>
      <c r="L32" s="171">
        <v>0</v>
      </c>
      <c r="M32" s="171">
        <v>0</v>
      </c>
      <c r="N32" s="172" t="s">
        <v>170</v>
      </c>
      <c r="O32" s="171">
        <v>0.2</v>
      </c>
      <c r="P32" s="172" t="s">
        <v>170</v>
      </c>
      <c r="Q32" s="171">
        <v>0</v>
      </c>
      <c r="R32" s="171">
        <v>0</v>
      </c>
      <c r="S32" s="171">
        <v>0</v>
      </c>
      <c r="T32" s="171">
        <v>0</v>
      </c>
      <c r="U32" s="171">
        <v>0.6</v>
      </c>
      <c r="V32" s="171">
        <v>0</v>
      </c>
      <c r="W32" s="171">
        <v>0.1</v>
      </c>
      <c r="X32" s="171">
        <v>0</v>
      </c>
      <c r="Y32" s="171">
        <v>0.6</v>
      </c>
      <c r="Z32" s="171">
        <v>0</v>
      </c>
      <c r="AA32" s="171">
        <v>2.5</v>
      </c>
      <c r="AB32" s="171">
        <v>0</v>
      </c>
      <c r="AC32" s="171">
        <v>0</v>
      </c>
      <c r="AD32" s="172" t="s">
        <v>170</v>
      </c>
    </row>
    <row r="33" spans="2:30" s="170" customFormat="1" ht="20.100000000000001" customHeight="1">
      <c r="B33" s="480" t="s">
        <v>922</v>
      </c>
      <c r="C33" s="478" t="s">
        <v>1162</v>
      </c>
      <c r="D33" s="272" t="s">
        <v>927</v>
      </c>
      <c r="E33" s="172" t="s">
        <v>170</v>
      </c>
      <c r="F33" s="171">
        <v>0.3</v>
      </c>
      <c r="G33" s="172" t="s">
        <v>170</v>
      </c>
      <c r="H33" s="172" t="s">
        <v>170</v>
      </c>
      <c r="I33" s="172" t="s">
        <v>170</v>
      </c>
      <c r="J33" s="172" t="s">
        <v>170</v>
      </c>
      <c r="K33" s="172" t="s">
        <v>170</v>
      </c>
      <c r="L33" s="172" t="s">
        <v>170</v>
      </c>
      <c r="M33" s="172" t="s">
        <v>170</v>
      </c>
      <c r="N33" s="172" t="s">
        <v>170</v>
      </c>
      <c r="O33" s="171">
        <v>0</v>
      </c>
      <c r="P33" s="172" t="s">
        <v>170</v>
      </c>
      <c r="Q33" s="171">
        <v>0</v>
      </c>
      <c r="R33" s="171">
        <v>0.1</v>
      </c>
      <c r="S33" s="171">
        <v>0.3</v>
      </c>
      <c r="T33" s="172" t="s">
        <v>170</v>
      </c>
      <c r="U33" s="171">
        <v>0.1</v>
      </c>
      <c r="V33" s="171">
        <v>0.2</v>
      </c>
      <c r="W33" s="172" t="s">
        <v>170</v>
      </c>
      <c r="X33" s="172" t="s">
        <v>170</v>
      </c>
      <c r="Y33" s="171">
        <v>1</v>
      </c>
      <c r="Z33" s="172" t="s">
        <v>170</v>
      </c>
      <c r="AA33" s="171">
        <v>5.7</v>
      </c>
      <c r="AB33" s="172" t="s">
        <v>170</v>
      </c>
      <c r="AC33" s="171">
        <v>7.1</v>
      </c>
      <c r="AD33" s="172" t="s">
        <v>170</v>
      </c>
    </row>
    <row r="34" spans="2:30" s="170" customFormat="1" ht="20.100000000000001" customHeight="1">
      <c r="B34" s="479" t="s">
        <v>1065</v>
      </c>
      <c r="C34" s="476" t="s">
        <v>1142</v>
      </c>
      <c r="D34" s="272" t="s">
        <v>919</v>
      </c>
      <c r="E34" s="171">
        <v>366.4</v>
      </c>
      <c r="F34" s="171">
        <v>719.4</v>
      </c>
      <c r="G34" s="171">
        <v>0.1</v>
      </c>
      <c r="H34" s="171">
        <v>8.9</v>
      </c>
      <c r="I34" s="171">
        <v>20.5</v>
      </c>
      <c r="J34" s="171">
        <v>0</v>
      </c>
      <c r="K34" s="171">
        <v>0.4</v>
      </c>
      <c r="L34" s="171">
        <v>41.9</v>
      </c>
      <c r="M34" s="171">
        <v>7.1</v>
      </c>
      <c r="N34" s="171">
        <v>0</v>
      </c>
      <c r="O34" s="171">
        <v>28</v>
      </c>
      <c r="P34" s="171">
        <v>112.4</v>
      </c>
      <c r="Q34" s="171">
        <v>5.9</v>
      </c>
      <c r="R34" s="171">
        <v>0.6</v>
      </c>
      <c r="S34" s="171">
        <v>16.2</v>
      </c>
      <c r="T34" s="171">
        <v>1</v>
      </c>
      <c r="U34" s="171">
        <v>46.8</v>
      </c>
      <c r="V34" s="171">
        <v>34.200000000000003</v>
      </c>
      <c r="W34" s="171">
        <v>384.2</v>
      </c>
      <c r="X34" s="171">
        <v>0.3</v>
      </c>
      <c r="Y34" s="171">
        <v>300.39999999999998</v>
      </c>
      <c r="Z34" s="171">
        <v>0.2</v>
      </c>
      <c r="AA34" s="171">
        <v>62.7</v>
      </c>
      <c r="AB34" s="171">
        <v>3.4</v>
      </c>
      <c r="AC34" s="171">
        <v>9.3000000000000007</v>
      </c>
      <c r="AD34" s="171">
        <v>0.9</v>
      </c>
    </row>
    <row r="35" spans="2:30" s="170" customFormat="1" ht="20.100000000000001" customHeight="1">
      <c r="B35" s="476" t="s">
        <v>1140</v>
      </c>
      <c r="C35" s="476" t="s">
        <v>1142</v>
      </c>
      <c r="D35" s="272" t="s">
        <v>919</v>
      </c>
      <c r="E35" s="171">
        <v>3</v>
      </c>
      <c r="F35" s="172" t="s">
        <v>170</v>
      </c>
      <c r="G35" s="172" t="s">
        <v>170</v>
      </c>
      <c r="H35" s="172" t="s">
        <v>170</v>
      </c>
      <c r="I35" s="172" t="s">
        <v>170</v>
      </c>
      <c r="J35" s="172" t="s">
        <v>170</v>
      </c>
      <c r="K35" s="171">
        <v>0</v>
      </c>
      <c r="L35" s="171">
        <v>0.2</v>
      </c>
      <c r="M35" s="172" t="s">
        <v>170</v>
      </c>
      <c r="N35" s="172" t="s">
        <v>170</v>
      </c>
      <c r="O35" s="171">
        <v>0</v>
      </c>
      <c r="P35" s="172" t="s">
        <v>170</v>
      </c>
      <c r="Q35" s="172" t="s">
        <v>170</v>
      </c>
      <c r="R35" s="172" t="s">
        <v>170</v>
      </c>
      <c r="S35" s="171">
        <v>0</v>
      </c>
      <c r="T35" s="172" t="s">
        <v>170</v>
      </c>
      <c r="U35" s="172" t="s">
        <v>170</v>
      </c>
      <c r="V35" s="171">
        <v>0</v>
      </c>
      <c r="W35" s="172" t="s">
        <v>170</v>
      </c>
      <c r="X35" s="172" t="s">
        <v>170</v>
      </c>
      <c r="Y35" s="172" t="s">
        <v>170</v>
      </c>
      <c r="Z35" s="172" t="s">
        <v>170</v>
      </c>
      <c r="AA35" s="172" t="s">
        <v>170</v>
      </c>
      <c r="AB35" s="172" t="s">
        <v>170</v>
      </c>
      <c r="AC35" s="172" t="s">
        <v>170</v>
      </c>
      <c r="AD35" s="172" t="s">
        <v>170</v>
      </c>
    </row>
    <row r="36" spans="2:30" s="170" customFormat="1" ht="20.100000000000001" customHeight="1">
      <c r="B36" s="476" t="s">
        <v>1141</v>
      </c>
      <c r="C36" s="477" t="s">
        <v>1142</v>
      </c>
      <c r="D36" s="272" t="s">
        <v>919</v>
      </c>
      <c r="E36" s="171">
        <v>80.599999999999994</v>
      </c>
      <c r="F36" s="171">
        <v>59.3</v>
      </c>
      <c r="G36" s="172" t="s">
        <v>170</v>
      </c>
      <c r="H36" s="171">
        <v>4.2</v>
      </c>
      <c r="I36" s="171">
        <v>1.1000000000000001</v>
      </c>
      <c r="J36" s="172" t="s">
        <v>170</v>
      </c>
      <c r="K36" s="172" t="s">
        <v>170</v>
      </c>
      <c r="L36" s="172" t="s">
        <v>170</v>
      </c>
      <c r="M36" s="172" t="s">
        <v>170</v>
      </c>
      <c r="N36" s="172" t="s">
        <v>170</v>
      </c>
      <c r="O36" s="171">
        <v>2</v>
      </c>
      <c r="P36" s="171">
        <v>24.7</v>
      </c>
      <c r="Q36" s="171">
        <v>0.3</v>
      </c>
      <c r="R36" s="171">
        <v>0</v>
      </c>
      <c r="S36" s="171">
        <v>2.6</v>
      </c>
      <c r="T36" s="172" t="s">
        <v>170</v>
      </c>
      <c r="U36" s="171">
        <v>0.8</v>
      </c>
      <c r="V36" s="171">
        <v>0.5</v>
      </c>
      <c r="W36" s="171">
        <v>4.5999999999999996</v>
      </c>
      <c r="X36" s="172" t="s">
        <v>170</v>
      </c>
      <c r="Y36" s="171">
        <v>0.7</v>
      </c>
      <c r="Z36" s="172" t="s">
        <v>170</v>
      </c>
      <c r="AA36" s="172" t="s">
        <v>170</v>
      </c>
      <c r="AB36" s="171">
        <v>0</v>
      </c>
      <c r="AC36" s="172" t="s">
        <v>170</v>
      </c>
      <c r="AD36" s="172" t="s">
        <v>170</v>
      </c>
    </row>
    <row r="37" spans="2:30" s="170" customFormat="1" ht="20.100000000000001" customHeight="1">
      <c r="B37" s="477" t="s">
        <v>355</v>
      </c>
      <c r="C37" s="477" t="s">
        <v>1142</v>
      </c>
      <c r="D37" s="274" t="s">
        <v>919</v>
      </c>
      <c r="E37" s="171">
        <v>2360.6999999999998</v>
      </c>
      <c r="F37" s="171">
        <v>1803.7</v>
      </c>
      <c r="G37" s="171">
        <v>9.5</v>
      </c>
      <c r="H37" s="171">
        <v>91.7</v>
      </c>
      <c r="I37" s="171">
        <v>65.400000000000006</v>
      </c>
      <c r="J37" s="171">
        <v>2.8</v>
      </c>
      <c r="K37" s="171">
        <v>72.3</v>
      </c>
      <c r="L37" s="171">
        <v>72.5</v>
      </c>
      <c r="M37" s="171">
        <v>33.5</v>
      </c>
      <c r="N37" s="171">
        <v>0.8</v>
      </c>
      <c r="O37" s="171">
        <v>234</v>
      </c>
      <c r="P37" s="171">
        <v>272.5</v>
      </c>
      <c r="Q37" s="171">
        <v>75.099999999999994</v>
      </c>
      <c r="R37" s="171">
        <v>70.900000000000006</v>
      </c>
      <c r="S37" s="171">
        <v>79.099999999999994</v>
      </c>
      <c r="T37" s="171">
        <v>22.6</v>
      </c>
      <c r="U37" s="171">
        <v>437.9</v>
      </c>
      <c r="V37" s="171">
        <v>557.6</v>
      </c>
      <c r="W37" s="171">
        <v>305.8</v>
      </c>
      <c r="X37" s="171">
        <v>23.5</v>
      </c>
      <c r="Y37" s="171">
        <v>898.2</v>
      </c>
      <c r="Z37" s="171">
        <v>1.8</v>
      </c>
      <c r="AA37" s="171">
        <v>268.3</v>
      </c>
      <c r="AB37" s="171">
        <v>10.9</v>
      </c>
      <c r="AC37" s="171">
        <v>30.6</v>
      </c>
      <c r="AD37" s="171">
        <v>5</v>
      </c>
    </row>
    <row r="39" spans="2:30">
      <c r="B39" s="173" t="s">
        <v>875</v>
      </c>
      <c r="C39" s="324"/>
      <c r="D39" s="265"/>
    </row>
    <row r="40" spans="2:30">
      <c r="C40" s="265" t="s">
        <v>876</v>
      </c>
      <c r="D40" s="265" t="s">
        <v>877</v>
      </c>
    </row>
    <row r="41" spans="2:30">
      <c r="B41" s="163" t="s">
        <v>106</v>
      </c>
      <c r="C41" s="164">
        <f>SUM('2019 KESIS Energy Balance'!Z63:AE64)</f>
        <v>162.25</v>
      </c>
      <c r="D41" s="165">
        <f>C41/SUM($C$41:$C$43)</f>
        <v>0.53352756257645306</v>
      </c>
    </row>
    <row r="42" spans="2:30">
      <c r="B42" s="163" t="s">
        <v>878</v>
      </c>
      <c r="C42" s="164">
        <f>SUM('2019 KESIS Energy Balance'!AF63:AH64)</f>
        <v>84.221000000000004</v>
      </c>
      <c r="D42" s="165">
        <f>C42/SUM($C$41:$C$43)</f>
        <v>0.27694437502466229</v>
      </c>
    </row>
    <row r="43" spans="2:30">
      <c r="B43" s="163" t="s">
        <v>879</v>
      </c>
      <c r="C43" s="164">
        <f>SUM('2019 KESIS Energy Balance'!W63:Y64)</f>
        <v>57.636999999999993</v>
      </c>
      <c r="D43" s="165">
        <f>C43/SUM($C$41:$C$43)</f>
        <v>0.18952806239888459</v>
      </c>
    </row>
    <row r="45" spans="2:30">
      <c r="B45" s="173" t="s">
        <v>880</v>
      </c>
      <c r="C45" s="324"/>
      <c r="D45" s="265"/>
    </row>
    <row r="46" spans="2:30">
      <c r="C46" s="265" t="s">
        <v>876</v>
      </c>
      <c r="D46" s="265" t="s">
        <v>877</v>
      </c>
    </row>
    <row r="47" spans="2:30">
      <c r="B47" s="163" t="s">
        <v>106</v>
      </c>
      <c r="C47" s="164">
        <f>SUM('2022 Energy Balance'!Z63:AE64)</f>
        <v>169.16900000000001</v>
      </c>
      <c r="D47" s="165">
        <f>C47/SUM($C$41:$C$43)</f>
        <v>0.55627934812632363</v>
      </c>
    </row>
    <row r="48" spans="2:30">
      <c r="B48" s="163" t="s">
        <v>878</v>
      </c>
      <c r="C48" s="164">
        <f>SUM('2022 Energy Balance'!AF63:AH64)</f>
        <v>103.83099999999999</v>
      </c>
      <c r="D48" s="165">
        <f>C48/SUM($C$41:$C$43)</f>
        <v>0.34142804529969611</v>
      </c>
    </row>
    <row r="49" spans="2:4">
      <c r="B49" s="163" t="s">
        <v>879</v>
      </c>
      <c r="C49" s="164">
        <f>SUM('2022 Energy Balance'!W63:Y64)</f>
        <v>52.103000000000002</v>
      </c>
      <c r="D49" s="165">
        <f>C49/SUM($C$41:$C$43)</f>
        <v>0.17133057992555276</v>
      </c>
    </row>
  </sheetData>
  <mergeCells count="2">
    <mergeCell ref="D18:D19"/>
    <mergeCell ref="E18:AD18"/>
  </mergeCells>
  <phoneticPr fontId="35"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workbookViewId="0"/>
  </sheetViews>
  <sheetFormatPr defaultRowHeight="16.5"/>
  <cols>
    <col min="2" max="2" width="28.625" customWidth="1"/>
    <col min="3" max="3" width="23.375" bestFit="1" customWidth="1"/>
    <col min="4" max="4" width="18.375" bestFit="1" customWidth="1"/>
    <col min="5" max="6" width="12.375" customWidth="1"/>
    <col min="7" max="10" width="11.375" customWidth="1"/>
    <col min="11" max="35" width="18.375" bestFit="1" customWidth="1"/>
  </cols>
  <sheetData>
    <row r="1" spans="1:12" ht="21.75">
      <c r="B1" s="453" t="s">
        <v>1129</v>
      </c>
    </row>
    <row r="2" spans="1:12" s="350" customFormat="1">
      <c r="B2" s="364" t="s">
        <v>1128</v>
      </c>
    </row>
    <row r="3" spans="1:12">
      <c r="C3" s="458" t="s">
        <v>1100</v>
      </c>
      <c r="D3" t="s">
        <v>1101</v>
      </c>
      <c r="E3" t="s">
        <v>1102</v>
      </c>
      <c r="F3" t="s">
        <v>1103</v>
      </c>
      <c r="G3" t="s">
        <v>1104</v>
      </c>
      <c r="H3" t="s">
        <v>1105</v>
      </c>
      <c r="I3" t="s">
        <v>1106</v>
      </c>
      <c r="J3" t="s">
        <v>1107</v>
      </c>
    </row>
    <row r="4" spans="1:12">
      <c r="B4" s="274"/>
      <c r="C4" s="352" t="s">
        <v>976</v>
      </c>
      <c r="D4" s="352" t="s">
        <v>977</v>
      </c>
      <c r="E4" s="352" t="s">
        <v>978</v>
      </c>
      <c r="F4" s="352" t="s">
        <v>979</v>
      </c>
      <c r="G4" s="352" t="s">
        <v>980</v>
      </c>
      <c r="H4" s="352" t="s">
        <v>981</v>
      </c>
      <c r="I4" s="352" t="s">
        <v>982</v>
      </c>
      <c r="J4" s="353" t="s">
        <v>192</v>
      </c>
      <c r="K4" s="355"/>
    </row>
    <row r="5" spans="1:12">
      <c r="A5" s="454" t="s">
        <v>1111</v>
      </c>
      <c r="B5" s="271" t="s">
        <v>983</v>
      </c>
      <c r="C5" s="271">
        <v>20.6</v>
      </c>
      <c r="D5" s="366">
        <v>4569</v>
      </c>
      <c r="E5" s="356">
        <f>D5/$D$24</f>
        <v>0.27649016641452345</v>
      </c>
      <c r="F5" s="367">
        <f>C5*D5</f>
        <v>94121.400000000009</v>
      </c>
      <c r="G5" s="374">
        <v>0</v>
      </c>
      <c r="H5" s="374">
        <v>0</v>
      </c>
      <c r="I5" s="375">
        <v>1</v>
      </c>
      <c r="J5" s="376">
        <v>0</v>
      </c>
      <c r="K5" t="s">
        <v>984</v>
      </c>
    </row>
    <row r="6" spans="1:12">
      <c r="A6" s="454" t="s">
        <v>1112</v>
      </c>
      <c r="B6" s="274" t="s">
        <v>985</v>
      </c>
      <c r="C6" s="274">
        <v>19.399999999999999</v>
      </c>
      <c r="D6" s="369"/>
      <c r="E6" s="370"/>
      <c r="F6" s="369"/>
      <c r="G6" s="370"/>
      <c r="H6" s="370"/>
      <c r="I6" s="370"/>
      <c r="J6" s="371"/>
    </row>
    <row r="7" spans="1:12">
      <c r="A7" s="454" t="s">
        <v>1113</v>
      </c>
      <c r="B7" s="274" t="s">
        <v>986</v>
      </c>
      <c r="C7" s="274">
        <v>35</v>
      </c>
      <c r="D7" s="369"/>
      <c r="E7" s="370"/>
      <c r="F7" s="369"/>
      <c r="G7" s="370"/>
      <c r="H7" s="370"/>
      <c r="I7" s="370"/>
      <c r="J7" s="371"/>
    </row>
    <row r="8" spans="1:12">
      <c r="A8" s="454" t="s">
        <v>1114</v>
      </c>
      <c r="B8" s="274" t="s">
        <v>987</v>
      </c>
      <c r="C8" s="274">
        <v>62.6</v>
      </c>
      <c r="D8" s="369"/>
      <c r="E8" s="370"/>
      <c r="F8" s="369"/>
      <c r="G8" s="370"/>
      <c r="H8" s="370"/>
      <c r="I8" s="370"/>
      <c r="J8" s="372"/>
    </row>
    <row r="9" spans="1:12">
      <c r="A9" s="454" t="s">
        <v>1115</v>
      </c>
      <c r="B9" s="271" t="s">
        <v>988</v>
      </c>
      <c r="C9" s="271">
        <v>1.9</v>
      </c>
      <c r="D9" s="366">
        <v>6742</v>
      </c>
      <c r="E9" s="356">
        <f>D9/$D$24</f>
        <v>0.40798789712556732</v>
      </c>
      <c r="F9" s="367">
        <f>C9*D9</f>
        <v>12809.8</v>
      </c>
      <c r="G9" s="376">
        <v>0.75</v>
      </c>
      <c r="H9" s="376">
        <v>0.25</v>
      </c>
      <c r="I9" s="376">
        <v>0</v>
      </c>
      <c r="J9" s="376">
        <v>0</v>
      </c>
    </row>
    <row r="10" spans="1:12">
      <c r="A10" s="454" t="s">
        <v>1116</v>
      </c>
      <c r="B10" s="274" t="s">
        <v>989</v>
      </c>
      <c r="C10" s="274">
        <v>1.7</v>
      </c>
      <c r="D10" s="369"/>
      <c r="E10" s="370"/>
      <c r="F10" s="369">
        <f>C10*E10</f>
        <v>0</v>
      </c>
      <c r="G10" s="377">
        <v>0.75</v>
      </c>
      <c r="H10" s="377">
        <v>0.25</v>
      </c>
      <c r="I10" s="274">
        <v>0</v>
      </c>
      <c r="J10" s="274">
        <v>0</v>
      </c>
    </row>
    <row r="11" spans="1:12">
      <c r="A11" s="454" t="s">
        <v>1117</v>
      </c>
      <c r="B11" s="274" t="s">
        <v>990</v>
      </c>
      <c r="C11" s="274">
        <v>9.6</v>
      </c>
      <c r="D11" s="369"/>
      <c r="E11" s="370"/>
      <c r="F11" s="369">
        <f>C11*E11</f>
        <v>0</v>
      </c>
      <c r="G11" s="377">
        <v>0.75</v>
      </c>
      <c r="H11" s="377">
        <v>0.25</v>
      </c>
      <c r="I11" s="274">
        <v>0</v>
      </c>
      <c r="J11" s="274">
        <v>0</v>
      </c>
    </row>
    <row r="12" spans="1:12">
      <c r="A12" s="454" t="s">
        <v>1118</v>
      </c>
      <c r="B12" s="271" t="s">
        <v>991</v>
      </c>
      <c r="C12" s="271">
        <v>9.5</v>
      </c>
      <c r="D12" s="366">
        <v>1019</v>
      </c>
      <c r="E12" s="356">
        <f>D12/$D$24</f>
        <v>6.1664145234493192E-2</v>
      </c>
      <c r="F12" s="367">
        <f>C12*D12</f>
        <v>9680.5</v>
      </c>
      <c r="G12" s="375">
        <f>G13*($C12-$C13)/($C14-$C13)+G14*($C14-$C12)/($C14-$C13)</f>
        <v>0.84124999999999994</v>
      </c>
      <c r="H12" s="375">
        <f>H13*($C12-$C13)/($C14-$C13)+H14*($C14-$C12)/($C14-$C13)</f>
        <v>0.13875000000000001</v>
      </c>
      <c r="I12" s="375">
        <f t="shared" ref="I12:J12" si="0">I13*($C12-$C13)/($C14-$C13)+I14*($C14-$C12)/($C14-$C13)</f>
        <v>1.8750000000000006E-3</v>
      </c>
      <c r="J12" s="375">
        <f t="shared" si="0"/>
        <v>1.8125000000000002E-2</v>
      </c>
    </row>
    <row r="13" spans="1:12">
      <c r="A13" s="454" t="s">
        <v>1119</v>
      </c>
      <c r="B13" s="274" t="s">
        <v>992</v>
      </c>
      <c r="C13" s="274">
        <v>8.6</v>
      </c>
      <c r="D13" s="369"/>
      <c r="E13" s="370"/>
      <c r="F13" s="369">
        <f>C13*E13</f>
        <v>0</v>
      </c>
      <c r="G13" s="377">
        <v>0.76</v>
      </c>
      <c r="H13" s="377">
        <v>0.22</v>
      </c>
      <c r="I13" s="377">
        <v>0.01</v>
      </c>
      <c r="J13" s="377">
        <v>0.01</v>
      </c>
    </row>
    <row r="14" spans="1:12">
      <c r="A14" s="454" t="s">
        <v>1120</v>
      </c>
      <c r="B14" s="274" t="s">
        <v>993</v>
      </c>
      <c r="C14" s="274">
        <v>13.4</v>
      </c>
      <c r="D14" s="369"/>
      <c r="E14" s="370"/>
      <c r="F14" s="369">
        <f>C14*E14</f>
        <v>0</v>
      </c>
      <c r="G14" s="377">
        <v>0.86</v>
      </c>
      <c r="H14" s="377">
        <v>0.12</v>
      </c>
      <c r="I14" s="377">
        <v>0</v>
      </c>
      <c r="J14" s="377">
        <v>0.02</v>
      </c>
    </row>
    <row r="15" spans="1:12">
      <c r="A15" s="454" t="s">
        <v>1121</v>
      </c>
      <c r="B15" s="271" t="s">
        <v>994</v>
      </c>
      <c r="C15" s="271">
        <v>24.1</v>
      </c>
      <c r="D15" s="366">
        <v>2019</v>
      </c>
      <c r="E15" s="356">
        <f>D15/$D$24</f>
        <v>0.12217851739788199</v>
      </c>
      <c r="F15" s="367">
        <f>C15*D15</f>
        <v>48657.9</v>
      </c>
      <c r="G15" s="375">
        <f>G16*($C15-$C16)/($C17-$C16)+G17*($C17-$C15)/($C17-$C16)</f>
        <v>0.74681818181818216</v>
      </c>
      <c r="H15" s="375">
        <f>H16*($C15-$C16)/($C17-$C16)+H17*($C17-$C15)/($C17-$C16)</f>
        <v>0</v>
      </c>
      <c r="I15" s="375">
        <f>I16*($C15-$C16)/($C17-$C16)+I17*($C17-$C15)/($C17-$C16)</f>
        <v>0.25318181818181795</v>
      </c>
      <c r="J15" s="375">
        <f>J16*($C15-$C16)/($C17-$C16)+J17*($C17-$C15)/($C17-$C16)</f>
        <v>0</v>
      </c>
      <c r="K15" t="s">
        <v>984</v>
      </c>
      <c r="L15" s="454" t="s">
        <v>1108</v>
      </c>
    </row>
    <row r="16" spans="1:12">
      <c r="A16" s="454" t="s">
        <v>1122</v>
      </c>
      <c r="B16" s="274" t="s">
        <v>995</v>
      </c>
      <c r="C16" s="274">
        <v>24.4</v>
      </c>
      <c r="D16" s="369"/>
      <c r="E16" s="370"/>
      <c r="F16" s="369">
        <f>C16*E16</f>
        <v>0</v>
      </c>
      <c r="G16" s="377">
        <f>1-I16</f>
        <v>0.43000000000000005</v>
      </c>
      <c r="H16" s="274">
        <v>0</v>
      </c>
      <c r="I16" s="377">
        <v>0.56999999999999995</v>
      </c>
      <c r="J16" s="274">
        <v>0</v>
      </c>
      <c r="L16" s="455"/>
    </row>
    <row r="17" spans="1:12">
      <c r="A17" s="454" t="s">
        <v>1123</v>
      </c>
      <c r="B17" s="274" t="s">
        <v>996</v>
      </c>
      <c r="C17" s="274">
        <v>20</v>
      </c>
      <c r="D17" s="369"/>
      <c r="E17" s="370"/>
      <c r="F17" s="369">
        <f>C17*E17</f>
        <v>0</v>
      </c>
      <c r="G17" s="377">
        <v>0.77</v>
      </c>
      <c r="H17" s="274">
        <v>0</v>
      </c>
      <c r="I17" s="377">
        <f>1-G17</f>
        <v>0.22999999999999998</v>
      </c>
      <c r="J17" s="274">
        <v>0</v>
      </c>
    </row>
    <row r="18" spans="1:12">
      <c r="A18" s="454" t="s">
        <v>1124</v>
      </c>
      <c r="B18" s="271" t="s">
        <v>997</v>
      </c>
      <c r="C18" s="271">
        <v>24</v>
      </c>
      <c r="D18" s="366">
        <v>777</v>
      </c>
      <c r="E18" s="356">
        <f>D18/$D$24</f>
        <v>4.70196671709531E-2</v>
      </c>
      <c r="F18" s="367">
        <f>C18*D18</f>
        <v>18648</v>
      </c>
      <c r="G18" s="378">
        <f>G12</f>
        <v>0.84124999999999994</v>
      </c>
      <c r="H18" s="378">
        <f t="shared" ref="H18:J18" si="1">H12</f>
        <v>0.13875000000000001</v>
      </c>
      <c r="I18" s="378">
        <f t="shared" si="1"/>
        <v>1.8750000000000006E-3</v>
      </c>
      <c r="J18" s="378">
        <f t="shared" si="1"/>
        <v>1.8125000000000002E-2</v>
      </c>
      <c r="K18" t="s">
        <v>998</v>
      </c>
      <c r="L18" s="454" t="s">
        <v>1109</v>
      </c>
    </row>
    <row r="19" spans="1:12">
      <c r="A19" s="454" t="s">
        <v>1125</v>
      </c>
      <c r="B19" s="274" t="s">
        <v>999</v>
      </c>
      <c r="C19" s="274">
        <v>21.6</v>
      </c>
      <c r="D19" s="369"/>
      <c r="E19" s="370"/>
      <c r="F19" s="369">
        <f>C19*E19</f>
        <v>0</v>
      </c>
      <c r="G19" s="370"/>
      <c r="H19" s="370"/>
      <c r="I19" s="370"/>
      <c r="J19" s="370"/>
    </row>
    <row r="20" spans="1:12">
      <c r="A20" s="454" t="s">
        <v>1126</v>
      </c>
      <c r="B20" s="274" t="s">
        <v>1000</v>
      </c>
      <c r="C20" s="274">
        <v>58.3</v>
      </c>
      <c r="D20" s="369"/>
      <c r="E20" s="370"/>
      <c r="F20" s="369">
        <f>C20*E20</f>
        <v>0</v>
      </c>
      <c r="G20" s="370"/>
      <c r="H20" s="370"/>
      <c r="I20" s="370"/>
      <c r="J20" s="370"/>
      <c r="L20" s="459"/>
    </row>
    <row r="21" spans="1:12">
      <c r="A21" s="454" t="s">
        <v>1127</v>
      </c>
      <c r="B21" s="271" t="s">
        <v>1001</v>
      </c>
      <c r="C21" s="271">
        <v>11</v>
      </c>
      <c r="D21" s="366">
        <v>1399</v>
      </c>
      <c r="E21" s="356">
        <f>D21/$D$24</f>
        <v>8.4659606656580941E-2</v>
      </c>
      <c r="F21" s="367">
        <f>C21*D21</f>
        <v>15389</v>
      </c>
      <c r="G21" s="378">
        <f>G15</f>
        <v>0.74681818181818216</v>
      </c>
      <c r="H21" s="378">
        <f t="shared" ref="H21:J21" si="2">H15</f>
        <v>0</v>
      </c>
      <c r="I21" s="378">
        <f t="shared" si="2"/>
        <v>0.25318181818181795</v>
      </c>
      <c r="J21" s="378">
        <f t="shared" si="2"/>
        <v>0</v>
      </c>
      <c r="K21" t="s">
        <v>1002</v>
      </c>
      <c r="L21" s="456" t="s">
        <v>1110</v>
      </c>
    </row>
    <row r="22" spans="1:12">
      <c r="A22" s="454" t="s">
        <v>1125</v>
      </c>
      <c r="B22" s="274" t="s">
        <v>999</v>
      </c>
      <c r="C22" s="274">
        <v>10.6</v>
      </c>
      <c r="D22" s="369"/>
      <c r="E22" s="370"/>
      <c r="F22" s="369">
        <f>C22*E22</f>
        <v>0</v>
      </c>
      <c r="G22" s="370"/>
      <c r="H22" s="370"/>
      <c r="I22" s="370"/>
      <c r="J22" s="370"/>
    </row>
    <row r="23" spans="1:12">
      <c r="A23" s="454" t="s">
        <v>1126</v>
      </c>
      <c r="B23" s="274" t="s">
        <v>1000</v>
      </c>
      <c r="C23" s="274">
        <v>16</v>
      </c>
      <c r="D23" s="369"/>
      <c r="E23" s="370"/>
      <c r="F23" s="369">
        <f>C23*E23</f>
        <v>0</v>
      </c>
      <c r="G23" s="370"/>
      <c r="H23" s="370"/>
      <c r="I23" s="370"/>
      <c r="J23" s="370"/>
    </row>
    <row r="24" spans="1:12" s="351" customFormat="1">
      <c r="B24" s="354" t="s">
        <v>1003</v>
      </c>
      <c r="C24" s="373"/>
      <c r="D24" s="379">
        <f>SUM(D5,D9,D12,D15,D18,D21)</f>
        <v>16525</v>
      </c>
      <c r="E24" s="373"/>
      <c r="F24" s="373"/>
      <c r="G24" s="357">
        <f>($F$5*G5+$F$9*G9+$F$12*G12+$F$15*G15+$F$18*G18+$F$21*G21)/SUM($F$5,$F$9,$F$12,$F$15,$F$18,$F$21)</f>
        <v>0.40776416854279252</v>
      </c>
      <c r="H24" s="357">
        <f t="shared" ref="H24:J24" si="3">($F$5*H5+$F$9*H9+$F$12*H12+$F$15*H15+$F$18*H18+$F$21*H21)/SUM($F$5,$F$9,$F$12,$F$15,$F$18,$F$21)</f>
        <v>3.5789228128922976E-2</v>
      </c>
      <c r="I24" s="357">
        <f t="shared" si="3"/>
        <v>0.55387040132343379</v>
      </c>
      <c r="J24" s="357">
        <f t="shared" si="3"/>
        <v>2.5762020048508182E-3</v>
      </c>
    </row>
    <row r="25" spans="1:12">
      <c r="D25" s="461"/>
      <c r="G25" s="462"/>
      <c r="H25" s="462"/>
      <c r="I25" s="462"/>
      <c r="J25" s="462"/>
    </row>
    <row r="26" spans="1:12">
      <c r="D26" s="461"/>
      <c r="G26" s="462"/>
      <c r="H26" s="462"/>
      <c r="I26" s="462"/>
      <c r="J26" s="462"/>
    </row>
    <row r="27" spans="1:12" ht="21.75">
      <c r="B27" s="457" t="s">
        <v>1133</v>
      </c>
    </row>
    <row r="28" spans="1:12" s="350" customFormat="1" ht="15">
      <c r="B28" s="364" t="s">
        <v>1004</v>
      </c>
    </row>
    <row r="30" spans="1:12">
      <c r="B30" s="274" t="s">
        <v>1005</v>
      </c>
      <c r="C30" s="349">
        <v>250.2</v>
      </c>
    </row>
    <row r="31" spans="1:12">
      <c r="B31" s="274" t="s">
        <v>112</v>
      </c>
      <c r="C31" s="385">
        <f>C30*About!$C$86/1000</f>
        <v>9922098411162</v>
      </c>
    </row>
    <row r="32" spans="1:12">
      <c r="C32" s="460"/>
    </row>
    <row r="33" spans="1:35">
      <c r="C33" s="460"/>
    </row>
    <row r="34" spans="1:35">
      <c r="C34" s="460"/>
    </row>
    <row r="35" spans="1:35" ht="21.75">
      <c r="B35" s="457" t="s">
        <v>1130</v>
      </c>
    </row>
    <row r="36" spans="1:35" s="350" customFormat="1">
      <c r="B36" s="364" t="s">
        <v>1006</v>
      </c>
    </row>
    <row r="37" spans="1:35" s="381" customFormat="1">
      <c r="B37" s="380"/>
      <c r="C37" t="s">
        <v>1104</v>
      </c>
      <c r="D37" t="s">
        <v>1105</v>
      </c>
      <c r="E37" t="s">
        <v>1106</v>
      </c>
      <c r="F37" t="s">
        <v>1107</v>
      </c>
    </row>
    <row r="38" spans="1:35">
      <c r="C38" s="352" t="s">
        <v>980</v>
      </c>
      <c r="D38" s="352" t="s">
        <v>981</v>
      </c>
      <c r="E38" s="352" t="s">
        <v>982</v>
      </c>
      <c r="F38" s="353" t="s">
        <v>192</v>
      </c>
    </row>
    <row r="39" spans="1:35">
      <c r="C39" s="368">
        <f>$C$31*G24</f>
        <v>4045876208827.2358</v>
      </c>
      <c r="D39" s="368">
        <f>$C$31*H24</f>
        <v>355104243554.70099</v>
      </c>
      <c r="E39" s="368">
        <f>$C$31*I24</f>
        <v>5495556628960.9014</v>
      </c>
      <c r="F39" s="368">
        <f>$C$31*J24</f>
        <v>25561329819.162663</v>
      </c>
    </row>
    <row r="40" spans="1:35">
      <c r="C40" s="16"/>
      <c r="D40" s="16"/>
      <c r="E40" s="16"/>
      <c r="F40" s="16"/>
    </row>
    <row r="41" spans="1:35" ht="21.75">
      <c r="B41" s="453" t="s">
        <v>1131</v>
      </c>
    </row>
    <row r="42" spans="1:35" s="350" customFormat="1">
      <c r="B42" s="364" t="s">
        <v>1007</v>
      </c>
    </row>
    <row r="44" spans="1:35" s="358" customFormat="1">
      <c r="B44" s="359"/>
      <c r="C44" s="360">
        <v>2018</v>
      </c>
      <c r="D44" s="360">
        <v>2019</v>
      </c>
      <c r="E44" s="360">
        <v>2020</v>
      </c>
      <c r="F44" s="360">
        <v>2021</v>
      </c>
      <c r="G44" s="360">
        <v>2022</v>
      </c>
      <c r="H44" s="360">
        <v>2023</v>
      </c>
      <c r="I44" s="360">
        <v>2024</v>
      </c>
      <c r="J44" s="360">
        <v>2025</v>
      </c>
      <c r="K44" s="360">
        <v>2026</v>
      </c>
      <c r="L44" s="360">
        <v>2027</v>
      </c>
      <c r="M44" s="360">
        <v>2028</v>
      </c>
      <c r="N44" s="360">
        <v>2029</v>
      </c>
      <c r="O44" s="360">
        <v>2030</v>
      </c>
      <c r="P44" s="360">
        <v>2031</v>
      </c>
      <c r="Q44" s="360">
        <v>2032</v>
      </c>
      <c r="R44" s="360">
        <v>2033</v>
      </c>
      <c r="S44" s="360">
        <v>2034</v>
      </c>
      <c r="T44" s="360">
        <v>2035</v>
      </c>
      <c r="U44" s="360">
        <v>2036</v>
      </c>
      <c r="V44" s="360">
        <v>2037</v>
      </c>
      <c r="W44" s="360">
        <v>2038</v>
      </c>
      <c r="X44" s="360">
        <v>2039</v>
      </c>
      <c r="Y44" s="360">
        <v>2040</v>
      </c>
      <c r="Z44" s="360">
        <v>2041</v>
      </c>
      <c r="AA44" s="360">
        <v>2042</v>
      </c>
      <c r="AB44" s="360">
        <v>2043</v>
      </c>
      <c r="AC44" s="360">
        <v>2044</v>
      </c>
      <c r="AD44" s="360">
        <v>2045</v>
      </c>
      <c r="AE44" s="360">
        <v>2046</v>
      </c>
      <c r="AF44" s="360">
        <v>2047</v>
      </c>
      <c r="AG44" s="360">
        <v>2048</v>
      </c>
      <c r="AH44" s="360">
        <v>2049</v>
      </c>
      <c r="AI44" s="360">
        <v>2050</v>
      </c>
    </row>
    <row r="45" spans="1:35" s="358" customFormat="1">
      <c r="A45" s="454" t="s">
        <v>1132</v>
      </c>
      <c r="B45" s="361" t="s">
        <v>1008</v>
      </c>
      <c r="C45" s="363">
        <v>51607</v>
      </c>
      <c r="D45" s="363">
        <v>51658.606999999996</v>
      </c>
      <c r="E45" s="363">
        <v>51710.265606999994</v>
      </c>
      <c r="F45" s="363">
        <v>51761.975872606985</v>
      </c>
      <c r="G45" s="363">
        <v>51813.737848479584</v>
      </c>
      <c r="H45" s="363">
        <v>51865.55158632806</v>
      </c>
      <c r="I45" s="363">
        <v>51917.417137914381</v>
      </c>
      <c r="J45" s="363">
        <v>51969.334555052286</v>
      </c>
      <c r="K45" s="363">
        <v>52021.303889607334</v>
      </c>
      <c r="L45" s="363">
        <v>52073.325193496938</v>
      </c>
      <c r="M45" s="363">
        <v>52125.398518690432</v>
      </c>
      <c r="N45" s="363">
        <v>52177.523917209117</v>
      </c>
      <c r="O45" s="363">
        <v>52229.701441126323</v>
      </c>
      <c r="P45" s="363">
        <v>52281.931142567446</v>
      </c>
      <c r="Q45" s="363">
        <v>52334.213073710009</v>
      </c>
      <c r="R45" s="363">
        <v>52386.547286783716</v>
      </c>
      <c r="S45" s="363">
        <v>52438.933834070493</v>
      </c>
      <c r="T45" s="363">
        <v>52491.372767904555</v>
      </c>
      <c r="U45" s="363">
        <v>52543.864140672456</v>
      </c>
      <c r="V45" s="363">
        <v>52596.408004813122</v>
      </c>
      <c r="W45" s="363">
        <v>52649.004412817929</v>
      </c>
      <c r="X45" s="363">
        <v>52701.653417230744</v>
      </c>
      <c r="Y45" s="363">
        <v>52754.355070647965</v>
      </c>
      <c r="Z45" s="362">
        <v>52490.583295294724</v>
      </c>
      <c r="AA45" s="362">
        <v>52228.130378818249</v>
      </c>
      <c r="AB45" s="362">
        <v>51966.989726924156</v>
      </c>
      <c r="AC45" s="362">
        <v>51707.154778289536</v>
      </c>
      <c r="AD45" s="362">
        <v>51448.61900439809</v>
      </c>
      <c r="AE45" s="362">
        <v>51191.375909376096</v>
      </c>
      <c r="AF45" s="362">
        <v>50935.419029829216</v>
      </c>
      <c r="AG45" s="362">
        <v>50680.741934680067</v>
      </c>
      <c r="AH45" s="362">
        <v>50427.338225006664</v>
      </c>
      <c r="AI45" s="362">
        <v>50175.201533881627</v>
      </c>
    </row>
    <row r="46" spans="1:35">
      <c r="B46" t="s">
        <v>1009</v>
      </c>
      <c r="D46" s="365">
        <f>D45/C45-1</f>
        <v>9.9999999999988987E-4</v>
      </c>
      <c r="E46" s="365">
        <f t="shared" ref="E46:AI46" si="4">E45/D45-1</f>
        <v>9.9999999999988987E-4</v>
      </c>
      <c r="F46" s="365">
        <f t="shared" si="4"/>
        <v>9.9999999999988987E-4</v>
      </c>
      <c r="G46" s="365">
        <f t="shared" si="4"/>
        <v>9.9999999999988987E-4</v>
      </c>
      <c r="H46" s="365">
        <f t="shared" si="4"/>
        <v>9.9999999999988987E-4</v>
      </c>
      <c r="I46" s="365">
        <f t="shared" si="4"/>
        <v>9.9999999999988987E-4</v>
      </c>
      <c r="J46" s="365">
        <f t="shared" si="4"/>
        <v>9.9999999999988987E-4</v>
      </c>
      <c r="K46" s="365">
        <f t="shared" si="4"/>
        <v>9.9999999999988987E-4</v>
      </c>
      <c r="L46" s="365">
        <f t="shared" si="4"/>
        <v>9.9999999999988987E-4</v>
      </c>
      <c r="M46" s="365">
        <f t="shared" si="4"/>
        <v>9.9999999999988987E-4</v>
      </c>
      <c r="N46" s="365">
        <f t="shared" si="4"/>
        <v>9.9999999999988987E-4</v>
      </c>
      <c r="O46" s="365">
        <f t="shared" si="4"/>
        <v>9.9999999999988987E-4</v>
      </c>
      <c r="P46" s="365">
        <f t="shared" si="4"/>
        <v>9.9999999999988987E-4</v>
      </c>
      <c r="Q46" s="365">
        <f t="shared" si="4"/>
        <v>9.9999999999988987E-4</v>
      </c>
      <c r="R46" s="365">
        <f t="shared" si="4"/>
        <v>9.9999999999988987E-4</v>
      </c>
      <c r="S46" s="365">
        <f t="shared" si="4"/>
        <v>9.9999999999988987E-4</v>
      </c>
      <c r="T46" s="365">
        <f t="shared" si="4"/>
        <v>9.9999999999988987E-4</v>
      </c>
      <c r="U46" s="365">
        <f t="shared" si="4"/>
        <v>9.9999999999988987E-4</v>
      </c>
      <c r="V46" s="365">
        <f t="shared" si="4"/>
        <v>9.9999999999988987E-4</v>
      </c>
      <c r="W46" s="365">
        <f t="shared" si="4"/>
        <v>9.9999999999988987E-4</v>
      </c>
      <c r="X46" s="365">
        <f t="shared" si="4"/>
        <v>9.9999999999988987E-4</v>
      </c>
      <c r="Y46" s="365">
        <f t="shared" si="4"/>
        <v>9.9999999999988987E-4</v>
      </c>
      <c r="Z46" s="365">
        <f t="shared" si="4"/>
        <v>-5.0000000000000044E-3</v>
      </c>
      <c r="AA46" s="365">
        <f t="shared" si="4"/>
        <v>-5.0000000000000044E-3</v>
      </c>
      <c r="AB46" s="365">
        <f t="shared" si="4"/>
        <v>-5.0000000000000044E-3</v>
      </c>
      <c r="AC46" s="365">
        <f t="shared" si="4"/>
        <v>-5.0000000000000044E-3</v>
      </c>
      <c r="AD46" s="365">
        <f t="shared" si="4"/>
        <v>-5.0000000000000044E-3</v>
      </c>
      <c r="AE46" s="365">
        <f t="shared" si="4"/>
        <v>-5.0000000000000044E-3</v>
      </c>
      <c r="AF46" s="365">
        <f t="shared" si="4"/>
        <v>-5.0000000000000044E-3</v>
      </c>
      <c r="AG46" s="365">
        <f t="shared" si="4"/>
        <v>-5.0000000000000044E-3</v>
      </c>
      <c r="AH46" s="365">
        <f t="shared" si="4"/>
        <v>-5.0000000000000044E-3</v>
      </c>
      <c r="AI46" s="365">
        <f t="shared" si="4"/>
        <v>-5.0000000000001155E-3</v>
      </c>
    </row>
    <row r="48" spans="1:35">
      <c r="B48" t="s">
        <v>982</v>
      </c>
      <c r="C48" s="216">
        <f>E39</f>
        <v>5495556628960.9014</v>
      </c>
      <c r="D48" s="216">
        <f>C48*(1+D46)</f>
        <v>5501052185589.8613</v>
      </c>
      <c r="E48" s="216">
        <f t="shared" ref="E48:AI48" si="5">D48*(1+E46)</f>
        <v>5506553237775.4502</v>
      </c>
      <c r="F48" s="216">
        <f t="shared" si="5"/>
        <v>5512059791013.2246</v>
      </c>
      <c r="G48" s="216">
        <f t="shared" si="5"/>
        <v>5517571850804.2373</v>
      </c>
      <c r="H48" s="216">
        <f t="shared" si="5"/>
        <v>5523089422655.041</v>
      </c>
      <c r="I48" s="216">
        <f t="shared" si="5"/>
        <v>5528612512077.6953</v>
      </c>
      <c r="J48" s="216">
        <f t="shared" si="5"/>
        <v>5534141124589.7725</v>
      </c>
      <c r="K48" s="216">
        <f t="shared" si="5"/>
        <v>5539675265714.3613</v>
      </c>
      <c r="L48" s="216">
        <f t="shared" si="5"/>
        <v>5545214940980.0752</v>
      </c>
      <c r="M48" s="216">
        <f t="shared" si="5"/>
        <v>5550760155921.0547</v>
      </c>
      <c r="N48" s="216">
        <f t="shared" si="5"/>
        <v>5556310916076.9756</v>
      </c>
      <c r="O48" s="216">
        <f t="shared" si="5"/>
        <v>5561867226993.0518</v>
      </c>
      <c r="P48" s="216">
        <f t="shared" si="5"/>
        <v>5567429094220.0439</v>
      </c>
      <c r="Q48" s="216">
        <f t="shared" si="5"/>
        <v>5572996523314.2637</v>
      </c>
      <c r="R48" s="216">
        <f t="shared" si="5"/>
        <v>5578569519837.5771</v>
      </c>
      <c r="S48" s="216">
        <f t="shared" si="5"/>
        <v>5584148089357.4141</v>
      </c>
      <c r="T48" s="216">
        <f t="shared" si="5"/>
        <v>5589732237446.7705</v>
      </c>
      <c r="U48" s="216">
        <f t="shared" si="5"/>
        <v>5595321969684.2168</v>
      </c>
      <c r="V48" s="216">
        <f t="shared" si="5"/>
        <v>5600917291653.9004</v>
      </c>
      <c r="W48" s="216">
        <f t="shared" si="5"/>
        <v>5606518208945.5537</v>
      </c>
      <c r="X48" s="216">
        <f t="shared" si="5"/>
        <v>5612124727154.499</v>
      </c>
      <c r="Y48" s="216">
        <f t="shared" si="5"/>
        <v>5617736851881.6533</v>
      </c>
      <c r="Z48" s="216">
        <f t="shared" si="5"/>
        <v>5589648167622.2451</v>
      </c>
      <c r="AA48" s="216">
        <f t="shared" si="5"/>
        <v>5561699926784.1338</v>
      </c>
      <c r="AB48" s="216">
        <f t="shared" si="5"/>
        <v>5533891427150.2129</v>
      </c>
      <c r="AC48" s="216">
        <f t="shared" si="5"/>
        <v>5506221970014.4619</v>
      </c>
      <c r="AD48" s="216">
        <f t="shared" si="5"/>
        <v>5478690860164.3896</v>
      </c>
      <c r="AE48" s="216">
        <f t="shared" si="5"/>
        <v>5451297405863.5674</v>
      </c>
      <c r="AF48" s="216">
        <f t="shared" si="5"/>
        <v>5424040918834.25</v>
      </c>
      <c r="AG48" s="216">
        <f t="shared" si="5"/>
        <v>5396920714240.0791</v>
      </c>
      <c r="AH48" s="216">
        <f t="shared" si="5"/>
        <v>5369936110668.8789</v>
      </c>
      <c r="AI48" s="216">
        <f t="shared" si="5"/>
        <v>5343086430115.5342</v>
      </c>
    </row>
  </sheetData>
  <phoneticPr fontId="35"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workbookViewId="0"/>
  </sheetViews>
  <sheetFormatPr defaultRowHeight="16.5"/>
  <cols>
    <col min="1" max="1" width="29.625" customWidth="1"/>
    <col min="2" max="2" width="11.625" bestFit="1" customWidth="1"/>
    <col min="6" max="6" width="8.625"/>
  </cols>
  <sheetData>
    <row r="1" spans="1:33">
      <c r="A1" t="s">
        <v>1010</v>
      </c>
      <c r="B1" t="s">
        <v>1011</v>
      </c>
      <c r="C1" t="s">
        <v>1012</v>
      </c>
      <c r="D1">
        <v>2019</v>
      </c>
    </row>
    <row r="3" spans="1:33" ht="49.5">
      <c r="B3" s="391" t="s">
        <v>1013</v>
      </c>
      <c r="C3" s="391" t="s">
        <v>1014</v>
      </c>
      <c r="D3" s="391" t="s">
        <v>1015</v>
      </c>
      <c r="E3" s="391" t="s">
        <v>1016</v>
      </c>
      <c r="F3" s="391"/>
      <c r="G3" s="391" t="s">
        <v>1017</v>
      </c>
    </row>
    <row r="4" spans="1:33">
      <c r="A4" t="s">
        <v>1018</v>
      </c>
      <c r="B4">
        <v>229305</v>
      </c>
      <c r="C4">
        <v>57226</v>
      </c>
      <c r="D4">
        <v>381380</v>
      </c>
      <c r="E4">
        <v>20813</v>
      </c>
      <c r="G4">
        <v>242421</v>
      </c>
    </row>
    <row r="5" spans="1:33">
      <c r="A5" t="s">
        <v>1019</v>
      </c>
      <c r="B5">
        <f>B4*$B$7</f>
        <v>217339177185000</v>
      </c>
      <c r="C5">
        <f t="shared" ref="C5:G5" si="0">C4*$B$7</f>
        <v>54239775642000</v>
      </c>
      <c r="D5">
        <f t="shared" si="0"/>
        <v>361478447460000</v>
      </c>
      <c r="E5">
        <f t="shared" si="0"/>
        <v>19726915221000</v>
      </c>
      <c r="G5">
        <f t="shared" si="0"/>
        <v>229770744957000</v>
      </c>
    </row>
    <row r="7" spans="1:33">
      <c r="A7" t="s">
        <v>1020</v>
      </c>
      <c r="B7">
        <f>947817000</f>
        <v>947817000</v>
      </c>
    </row>
    <row r="9" spans="1:33">
      <c r="A9" s="1" t="s">
        <v>1021</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25</v>
      </c>
      <c r="B11" s="16">
        <f>'BIFUbC-electricity'!B2</f>
        <v>18211341387996.891</v>
      </c>
      <c r="C11" s="16">
        <f>'BIFUbC-electricity'!C2</f>
        <v>18730058967343.012</v>
      </c>
      <c r="D11" s="16">
        <f>'BIFUbC-electricity'!D2</f>
        <v>19248776546689.133</v>
      </c>
      <c r="E11" s="16">
        <f>'BIFUbC-electricity'!E2</f>
        <v>19767494126035.254</v>
      </c>
      <c r="F11" s="16">
        <f>'BIFUbC-electricity'!F2</f>
        <v>20002242668463.754</v>
      </c>
      <c r="G11" s="16">
        <f>'BIFUbC-electricity'!G2</f>
        <v>20236991210892.25</v>
      </c>
      <c r="H11" s="16">
        <f>'BIFUbC-electricity'!H2</f>
        <v>20471739753320.75</v>
      </c>
      <c r="I11" s="16">
        <f>'BIFUbC-electricity'!I2</f>
        <v>20706488295749.246</v>
      </c>
      <c r="J11" s="16">
        <f>'BIFUbC-electricity'!J2</f>
        <v>20941236838177.746</v>
      </c>
      <c r="K11" s="16">
        <f>'BIFUbC-electricity'!K2</f>
        <v>21175985380606.242</v>
      </c>
      <c r="L11" s="16">
        <f>'BIFUbC-electricity'!L2</f>
        <v>21410733923034.742</v>
      </c>
      <c r="M11" s="16">
        <f>'BIFUbC-electricity'!M2</f>
        <v>21420457235443.023</v>
      </c>
      <c r="N11" s="16">
        <f>'BIFUbC-electricity'!N2</f>
        <v>21430180547851.305</v>
      </c>
      <c r="O11" s="16">
        <f>'BIFUbC-electricity'!O2</f>
        <v>21439903860259.586</v>
      </c>
      <c r="P11" s="16">
        <f>'BIFUbC-electricity'!P2</f>
        <v>21449627172667.867</v>
      </c>
      <c r="Q11" s="16">
        <f>'BIFUbC-electricity'!Q2</f>
        <v>21459350485076.148</v>
      </c>
      <c r="R11" s="16">
        <f>'BIFUbC-electricity'!R2</f>
        <v>21469073797484.426</v>
      </c>
      <c r="S11" s="16">
        <f>'BIFUbC-electricity'!S2</f>
        <v>21478797109892.707</v>
      </c>
      <c r="T11" s="16">
        <f>'BIFUbC-electricity'!T2</f>
        <v>21488520422300.988</v>
      </c>
      <c r="U11" s="16">
        <f>'BIFUbC-electricity'!U2</f>
        <v>21498243734709.27</v>
      </c>
      <c r="V11" s="16">
        <f>'BIFUbC-electricity'!V2</f>
        <v>21507967047117.551</v>
      </c>
      <c r="W11" s="16">
        <f>'BIFUbC-electricity'!W2</f>
        <v>21363089692234.164</v>
      </c>
      <c r="X11" s="16">
        <f>'BIFUbC-electricity'!X2</f>
        <v>21218212337350.777</v>
      </c>
      <c r="Y11" s="16">
        <f>'BIFUbC-electricity'!Y2</f>
        <v>21073334982467.391</v>
      </c>
      <c r="Z11" s="16">
        <f>'BIFUbC-electricity'!Z2</f>
        <v>20928457627584.004</v>
      </c>
      <c r="AA11" s="16">
        <f>'BIFUbC-electricity'!AA2</f>
        <v>20783580272700.617</v>
      </c>
      <c r="AB11" s="16">
        <f>'BIFUbC-electricity'!AB2</f>
        <v>20638702917817.23</v>
      </c>
      <c r="AC11" s="16">
        <f>'BIFUbC-electricity'!AC2</f>
        <v>20493825562933.844</v>
      </c>
      <c r="AD11" s="16">
        <f>'BIFUbC-electricity'!AD2</f>
        <v>20348948208050.457</v>
      </c>
      <c r="AE11" s="16">
        <f>'BIFUbC-electricity'!AE2</f>
        <v>20204070853167.07</v>
      </c>
      <c r="AF11" s="16">
        <f>'BIFUbC-electricity'!AF2</f>
        <v>20059193498283.684</v>
      </c>
      <c r="AG11" s="16"/>
    </row>
    <row r="12" spans="1:33">
      <c r="A12" t="s">
        <v>28</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32</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34</v>
      </c>
      <c r="B14" s="16">
        <f>'BIFUbC-electricity'!B5</f>
        <v>1570711842820.781</v>
      </c>
      <c r="C14" s="16">
        <f>'BIFUbC-electricity'!C5</f>
        <v>1615450768284.8484</v>
      </c>
      <c r="D14" s="16">
        <f>'BIFUbC-electricity'!D5</f>
        <v>1660189693748.916</v>
      </c>
      <c r="E14" s="16">
        <f>'BIFUbC-electricity'!E5</f>
        <v>1704928619212.9834</v>
      </c>
      <c r="F14" s="16">
        <f>'BIFUbC-electricity'!F5</f>
        <v>1725175470217.6208</v>
      </c>
      <c r="G14" s="16">
        <f>'BIFUbC-electricity'!G5</f>
        <v>1745422321222.2581</v>
      </c>
      <c r="H14" s="16">
        <f>'BIFUbC-electricity'!H5</f>
        <v>1765669172226.8955</v>
      </c>
      <c r="I14" s="16">
        <f>'BIFUbC-electricity'!I5</f>
        <v>1785916023231.5327</v>
      </c>
      <c r="J14" s="16">
        <f>'BIFUbC-electricity'!J5</f>
        <v>1806162874236.1702</v>
      </c>
      <c r="K14" s="16">
        <f>'BIFUbC-electricity'!K5</f>
        <v>1826409725240.8076</v>
      </c>
      <c r="L14" s="16">
        <f>'BIFUbC-electricity'!L5</f>
        <v>1846656576245.4448</v>
      </c>
      <c r="M14" s="16">
        <f>'BIFUbC-electricity'!M5</f>
        <v>1847495203210.134</v>
      </c>
      <c r="N14" s="16">
        <f>'BIFUbC-electricity'!N5</f>
        <v>1848333830174.823</v>
      </c>
      <c r="O14" s="16">
        <f>'BIFUbC-electricity'!O5</f>
        <v>1849172457139.5122</v>
      </c>
      <c r="P14" s="16">
        <f>'BIFUbC-electricity'!P5</f>
        <v>1850011084104.2014</v>
      </c>
      <c r="Q14" s="16">
        <f>'BIFUbC-electricity'!Q5</f>
        <v>1850849711068.8904</v>
      </c>
      <c r="R14" s="16">
        <f>'BIFUbC-electricity'!R5</f>
        <v>1851688338033.5796</v>
      </c>
      <c r="S14" s="16">
        <f>'BIFUbC-electricity'!S5</f>
        <v>1852526964998.2688</v>
      </c>
      <c r="T14" s="16">
        <f>'BIFUbC-electricity'!T5</f>
        <v>1853365591962.9578</v>
      </c>
      <c r="U14" s="16">
        <f>'BIFUbC-electricity'!U5</f>
        <v>1854204218927.647</v>
      </c>
      <c r="V14" s="16">
        <f>'BIFUbC-electricity'!V5</f>
        <v>1855042845892.3362</v>
      </c>
      <c r="W14" s="16">
        <f>'BIFUbC-electricity'!W5</f>
        <v>1842547304118.4683</v>
      </c>
      <c r="X14" s="16">
        <f>'BIFUbC-electricity'!X5</f>
        <v>1830051762344.6003</v>
      </c>
      <c r="Y14" s="16">
        <f>'BIFUbC-electricity'!Y5</f>
        <v>1817556220570.7324</v>
      </c>
      <c r="Z14" s="16">
        <f>'BIFUbC-electricity'!Z5</f>
        <v>1805060678796.8645</v>
      </c>
      <c r="AA14" s="16">
        <f>'BIFUbC-electricity'!AA5</f>
        <v>1792565137022.9966</v>
      </c>
      <c r="AB14" s="16">
        <f>'BIFUbC-electricity'!AB5</f>
        <v>1780069595249.1287</v>
      </c>
      <c r="AC14" s="16">
        <f>'BIFUbC-electricity'!AC5</f>
        <v>1767574053475.2607</v>
      </c>
      <c r="AD14" s="16">
        <f>'BIFUbC-electricity'!AD5</f>
        <v>1755078511701.3928</v>
      </c>
      <c r="AE14" s="16">
        <f>'BIFUbC-electricity'!AE5</f>
        <v>1742582969927.5249</v>
      </c>
      <c r="AF14" s="16">
        <f>'BIFUbC-electricity'!AF5</f>
        <v>1730087428153.657</v>
      </c>
      <c r="AG14" s="16"/>
    </row>
    <row r="15" spans="1:33">
      <c r="A15" t="s">
        <v>36</v>
      </c>
      <c r="B15" s="16">
        <f>'BIFUbC-electricity'!B6</f>
        <v>14427895538735.457</v>
      </c>
      <c r="C15" s="16">
        <f>'BIFUbC-electricity'!C6</f>
        <v>14838848410875.027</v>
      </c>
      <c r="D15" s="16">
        <f>'BIFUbC-electricity'!D6</f>
        <v>15249801283014.598</v>
      </c>
      <c r="E15" s="16">
        <f>'BIFUbC-electricity'!E6</f>
        <v>15660754155154.168</v>
      </c>
      <c r="F15" s="16">
        <f>'BIFUbC-electricity'!F6</f>
        <v>15846733176461.248</v>
      </c>
      <c r="G15" s="16">
        <f>'BIFUbC-electricity'!G6</f>
        <v>16032712197768.328</v>
      </c>
      <c r="H15" s="16">
        <f>'BIFUbC-electricity'!H6</f>
        <v>16218691219075.408</v>
      </c>
      <c r="I15" s="16">
        <f>'BIFUbC-electricity'!I6</f>
        <v>16404670240382.486</v>
      </c>
      <c r="J15" s="16">
        <f>'BIFUbC-electricity'!J6</f>
        <v>16590649261689.566</v>
      </c>
      <c r="K15" s="16">
        <f>'BIFUbC-electricity'!K6</f>
        <v>16776628282996.646</v>
      </c>
      <c r="L15" s="16">
        <f>'BIFUbC-electricity'!L6</f>
        <v>16962607304303.727</v>
      </c>
      <c r="M15" s="16">
        <f>'BIFUbC-electricity'!M6</f>
        <v>16970310577375.617</v>
      </c>
      <c r="N15" s="16">
        <f>'BIFUbC-electricity'!N6</f>
        <v>16978013850447.508</v>
      </c>
      <c r="O15" s="16">
        <f>'BIFUbC-electricity'!O6</f>
        <v>16985717123519.4</v>
      </c>
      <c r="P15" s="16">
        <f>'BIFUbC-electricity'!P6</f>
        <v>16993420396591.291</v>
      </c>
      <c r="Q15" s="16">
        <f>'BIFUbC-electricity'!Q6</f>
        <v>17001123669663.182</v>
      </c>
      <c r="R15" s="16">
        <f>'BIFUbC-electricity'!R6</f>
        <v>17008826942735.072</v>
      </c>
      <c r="S15" s="16">
        <f>'BIFUbC-electricity'!S6</f>
        <v>17016530215806.963</v>
      </c>
      <c r="T15" s="16">
        <f>'BIFUbC-electricity'!T6</f>
        <v>17024233488878.854</v>
      </c>
      <c r="U15" s="16">
        <f>'BIFUbC-electricity'!U6</f>
        <v>17031936761950.744</v>
      </c>
      <c r="V15" s="16">
        <f>'BIFUbC-electricity'!V6</f>
        <v>17039640035022.637</v>
      </c>
      <c r="W15" s="16">
        <f>'BIFUbC-electricity'!W6</f>
        <v>16924861266251.461</v>
      </c>
      <c r="X15" s="16">
        <f>'BIFUbC-electricity'!X6</f>
        <v>16810082497480.287</v>
      </c>
      <c r="Y15" s="16">
        <f>'BIFUbC-electricity'!Y6</f>
        <v>16695303728709.113</v>
      </c>
      <c r="Z15" s="16">
        <f>'BIFUbC-electricity'!Z6</f>
        <v>16580524959937.939</v>
      </c>
      <c r="AA15" s="16">
        <f>'BIFUbC-electricity'!AA6</f>
        <v>16465746191166.766</v>
      </c>
      <c r="AB15" s="16">
        <f>'BIFUbC-electricity'!AB6</f>
        <v>16350967422395.59</v>
      </c>
      <c r="AC15" s="16">
        <f>'BIFUbC-electricity'!AC6</f>
        <v>16236188653624.416</v>
      </c>
      <c r="AD15" s="16">
        <f>'BIFUbC-electricity'!AD6</f>
        <v>16121409884853.242</v>
      </c>
      <c r="AE15" s="16">
        <f>'BIFUbC-electricity'!AE6</f>
        <v>16006631116082.068</v>
      </c>
      <c r="AF15" s="16">
        <f>'BIFUbC-electricity'!AF6</f>
        <v>15891852347310.895</v>
      </c>
      <c r="AG15" s="16"/>
    </row>
    <row r="16" spans="1:33">
      <c r="A16" t="s">
        <v>38</v>
      </c>
      <c r="B16" s="16">
        <f>'BIFUbC-electricity'!B7</f>
        <v>10871424379092.271</v>
      </c>
      <c r="C16" s="16">
        <f>'BIFUbC-electricity'!C7</f>
        <v>11181077513247.67</v>
      </c>
      <c r="D16" s="16">
        <f>'BIFUbC-electricity'!D7</f>
        <v>11490730647403.068</v>
      </c>
      <c r="E16" s="16">
        <f>'BIFUbC-electricity'!E7</f>
        <v>11800383781558.465</v>
      </c>
      <c r="F16" s="16">
        <f>'BIFUbC-electricity'!F7</f>
        <v>11940519039733.111</v>
      </c>
      <c r="G16" s="16">
        <f>'BIFUbC-electricity'!G7</f>
        <v>12080654297907.756</v>
      </c>
      <c r="H16" s="16">
        <f>'BIFUbC-electricity'!H7</f>
        <v>12220789556082.402</v>
      </c>
      <c r="I16" s="16">
        <f>'BIFUbC-electricity'!I7</f>
        <v>12360924814257.047</v>
      </c>
      <c r="J16" s="16">
        <f>'BIFUbC-electricity'!J7</f>
        <v>12501060072431.693</v>
      </c>
      <c r="K16" s="16">
        <f>'BIFUbC-electricity'!K7</f>
        <v>12641195330606.338</v>
      </c>
      <c r="L16" s="16">
        <f>'BIFUbC-electricity'!L7</f>
        <v>12781330588780.984</v>
      </c>
      <c r="M16" s="16">
        <f>'BIFUbC-electricity'!M7</f>
        <v>12787135007758.633</v>
      </c>
      <c r="N16" s="16">
        <f>'BIFUbC-electricity'!N7</f>
        <v>12792939426736.279</v>
      </c>
      <c r="O16" s="16">
        <f>'BIFUbC-electricity'!O7</f>
        <v>12798743845713.928</v>
      </c>
      <c r="P16" s="16">
        <f>'BIFUbC-electricity'!P7</f>
        <v>12804548264691.576</v>
      </c>
      <c r="Q16" s="16">
        <f>'BIFUbC-electricity'!Q7</f>
        <v>12810352683669.225</v>
      </c>
      <c r="R16" s="16">
        <f>'BIFUbC-electricity'!R7</f>
        <v>12816157102646.873</v>
      </c>
      <c r="S16" s="16">
        <f>'BIFUbC-electricity'!S7</f>
        <v>12821961521624.52</v>
      </c>
      <c r="T16" s="16">
        <f>'BIFUbC-electricity'!T7</f>
        <v>12827765940602.168</v>
      </c>
      <c r="U16" s="16">
        <f>'BIFUbC-electricity'!U7</f>
        <v>12833570359579.816</v>
      </c>
      <c r="V16" s="16">
        <f>'BIFUbC-electricity'!V7</f>
        <v>12839374778557.465</v>
      </c>
      <c r="W16" s="16">
        <f>'BIFUbC-electricity'!W7</f>
        <v>12752888935790.508</v>
      </c>
      <c r="X16" s="16">
        <f>'BIFUbC-electricity'!X7</f>
        <v>12666403093023.553</v>
      </c>
      <c r="Y16" s="16">
        <f>'BIFUbC-electricity'!Y7</f>
        <v>12579917250256.598</v>
      </c>
      <c r="Z16" s="16">
        <f>'BIFUbC-electricity'!Z7</f>
        <v>12493431407489.641</v>
      </c>
      <c r="AA16" s="16">
        <f>'BIFUbC-electricity'!AA7</f>
        <v>12406945564722.686</v>
      </c>
      <c r="AB16" s="16">
        <f>'BIFUbC-electricity'!AB7</f>
        <v>12320459721955.73</v>
      </c>
      <c r="AC16" s="16">
        <f>'BIFUbC-electricity'!AC7</f>
        <v>12233973879188.773</v>
      </c>
      <c r="AD16" s="16">
        <f>'BIFUbC-electricity'!AD7</f>
        <v>12147488036421.818</v>
      </c>
      <c r="AE16" s="16">
        <f>'BIFUbC-electricity'!AE7</f>
        <v>12061002193654.861</v>
      </c>
      <c r="AF16" s="16">
        <f>'BIFUbC-electricity'!AF7</f>
        <v>11974516350887.906</v>
      </c>
      <c r="AG16" s="16"/>
    </row>
    <row r="17" spans="1:33">
      <c r="A17" t="s">
        <v>40</v>
      </c>
      <c r="B17" s="16">
        <f>'BIFUbC-electricity'!B8</f>
        <v>1825428155329.0747</v>
      </c>
      <c r="C17" s="16">
        <f>'BIFUbC-electricity'!C8</f>
        <v>1877422220666.1091</v>
      </c>
      <c r="D17" s="16">
        <f>'BIFUbC-electricity'!D8</f>
        <v>1929416286003.1438</v>
      </c>
      <c r="E17" s="16">
        <f>'BIFUbC-electricity'!E8</f>
        <v>1981410351340.1782</v>
      </c>
      <c r="F17" s="16">
        <f>'BIFUbC-electricity'!F8</f>
        <v>2004940556482.2266</v>
      </c>
      <c r="G17" s="16">
        <f>'BIFUbC-electricity'!G8</f>
        <v>2028470761624.2749</v>
      </c>
      <c r="H17" s="16">
        <f>'BIFUbC-electricity'!H8</f>
        <v>2052000966766.3232</v>
      </c>
      <c r="I17" s="16">
        <f>'BIFUbC-electricity'!I8</f>
        <v>2075531171908.3716</v>
      </c>
      <c r="J17" s="16">
        <f>'BIFUbC-electricity'!J8</f>
        <v>2099061377050.4202</v>
      </c>
      <c r="K17" s="16">
        <f>'BIFUbC-electricity'!K8</f>
        <v>2122591582192.4685</v>
      </c>
      <c r="L17" s="16">
        <f>'BIFUbC-electricity'!L8</f>
        <v>2146121787334.5168</v>
      </c>
      <c r="M17" s="16">
        <f>'BIFUbC-electricity'!M8</f>
        <v>2147096411216.1401</v>
      </c>
      <c r="N17" s="16">
        <f>'BIFUbC-electricity'!N8</f>
        <v>2148071035097.7634</v>
      </c>
      <c r="O17" s="16">
        <f>'BIFUbC-electricity'!O8</f>
        <v>2149045658979.3867</v>
      </c>
      <c r="P17" s="16">
        <f>'BIFUbC-electricity'!P8</f>
        <v>2150020282861.01</v>
      </c>
      <c r="Q17" s="16">
        <f>'BIFUbC-electricity'!Q8</f>
        <v>2150994906742.6333</v>
      </c>
      <c r="R17" s="16">
        <f>'BIFUbC-electricity'!R8</f>
        <v>2151969530624.2566</v>
      </c>
      <c r="S17" s="16">
        <f>'BIFUbC-electricity'!S8</f>
        <v>2152944154505.8799</v>
      </c>
      <c r="T17" s="16">
        <f>'BIFUbC-electricity'!T8</f>
        <v>2153918778387.5032</v>
      </c>
      <c r="U17" s="16">
        <f>'BIFUbC-electricity'!U8</f>
        <v>2154893402269.1265</v>
      </c>
      <c r="V17" s="16">
        <f>'BIFUbC-electricity'!V8</f>
        <v>2155868026150.7498</v>
      </c>
      <c r="W17" s="16">
        <f>'BIFUbC-electricity'!W8</f>
        <v>2141346130314.5625</v>
      </c>
      <c r="X17" s="16">
        <f>'BIFUbC-electricity'!X8</f>
        <v>2126824234478.3752</v>
      </c>
      <c r="Y17" s="16">
        <f>'BIFUbC-electricity'!Y8</f>
        <v>2112302338642.188</v>
      </c>
      <c r="Z17" s="16">
        <f>'BIFUbC-electricity'!Z8</f>
        <v>2097780442806.0007</v>
      </c>
      <c r="AA17" s="16">
        <f>'BIFUbC-electricity'!AA8</f>
        <v>2083258546969.8137</v>
      </c>
      <c r="AB17" s="16">
        <f>'BIFUbC-electricity'!AB8</f>
        <v>2068736651133.6265</v>
      </c>
      <c r="AC17" s="16">
        <f>'BIFUbC-electricity'!AC8</f>
        <v>2054214755297.4392</v>
      </c>
      <c r="AD17" s="16">
        <f>'BIFUbC-electricity'!AD8</f>
        <v>2039692859461.252</v>
      </c>
      <c r="AE17" s="16">
        <f>'BIFUbC-electricity'!AE8</f>
        <v>2025170963625.0647</v>
      </c>
      <c r="AF17" s="16">
        <f>'BIFUbC-electricity'!AF8</f>
        <v>2010649067788.8774</v>
      </c>
      <c r="AG17" s="16"/>
    </row>
    <row r="18" spans="1:33">
      <c r="A18" t="s">
        <v>42</v>
      </c>
      <c r="B18" s="16">
        <f>'BIFUbC-electricity'!B9</f>
        <v>10421476548459.678</v>
      </c>
      <c r="C18" s="16">
        <f>'BIFUbC-electricity'!C9</f>
        <v>10718313721145.504</v>
      </c>
      <c r="D18" s="16">
        <f>'BIFUbC-electricity'!D9</f>
        <v>11015150893831.33</v>
      </c>
      <c r="E18" s="16">
        <f>'BIFUbC-electricity'!E9</f>
        <v>11311988066517.156</v>
      </c>
      <c r="F18" s="16">
        <f>'BIFUbC-electricity'!F9</f>
        <v>11446323389631.584</v>
      </c>
      <c r="G18" s="16">
        <f>'BIFUbC-electricity'!G9</f>
        <v>11580658712746.01</v>
      </c>
      <c r="H18" s="16">
        <f>'BIFUbC-electricity'!H9</f>
        <v>11714994035860.436</v>
      </c>
      <c r="I18" s="16">
        <f>'BIFUbC-electricity'!I9</f>
        <v>11849329358974.861</v>
      </c>
      <c r="J18" s="16">
        <f>'BIFUbC-electricity'!J9</f>
        <v>11983664682089.287</v>
      </c>
      <c r="K18" s="16">
        <f>'BIFUbC-electricity'!K9</f>
        <v>12118000005203.715</v>
      </c>
      <c r="L18" s="16">
        <f>'BIFUbC-electricity'!L9</f>
        <v>12252335328318.141</v>
      </c>
      <c r="M18" s="16">
        <f>'BIFUbC-electricity'!M9</f>
        <v>12257899513299.211</v>
      </c>
      <c r="N18" s="16">
        <f>'BIFUbC-electricity'!N9</f>
        <v>12263463698280.283</v>
      </c>
      <c r="O18" s="16">
        <f>'BIFUbC-electricity'!O9</f>
        <v>12269027883261.354</v>
      </c>
      <c r="P18" s="16">
        <f>'BIFUbC-electricity'!P9</f>
        <v>12274592068242.424</v>
      </c>
      <c r="Q18" s="16">
        <f>'BIFUbC-electricity'!Q9</f>
        <v>12280156253223.494</v>
      </c>
      <c r="R18" s="16">
        <f>'BIFUbC-electricity'!R9</f>
        <v>12285720438204.566</v>
      </c>
      <c r="S18" s="16">
        <f>'BIFUbC-electricity'!S9</f>
        <v>12291284623185.637</v>
      </c>
      <c r="T18" s="16">
        <f>'BIFUbC-electricity'!T9</f>
        <v>12296848808166.707</v>
      </c>
      <c r="U18" s="16">
        <f>'BIFUbC-electricity'!U9</f>
        <v>12302412993147.779</v>
      </c>
      <c r="V18" s="16">
        <f>'BIFUbC-electricity'!V9</f>
        <v>12307977178128.85</v>
      </c>
      <c r="W18" s="16">
        <f>'BIFUbC-electricity'!W9</f>
        <v>12225070821910.893</v>
      </c>
      <c r="X18" s="16">
        <f>'BIFUbC-electricity'!X9</f>
        <v>12142164465692.936</v>
      </c>
      <c r="Y18" s="16">
        <f>'BIFUbC-electricity'!Y9</f>
        <v>12059258109474.98</v>
      </c>
      <c r="Z18" s="16">
        <f>'BIFUbC-electricity'!Z9</f>
        <v>11976351753257.023</v>
      </c>
      <c r="AA18" s="16">
        <f>'BIFUbC-electricity'!AA9</f>
        <v>11893445397039.066</v>
      </c>
      <c r="AB18" s="16">
        <f>'BIFUbC-electricity'!AB9</f>
        <v>11810539040821.111</v>
      </c>
      <c r="AC18" s="16">
        <f>'BIFUbC-electricity'!AC9</f>
        <v>11727632684603.154</v>
      </c>
      <c r="AD18" s="16">
        <f>'BIFUbC-electricity'!AD9</f>
        <v>11644726328385.197</v>
      </c>
      <c r="AE18" s="16">
        <f>'BIFUbC-electricity'!AE9</f>
        <v>11561819972167.24</v>
      </c>
      <c r="AF18" s="16">
        <f>'BIFUbC-electricity'!AF9</f>
        <v>11478913615949.285</v>
      </c>
      <c r="AG18" s="16"/>
    </row>
    <row r="19" spans="1:33">
      <c r="A19" t="s">
        <v>1022</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1023</v>
      </c>
      <c r="B20" s="16">
        <f>'BIFUbC-electricity'!B11</f>
        <v>93087861472087.031</v>
      </c>
      <c r="C20" s="16">
        <f>'BIFUbC-electricity'!C11</f>
        <v>95571435601904.047</v>
      </c>
      <c r="D20" s="16">
        <f>'BIFUbC-electricity'!D11</f>
        <v>98055009731721.063</v>
      </c>
      <c r="E20" s="16">
        <f>'BIFUbC-electricity'!E11</f>
        <v>100538583861538.64</v>
      </c>
      <c r="F20" s="16">
        <f>'BIFUbC-electricity'!F11</f>
        <v>104476428469604.75</v>
      </c>
      <c r="G20" s="16">
        <f>'BIFUbC-electricity'!G11</f>
        <v>108414273077670.86</v>
      </c>
      <c r="H20" s="16">
        <f>'BIFUbC-electricity'!H11</f>
        <v>112352117685736.98</v>
      </c>
      <c r="I20" s="16">
        <f>'BIFUbC-electricity'!I11</f>
        <v>116289962293803.09</v>
      </c>
      <c r="J20" s="16">
        <f>'BIFUbC-electricity'!J11</f>
        <v>120227806901869.2</v>
      </c>
      <c r="K20" s="16">
        <f>'BIFUbC-electricity'!K11</f>
        <v>124165651509935.31</v>
      </c>
      <c r="L20" s="16">
        <f>'BIFUbC-electricity'!L11</f>
        <v>128103496118001.44</v>
      </c>
      <c r="M20" s="16">
        <f>'BIFUbC-electricity'!M11</f>
        <v>131019815667295.19</v>
      </c>
      <c r="N20" s="16">
        <f>'BIFUbC-electricity'!N11</f>
        <v>133936135216588.95</v>
      </c>
      <c r="O20" s="16">
        <f>'BIFUbC-electricity'!O11</f>
        <v>136852454765882.72</v>
      </c>
      <c r="P20" s="16">
        <f>'BIFUbC-electricity'!P11</f>
        <v>139768774315176.47</v>
      </c>
      <c r="Q20" s="16">
        <f>'BIFUbC-electricity'!Q11</f>
        <v>142685093864470.22</v>
      </c>
      <c r="R20" s="16">
        <f>'BIFUbC-electricity'!R11</f>
        <v>145601413413764</v>
      </c>
      <c r="S20" s="16">
        <f>'BIFUbC-electricity'!S11</f>
        <v>148517732963057.75</v>
      </c>
      <c r="T20" s="16">
        <f>'BIFUbC-electricity'!T11</f>
        <v>151434052512351.5</v>
      </c>
      <c r="U20" s="16">
        <f>'BIFUbC-electricity'!U11</f>
        <v>154350372061645.28</v>
      </c>
      <c r="V20" s="16">
        <f>'BIFUbC-electricity'!V11</f>
        <v>157266691610939.03</v>
      </c>
      <c r="W20" s="16">
        <f>'BIFUbC-electricity'!W11</f>
        <v>159359785821993.72</v>
      </c>
      <c r="X20" s="16">
        <f>'BIFUbC-electricity'!X11</f>
        <v>161452880033048.41</v>
      </c>
      <c r="Y20" s="16">
        <f>'BIFUbC-electricity'!Y11</f>
        <v>163545974244103.06</v>
      </c>
      <c r="Z20" s="16">
        <f>'BIFUbC-electricity'!Z11</f>
        <v>165639068455157.75</v>
      </c>
      <c r="AA20" s="16">
        <f>'BIFUbC-electricity'!AA11</f>
        <v>167732162666212.44</v>
      </c>
      <c r="AB20" s="16">
        <f>'BIFUbC-electricity'!AB11</f>
        <v>169825256877267.13</v>
      </c>
      <c r="AC20" s="16">
        <f>'BIFUbC-electricity'!AC11</f>
        <v>171918351088321.81</v>
      </c>
      <c r="AD20" s="16">
        <f>'BIFUbC-electricity'!AD11</f>
        <v>174011445299376.47</v>
      </c>
      <c r="AE20" s="16">
        <f>'BIFUbC-electricity'!AE11</f>
        <v>176104539510431.16</v>
      </c>
      <c r="AF20" s="16">
        <f>'BIFUbC-electricity'!AF11</f>
        <v>178197633721485.84</v>
      </c>
      <c r="AG20" s="16"/>
    </row>
    <row r="21" spans="1:33">
      <c r="A21" t="s">
        <v>51</v>
      </c>
      <c r="B21" s="16">
        <f>'BIFUbC-electricity'!B12</f>
        <v>75520222761241.984</v>
      </c>
      <c r="C21" s="16">
        <f>'BIFUbC-electricity'!C12</f>
        <v>77535094180154.969</v>
      </c>
      <c r="D21" s="16">
        <f>'BIFUbC-electricity'!D12</f>
        <v>79549965599067.938</v>
      </c>
      <c r="E21" s="16">
        <f>'BIFUbC-electricity'!E12</f>
        <v>81564837017981.375</v>
      </c>
      <c r="F21" s="16">
        <f>'BIFUbC-electricity'!F12</f>
        <v>84759527467385.266</v>
      </c>
      <c r="G21" s="16">
        <f>'BIFUbC-electricity'!G12</f>
        <v>87954217916789.141</v>
      </c>
      <c r="H21" s="16">
        <f>'BIFUbC-electricity'!H12</f>
        <v>91148908366193.031</v>
      </c>
      <c r="I21" s="16">
        <f>'BIFUbC-electricity'!I12</f>
        <v>94343598815596.922</v>
      </c>
      <c r="J21" s="16">
        <f>'BIFUbC-electricity'!J12</f>
        <v>97538289265000.813</v>
      </c>
      <c r="K21" s="16">
        <f>'BIFUbC-electricity'!K12</f>
        <v>100732979714404.69</v>
      </c>
      <c r="L21" s="16">
        <f>'BIFUbC-electricity'!L12</f>
        <v>103927670163808.58</v>
      </c>
      <c r="M21" s="16">
        <f>'BIFUbC-electricity'!M12</f>
        <v>106293618833406.83</v>
      </c>
      <c r="N21" s="16">
        <f>'BIFUbC-electricity'!N12</f>
        <v>108659567503005.06</v>
      </c>
      <c r="O21" s="16">
        <f>'BIFUbC-electricity'!O12</f>
        <v>111025516172603.3</v>
      </c>
      <c r="P21" s="16">
        <f>'BIFUbC-electricity'!P12</f>
        <v>113391464842201.55</v>
      </c>
      <c r="Q21" s="16">
        <f>'BIFUbC-electricity'!Q12</f>
        <v>115757413511799.78</v>
      </c>
      <c r="R21" s="16">
        <f>'BIFUbC-electricity'!R12</f>
        <v>118123362181398.02</v>
      </c>
      <c r="S21" s="16">
        <f>'BIFUbC-electricity'!S12</f>
        <v>120489310850996.27</v>
      </c>
      <c r="T21" s="16">
        <f>'BIFUbC-electricity'!T12</f>
        <v>122855259520594.5</v>
      </c>
      <c r="U21" s="16">
        <f>'BIFUbC-electricity'!U12</f>
        <v>125221208190192.73</v>
      </c>
      <c r="V21" s="16">
        <f>'BIFUbC-electricity'!V12</f>
        <v>127587156859790.98</v>
      </c>
      <c r="W21" s="16">
        <f>'BIFUbC-electricity'!W12</f>
        <v>129285240139172.3</v>
      </c>
      <c r="X21" s="16">
        <f>'BIFUbC-electricity'!X12</f>
        <v>130983323418553.63</v>
      </c>
      <c r="Y21" s="16">
        <f>'BIFUbC-electricity'!Y12</f>
        <v>132681406697934.94</v>
      </c>
      <c r="Z21" s="16">
        <f>'BIFUbC-electricity'!Z12</f>
        <v>134379489977316.27</v>
      </c>
      <c r="AA21" s="16">
        <f>'BIFUbC-electricity'!AA12</f>
        <v>136077573256697.58</v>
      </c>
      <c r="AB21" s="16">
        <f>'BIFUbC-electricity'!AB12</f>
        <v>137775656536078.89</v>
      </c>
      <c r="AC21" s="16">
        <f>'BIFUbC-electricity'!AC12</f>
        <v>139473739815460.22</v>
      </c>
      <c r="AD21" s="16">
        <f>'BIFUbC-electricity'!AD12</f>
        <v>141171823094841.53</v>
      </c>
      <c r="AE21" s="16">
        <f>'BIFUbC-electricity'!AE12</f>
        <v>142869906374222.84</v>
      </c>
      <c r="AF21" s="16">
        <f>'BIFUbC-electricity'!AF12</f>
        <v>144567989653604.19</v>
      </c>
      <c r="AG21" s="16"/>
    </row>
    <row r="22" spans="1:33">
      <c r="A22" t="s">
        <v>53</v>
      </c>
      <c r="B22" s="16">
        <f>'BIFUbC-electricity'!B13</f>
        <v>3505051828832.603</v>
      </c>
      <c r="C22" s="16">
        <f>'BIFUbC-electricity'!C13</f>
        <v>3604886978885.4746</v>
      </c>
      <c r="D22" s="16">
        <f>'BIFUbC-electricity'!D13</f>
        <v>3704722128938.3462</v>
      </c>
      <c r="E22" s="16">
        <f>'BIFUbC-electricity'!E13</f>
        <v>3804557278991.2178</v>
      </c>
      <c r="F22" s="16">
        <f>'BIFUbC-electricity'!F13</f>
        <v>3849738234661.9028</v>
      </c>
      <c r="G22" s="16">
        <f>'BIFUbC-electricity'!G13</f>
        <v>3894919190332.5874</v>
      </c>
      <c r="H22" s="16">
        <f>'BIFUbC-electricity'!H13</f>
        <v>3940100146003.2725</v>
      </c>
      <c r="I22" s="16">
        <f>'BIFUbC-electricity'!I13</f>
        <v>3985281101673.957</v>
      </c>
      <c r="J22" s="16">
        <f>'BIFUbC-electricity'!J13</f>
        <v>4030462057344.6421</v>
      </c>
      <c r="K22" s="16">
        <f>'BIFUbC-electricity'!K13</f>
        <v>4075643013015.3267</v>
      </c>
      <c r="L22" s="16">
        <f>'BIFUbC-electricity'!L13</f>
        <v>4120823968686.0117</v>
      </c>
      <c r="M22" s="16">
        <f>'BIFUbC-electricity'!M13</f>
        <v>4122695369216.75</v>
      </c>
      <c r="N22" s="16">
        <f>'BIFUbC-electricity'!N13</f>
        <v>4124566769747.4883</v>
      </c>
      <c r="O22" s="16">
        <f>'BIFUbC-electricity'!O13</f>
        <v>4126438170278.2271</v>
      </c>
      <c r="P22" s="16">
        <f>'BIFUbC-electricity'!P13</f>
        <v>4128309570808.9653</v>
      </c>
      <c r="Q22" s="16">
        <f>'BIFUbC-electricity'!Q13</f>
        <v>4130180971339.7036</v>
      </c>
      <c r="R22" s="16">
        <f>'BIFUbC-electricity'!R13</f>
        <v>4132052371870.4424</v>
      </c>
      <c r="S22" s="16">
        <f>'BIFUbC-electricity'!S13</f>
        <v>4133923772401.1807</v>
      </c>
      <c r="T22" s="16">
        <f>'BIFUbC-electricity'!T13</f>
        <v>4135795172931.9189</v>
      </c>
      <c r="U22" s="16">
        <f>'BIFUbC-electricity'!U13</f>
        <v>4137666573462.6572</v>
      </c>
      <c r="V22" s="16">
        <f>'BIFUbC-electricity'!V13</f>
        <v>4139537973993.396</v>
      </c>
      <c r="W22" s="16">
        <f>'BIFUbC-electricity'!W13</f>
        <v>4111654106085.3936</v>
      </c>
      <c r="X22" s="16">
        <f>'BIFUbC-electricity'!X13</f>
        <v>4083770238177.3906</v>
      </c>
      <c r="Y22" s="16">
        <f>'BIFUbC-electricity'!Y13</f>
        <v>4055886370269.3882</v>
      </c>
      <c r="Z22" s="16">
        <f>'BIFUbC-electricity'!Z13</f>
        <v>4028002502361.3857</v>
      </c>
      <c r="AA22" s="16">
        <f>'BIFUbC-electricity'!AA13</f>
        <v>4000118634453.3833</v>
      </c>
      <c r="AB22" s="16">
        <f>'BIFUbC-electricity'!AB13</f>
        <v>3972234766545.3809</v>
      </c>
      <c r="AC22" s="16">
        <f>'BIFUbC-electricity'!AC13</f>
        <v>3944350898637.3779</v>
      </c>
      <c r="AD22" s="16">
        <f>'BIFUbC-electricity'!AD13</f>
        <v>3916467030729.3755</v>
      </c>
      <c r="AE22" s="16">
        <f>'BIFUbC-electricity'!AE13</f>
        <v>3888583162821.373</v>
      </c>
      <c r="AF22" s="16">
        <f>'BIFUbC-electricity'!AF13</f>
        <v>3860699294913.3706</v>
      </c>
      <c r="AG22" s="16"/>
    </row>
    <row r="23" spans="1:33">
      <c r="A23" t="s">
        <v>56</v>
      </c>
      <c r="B23" s="16">
        <f>'BIFUbC-electricity'!B14</f>
        <v>8833350058171.3555</v>
      </c>
      <c r="C23" s="16">
        <f>'BIFUbC-electricity'!C14</f>
        <v>9084952280219.1816</v>
      </c>
      <c r="D23" s="16">
        <f>'BIFUbC-electricity'!D14</f>
        <v>9336554502267.0078</v>
      </c>
      <c r="E23" s="16">
        <f>'BIFUbC-electricity'!E14</f>
        <v>9588156724314.834</v>
      </c>
      <c r="F23" s="16">
        <f>'BIFUbC-electricity'!F14</f>
        <v>9702020717457.2148</v>
      </c>
      <c r="G23" s="16">
        <f>'BIFUbC-electricity'!G14</f>
        <v>9815884710599.5938</v>
      </c>
      <c r="H23" s="16">
        <f>'BIFUbC-electricity'!H14</f>
        <v>9929748703741.9746</v>
      </c>
      <c r="I23" s="16">
        <f>'BIFUbC-electricity'!I14</f>
        <v>10043612696884.354</v>
      </c>
      <c r="J23" s="16">
        <f>'BIFUbC-electricity'!J14</f>
        <v>10157476690026.734</v>
      </c>
      <c r="K23" s="16">
        <f>'BIFUbC-electricity'!K14</f>
        <v>10271340683169.113</v>
      </c>
      <c r="L23" s="16">
        <f>'BIFUbC-electricity'!L14</f>
        <v>10385204676311.494</v>
      </c>
      <c r="M23" s="16">
        <f>'BIFUbC-electricity'!M14</f>
        <v>10389920936382.479</v>
      </c>
      <c r="N23" s="16">
        <f>'BIFUbC-electricity'!N14</f>
        <v>10394637196453.465</v>
      </c>
      <c r="O23" s="16">
        <f>'BIFUbC-electricity'!O14</f>
        <v>10399353456524.451</v>
      </c>
      <c r="P23" s="16">
        <f>'BIFUbC-electricity'!P14</f>
        <v>10404069716595.438</v>
      </c>
      <c r="Q23" s="16">
        <f>'BIFUbC-electricity'!Q14</f>
        <v>10408785976666.424</v>
      </c>
      <c r="R23" s="16">
        <f>'BIFUbC-electricity'!R14</f>
        <v>10413502236737.41</v>
      </c>
      <c r="S23" s="16">
        <f>'BIFUbC-electricity'!S14</f>
        <v>10418218496808.396</v>
      </c>
      <c r="T23" s="16">
        <f>'BIFUbC-electricity'!T14</f>
        <v>10422934756879.383</v>
      </c>
      <c r="U23" s="16">
        <f>'BIFUbC-electricity'!U14</f>
        <v>10427651016950.369</v>
      </c>
      <c r="V23" s="16">
        <f>'BIFUbC-electricity'!V14</f>
        <v>10432367277021.355</v>
      </c>
      <c r="W23" s="16">
        <f>'BIFUbC-electricity'!W14</f>
        <v>10362095001963.662</v>
      </c>
      <c r="X23" s="16">
        <f>'BIFUbC-electricity'!X14</f>
        <v>10291822726905.967</v>
      </c>
      <c r="Y23" s="16">
        <f>'BIFUbC-electricity'!Y14</f>
        <v>10221550451848.273</v>
      </c>
      <c r="Z23" s="16">
        <f>'BIFUbC-electricity'!Z14</f>
        <v>10151278176790.58</v>
      </c>
      <c r="AA23" s="16">
        <f>'BIFUbC-electricity'!AA14</f>
        <v>10081005901732.887</v>
      </c>
      <c r="AB23" s="16">
        <f>'BIFUbC-electricity'!AB14</f>
        <v>10010733626675.193</v>
      </c>
      <c r="AC23" s="16">
        <f>'BIFUbC-electricity'!AC14</f>
        <v>9940461351617.5</v>
      </c>
      <c r="AD23" s="16">
        <f>'BIFUbC-electricity'!AD14</f>
        <v>9870189076559.8066</v>
      </c>
      <c r="AE23" s="16">
        <f>'BIFUbC-electricity'!AE14</f>
        <v>9799916801502.1133</v>
      </c>
      <c r="AF23" s="16">
        <f>'BIFUbC-electricity'!AF14</f>
        <v>9729644526444.4199</v>
      </c>
      <c r="AG23" s="16"/>
    </row>
    <row r="24" spans="1:33">
      <c r="A24" t="s">
        <v>58</v>
      </c>
      <c r="B24" s="16">
        <f>'BIFUbC-electricity'!B15</f>
        <v>80934087411800</v>
      </c>
      <c r="C24" s="16">
        <f>'BIFUbC-electricity'!C15</f>
        <v>81570318307730</v>
      </c>
      <c r="D24" s="16">
        <f>'BIFUbC-electricity'!D15</f>
        <v>82206549203660</v>
      </c>
      <c r="E24" s="16">
        <f>'BIFUbC-electricity'!E15</f>
        <v>82842780099590</v>
      </c>
      <c r="F24" s="16">
        <f>'BIFUbC-electricity'!F15</f>
        <v>85601751166300</v>
      </c>
      <c r="G24" s="16">
        <f>'BIFUbC-electricity'!G15</f>
        <v>88360722233010</v>
      </c>
      <c r="H24" s="16">
        <f>'BIFUbC-electricity'!H15</f>
        <v>91119693299720</v>
      </c>
      <c r="I24" s="16">
        <f>'BIFUbC-electricity'!I15</f>
        <v>93878664366430</v>
      </c>
      <c r="J24" s="16">
        <f>'BIFUbC-electricity'!J15</f>
        <v>96637635433140</v>
      </c>
      <c r="K24" s="16">
        <f>'BIFUbC-electricity'!K15</f>
        <v>99396606499850</v>
      </c>
      <c r="L24" s="16">
        <f>'BIFUbC-electricity'!L15</f>
        <v>102155577566560</v>
      </c>
      <c r="M24" s="16">
        <f>'BIFUbC-electricity'!M15</f>
        <v>102246787903673</v>
      </c>
      <c r="N24" s="16">
        <f>'BIFUbC-electricity'!N15</f>
        <v>102337998240786</v>
      </c>
      <c r="O24" s="16">
        <f>'BIFUbC-electricity'!O15</f>
        <v>102429208577899</v>
      </c>
      <c r="P24" s="16">
        <f>'BIFUbC-electricity'!P15</f>
        <v>102520418915012</v>
      </c>
      <c r="Q24" s="16">
        <f>'BIFUbC-electricity'!Q15</f>
        <v>102611629252125</v>
      </c>
      <c r="R24" s="16">
        <f>'BIFUbC-electricity'!R15</f>
        <v>102702839589238</v>
      </c>
      <c r="S24" s="16">
        <f>'BIFUbC-electricity'!S15</f>
        <v>102794049926351</v>
      </c>
      <c r="T24" s="16">
        <f>'BIFUbC-electricity'!T15</f>
        <v>102885260263464.03</v>
      </c>
      <c r="U24" s="16">
        <f>'BIFUbC-electricity'!U15</f>
        <v>102976470600577.03</v>
      </c>
      <c r="V24" s="16">
        <f>'BIFUbC-electricity'!V15</f>
        <v>103067680937690.02</v>
      </c>
      <c r="W24" s="16">
        <f>'BIFUbC-electricity'!W15</f>
        <v>102865431929309</v>
      </c>
      <c r="X24" s="16">
        <f>'BIFUbC-electricity'!X15</f>
        <v>102663182920928</v>
      </c>
      <c r="Y24" s="16">
        <f>'BIFUbC-electricity'!Y15</f>
        <v>102460933912547</v>
      </c>
      <c r="Z24" s="16">
        <f>'BIFUbC-electricity'!Z15</f>
        <v>102258684904166</v>
      </c>
      <c r="AA24" s="16">
        <f>'BIFUbC-electricity'!AA15</f>
        <v>102056435895785</v>
      </c>
      <c r="AB24" s="16">
        <f>'BIFUbC-electricity'!AB15</f>
        <v>101854186887404</v>
      </c>
      <c r="AC24" s="16">
        <f>'BIFUbC-electricity'!AC15</f>
        <v>101651937879023</v>
      </c>
      <c r="AD24" s="16">
        <f>'BIFUbC-electricity'!AD15</f>
        <v>101449688870642</v>
      </c>
      <c r="AE24" s="16">
        <f>'BIFUbC-electricity'!AE15</f>
        <v>101247439862261</v>
      </c>
      <c r="AF24" s="16">
        <f>'BIFUbC-electricity'!AF15</f>
        <v>101045190853880</v>
      </c>
      <c r="AG24" s="16"/>
    </row>
    <row r="25" spans="1:33">
      <c r="A25" t="s">
        <v>61</v>
      </c>
      <c r="B25" s="16">
        <f>'BIFUbC-electricity'!B16</f>
        <v>12833368166293.609</v>
      </c>
      <c r="C25" s="16">
        <f>'BIFUbC-electricity'!C16</f>
        <v>12957057657621.77</v>
      </c>
      <c r="D25" s="16">
        <f>'BIFUbC-electricity'!D16</f>
        <v>13080747148949.932</v>
      </c>
      <c r="E25" s="16">
        <f>'BIFUbC-electricity'!E16</f>
        <v>13204436640278.094</v>
      </c>
      <c r="F25" s="16">
        <f>'BIFUbC-electricity'!F16</f>
        <v>13714364071508.346</v>
      </c>
      <c r="G25" s="16">
        <f>'BIFUbC-electricity'!G16</f>
        <v>14224291502738.598</v>
      </c>
      <c r="H25" s="16">
        <f>'BIFUbC-electricity'!H16</f>
        <v>14734218933968.85</v>
      </c>
      <c r="I25" s="16">
        <f>'BIFUbC-electricity'!I16</f>
        <v>15244146365199.1</v>
      </c>
      <c r="J25" s="16">
        <f>'BIFUbC-electricity'!J16</f>
        <v>15754073796429.352</v>
      </c>
      <c r="K25" s="16">
        <f>'BIFUbC-electricity'!K16</f>
        <v>16264001227659.604</v>
      </c>
      <c r="L25" s="16">
        <f>'BIFUbC-electricity'!L16</f>
        <v>16773928658889.855</v>
      </c>
      <c r="M25" s="16">
        <f>'BIFUbC-electricity'!M16</f>
        <v>16850417773574.393</v>
      </c>
      <c r="N25" s="16">
        <f>'BIFUbC-electricity'!N16</f>
        <v>16926906888258.93</v>
      </c>
      <c r="O25" s="16">
        <f>'BIFUbC-electricity'!O16</f>
        <v>17003396002943.469</v>
      </c>
      <c r="P25" s="16">
        <f>'BIFUbC-electricity'!P16</f>
        <v>17079885117628.006</v>
      </c>
      <c r="Q25" s="16">
        <f>'BIFUbC-electricity'!Q16</f>
        <v>17156374232312.543</v>
      </c>
      <c r="R25" s="16">
        <f>'BIFUbC-electricity'!R16</f>
        <v>17232863346997.082</v>
      </c>
      <c r="S25" s="16">
        <f>'BIFUbC-electricity'!S16</f>
        <v>17309352461681.619</v>
      </c>
      <c r="T25" s="16">
        <f>'BIFUbC-electricity'!T16</f>
        <v>17385841576366.156</v>
      </c>
      <c r="U25" s="16">
        <f>'BIFUbC-electricity'!U16</f>
        <v>17462330691050.695</v>
      </c>
      <c r="V25" s="16">
        <f>'BIFUbC-electricity'!V16</f>
        <v>17538819805735.232</v>
      </c>
      <c r="W25" s="16">
        <f>'BIFUbC-electricity'!W16</f>
        <v>17466356433928.828</v>
      </c>
      <c r="X25" s="16">
        <f>'BIFUbC-electricity'!X16</f>
        <v>17393893062122.424</v>
      </c>
      <c r="Y25" s="16">
        <f>'BIFUbC-electricity'!Y16</f>
        <v>17321429690316.02</v>
      </c>
      <c r="Z25" s="16">
        <f>'BIFUbC-electricity'!Z16</f>
        <v>17248966318509.615</v>
      </c>
      <c r="AA25" s="16">
        <f>'BIFUbC-electricity'!AA16</f>
        <v>17176502946703.211</v>
      </c>
      <c r="AB25" s="16">
        <f>'BIFUbC-electricity'!AB16</f>
        <v>17104039574896.807</v>
      </c>
      <c r="AC25" s="16">
        <f>'BIFUbC-electricity'!AC16</f>
        <v>17031576203090.402</v>
      </c>
      <c r="AD25" s="16">
        <f>'BIFUbC-electricity'!AD16</f>
        <v>16959112831284</v>
      </c>
      <c r="AE25" s="16">
        <f>'BIFUbC-electricity'!AE16</f>
        <v>16886649459477.596</v>
      </c>
      <c r="AF25" s="16">
        <f>'BIFUbC-electricity'!AF16</f>
        <v>16814186087671.188</v>
      </c>
      <c r="AG25" s="16"/>
    </row>
    <row r="26" spans="1:33">
      <c r="A26" t="s">
        <v>65</v>
      </c>
      <c r="B26" s="16">
        <f>'BIFUbC-electricity'!B17</f>
        <v>25092200361826.391</v>
      </c>
      <c r="C26" s="16">
        <f>'BIFUbC-electricity'!C17</f>
        <v>25334041900138.23</v>
      </c>
      <c r="D26" s="16">
        <f>'BIFUbC-electricity'!D17</f>
        <v>25575883438450.066</v>
      </c>
      <c r="E26" s="16">
        <f>'BIFUbC-electricity'!E17</f>
        <v>25817724976761.906</v>
      </c>
      <c r="F26" s="16">
        <f>'BIFUbC-electricity'!F17</f>
        <v>26814750941311.656</v>
      </c>
      <c r="G26" s="16">
        <f>'BIFUbC-electricity'!G17</f>
        <v>27811776905861.402</v>
      </c>
      <c r="H26" s="16">
        <f>'BIFUbC-electricity'!H17</f>
        <v>28808802870411.152</v>
      </c>
      <c r="I26" s="16">
        <f>'BIFUbC-electricity'!I17</f>
        <v>29805828834960.898</v>
      </c>
      <c r="J26" s="16">
        <f>'BIFUbC-electricity'!J17</f>
        <v>30802854799510.648</v>
      </c>
      <c r="K26" s="16">
        <f>'BIFUbC-electricity'!K17</f>
        <v>31799880764060.398</v>
      </c>
      <c r="L26" s="16">
        <f>'BIFUbC-electricity'!L17</f>
        <v>32796906728610.145</v>
      </c>
      <c r="M26" s="16">
        <f>'BIFUbC-electricity'!M17</f>
        <v>32946460623292.605</v>
      </c>
      <c r="N26" s="16">
        <f>'BIFUbC-electricity'!N17</f>
        <v>33096014517975.07</v>
      </c>
      <c r="O26" s="16">
        <f>'BIFUbC-electricity'!O17</f>
        <v>33245568412657.531</v>
      </c>
      <c r="P26" s="16">
        <f>'BIFUbC-electricity'!P17</f>
        <v>33395122307339.992</v>
      </c>
      <c r="Q26" s="16">
        <f>'BIFUbC-electricity'!Q17</f>
        <v>33544676202022.457</v>
      </c>
      <c r="R26" s="16">
        <f>'BIFUbC-electricity'!R17</f>
        <v>33694230096704.918</v>
      </c>
      <c r="S26" s="16">
        <f>'BIFUbC-electricity'!S17</f>
        <v>33843783991387.379</v>
      </c>
      <c r="T26" s="16">
        <f>'BIFUbC-electricity'!T17</f>
        <v>33993337886069.844</v>
      </c>
      <c r="U26" s="16">
        <f>'BIFUbC-electricity'!U17</f>
        <v>34142891780752.305</v>
      </c>
      <c r="V26" s="16">
        <f>'BIFUbC-electricity'!V17</f>
        <v>34292445675434.766</v>
      </c>
      <c r="W26" s="16">
        <f>'BIFUbC-electricity'!W17</f>
        <v>34150763038367.172</v>
      </c>
      <c r="X26" s="16">
        <f>'BIFUbC-electricity'!X17</f>
        <v>34009080401299.574</v>
      </c>
      <c r="Y26" s="16">
        <f>'BIFUbC-electricity'!Y17</f>
        <v>33867397764231.98</v>
      </c>
      <c r="Z26" s="16">
        <f>'BIFUbC-electricity'!Z17</f>
        <v>33725715127164.383</v>
      </c>
      <c r="AA26" s="16">
        <f>'BIFUbC-electricity'!AA17</f>
        <v>33584032490096.789</v>
      </c>
      <c r="AB26" s="16">
        <f>'BIFUbC-electricity'!AB17</f>
        <v>33442349853029.191</v>
      </c>
      <c r="AC26" s="16">
        <f>'BIFUbC-electricity'!AC17</f>
        <v>33300667215961.598</v>
      </c>
      <c r="AD26" s="16">
        <f>'BIFUbC-electricity'!AD17</f>
        <v>33158984578894</v>
      </c>
      <c r="AE26" s="16">
        <f>'BIFUbC-electricity'!AE17</f>
        <v>33017301941826.406</v>
      </c>
      <c r="AF26" s="16">
        <f>'BIFUbC-electricity'!AF17</f>
        <v>32875619304758.805</v>
      </c>
      <c r="AG26" s="16"/>
    </row>
    <row r="27" spans="1:33">
      <c r="A27" t="s">
        <v>67</v>
      </c>
      <c r="B27" s="16">
        <f>'BIFUbC-electricity'!B18</f>
        <v>155072561888205.75</v>
      </c>
      <c r="C27" s="16">
        <f>'BIFUbC-electricity'!C18</f>
        <v>160590916705329.78</v>
      </c>
      <c r="D27" s="16">
        <f>'BIFUbC-electricity'!D18</f>
        <v>166109271522456.03</v>
      </c>
      <c r="E27" s="16">
        <f>'BIFUbC-electricity'!E18</f>
        <v>171627626339581.16</v>
      </c>
      <c r="F27" s="16">
        <f>'BIFUbC-electricity'!F18</f>
        <v>174604009626404.91</v>
      </c>
      <c r="G27" s="16">
        <f>'BIFUbC-electricity'!G18</f>
        <v>177580392913228.63</v>
      </c>
      <c r="H27" s="16">
        <f>'BIFUbC-electricity'!H18</f>
        <v>180556776200052.34</v>
      </c>
      <c r="I27" s="16">
        <f>'BIFUbC-electricity'!I18</f>
        <v>183533159486876.09</v>
      </c>
      <c r="J27" s="16">
        <f>'BIFUbC-electricity'!J18</f>
        <v>186509542773699.81</v>
      </c>
      <c r="K27" s="16">
        <f>'BIFUbC-electricity'!K18</f>
        <v>189485926060523.53</v>
      </c>
      <c r="L27" s="16">
        <f>'BIFUbC-electricity'!L18</f>
        <v>192462309347347.25</v>
      </c>
      <c r="M27" s="16">
        <f>'BIFUbC-electricity'!M18</f>
        <v>193619547284209.47</v>
      </c>
      <c r="N27" s="16">
        <f>'BIFUbC-electricity'!N18</f>
        <v>194776785221071.66</v>
      </c>
      <c r="O27" s="16">
        <f>'BIFUbC-electricity'!O18</f>
        <v>195934023157933.84</v>
      </c>
      <c r="P27" s="16">
        <f>'BIFUbC-electricity'!P18</f>
        <v>197091261094796.03</v>
      </c>
      <c r="Q27" s="16">
        <f>'BIFUbC-electricity'!Q18</f>
        <v>198248499031658.22</v>
      </c>
      <c r="R27" s="16">
        <f>'BIFUbC-electricity'!R18</f>
        <v>199405736968520.44</v>
      </c>
      <c r="S27" s="16">
        <f>'BIFUbC-electricity'!S18</f>
        <v>200562974905382.63</v>
      </c>
      <c r="T27" s="16">
        <f>'BIFUbC-electricity'!T18</f>
        <v>201720212842244.81</v>
      </c>
      <c r="U27" s="16">
        <f>'BIFUbC-electricity'!U18</f>
        <v>202877450779107</v>
      </c>
      <c r="V27" s="16">
        <f>'BIFUbC-electricity'!V18</f>
        <v>204034688715969.16</v>
      </c>
      <c r="W27" s="16">
        <f>'BIFUbC-electricity'!W18</f>
        <v>203429668882058.22</v>
      </c>
      <c r="X27" s="16">
        <f>'BIFUbC-electricity'!X18</f>
        <v>202824649048147.38</v>
      </c>
      <c r="Y27" s="16">
        <f>'BIFUbC-electricity'!Y18</f>
        <v>202219629214236.53</v>
      </c>
      <c r="Z27" s="16">
        <f>'BIFUbC-electricity'!Z18</f>
        <v>201614609380325.69</v>
      </c>
      <c r="AA27" s="16">
        <f>'BIFUbC-electricity'!AA18</f>
        <v>201009589546414.84</v>
      </c>
      <c r="AB27" s="16">
        <f>'BIFUbC-electricity'!AB18</f>
        <v>200404569712504</v>
      </c>
      <c r="AC27" s="16">
        <f>'BIFUbC-electricity'!AC18</f>
        <v>199799549878593.16</v>
      </c>
      <c r="AD27" s="16">
        <f>'BIFUbC-electricity'!AD18</f>
        <v>199194530044682.31</v>
      </c>
      <c r="AE27" s="16">
        <f>'BIFUbC-electricity'!AE18</f>
        <v>198589510210771.47</v>
      </c>
      <c r="AF27" s="16">
        <f>'BIFUbC-electricity'!AF18</f>
        <v>197984490376860.78</v>
      </c>
      <c r="AG27" s="16"/>
    </row>
    <row r="28" spans="1:33">
      <c r="A28" t="s">
        <v>71</v>
      </c>
      <c r="B28" s="16">
        <f>'BIFUbC-electricity'!B19</f>
        <v>27004323753425.258</v>
      </c>
      <c r="C28" s="16">
        <f>'BIFUbC-electricity'!C19</f>
        <v>27965289628067.359</v>
      </c>
      <c r="D28" s="16">
        <f>'BIFUbC-electricity'!D19</f>
        <v>28926255502709.848</v>
      </c>
      <c r="E28" s="16">
        <f>'BIFUbC-electricity'!E19</f>
        <v>29887221377352.145</v>
      </c>
      <c r="F28" s="16">
        <f>'BIFUbC-electricity'!F19</f>
        <v>30405528529262.199</v>
      </c>
      <c r="G28" s="16">
        <f>'BIFUbC-electricity'!G19</f>
        <v>30923835681172.258</v>
      </c>
      <c r="H28" s="16">
        <f>'BIFUbC-electricity'!H19</f>
        <v>31442142833082.316</v>
      </c>
      <c r="I28" s="16">
        <f>'BIFUbC-electricity'!I19</f>
        <v>31960449984992.371</v>
      </c>
      <c r="J28" s="16">
        <f>'BIFUbC-electricity'!J19</f>
        <v>32478757136902.43</v>
      </c>
      <c r="K28" s="16">
        <f>'BIFUbC-electricity'!K19</f>
        <v>32997064288812.484</v>
      </c>
      <c r="L28" s="16">
        <f>'BIFUbC-electricity'!L19</f>
        <v>33515371440722.543</v>
      </c>
      <c r="M28" s="16">
        <f>'BIFUbC-electricity'!M19</f>
        <v>33716892764200.137</v>
      </c>
      <c r="N28" s="16">
        <f>'BIFUbC-electricity'!N19</f>
        <v>33918414087677.734</v>
      </c>
      <c r="O28" s="16">
        <f>'BIFUbC-electricity'!O19</f>
        <v>34119935411155.328</v>
      </c>
      <c r="P28" s="16">
        <f>'BIFUbC-electricity'!P19</f>
        <v>34321456734632.926</v>
      </c>
      <c r="Q28" s="16">
        <f>'BIFUbC-electricity'!Q19</f>
        <v>34522978058110.52</v>
      </c>
      <c r="R28" s="16">
        <f>'BIFUbC-electricity'!R19</f>
        <v>34724499381588.117</v>
      </c>
      <c r="S28" s="16">
        <f>'BIFUbC-electricity'!S19</f>
        <v>34926020705065.711</v>
      </c>
      <c r="T28" s="16">
        <f>'BIFUbC-electricity'!T19</f>
        <v>35127542028543.309</v>
      </c>
      <c r="U28" s="16">
        <f>'BIFUbC-electricity'!U19</f>
        <v>35329063352020.898</v>
      </c>
      <c r="V28" s="16">
        <f>'BIFUbC-electricity'!V19</f>
        <v>35530584675498.492</v>
      </c>
      <c r="W28" s="16">
        <f>'BIFUbC-electricity'!W19</f>
        <v>35425226569117.602</v>
      </c>
      <c r="X28" s="16">
        <f>'BIFUbC-electricity'!X19</f>
        <v>35319868462736.727</v>
      </c>
      <c r="Y28" s="16">
        <f>'BIFUbC-electricity'!Y19</f>
        <v>35214510356355.859</v>
      </c>
      <c r="Z28" s="16">
        <f>'BIFUbC-electricity'!Z19</f>
        <v>35109152249974.984</v>
      </c>
      <c r="AA28" s="16">
        <f>'BIFUbC-electricity'!AA19</f>
        <v>35003794143594.113</v>
      </c>
      <c r="AB28" s="16">
        <f>'BIFUbC-electricity'!AB19</f>
        <v>34898436037213.242</v>
      </c>
      <c r="AC28" s="16">
        <f>'BIFUbC-electricity'!AC19</f>
        <v>34793077930832.367</v>
      </c>
      <c r="AD28" s="16">
        <f>'BIFUbC-electricity'!AD19</f>
        <v>34687719824451.496</v>
      </c>
      <c r="AE28" s="16">
        <f>'BIFUbC-electricity'!AE19</f>
        <v>34582361718070.625</v>
      </c>
      <c r="AF28" s="16">
        <f>'BIFUbC-electricity'!AF19</f>
        <v>34477003611689.777</v>
      </c>
      <c r="AG28" s="16"/>
    </row>
    <row r="29" spans="1:33">
      <c r="A29" t="s">
        <v>73</v>
      </c>
      <c r="B29" s="16">
        <f>'BIFUbC-electricity'!B20</f>
        <v>42157107912069.617</v>
      </c>
      <c r="C29" s="16">
        <f>'BIFUbC-electricity'!C20</f>
        <v>43657295157897.789</v>
      </c>
      <c r="D29" s="16">
        <f>'BIFUbC-electricity'!D20</f>
        <v>45157482403726.57</v>
      </c>
      <c r="E29" s="16">
        <f>'BIFUbC-electricity'!E20</f>
        <v>46657669649555.047</v>
      </c>
      <c r="F29" s="16">
        <f>'BIFUbC-electricity'!F20</f>
        <v>47466811575647.469</v>
      </c>
      <c r="G29" s="16">
        <f>'BIFUbC-electricity'!G20</f>
        <v>48275953501739.883</v>
      </c>
      <c r="H29" s="16">
        <f>'BIFUbC-electricity'!H20</f>
        <v>49085095427832.305</v>
      </c>
      <c r="I29" s="16">
        <f>'BIFUbC-electricity'!I20</f>
        <v>49894237353924.719</v>
      </c>
      <c r="J29" s="16">
        <f>'BIFUbC-electricity'!J20</f>
        <v>50703379280017.141</v>
      </c>
      <c r="K29" s="16">
        <f>'BIFUbC-electricity'!K20</f>
        <v>51512521206109.555</v>
      </c>
      <c r="L29" s="16">
        <f>'BIFUbC-electricity'!L20</f>
        <v>52321663132201.969</v>
      </c>
      <c r="M29" s="16">
        <f>'BIFUbC-electricity'!M20</f>
        <v>52636262981396.508</v>
      </c>
      <c r="N29" s="16">
        <f>'BIFUbC-electricity'!N20</f>
        <v>52950862830591.047</v>
      </c>
      <c r="O29" s="16">
        <f>'BIFUbC-electricity'!O20</f>
        <v>53265462679785.586</v>
      </c>
      <c r="P29" s="16">
        <f>'BIFUbC-electricity'!P20</f>
        <v>53580062528980.125</v>
      </c>
      <c r="Q29" s="16">
        <f>'BIFUbC-electricity'!Q20</f>
        <v>53894662378174.664</v>
      </c>
      <c r="R29" s="16">
        <f>'BIFUbC-electricity'!R20</f>
        <v>54209262227369.203</v>
      </c>
      <c r="S29" s="16">
        <f>'BIFUbC-electricity'!S20</f>
        <v>54523862076563.742</v>
      </c>
      <c r="T29" s="16">
        <f>'BIFUbC-electricity'!T20</f>
        <v>54838461925758.281</v>
      </c>
      <c r="U29" s="16">
        <f>'BIFUbC-electricity'!U20</f>
        <v>55153061774952.82</v>
      </c>
      <c r="V29" s="16">
        <f>'BIFUbC-electricity'!V20</f>
        <v>55467661624147.352</v>
      </c>
      <c r="W29" s="16">
        <f>'BIFUbC-electricity'!W20</f>
        <v>55303184516678.695</v>
      </c>
      <c r="X29" s="16">
        <f>'BIFUbC-electricity'!X20</f>
        <v>55138707409210.063</v>
      </c>
      <c r="Y29" s="16">
        <f>'BIFUbC-electricity'!Y20</f>
        <v>54974230301741.438</v>
      </c>
      <c r="Z29" s="16">
        <f>'BIFUbC-electricity'!Z20</f>
        <v>54809753194272.813</v>
      </c>
      <c r="AA29" s="16">
        <f>'BIFUbC-electricity'!AA20</f>
        <v>54645276086804.18</v>
      </c>
      <c r="AB29" s="16">
        <f>'BIFUbC-electricity'!AB20</f>
        <v>54480798979335.555</v>
      </c>
      <c r="AC29" s="16">
        <f>'BIFUbC-electricity'!AC20</f>
        <v>54316321871866.93</v>
      </c>
      <c r="AD29" s="16">
        <f>'BIFUbC-electricity'!AD20</f>
        <v>54151844764398.297</v>
      </c>
      <c r="AE29" s="16">
        <f>'BIFUbC-electricity'!AE20</f>
        <v>53987367656929.672</v>
      </c>
      <c r="AF29" s="16">
        <f>'BIFUbC-electricity'!AF20</f>
        <v>53822890549461.078</v>
      </c>
      <c r="AG29" s="16"/>
    </row>
    <row r="30" spans="1:33">
      <c r="A30" t="s">
        <v>75</v>
      </c>
      <c r="B30" s="16">
        <f>'BIFUbC-electricity'!B21</f>
        <v>44015400676326.797</v>
      </c>
      <c r="C30" s="16">
        <f>'BIFUbC-electricity'!C21</f>
        <v>45581716440974.813</v>
      </c>
      <c r="D30" s="16">
        <f>'BIFUbC-electricity'!D21</f>
        <v>47148032205623.461</v>
      </c>
      <c r="E30" s="16">
        <f>'BIFUbC-electricity'!E21</f>
        <v>48714347970271.797</v>
      </c>
      <c r="F30" s="16">
        <f>'BIFUbC-electricity'!F21</f>
        <v>49559157015409.734</v>
      </c>
      <c r="G30" s="16">
        <f>'BIFUbC-electricity'!G21</f>
        <v>50403966060547.672</v>
      </c>
      <c r="H30" s="16">
        <f>'BIFUbC-electricity'!H21</f>
        <v>51248775105685.609</v>
      </c>
      <c r="I30" s="16">
        <f>'BIFUbC-electricity'!I21</f>
        <v>52093584150823.547</v>
      </c>
      <c r="J30" s="16">
        <f>'BIFUbC-electricity'!J21</f>
        <v>52938393195961.484</v>
      </c>
      <c r="K30" s="16">
        <f>'BIFUbC-electricity'!K21</f>
        <v>53783202241099.422</v>
      </c>
      <c r="L30" s="16">
        <f>'BIFUbC-electricity'!L21</f>
        <v>54628011286237.359</v>
      </c>
      <c r="M30" s="16">
        <f>'BIFUbC-electricity'!M21</f>
        <v>54956478752361.742</v>
      </c>
      <c r="N30" s="16">
        <f>'BIFUbC-electricity'!N21</f>
        <v>55284946218486.125</v>
      </c>
      <c r="O30" s="16">
        <f>'BIFUbC-electricity'!O21</f>
        <v>55613413684610.508</v>
      </c>
      <c r="P30" s="16">
        <f>'BIFUbC-electricity'!P21</f>
        <v>55941881150734.883</v>
      </c>
      <c r="Q30" s="16">
        <f>'BIFUbC-electricity'!Q21</f>
        <v>56270348616859.266</v>
      </c>
      <c r="R30" s="16">
        <f>'BIFUbC-electricity'!R21</f>
        <v>56598816082983.648</v>
      </c>
      <c r="S30" s="16">
        <f>'BIFUbC-electricity'!S21</f>
        <v>56927283549108.031</v>
      </c>
      <c r="T30" s="16">
        <f>'BIFUbC-electricity'!T21</f>
        <v>57255751015232.406</v>
      </c>
      <c r="U30" s="16">
        <f>'BIFUbC-electricity'!U21</f>
        <v>57584218481356.789</v>
      </c>
      <c r="V30" s="16">
        <f>'BIFUbC-electricity'!V21</f>
        <v>57912685947481.164</v>
      </c>
      <c r="W30" s="16">
        <f>'BIFUbC-electricity'!W21</f>
        <v>57740958660058.688</v>
      </c>
      <c r="X30" s="16">
        <f>'BIFUbC-electricity'!X21</f>
        <v>57569231372636.25</v>
      </c>
      <c r="Y30" s="16">
        <f>'BIFUbC-electricity'!Y21</f>
        <v>57397504085213.805</v>
      </c>
      <c r="Z30" s="16">
        <f>'BIFUbC-electricity'!Z21</f>
        <v>57225776797791.359</v>
      </c>
      <c r="AA30" s="16">
        <f>'BIFUbC-electricity'!AA21</f>
        <v>57054049510368.922</v>
      </c>
      <c r="AB30" s="16">
        <f>'BIFUbC-electricity'!AB21</f>
        <v>56882322222946.477</v>
      </c>
      <c r="AC30" s="16">
        <f>'BIFUbC-electricity'!AC21</f>
        <v>56710594935524.031</v>
      </c>
      <c r="AD30" s="16">
        <f>'BIFUbC-electricity'!AD21</f>
        <v>56538867648101.594</v>
      </c>
      <c r="AE30" s="16">
        <f>'BIFUbC-electricity'!AE21</f>
        <v>56367140360679.148</v>
      </c>
      <c r="AF30" s="16">
        <f>'BIFUbC-electricity'!AF21</f>
        <v>56195413073256.75</v>
      </c>
      <c r="AG30" s="16"/>
    </row>
    <row r="31" spans="1:33">
      <c r="A31" t="s">
        <v>78</v>
      </c>
      <c r="B31" s="16">
        <f>'BIFUbC-electricity'!B22</f>
        <v>11271494454492.537</v>
      </c>
      <c r="C31" s="16">
        <f>'BIFUbC-electricity'!C22</f>
        <v>11672597686178.209</v>
      </c>
      <c r="D31" s="16">
        <f>'BIFUbC-electricity'!D22</f>
        <v>12073700917864.043</v>
      </c>
      <c r="E31" s="16">
        <f>'BIFUbC-electricity'!E22</f>
        <v>12474804149549.795</v>
      </c>
      <c r="F31" s="16">
        <f>'BIFUbC-electricity'!F22</f>
        <v>12691143438095.652</v>
      </c>
      <c r="G31" s="16">
        <f>'BIFUbC-electricity'!G22</f>
        <v>12907482726641.51</v>
      </c>
      <c r="H31" s="16">
        <f>'BIFUbC-electricity'!H22</f>
        <v>13123822015187.369</v>
      </c>
      <c r="I31" s="16">
        <f>'BIFUbC-electricity'!I22</f>
        <v>13340161303733.227</v>
      </c>
      <c r="J31" s="16">
        <f>'BIFUbC-electricity'!J22</f>
        <v>13556500592279.084</v>
      </c>
      <c r="K31" s="16">
        <f>'BIFUbC-electricity'!K22</f>
        <v>13772839880824.941</v>
      </c>
      <c r="L31" s="16">
        <f>'BIFUbC-electricity'!L22</f>
        <v>13989179169370.799</v>
      </c>
      <c r="M31" s="16">
        <f>'BIFUbC-electricity'!M22</f>
        <v>14073293346818.092</v>
      </c>
      <c r="N31" s="16">
        <f>'BIFUbC-electricity'!N22</f>
        <v>14157407524265.383</v>
      </c>
      <c r="O31" s="16">
        <f>'BIFUbC-electricity'!O22</f>
        <v>14241521701712.674</v>
      </c>
      <c r="P31" s="16">
        <f>'BIFUbC-electricity'!P22</f>
        <v>14325635879159.965</v>
      </c>
      <c r="Q31" s="16">
        <f>'BIFUbC-electricity'!Q22</f>
        <v>14409750056607.256</v>
      </c>
      <c r="R31" s="16">
        <f>'BIFUbC-electricity'!R22</f>
        <v>14493864234054.547</v>
      </c>
      <c r="S31" s="16">
        <f>'BIFUbC-electricity'!S22</f>
        <v>14577978411501.838</v>
      </c>
      <c r="T31" s="16">
        <f>'BIFUbC-electricity'!T22</f>
        <v>14662092588949.129</v>
      </c>
      <c r="U31" s="16">
        <f>'BIFUbC-electricity'!U22</f>
        <v>14746206766396.422</v>
      </c>
      <c r="V31" s="16">
        <f>'BIFUbC-electricity'!V22</f>
        <v>14830320943843.709</v>
      </c>
      <c r="W31" s="16">
        <f>'BIFUbC-electricity'!W22</f>
        <v>14786344900501.486</v>
      </c>
      <c r="X31" s="16">
        <f>'BIFUbC-electricity'!X22</f>
        <v>14742368857159.271</v>
      </c>
      <c r="Y31" s="16">
        <f>'BIFUbC-electricity'!Y22</f>
        <v>14698392813817.057</v>
      </c>
      <c r="Z31" s="16">
        <f>'BIFUbC-electricity'!Z22</f>
        <v>14654416770474.842</v>
      </c>
      <c r="AA31" s="16">
        <f>'BIFUbC-electricity'!AA22</f>
        <v>14610440727132.627</v>
      </c>
      <c r="AB31" s="16">
        <f>'BIFUbC-electricity'!AB22</f>
        <v>14566464683790.412</v>
      </c>
      <c r="AC31" s="16">
        <f>'BIFUbC-electricity'!AC22</f>
        <v>14522488640448.197</v>
      </c>
      <c r="AD31" s="16">
        <f>'BIFUbC-electricity'!AD22</f>
        <v>14478512597105.982</v>
      </c>
      <c r="AE31" s="16">
        <f>'BIFUbC-electricity'!AE22</f>
        <v>14434536553763.768</v>
      </c>
      <c r="AF31" s="16">
        <f>'BIFUbC-electricity'!AF22</f>
        <v>14390560510421.563</v>
      </c>
      <c r="AG31" s="16"/>
    </row>
    <row r="32" spans="1:33">
      <c r="A32" t="s">
        <v>80</v>
      </c>
      <c r="B32" s="16">
        <f>'BIFUbC-electricity'!B23</f>
        <v>4598305543405.79</v>
      </c>
      <c r="C32" s="16">
        <f>'BIFUbC-electricity'!C23</f>
        <v>4729280075690.458</v>
      </c>
      <c r="D32" s="16">
        <f>'BIFUbC-electricity'!D23</f>
        <v>4860254607975.125</v>
      </c>
      <c r="E32" s="16">
        <f>'BIFUbC-electricity'!E23</f>
        <v>4991229140259.793</v>
      </c>
      <c r="F32" s="16">
        <f>'BIFUbC-electricity'!F23</f>
        <v>5050502397564.543</v>
      </c>
      <c r="G32" s="16">
        <f>'BIFUbC-electricity'!G23</f>
        <v>5109775654869.2939</v>
      </c>
      <c r="H32" s="16">
        <f>'BIFUbC-electricity'!H23</f>
        <v>5169048912174.0439</v>
      </c>
      <c r="I32" s="16">
        <f>'BIFUbC-electricity'!I23</f>
        <v>5228322169478.7949</v>
      </c>
      <c r="J32" s="16">
        <f>'BIFUbC-electricity'!J23</f>
        <v>5287595426783.5459</v>
      </c>
      <c r="K32" s="16">
        <f>'BIFUbC-electricity'!K23</f>
        <v>5346868684088.2959</v>
      </c>
      <c r="L32" s="16">
        <f>'BIFUbC-electricity'!L23</f>
        <v>5406141941393.0469</v>
      </c>
      <c r="M32" s="16">
        <f>'BIFUbC-electricity'!M23</f>
        <v>5408597046725.1963</v>
      </c>
      <c r="N32" s="16">
        <f>'BIFUbC-electricity'!N23</f>
        <v>5411052152057.3457</v>
      </c>
      <c r="O32" s="16">
        <f>'BIFUbC-electricity'!O23</f>
        <v>5413507257389.4951</v>
      </c>
      <c r="P32" s="16">
        <f>'BIFUbC-electricity'!P23</f>
        <v>5415962362721.6445</v>
      </c>
      <c r="Q32" s="16">
        <f>'BIFUbC-electricity'!Q23</f>
        <v>5418417468053.7939</v>
      </c>
      <c r="R32" s="16">
        <f>'BIFUbC-electricity'!R23</f>
        <v>5420872573385.9434</v>
      </c>
      <c r="S32" s="16">
        <f>'BIFUbC-electricity'!S23</f>
        <v>5423327678718.0928</v>
      </c>
      <c r="T32" s="16">
        <f>'BIFUbC-electricity'!T23</f>
        <v>5425782784050.2422</v>
      </c>
      <c r="U32" s="16">
        <f>'BIFUbC-electricity'!U23</f>
        <v>5428237889382.3916</v>
      </c>
      <c r="V32" s="16">
        <f>'BIFUbC-electricity'!V23</f>
        <v>5430692994714.541</v>
      </c>
      <c r="W32" s="16">
        <f>'BIFUbC-electricity'!W23</f>
        <v>5394111925265.5146</v>
      </c>
      <c r="X32" s="16">
        <f>'BIFUbC-electricity'!X23</f>
        <v>5357530855816.4883</v>
      </c>
      <c r="Y32" s="16">
        <f>'BIFUbC-electricity'!Y23</f>
        <v>5320949786367.4609</v>
      </c>
      <c r="Z32" s="16">
        <f>'BIFUbC-electricity'!Z23</f>
        <v>5284368716918.4346</v>
      </c>
      <c r="AA32" s="16">
        <f>'BIFUbC-electricity'!AA23</f>
        <v>5247787647469.4082</v>
      </c>
      <c r="AB32" s="16">
        <f>'BIFUbC-electricity'!AB23</f>
        <v>5211206578020.3818</v>
      </c>
      <c r="AC32" s="16">
        <f>'BIFUbC-electricity'!AC23</f>
        <v>5174625508571.3555</v>
      </c>
      <c r="AD32" s="16">
        <f>'BIFUbC-electricity'!AD23</f>
        <v>5138044439122.3291</v>
      </c>
      <c r="AE32" s="16">
        <f>'BIFUbC-electricity'!AE23</f>
        <v>5101463369673.3018</v>
      </c>
      <c r="AF32" s="16">
        <f>'BIFUbC-electricity'!AF23</f>
        <v>5064882300224.2754</v>
      </c>
      <c r="AG32" s="16"/>
    </row>
    <row r="33" spans="1:33">
      <c r="A33" t="s">
        <v>82</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85</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89</v>
      </c>
      <c r="B35" s="16">
        <f>'BIFUbC-electricity'!B26</f>
        <v>10230258816.090973</v>
      </c>
      <c r="C35" s="16">
        <f>'BIFUbC-electricity'!C26</f>
        <v>10521649492.70882</v>
      </c>
      <c r="D35" s="16">
        <f>'BIFUbC-electricity'!D26</f>
        <v>10813040169.326668</v>
      </c>
      <c r="E35" s="16">
        <f>'BIFUbC-electricity'!E26</f>
        <v>11104430845.944515</v>
      </c>
      <c r="F35" s="16">
        <f>'BIFUbC-electricity'!F26</f>
        <v>11236301326.79369</v>
      </c>
      <c r="G35" s="16">
        <f>'BIFUbC-electricity'!G26</f>
        <v>11368171807.642866</v>
      </c>
      <c r="H35" s="16">
        <f>'BIFUbC-electricity'!H26</f>
        <v>11500042288.492043</v>
      </c>
      <c r="I35" s="16">
        <f>'BIFUbC-electricity'!I26</f>
        <v>11631912769.341219</v>
      </c>
      <c r="J35" s="16">
        <f>'BIFUbC-electricity'!J26</f>
        <v>11763783250.190393</v>
      </c>
      <c r="K35" s="16">
        <f>'BIFUbC-electricity'!K26</f>
        <v>11895653731.03957</v>
      </c>
      <c r="L35" s="16">
        <f>'BIFUbC-electricity'!L26</f>
        <v>12027524211.888746</v>
      </c>
      <c r="M35" s="16">
        <f>'BIFUbC-electricity'!M26</f>
        <v>12032986302.811493</v>
      </c>
      <c r="N35" s="16">
        <f>'BIFUbC-electricity'!N26</f>
        <v>12038448393.73424</v>
      </c>
      <c r="O35" s="16">
        <f>'BIFUbC-electricity'!O26</f>
        <v>12043910484.656986</v>
      </c>
      <c r="P35" s="16">
        <f>'BIFUbC-electricity'!P26</f>
        <v>12049372575.579735</v>
      </c>
      <c r="Q35" s="16">
        <f>'BIFUbC-electricity'!Q26</f>
        <v>12054834666.502481</v>
      </c>
      <c r="R35" s="16">
        <f>'BIFUbC-electricity'!R26</f>
        <v>12060296757.425228</v>
      </c>
      <c r="S35" s="16">
        <f>'BIFUbC-electricity'!S26</f>
        <v>12065758848.347975</v>
      </c>
      <c r="T35" s="16">
        <f>'BIFUbC-electricity'!T26</f>
        <v>12071220939.270721</v>
      </c>
      <c r="U35" s="16">
        <f>'BIFUbC-electricity'!U26</f>
        <v>12076683030.193468</v>
      </c>
      <c r="V35" s="16">
        <f>'BIFUbC-electricity'!V26</f>
        <v>12082145121.116215</v>
      </c>
      <c r="W35" s="16">
        <f>'BIFUbC-electricity'!W26</f>
        <v>12000759966.367287</v>
      </c>
      <c r="X35" s="16">
        <f>'BIFUbC-electricity'!X26</f>
        <v>11919374811.618357</v>
      </c>
      <c r="Y35" s="16">
        <f>'BIFUbC-electricity'!Y26</f>
        <v>11837989656.869429</v>
      </c>
      <c r="Z35" s="16">
        <f>'BIFUbC-electricity'!Z26</f>
        <v>11756604502.120499</v>
      </c>
      <c r="AA35" s="16">
        <f>'BIFUbC-electricity'!AA26</f>
        <v>11675219347.371569</v>
      </c>
      <c r="AB35" s="16">
        <f>'BIFUbC-electricity'!AB26</f>
        <v>11593834192.622641</v>
      </c>
      <c r="AC35" s="16">
        <f>'BIFUbC-electricity'!AC26</f>
        <v>11512449037.873711</v>
      </c>
      <c r="AD35" s="16">
        <f>'BIFUbC-electricity'!AD26</f>
        <v>11431063883.124781</v>
      </c>
      <c r="AE35" s="16">
        <f>'BIFUbC-electricity'!AE26</f>
        <v>11349678728.375853</v>
      </c>
      <c r="AF35" s="16">
        <f>'BIFUbC-electricity'!AF26</f>
        <v>11268293573.626923</v>
      </c>
      <c r="AG35" s="16"/>
    </row>
    <row r="37" spans="1:33">
      <c r="A37" s="1" t="s">
        <v>1024</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25</v>
      </c>
      <c r="B39" s="16">
        <f>B$5*$B11/SUM($B$11:$B$35)</f>
        <v>6133470752043.8545</v>
      </c>
      <c r="C39" s="16">
        <f>IFERROR($B39*C11/$B11,0)</f>
        <v>6308171727315.6367</v>
      </c>
      <c r="D39" s="16">
        <f t="shared" ref="D39:AF48" si="1">IFERROR($B39*D11/$B11,0)</f>
        <v>6482872702587.418</v>
      </c>
      <c r="E39" s="16">
        <f t="shared" si="1"/>
        <v>6657573677859.2002</v>
      </c>
      <c r="F39" s="16">
        <f t="shared" si="1"/>
        <v>6736635581559.4463</v>
      </c>
      <c r="G39" s="16">
        <f t="shared" si="1"/>
        <v>6815697485259.6924</v>
      </c>
      <c r="H39" s="16">
        <f t="shared" si="1"/>
        <v>6894759388959.9395</v>
      </c>
      <c r="I39" s="16">
        <f t="shared" si="1"/>
        <v>6973821292660.1846</v>
      </c>
      <c r="J39" s="16">
        <f t="shared" si="1"/>
        <v>7052883196360.4316</v>
      </c>
      <c r="K39" s="16">
        <f t="shared" si="1"/>
        <v>7131945100060.6768</v>
      </c>
      <c r="L39" s="16">
        <f t="shared" si="1"/>
        <v>7211007003760.9238</v>
      </c>
      <c r="M39" s="16">
        <f t="shared" si="1"/>
        <v>7214281757168.627</v>
      </c>
      <c r="N39" s="16">
        <f t="shared" si="1"/>
        <v>7217556510576.3301</v>
      </c>
      <c r="O39" s="16">
        <f t="shared" si="1"/>
        <v>7220831263984.0313</v>
      </c>
      <c r="P39" s="16">
        <f t="shared" si="1"/>
        <v>7224106017391.7344</v>
      </c>
      <c r="Q39" s="16">
        <f t="shared" si="1"/>
        <v>7227380770799.4365</v>
      </c>
      <c r="R39" s="16">
        <f t="shared" si="1"/>
        <v>7230655524207.1387</v>
      </c>
      <c r="S39" s="16">
        <f t="shared" si="1"/>
        <v>7233930277614.8408</v>
      </c>
      <c r="T39" s="16">
        <f t="shared" si="1"/>
        <v>7237205031022.5439</v>
      </c>
      <c r="U39" s="16">
        <f t="shared" si="1"/>
        <v>7240479784430.2461</v>
      </c>
      <c r="V39" s="16">
        <f t="shared" si="1"/>
        <v>7243754537837.9492</v>
      </c>
      <c r="W39" s="16">
        <f t="shared" si="1"/>
        <v>7194960712063.1807</v>
      </c>
      <c r="X39" s="16">
        <f t="shared" si="1"/>
        <v>7146166886288.4141</v>
      </c>
      <c r="Y39" s="16">
        <f t="shared" si="1"/>
        <v>7097373060513.6465</v>
      </c>
      <c r="Z39" s="16">
        <f t="shared" si="1"/>
        <v>7048579234738.8789</v>
      </c>
      <c r="AA39" s="16">
        <f t="shared" si="1"/>
        <v>6999785408964.1123</v>
      </c>
      <c r="AB39" s="16">
        <f t="shared" si="1"/>
        <v>6950991583189.3447</v>
      </c>
      <c r="AC39" s="16">
        <f t="shared" si="1"/>
        <v>6902197757414.5771</v>
      </c>
      <c r="AD39" s="16">
        <f t="shared" si="1"/>
        <v>6853403931639.8105</v>
      </c>
      <c r="AE39" s="16">
        <f t="shared" si="1"/>
        <v>6804610105865.042</v>
      </c>
      <c r="AF39" s="16">
        <f t="shared" si="1"/>
        <v>6755816280090.2744</v>
      </c>
      <c r="AG39" s="16"/>
    </row>
    <row r="40" spans="1:33">
      <c r="A40" t="s">
        <v>28</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32</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34</v>
      </c>
      <c r="B42" s="16">
        <f t="shared" si="2"/>
        <v>529006345143.79504</v>
      </c>
      <c r="C42" s="16">
        <f t="shared" si="3"/>
        <v>544074147397.64703</v>
      </c>
      <c r="D42" s="16">
        <f t="shared" si="1"/>
        <v>559141949651.49902</v>
      </c>
      <c r="E42" s="16">
        <f t="shared" si="1"/>
        <v>574209751905.35107</v>
      </c>
      <c r="F42" s="16">
        <f t="shared" si="1"/>
        <v>581028770110.1156</v>
      </c>
      <c r="G42" s="16">
        <f t="shared" si="1"/>
        <v>587847788314.88013</v>
      </c>
      <c r="H42" s="16">
        <f t="shared" si="1"/>
        <v>594666806519.64465</v>
      </c>
      <c r="I42" s="16">
        <f t="shared" si="1"/>
        <v>601485824724.40918</v>
      </c>
      <c r="J42" s="16">
        <f t="shared" si="1"/>
        <v>608304842929.17383</v>
      </c>
      <c r="K42" s="16">
        <f t="shared" si="1"/>
        <v>615123861133.93835</v>
      </c>
      <c r="L42" s="16">
        <f t="shared" si="1"/>
        <v>621942879338.70288</v>
      </c>
      <c r="M42" s="16">
        <f t="shared" si="1"/>
        <v>622225323879.72864</v>
      </c>
      <c r="N42" s="16">
        <f t="shared" si="1"/>
        <v>622507768420.75439</v>
      </c>
      <c r="O42" s="16">
        <f t="shared" si="1"/>
        <v>622790212961.78015</v>
      </c>
      <c r="P42" s="16">
        <f t="shared" si="1"/>
        <v>623072657502.80591</v>
      </c>
      <c r="Q42" s="16">
        <f t="shared" si="1"/>
        <v>623355102043.83154</v>
      </c>
      <c r="R42" s="16">
        <f t="shared" si="1"/>
        <v>623637546584.85742</v>
      </c>
      <c r="S42" s="16">
        <f t="shared" si="1"/>
        <v>623919991125.88318</v>
      </c>
      <c r="T42" s="16">
        <f t="shared" si="1"/>
        <v>624202435666.90881</v>
      </c>
      <c r="U42" s="16">
        <f t="shared" si="1"/>
        <v>624484880207.93469</v>
      </c>
      <c r="V42" s="16">
        <f t="shared" si="1"/>
        <v>624767324748.96045</v>
      </c>
      <c r="W42" s="16">
        <f t="shared" si="1"/>
        <v>620558901087.67676</v>
      </c>
      <c r="X42" s="16">
        <f t="shared" si="1"/>
        <v>616350477426.39307</v>
      </c>
      <c r="Y42" s="16">
        <f t="shared" si="1"/>
        <v>612142053765.10938</v>
      </c>
      <c r="Z42" s="16">
        <f t="shared" si="1"/>
        <v>607933630103.82568</v>
      </c>
      <c r="AA42" s="16">
        <f t="shared" si="1"/>
        <v>603725206442.54199</v>
      </c>
      <c r="AB42" s="16">
        <f t="shared" si="1"/>
        <v>599516782781.2583</v>
      </c>
      <c r="AC42" s="16">
        <f t="shared" si="1"/>
        <v>595308359119.97461</v>
      </c>
      <c r="AD42" s="16">
        <f t="shared" si="1"/>
        <v>591099935458.69092</v>
      </c>
      <c r="AE42" s="16">
        <f t="shared" si="1"/>
        <v>586891511797.40723</v>
      </c>
      <c r="AF42" s="16">
        <f t="shared" si="1"/>
        <v>582683088136.12354</v>
      </c>
      <c r="AG42" s="16"/>
    </row>
    <row r="43" spans="1:33">
      <c r="A43" t="s">
        <v>36</v>
      </c>
      <c r="B43" s="16">
        <f t="shared" si="2"/>
        <v>4859228840699.4434</v>
      </c>
      <c r="C43" s="16">
        <f t="shared" si="3"/>
        <v>4997635307748.4756</v>
      </c>
      <c r="D43" s="16">
        <f t="shared" si="1"/>
        <v>5136041774797.5078</v>
      </c>
      <c r="E43" s="16">
        <f t="shared" si="1"/>
        <v>5274448241846.541</v>
      </c>
      <c r="F43" s="16">
        <f t="shared" si="1"/>
        <v>5337084862805.8594</v>
      </c>
      <c r="G43" s="16">
        <f t="shared" si="1"/>
        <v>5399721483765.1787</v>
      </c>
      <c r="H43" s="16">
        <f t="shared" si="1"/>
        <v>5462358104724.4971</v>
      </c>
      <c r="I43" s="16">
        <f t="shared" si="1"/>
        <v>5524994725683.8154</v>
      </c>
      <c r="J43" s="16">
        <f t="shared" si="1"/>
        <v>5587631346643.1338</v>
      </c>
      <c r="K43" s="16">
        <f t="shared" si="1"/>
        <v>5650267967602.4531</v>
      </c>
      <c r="L43" s="16">
        <f t="shared" si="1"/>
        <v>5712904588561.7715</v>
      </c>
      <c r="M43" s="16">
        <f t="shared" si="1"/>
        <v>5715499004814.5254</v>
      </c>
      <c r="N43" s="16">
        <f t="shared" si="1"/>
        <v>5718093421067.2764</v>
      </c>
      <c r="O43" s="16">
        <f t="shared" si="1"/>
        <v>5720687837320.0313</v>
      </c>
      <c r="P43" s="16">
        <f t="shared" si="1"/>
        <v>5723282253572.7842</v>
      </c>
      <c r="Q43" s="16">
        <f t="shared" si="1"/>
        <v>5725876669825.5361</v>
      </c>
      <c r="R43" s="16">
        <f t="shared" si="1"/>
        <v>5728471086078.2891</v>
      </c>
      <c r="S43" s="16">
        <f t="shared" si="1"/>
        <v>5731065502331.042</v>
      </c>
      <c r="T43" s="16">
        <f t="shared" si="1"/>
        <v>5733659918583.7949</v>
      </c>
      <c r="U43" s="16">
        <f t="shared" si="1"/>
        <v>5736254334836.5479</v>
      </c>
      <c r="V43" s="16">
        <f t="shared" si="1"/>
        <v>5738848751089.3008</v>
      </c>
      <c r="W43" s="16">
        <f t="shared" si="1"/>
        <v>5700191948923.2822</v>
      </c>
      <c r="X43" s="16">
        <f t="shared" si="1"/>
        <v>5661535146757.2656</v>
      </c>
      <c r="Y43" s="16">
        <f t="shared" si="1"/>
        <v>5622878344591.2471</v>
      </c>
      <c r="Z43" s="16">
        <f t="shared" si="1"/>
        <v>5584221542425.2305</v>
      </c>
      <c r="AA43" s="16">
        <f t="shared" si="1"/>
        <v>5545564740259.2139</v>
      </c>
      <c r="AB43" s="16">
        <f t="shared" si="1"/>
        <v>5506907938093.1953</v>
      </c>
      <c r="AC43" s="16">
        <f t="shared" si="1"/>
        <v>5468251135927.1787</v>
      </c>
      <c r="AD43" s="16">
        <f t="shared" si="1"/>
        <v>5429594333761.1602</v>
      </c>
      <c r="AE43" s="16">
        <f t="shared" si="1"/>
        <v>5390937531595.1436</v>
      </c>
      <c r="AF43" s="16">
        <f t="shared" si="1"/>
        <v>5352280729429.126</v>
      </c>
      <c r="AG43" s="16"/>
    </row>
    <row r="44" spans="1:33">
      <c r="A44" t="s">
        <v>38</v>
      </c>
      <c r="B44" s="16">
        <f t="shared" si="2"/>
        <v>3661430645969.1938</v>
      </c>
      <c r="C44" s="16">
        <f t="shared" si="3"/>
        <v>3765719967725.1763</v>
      </c>
      <c r="D44" s="16">
        <f t="shared" si="1"/>
        <v>3870009289481.1587</v>
      </c>
      <c r="E44" s="16">
        <f t="shared" si="1"/>
        <v>3974298611237.1406</v>
      </c>
      <c r="F44" s="16">
        <f t="shared" si="1"/>
        <v>4021495327230.3301</v>
      </c>
      <c r="G44" s="16">
        <f t="shared" si="1"/>
        <v>4068692043223.519</v>
      </c>
      <c r="H44" s="16">
        <f t="shared" si="1"/>
        <v>4115888759216.709</v>
      </c>
      <c r="I44" s="16">
        <f t="shared" si="1"/>
        <v>4163085475209.8979</v>
      </c>
      <c r="J44" s="16">
        <f t="shared" si="1"/>
        <v>4210282191203.0869</v>
      </c>
      <c r="K44" s="16">
        <f t="shared" si="1"/>
        <v>4257478907196.2759</v>
      </c>
      <c r="L44" s="16">
        <f t="shared" si="1"/>
        <v>4304675623189.4658</v>
      </c>
      <c r="M44" s="16">
        <f t="shared" si="1"/>
        <v>4306630516751.314</v>
      </c>
      <c r="N44" s="16">
        <f t="shared" si="1"/>
        <v>4308585410313.1616</v>
      </c>
      <c r="O44" s="16">
        <f t="shared" si="1"/>
        <v>4310540303875.0098</v>
      </c>
      <c r="P44" s="16">
        <f t="shared" si="1"/>
        <v>4312495197436.8579</v>
      </c>
      <c r="Q44" s="16">
        <f t="shared" si="1"/>
        <v>4314450090998.7065</v>
      </c>
      <c r="R44" s="16">
        <f t="shared" si="1"/>
        <v>4316404984560.5547</v>
      </c>
      <c r="S44" s="16">
        <f t="shared" si="1"/>
        <v>4318359878122.4019</v>
      </c>
      <c r="T44" s="16">
        <f t="shared" si="1"/>
        <v>4320314771684.2505</v>
      </c>
      <c r="U44" s="16">
        <f t="shared" si="1"/>
        <v>4322269665246.0986</v>
      </c>
      <c r="V44" s="16">
        <f t="shared" si="1"/>
        <v>4324224558807.9468</v>
      </c>
      <c r="W44" s="16">
        <f t="shared" si="1"/>
        <v>4295096644736.4102</v>
      </c>
      <c r="X44" s="16">
        <f t="shared" si="1"/>
        <v>4265968730664.874</v>
      </c>
      <c r="Y44" s="16">
        <f t="shared" si="1"/>
        <v>4236840816593.3374</v>
      </c>
      <c r="Z44" s="16">
        <f t="shared" si="1"/>
        <v>4207712902521.8008</v>
      </c>
      <c r="AA44" s="16">
        <f t="shared" si="1"/>
        <v>4178584988450.2646</v>
      </c>
      <c r="AB44" s="16">
        <f t="shared" si="1"/>
        <v>4149457074378.729</v>
      </c>
      <c r="AC44" s="16">
        <f t="shared" si="1"/>
        <v>4120329160307.1919</v>
      </c>
      <c r="AD44" s="16">
        <f t="shared" si="1"/>
        <v>4091201246235.6563</v>
      </c>
      <c r="AE44" s="16">
        <f t="shared" si="1"/>
        <v>4062073332164.1196</v>
      </c>
      <c r="AF44" s="16">
        <f t="shared" si="1"/>
        <v>4032945418092.5825</v>
      </c>
      <c r="AG44" s="16"/>
    </row>
    <row r="45" spans="1:33">
      <c r="A45" t="s">
        <v>40</v>
      </c>
      <c r="B45" s="16">
        <f t="shared" si="2"/>
        <v>614793274264.11743</v>
      </c>
      <c r="C45" s="16">
        <f t="shared" si="3"/>
        <v>632304564192.203</v>
      </c>
      <c r="D45" s="16">
        <f t="shared" si="1"/>
        <v>649815854120.2887</v>
      </c>
      <c r="E45" s="16">
        <f t="shared" si="1"/>
        <v>667327144048.37427</v>
      </c>
      <c r="F45" s="16">
        <f t="shared" si="1"/>
        <v>675251976269.87476</v>
      </c>
      <c r="G45" s="16">
        <f t="shared" si="1"/>
        <v>683176808491.37549</v>
      </c>
      <c r="H45" s="16">
        <f t="shared" si="1"/>
        <v>691101640712.87598</v>
      </c>
      <c r="I45" s="16">
        <f t="shared" si="1"/>
        <v>699026472934.37671</v>
      </c>
      <c r="J45" s="16">
        <f t="shared" si="1"/>
        <v>706951305155.87732</v>
      </c>
      <c r="K45" s="16">
        <f t="shared" si="1"/>
        <v>714876137377.37793</v>
      </c>
      <c r="L45" s="16">
        <f t="shared" si="1"/>
        <v>722800969598.87854</v>
      </c>
      <c r="M45" s="16">
        <f t="shared" si="1"/>
        <v>723129217087.34314</v>
      </c>
      <c r="N45" s="16">
        <f t="shared" si="1"/>
        <v>723457464575.80762</v>
      </c>
      <c r="O45" s="16">
        <f t="shared" si="1"/>
        <v>723785712064.27209</v>
      </c>
      <c r="P45" s="16">
        <f t="shared" si="1"/>
        <v>724113959552.73657</v>
      </c>
      <c r="Q45" s="16">
        <f t="shared" si="1"/>
        <v>724442207041.20117</v>
      </c>
      <c r="R45" s="16">
        <f t="shared" si="1"/>
        <v>724770454529.66565</v>
      </c>
      <c r="S45" s="16">
        <f t="shared" si="1"/>
        <v>725098702018.13025</v>
      </c>
      <c r="T45" s="16">
        <f t="shared" si="1"/>
        <v>725426949506.59473</v>
      </c>
      <c r="U45" s="16">
        <f t="shared" si="1"/>
        <v>725755196995.0592</v>
      </c>
      <c r="V45" s="16">
        <f t="shared" si="1"/>
        <v>726083444483.52368</v>
      </c>
      <c r="W45" s="16">
        <f t="shared" si="1"/>
        <v>721192556905.40234</v>
      </c>
      <c r="X45" s="16">
        <f t="shared" si="1"/>
        <v>716301669327.28101</v>
      </c>
      <c r="Y45" s="16">
        <f t="shared" si="1"/>
        <v>711410781749.15967</v>
      </c>
      <c r="Z45" s="16">
        <f t="shared" si="1"/>
        <v>706519894171.03821</v>
      </c>
      <c r="AA45" s="16">
        <f t="shared" si="1"/>
        <v>701629006592.91687</v>
      </c>
      <c r="AB45" s="16">
        <f t="shared" si="1"/>
        <v>696738119014.79541</v>
      </c>
      <c r="AC45" s="16">
        <f t="shared" si="1"/>
        <v>691847231436.67407</v>
      </c>
      <c r="AD45" s="16">
        <f t="shared" si="1"/>
        <v>686956343858.55261</v>
      </c>
      <c r="AE45" s="16">
        <f t="shared" si="1"/>
        <v>682065456280.43127</v>
      </c>
      <c r="AF45" s="16">
        <f t="shared" si="1"/>
        <v>677174568702.30981</v>
      </c>
      <c r="AG45" s="16"/>
    </row>
    <row r="46" spans="1:33">
      <c r="A46" t="s">
        <v>42</v>
      </c>
      <c r="B46" s="16">
        <f t="shared" si="2"/>
        <v>3509890910354.2461</v>
      </c>
      <c r="C46" s="16">
        <f t="shared" si="3"/>
        <v>3609863893013.7163</v>
      </c>
      <c r="D46" s="16">
        <f t="shared" si="1"/>
        <v>3709836875673.1865</v>
      </c>
      <c r="E46" s="16">
        <f t="shared" si="1"/>
        <v>3809809858332.6567</v>
      </c>
      <c r="F46" s="16">
        <f t="shared" si="1"/>
        <v>3855053190920.5444</v>
      </c>
      <c r="G46" s="16">
        <f t="shared" si="1"/>
        <v>3900296523508.4307</v>
      </c>
      <c r="H46" s="16">
        <f t="shared" si="1"/>
        <v>3945539856096.3179</v>
      </c>
      <c r="I46" s="16">
        <f t="shared" si="1"/>
        <v>3990783188684.2051</v>
      </c>
      <c r="J46" s="16">
        <f t="shared" si="1"/>
        <v>4036026521272.0913</v>
      </c>
      <c r="K46" s="16">
        <f t="shared" si="1"/>
        <v>4081269853859.979</v>
      </c>
      <c r="L46" s="16">
        <f t="shared" si="1"/>
        <v>4126513186447.8652</v>
      </c>
      <c r="M46" s="16">
        <f t="shared" si="1"/>
        <v>4128387170637.896</v>
      </c>
      <c r="N46" s="16">
        <f t="shared" si="1"/>
        <v>4130261154827.9277</v>
      </c>
      <c r="O46" s="16">
        <f t="shared" si="1"/>
        <v>4132135139017.9575</v>
      </c>
      <c r="P46" s="16">
        <f t="shared" si="1"/>
        <v>4134009123207.9888</v>
      </c>
      <c r="Q46" s="16">
        <f t="shared" si="1"/>
        <v>4135883107398.0195</v>
      </c>
      <c r="R46" s="16">
        <f t="shared" si="1"/>
        <v>4137757091588.0508</v>
      </c>
      <c r="S46" s="16">
        <f t="shared" si="1"/>
        <v>4139631075778.0811</v>
      </c>
      <c r="T46" s="16">
        <f t="shared" si="1"/>
        <v>4141505059968.1118</v>
      </c>
      <c r="U46" s="16">
        <f t="shared" si="1"/>
        <v>4143379044158.1431</v>
      </c>
      <c r="V46" s="16">
        <f t="shared" si="1"/>
        <v>4145253028348.1743</v>
      </c>
      <c r="W46" s="16">
        <f t="shared" si="1"/>
        <v>4117330663916.7144</v>
      </c>
      <c r="X46" s="16">
        <f t="shared" si="1"/>
        <v>4089408299485.2554</v>
      </c>
      <c r="Y46" s="16">
        <f t="shared" si="1"/>
        <v>4061485935053.7959</v>
      </c>
      <c r="Z46" s="16">
        <f t="shared" si="1"/>
        <v>4033563570622.3369</v>
      </c>
      <c r="AA46" s="16">
        <f t="shared" si="1"/>
        <v>4005641206190.877</v>
      </c>
      <c r="AB46" s="16">
        <f t="shared" si="1"/>
        <v>3977718841759.4189</v>
      </c>
      <c r="AC46" s="16">
        <f t="shared" si="1"/>
        <v>3949796477327.96</v>
      </c>
      <c r="AD46" s="16">
        <f t="shared" si="1"/>
        <v>3921874112896.5</v>
      </c>
      <c r="AE46" s="16">
        <f t="shared" si="1"/>
        <v>3893951748465.041</v>
      </c>
      <c r="AF46" s="16">
        <f t="shared" si="1"/>
        <v>3866029384033.582</v>
      </c>
      <c r="AG46" s="16"/>
    </row>
    <row r="47" spans="1:33">
      <c r="A47" t="s">
        <v>1022</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1023</v>
      </c>
      <c r="B48" s="16">
        <f t="shared" si="2"/>
        <v>31351434446540.574</v>
      </c>
      <c r="C48" s="16">
        <f t="shared" si="3"/>
        <v>32187887344832.043</v>
      </c>
      <c r="D48" s="16">
        <f t="shared" si="1"/>
        <v>33024340243123.52</v>
      </c>
      <c r="E48" s="16">
        <f t="shared" si="1"/>
        <v>33860793141415.18</v>
      </c>
      <c r="F48" s="16">
        <f t="shared" si="1"/>
        <v>35187035630372.422</v>
      </c>
      <c r="G48" s="16">
        <f t="shared" si="1"/>
        <v>36513278119329.672</v>
      </c>
      <c r="H48" s="16">
        <f t="shared" si="1"/>
        <v>37839520608286.914</v>
      </c>
      <c r="I48" s="16">
        <f t="shared" si="1"/>
        <v>39165763097244.164</v>
      </c>
      <c r="J48" s="16">
        <f t="shared" si="1"/>
        <v>40492005586201.406</v>
      </c>
      <c r="K48" s="16">
        <f t="shared" si="1"/>
        <v>41818248075158.648</v>
      </c>
      <c r="L48" s="16">
        <f t="shared" si="1"/>
        <v>43144490564115.898</v>
      </c>
      <c r="M48" s="16">
        <f t="shared" ref="D48:AF57" si="4">IFERROR($B48*M20/$B20,0)</f>
        <v>44126689528932.211</v>
      </c>
      <c r="N48" s="16">
        <f t="shared" si="4"/>
        <v>45108888493748.523</v>
      </c>
      <c r="O48" s="16">
        <f t="shared" si="4"/>
        <v>46091087458564.836</v>
      </c>
      <c r="P48" s="16">
        <f t="shared" si="4"/>
        <v>47073286423381.141</v>
      </c>
      <c r="Q48" s="16">
        <f t="shared" si="4"/>
        <v>48055485388197.453</v>
      </c>
      <c r="R48" s="16">
        <f t="shared" si="4"/>
        <v>49037684353013.766</v>
      </c>
      <c r="S48" s="16">
        <f t="shared" si="4"/>
        <v>50019883317830.078</v>
      </c>
      <c r="T48" s="16">
        <f t="shared" si="4"/>
        <v>51002082282646.383</v>
      </c>
      <c r="U48" s="16">
        <f t="shared" si="4"/>
        <v>51984281247462.703</v>
      </c>
      <c r="V48" s="16">
        <f t="shared" si="4"/>
        <v>52966480212279.008</v>
      </c>
      <c r="W48" s="16">
        <f t="shared" si="4"/>
        <v>53671421811651.68</v>
      </c>
      <c r="X48" s="16">
        <f t="shared" si="4"/>
        <v>54376363411024.352</v>
      </c>
      <c r="Y48" s="16">
        <f t="shared" si="4"/>
        <v>55081305010397.016</v>
      </c>
      <c r="Z48" s="16">
        <f t="shared" si="4"/>
        <v>55786246609769.688</v>
      </c>
      <c r="AA48" s="16">
        <f t="shared" si="4"/>
        <v>56491188209142.352</v>
      </c>
      <c r="AB48" s="16">
        <f t="shared" si="4"/>
        <v>57196129808515.023</v>
      </c>
      <c r="AC48" s="16">
        <f t="shared" si="4"/>
        <v>57901071407887.695</v>
      </c>
      <c r="AD48" s="16">
        <f t="shared" si="4"/>
        <v>58606013007260.352</v>
      </c>
      <c r="AE48" s="16">
        <f t="shared" si="4"/>
        <v>59310954606633.023</v>
      </c>
      <c r="AF48" s="16">
        <f t="shared" si="4"/>
        <v>60015896206005.695</v>
      </c>
      <c r="AG48" s="16"/>
    </row>
    <row r="49" spans="1:33">
      <c r="A49" t="s">
        <v>51</v>
      </c>
      <c r="B49" s="16">
        <f t="shared" si="2"/>
        <v>25434758902450.234</v>
      </c>
      <c r="C49" s="16">
        <f t="shared" si="3"/>
        <v>26113355533732.824</v>
      </c>
      <c r="D49" s="16">
        <f t="shared" si="4"/>
        <v>26791952165015.41</v>
      </c>
      <c r="E49" s="16">
        <f t="shared" si="4"/>
        <v>27470548796298.148</v>
      </c>
      <c r="F49" s="16">
        <f t="shared" si="4"/>
        <v>28546501413724.09</v>
      </c>
      <c r="G49" s="16">
        <f t="shared" si="4"/>
        <v>29622454031150.023</v>
      </c>
      <c r="H49" s="16">
        <f t="shared" si="4"/>
        <v>30698406648575.965</v>
      </c>
      <c r="I49" s="16">
        <f t="shared" si="4"/>
        <v>31774359266001.902</v>
      </c>
      <c r="J49" s="16">
        <f t="shared" si="4"/>
        <v>32850311883427.844</v>
      </c>
      <c r="K49" s="16">
        <f t="shared" si="4"/>
        <v>33926264500853.777</v>
      </c>
      <c r="L49" s="16">
        <f t="shared" si="4"/>
        <v>35002217118279.719</v>
      </c>
      <c r="M49" s="16">
        <f t="shared" si="4"/>
        <v>35799054465768.164</v>
      </c>
      <c r="N49" s="16">
        <f t="shared" si="4"/>
        <v>36595891813256.602</v>
      </c>
      <c r="O49" s="16">
        <f t="shared" si="4"/>
        <v>37392729160745.039</v>
      </c>
      <c r="P49" s="16">
        <f t="shared" si="4"/>
        <v>38189566508233.477</v>
      </c>
      <c r="Q49" s="16">
        <f t="shared" si="4"/>
        <v>38986403855721.914</v>
      </c>
      <c r="R49" s="16">
        <f t="shared" si="4"/>
        <v>39783241203210.359</v>
      </c>
      <c r="S49" s="16">
        <f t="shared" si="4"/>
        <v>40580078550698.797</v>
      </c>
      <c r="T49" s="16">
        <f t="shared" si="4"/>
        <v>41376915898187.234</v>
      </c>
      <c r="U49" s="16">
        <f t="shared" si="4"/>
        <v>42173753245675.672</v>
      </c>
      <c r="V49" s="16">
        <f t="shared" si="4"/>
        <v>42970590593164.117</v>
      </c>
      <c r="W49" s="16">
        <f t="shared" si="4"/>
        <v>43542494875595.758</v>
      </c>
      <c r="X49" s="16">
        <f t="shared" si="4"/>
        <v>44114399158027.398</v>
      </c>
      <c r="Y49" s="16">
        <f t="shared" si="4"/>
        <v>44686303440459.039</v>
      </c>
      <c r="Z49" s="16">
        <f t="shared" si="4"/>
        <v>45258207722890.688</v>
      </c>
      <c r="AA49" s="16">
        <f t="shared" si="4"/>
        <v>45830112005322.32</v>
      </c>
      <c r="AB49" s="16">
        <f t="shared" si="4"/>
        <v>46402016287753.969</v>
      </c>
      <c r="AC49" s="16">
        <f t="shared" si="4"/>
        <v>46973920570185.617</v>
      </c>
      <c r="AD49" s="16">
        <f t="shared" si="4"/>
        <v>47545824852617.25</v>
      </c>
      <c r="AE49" s="16">
        <f t="shared" si="4"/>
        <v>48117729135048.891</v>
      </c>
      <c r="AF49" s="16">
        <f t="shared" si="4"/>
        <v>48689633417480.547</v>
      </c>
      <c r="AG49" s="16"/>
    </row>
    <row r="50" spans="1:33">
      <c r="A50" t="s">
        <v>53</v>
      </c>
      <c r="B50" s="16">
        <f t="shared" si="2"/>
        <v>1180480471949.8601</v>
      </c>
      <c r="C50" s="16">
        <f t="shared" si="3"/>
        <v>1214104352795.825</v>
      </c>
      <c r="D50" s="16">
        <f t="shared" si="4"/>
        <v>1247728233641.79</v>
      </c>
      <c r="E50" s="16">
        <f t="shared" si="4"/>
        <v>1281352114487.7549</v>
      </c>
      <c r="F50" s="16">
        <f t="shared" si="4"/>
        <v>1296568789868.8547</v>
      </c>
      <c r="G50" s="16">
        <f t="shared" si="4"/>
        <v>1311785465249.9543</v>
      </c>
      <c r="H50" s="16">
        <f t="shared" si="4"/>
        <v>1327002140631.0542</v>
      </c>
      <c r="I50" s="16">
        <f t="shared" si="4"/>
        <v>1342218816012.1538</v>
      </c>
      <c r="J50" s="16">
        <f t="shared" si="4"/>
        <v>1357435491393.2539</v>
      </c>
      <c r="K50" s="16">
        <f t="shared" si="4"/>
        <v>1372652166774.3535</v>
      </c>
      <c r="L50" s="16">
        <f t="shared" si="4"/>
        <v>1387868842155.4531</v>
      </c>
      <c r="M50" s="16">
        <f t="shared" si="4"/>
        <v>1388499118650.5283</v>
      </c>
      <c r="N50" s="16">
        <f t="shared" si="4"/>
        <v>1389129395145.6033</v>
      </c>
      <c r="O50" s="16">
        <f t="shared" si="4"/>
        <v>1389759671640.6787</v>
      </c>
      <c r="P50" s="16">
        <f t="shared" si="4"/>
        <v>1390389948135.7537</v>
      </c>
      <c r="Q50" s="16">
        <f t="shared" si="4"/>
        <v>1391020224630.8289</v>
      </c>
      <c r="R50" s="16">
        <f t="shared" si="4"/>
        <v>1391650501125.9041</v>
      </c>
      <c r="S50" s="16">
        <f t="shared" si="4"/>
        <v>1392280777620.9792</v>
      </c>
      <c r="T50" s="16">
        <f t="shared" si="4"/>
        <v>1392911054116.0542</v>
      </c>
      <c r="U50" s="16">
        <f t="shared" si="4"/>
        <v>1393541330611.1294</v>
      </c>
      <c r="V50" s="16">
        <f t="shared" si="4"/>
        <v>1394171607106.2048</v>
      </c>
      <c r="W50" s="16">
        <f t="shared" si="4"/>
        <v>1384780487329.585</v>
      </c>
      <c r="X50" s="16">
        <f t="shared" si="4"/>
        <v>1375389367552.9653</v>
      </c>
      <c r="Y50" s="16">
        <f t="shared" si="4"/>
        <v>1365998247776.3459</v>
      </c>
      <c r="Z50" s="16">
        <f t="shared" si="4"/>
        <v>1356607127999.7263</v>
      </c>
      <c r="AA50" s="16">
        <f t="shared" si="4"/>
        <v>1347216008223.1069</v>
      </c>
      <c r="AB50" s="16">
        <f t="shared" si="4"/>
        <v>1337824888446.4873</v>
      </c>
      <c r="AC50" s="16">
        <f t="shared" si="4"/>
        <v>1328433768669.8677</v>
      </c>
      <c r="AD50" s="16">
        <f t="shared" si="4"/>
        <v>1319042648893.248</v>
      </c>
      <c r="AE50" s="16">
        <f t="shared" si="4"/>
        <v>1309651529116.6287</v>
      </c>
      <c r="AF50" s="16">
        <f t="shared" si="4"/>
        <v>1300260409340.009</v>
      </c>
      <c r="AG50" s="16"/>
    </row>
    <row r="51" spans="1:33">
      <c r="A51" t="s">
        <v>56</v>
      </c>
      <c r="B51" s="16">
        <f t="shared" si="2"/>
        <v>2975019416201.1797</v>
      </c>
      <c r="C51" s="16">
        <f t="shared" si="3"/>
        <v>3059757538297.8149</v>
      </c>
      <c r="D51" s="16">
        <f t="shared" si="4"/>
        <v>3144495660394.4497</v>
      </c>
      <c r="E51" s="16">
        <f t="shared" si="4"/>
        <v>3229233782491.0854</v>
      </c>
      <c r="F51" s="16">
        <f t="shared" si="4"/>
        <v>3267582493701.8921</v>
      </c>
      <c r="G51" s="16">
        <f t="shared" si="4"/>
        <v>3305931204912.6987</v>
      </c>
      <c r="H51" s="16">
        <f t="shared" si="4"/>
        <v>3344279916123.5063</v>
      </c>
      <c r="I51" s="16">
        <f t="shared" si="4"/>
        <v>3382628627334.313</v>
      </c>
      <c r="J51" s="16">
        <f t="shared" si="4"/>
        <v>3420977338545.1201</v>
      </c>
      <c r="K51" s="16">
        <f t="shared" si="4"/>
        <v>3459326049755.9268</v>
      </c>
      <c r="L51" s="16">
        <f t="shared" si="4"/>
        <v>3497674760966.7344</v>
      </c>
      <c r="M51" s="16">
        <f t="shared" si="4"/>
        <v>3499263169123.394</v>
      </c>
      <c r="N51" s="16">
        <f t="shared" si="4"/>
        <v>3500851577280.0547</v>
      </c>
      <c r="O51" s="16">
        <f t="shared" si="4"/>
        <v>3502439985436.7153</v>
      </c>
      <c r="P51" s="16">
        <f t="shared" si="4"/>
        <v>3504028393593.376</v>
      </c>
      <c r="Q51" s="16">
        <f t="shared" si="4"/>
        <v>3505616801750.0371</v>
      </c>
      <c r="R51" s="16">
        <f t="shared" si="4"/>
        <v>3507205209906.6978</v>
      </c>
      <c r="S51" s="16">
        <f t="shared" si="4"/>
        <v>3508793618063.3584</v>
      </c>
      <c r="T51" s="16">
        <f t="shared" si="4"/>
        <v>3510382026220.019</v>
      </c>
      <c r="U51" s="16">
        <f t="shared" si="4"/>
        <v>3511970434376.6797</v>
      </c>
      <c r="V51" s="16">
        <f t="shared" si="4"/>
        <v>3513558842533.3403</v>
      </c>
      <c r="W51" s="16">
        <f t="shared" si="4"/>
        <v>3489891560999.0972</v>
      </c>
      <c r="X51" s="16">
        <f t="shared" si="4"/>
        <v>3466224279464.853</v>
      </c>
      <c r="Y51" s="16">
        <f t="shared" si="4"/>
        <v>3442556997930.6094</v>
      </c>
      <c r="Z51" s="16">
        <f t="shared" si="4"/>
        <v>3418889716396.3657</v>
      </c>
      <c r="AA51" s="16">
        <f t="shared" si="4"/>
        <v>3395222434862.1226</v>
      </c>
      <c r="AB51" s="16">
        <f t="shared" si="4"/>
        <v>3371555153327.8784</v>
      </c>
      <c r="AC51" s="16">
        <f t="shared" si="4"/>
        <v>3347887871793.6353</v>
      </c>
      <c r="AD51" s="16">
        <f t="shared" si="4"/>
        <v>3324220590259.3921</v>
      </c>
      <c r="AE51" s="16">
        <f t="shared" si="4"/>
        <v>3300553308725.1484</v>
      </c>
      <c r="AF51" s="16">
        <f t="shared" si="4"/>
        <v>3276886027190.9048</v>
      </c>
      <c r="AG51" s="16"/>
    </row>
    <row r="52" spans="1:33">
      <c r="A52" t="s">
        <v>58</v>
      </c>
      <c r="B52" s="16">
        <f t="shared" si="2"/>
        <v>27258116105100.203</v>
      </c>
      <c r="C52" s="16">
        <f t="shared" si="3"/>
        <v>27472394861870.164</v>
      </c>
      <c r="D52" s="16">
        <f t="shared" si="4"/>
        <v>27686673618640.125</v>
      </c>
      <c r="E52" s="16">
        <f t="shared" si="4"/>
        <v>27900952375410.086</v>
      </c>
      <c r="F52" s="16">
        <f t="shared" si="4"/>
        <v>28830157313304.141</v>
      </c>
      <c r="G52" s="16">
        <f t="shared" si="4"/>
        <v>29759362251198.188</v>
      </c>
      <c r="H52" s="16">
        <f t="shared" si="4"/>
        <v>30688567189092.238</v>
      </c>
      <c r="I52" s="16">
        <f t="shared" si="4"/>
        <v>31617772126986.293</v>
      </c>
      <c r="J52" s="16">
        <f t="shared" si="4"/>
        <v>32546977064880.344</v>
      </c>
      <c r="K52" s="16">
        <f t="shared" si="4"/>
        <v>33476182002774.398</v>
      </c>
      <c r="L52" s="16">
        <f t="shared" si="4"/>
        <v>34405386940668.441</v>
      </c>
      <c r="M52" s="16">
        <f t="shared" si="4"/>
        <v>34436106036151.184</v>
      </c>
      <c r="N52" s="16">
        <f t="shared" si="4"/>
        <v>34466825131633.922</v>
      </c>
      <c r="O52" s="16">
        <f t="shared" si="4"/>
        <v>34497544227116.664</v>
      </c>
      <c r="P52" s="16">
        <f t="shared" si="4"/>
        <v>34528263322599.402</v>
      </c>
      <c r="Q52" s="16">
        <f t="shared" si="4"/>
        <v>34558982418082.145</v>
      </c>
      <c r="R52" s="16">
        <f t="shared" si="4"/>
        <v>34589701513564.883</v>
      </c>
      <c r="S52" s="16">
        <f t="shared" si="4"/>
        <v>34620420609047.625</v>
      </c>
      <c r="T52" s="16">
        <f t="shared" si="4"/>
        <v>34651139704530.371</v>
      </c>
      <c r="U52" s="16">
        <f t="shared" si="4"/>
        <v>34681858800013.113</v>
      </c>
      <c r="V52" s="16">
        <f t="shared" si="4"/>
        <v>34712577895495.844</v>
      </c>
      <c r="W52" s="16">
        <f t="shared" si="4"/>
        <v>34644461640294.988</v>
      </c>
      <c r="X52" s="16">
        <f t="shared" si="4"/>
        <v>34576345385094.129</v>
      </c>
      <c r="Y52" s="16">
        <f t="shared" si="4"/>
        <v>34508229129893.27</v>
      </c>
      <c r="Z52" s="16">
        <f t="shared" si="4"/>
        <v>34440112874692.41</v>
      </c>
      <c r="AA52" s="16">
        <f t="shared" si="4"/>
        <v>34371996619491.559</v>
      </c>
      <c r="AB52" s="16">
        <f t="shared" si="4"/>
        <v>34303880364290.699</v>
      </c>
      <c r="AC52" s="16">
        <f t="shared" si="4"/>
        <v>34235764109089.84</v>
      </c>
      <c r="AD52" s="16">
        <f t="shared" si="4"/>
        <v>34167647853888.98</v>
      </c>
      <c r="AE52" s="16">
        <f t="shared" si="4"/>
        <v>34099531598688.121</v>
      </c>
      <c r="AF52" s="16">
        <f t="shared" si="4"/>
        <v>34031415343487.27</v>
      </c>
      <c r="AG52" s="16"/>
    </row>
    <row r="53" spans="1:33">
      <c r="A53" t="s">
        <v>61</v>
      </c>
      <c r="B53" s="16">
        <f t="shared" si="2"/>
        <v>4322201567757.792</v>
      </c>
      <c r="C53" s="16">
        <f t="shared" si="3"/>
        <v>4363859447934.3989</v>
      </c>
      <c r="D53" s="16">
        <f t="shared" si="4"/>
        <v>4405517328111.0059</v>
      </c>
      <c r="E53" s="16">
        <f t="shared" si="4"/>
        <v>4447175208287.6133</v>
      </c>
      <c r="F53" s="16">
        <f t="shared" si="4"/>
        <v>4618915714298.7207</v>
      </c>
      <c r="G53" s="16">
        <f t="shared" si="4"/>
        <v>4790656220309.8271</v>
      </c>
      <c r="H53" s="16">
        <f t="shared" si="4"/>
        <v>4962396726320.9346</v>
      </c>
      <c r="I53" s="16">
        <f t="shared" si="4"/>
        <v>5134137232332.041</v>
      </c>
      <c r="J53" s="16">
        <f t="shared" si="4"/>
        <v>5305877738343.1484</v>
      </c>
      <c r="K53" s="16">
        <f t="shared" si="4"/>
        <v>5477618244354.2559</v>
      </c>
      <c r="L53" s="16">
        <f t="shared" si="4"/>
        <v>5649358750365.3623</v>
      </c>
      <c r="M53" s="16">
        <f t="shared" si="4"/>
        <v>5675119826267.0283</v>
      </c>
      <c r="N53" s="16">
        <f t="shared" si="4"/>
        <v>5700880902168.6943</v>
      </c>
      <c r="O53" s="16">
        <f t="shared" si="4"/>
        <v>5726641978070.3613</v>
      </c>
      <c r="P53" s="16">
        <f t="shared" si="4"/>
        <v>5752403053972.0264</v>
      </c>
      <c r="Q53" s="16">
        <f t="shared" si="4"/>
        <v>5778164129873.6924</v>
      </c>
      <c r="R53" s="16">
        <f t="shared" si="4"/>
        <v>5803925205775.3584</v>
      </c>
      <c r="S53" s="16">
        <f t="shared" si="4"/>
        <v>5829686281677.0254</v>
      </c>
      <c r="T53" s="16">
        <f t="shared" si="4"/>
        <v>5855447357578.6904</v>
      </c>
      <c r="U53" s="16">
        <f t="shared" si="4"/>
        <v>5881208433480.3574</v>
      </c>
      <c r="V53" s="16">
        <f t="shared" si="4"/>
        <v>5906969509382.0225</v>
      </c>
      <c r="W53" s="16">
        <f t="shared" si="4"/>
        <v>5882564279580.4443</v>
      </c>
      <c r="X53" s="16">
        <f t="shared" si="4"/>
        <v>5858159049778.8662</v>
      </c>
      <c r="Y53" s="16">
        <f t="shared" si="4"/>
        <v>5833753819977.2871</v>
      </c>
      <c r="Z53" s="16">
        <f t="shared" si="4"/>
        <v>5809348590175.709</v>
      </c>
      <c r="AA53" s="16">
        <f t="shared" si="4"/>
        <v>5784943360374.1309</v>
      </c>
      <c r="AB53" s="16">
        <f t="shared" si="4"/>
        <v>5760538130572.5527</v>
      </c>
      <c r="AC53" s="16">
        <f t="shared" si="4"/>
        <v>5736132900770.9736</v>
      </c>
      <c r="AD53" s="16">
        <f t="shared" si="4"/>
        <v>5711727670969.3965</v>
      </c>
      <c r="AE53" s="16">
        <f t="shared" si="4"/>
        <v>5687322441167.8184</v>
      </c>
      <c r="AF53" s="16">
        <f t="shared" si="4"/>
        <v>5662917211366.2383</v>
      </c>
      <c r="AG53" s="16"/>
    </row>
    <row r="54" spans="1:33">
      <c r="A54" t="s">
        <v>65</v>
      </c>
      <c r="B54" s="16">
        <f t="shared" si="2"/>
        <v>8450902860188.1836</v>
      </c>
      <c r="C54" s="16">
        <f t="shared" si="3"/>
        <v>8532353642437.6797</v>
      </c>
      <c r="D54" s="16">
        <f t="shared" si="4"/>
        <v>8613804424687.1729</v>
      </c>
      <c r="E54" s="16">
        <f t="shared" si="4"/>
        <v>8695255206936.6689</v>
      </c>
      <c r="F54" s="16">
        <f t="shared" si="4"/>
        <v>9031047582814.3047</v>
      </c>
      <c r="G54" s="16">
        <f t="shared" si="4"/>
        <v>9366839958691.9395</v>
      </c>
      <c r="H54" s="16">
        <f t="shared" si="4"/>
        <v>9702632334569.5762</v>
      </c>
      <c r="I54" s="16">
        <f t="shared" si="4"/>
        <v>10038424710447.211</v>
      </c>
      <c r="J54" s="16">
        <f t="shared" si="4"/>
        <v>10374217086324.848</v>
      </c>
      <c r="K54" s="16">
        <f t="shared" si="4"/>
        <v>10710009462202.482</v>
      </c>
      <c r="L54" s="16">
        <f t="shared" si="4"/>
        <v>11045801838080.117</v>
      </c>
      <c r="M54" s="16">
        <f t="shared" si="4"/>
        <v>11096170694461.762</v>
      </c>
      <c r="N54" s="16">
        <f t="shared" si="4"/>
        <v>11146539550843.408</v>
      </c>
      <c r="O54" s="16">
        <f t="shared" si="4"/>
        <v>11196908407225.055</v>
      </c>
      <c r="P54" s="16">
        <f t="shared" si="4"/>
        <v>11247277263606.699</v>
      </c>
      <c r="Q54" s="16">
        <f t="shared" si="4"/>
        <v>11297646119988.346</v>
      </c>
      <c r="R54" s="16">
        <f t="shared" si="4"/>
        <v>11348014976369.99</v>
      </c>
      <c r="S54" s="16">
        <f t="shared" si="4"/>
        <v>11398383832751.635</v>
      </c>
      <c r="T54" s="16">
        <f t="shared" si="4"/>
        <v>11448752689133.281</v>
      </c>
      <c r="U54" s="16">
        <f t="shared" si="4"/>
        <v>11499121545514.926</v>
      </c>
      <c r="V54" s="16">
        <f t="shared" si="4"/>
        <v>11549490401896.572</v>
      </c>
      <c r="W54" s="16">
        <f t="shared" si="4"/>
        <v>11501772537956.066</v>
      </c>
      <c r="X54" s="16">
        <f t="shared" si="4"/>
        <v>11454054674015.559</v>
      </c>
      <c r="Y54" s="16">
        <f t="shared" si="4"/>
        <v>11406336810075.055</v>
      </c>
      <c r="Z54" s="16">
        <f t="shared" si="4"/>
        <v>11358618946134.547</v>
      </c>
      <c r="AA54" s="16">
        <f t="shared" si="4"/>
        <v>11310901082194.041</v>
      </c>
      <c r="AB54" s="16">
        <f t="shared" si="4"/>
        <v>11263183218253.535</v>
      </c>
      <c r="AC54" s="16">
        <f t="shared" si="4"/>
        <v>11215465354313.029</v>
      </c>
      <c r="AD54" s="16">
        <f t="shared" si="4"/>
        <v>11167747490372.523</v>
      </c>
      <c r="AE54" s="16">
        <f t="shared" si="4"/>
        <v>11120029626432.018</v>
      </c>
      <c r="AF54" s="16">
        <f t="shared" si="4"/>
        <v>11072311762491.51</v>
      </c>
      <c r="AG54" s="16"/>
    </row>
    <row r="55" spans="1:33">
      <c r="A55" t="s">
        <v>67</v>
      </c>
      <c r="B55" s="16">
        <f t="shared" si="2"/>
        <v>52227510457451.148</v>
      </c>
      <c r="C55" s="16">
        <f t="shared" si="3"/>
        <v>54086059322640.117</v>
      </c>
      <c r="D55" s="16">
        <f t="shared" si="4"/>
        <v>55944608187829.844</v>
      </c>
      <c r="E55" s="16">
        <f t="shared" si="4"/>
        <v>57803157053019.172</v>
      </c>
      <c r="F55" s="16">
        <f t="shared" si="4"/>
        <v>58805585125046.75</v>
      </c>
      <c r="G55" s="16">
        <f t="shared" si="4"/>
        <v>59808013197074.305</v>
      </c>
      <c r="H55" s="16">
        <f t="shared" si="4"/>
        <v>60810441269101.867</v>
      </c>
      <c r="I55" s="16">
        <f t="shared" si="4"/>
        <v>61812869341129.438</v>
      </c>
      <c r="J55" s="16">
        <f t="shared" si="4"/>
        <v>62815297413157</v>
      </c>
      <c r="K55" s="16">
        <f t="shared" si="4"/>
        <v>63817725485184.563</v>
      </c>
      <c r="L55" s="16">
        <f t="shared" si="4"/>
        <v>64820153557212.117</v>
      </c>
      <c r="M55" s="16">
        <f t="shared" si="4"/>
        <v>65209904366209.539</v>
      </c>
      <c r="N55" s="16">
        <f t="shared" si="4"/>
        <v>65599655175206.953</v>
      </c>
      <c r="O55" s="16">
        <f t="shared" si="4"/>
        <v>65989405984204.367</v>
      </c>
      <c r="P55" s="16">
        <f t="shared" si="4"/>
        <v>66379156793201.773</v>
      </c>
      <c r="Q55" s="16">
        <f t="shared" si="4"/>
        <v>66768907602199.188</v>
      </c>
      <c r="R55" s="16">
        <f t="shared" si="4"/>
        <v>67158658411196.594</v>
      </c>
      <c r="S55" s="16">
        <f t="shared" si="4"/>
        <v>67548409220194.008</v>
      </c>
      <c r="T55" s="16">
        <f t="shared" si="4"/>
        <v>67938160029191.414</v>
      </c>
      <c r="U55" s="16">
        <f t="shared" si="4"/>
        <v>68327910838188.828</v>
      </c>
      <c r="V55" s="16">
        <f t="shared" si="4"/>
        <v>68717661647186.227</v>
      </c>
      <c r="W55" s="16">
        <f t="shared" si="4"/>
        <v>68513894589250.281</v>
      </c>
      <c r="X55" s="16">
        <f t="shared" si="4"/>
        <v>68310127531314.367</v>
      </c>
      <c r="Y55" s="16">
        <f t="shared" si="4"/>
        <v>68106360473378.469</v>
      </c>
      <c r="Z55" s="16">
        <f t="shared" si="4"/>
        <v>67902593415442.555</v>
      </c>
      <c r="AA55" s="16">
        <f t="shared" si="4"/>
        <v>67698826357506.648</v>
      </c>
      <c r="AB55" s="16">
        <f t="shared" si="4"/>
        <v>67495059299570.734</v>
      </c>
      <c r="AC55" s="16">
        <f t="shared" si="4"/>
        <v>67291292241634.836</v>
      </c>
      <c r="AD55" s="16">
        <f t="shared" si="4"/>
        <v>67087525183698.922</v>
      </c>
      <c r="AE55" s="16">
        <f t="shared" si="4"/>
        <v>66883758125763.008</v>
      </c>
      <c r="AF55" s="16">
        <f t="shared" si="4"/>
        <v>66679991067827.148</v>
      </c>
      <c r="AG55" s="16"/>
    </row>
    <row r="56" spans="1:33">
      <c r="A56" t="s">
        <v>71</v>
      </c>
      <c r="B56" s="16">
        <f t="shared" si="2"/>
        <v>9094894571001.998</v>
      </c>
      <c r="C56" s="16">
        <f t="shared" si="3"/>
        <v>9418542124482.8379</v>
      </c>
      <c r="D56" s="16">
        <f t="shared" si="4"/>
        <v>9742189677963.8086</v>
      </c>
      <c r="E56" s="16">
        <f t="shared" si="4"/>
        <v>10065837231444.717</v>
      </c>
      <c r="F56" s="16">
        <f t="shared" si="4"/>
        <v>10240399977213.174</v>
      </c>
      <c r="G56" s="16">
        <f t="shared" si="4"/>
        <v>10414962722981.631</v>
      </c>
      <c r="H56" s="16">
        <f t="shared" si="4"/>
        <v>10589525468750.088</v>
      </c>
      <c r="I56" s="16">
        <f t="shared" si="4"/>
        <v>10764088214518.545</v>
      </c>
      <c r="J56" s="16">
        <f t="shared" si="4"/>
        <v>10938650960287.002</v>
      </c>
      <c r="K56" s="16">
        <f t="shared" si="4"/>
        <v>11113213706055.459</v>
      </c>
      <c r="L56" s="16">
        <f t="shared" si="4"/>
        <v>11287776451823.916</v>
      </c>
      <c r="M56" s="16">
        <f t="shared" si="4"/>
        <v>11355647627105.803</v>
      </c>
      <c r="N56" s="16">
        <f t="shared" si="4"/>
        <v>11423518802387.689</v>
      </c>
      <c r="O56" s="16">
        <f t="shared" si="4"/>
        <v>11491389977669.574</v>
      </c>
      <c r="P56" s="16">
        <f t="shared" si="4"/>
        <v>11559261152951.461</v>
      </c>
      <c r="Q56" s="16">
        <f t="shared" si="4"/>
        <v>11627132328233.348</v>
      </c>
      <c r="R56" s="16">
        <f t="shared" si="4"/>
        <v>11695003503515.232</v>
      </c>
      <c r="S56" s="16">
        <f t="shared" si="4"/>
        <v>11762874678797.119</v>
      </c>
      <c r="T56" s="16">
        <f t="shared" si="4"/>
        <v>11830745854079.006</v>
      </c>
      <c r="U56" s="16">
        <f t="shared" si="4"/>
        <v>11898617029360.889</v>
      </c>
      <c r="V56" s="16">
        <f t="shared" si="4"/>
        <v>11966488204642.773</v>
      </c>
      <c r="W56" s="16">
        <f t="shared" si="4"/>
        <v>11931004225170.299</v>
      </c>
      <c r="X56" s="16">
        <f t="shared" si="4"/>
        <v>11895520245697.83</v>
      </c>
      <c r="Y56" s="16">
        <f t="shared" si="4"/>
        <v>11860036266225.361</v>
      </c>
      <c r="Z56" s="16">
        <f t="shared" si="4"/>
        <v>11824552286752.893</v>
      </c>
      <c r="AA56" s="16">
        <f t="shared" si="4"/>
        <v>11789068307280.424</v>
      </c>
      <c r="AB56" s="16">
        <f t="shared" si="4"/>
        <v>11753584327807.955</v>
      </c>
      <c r="AC56" s="16">
        <f t="shared" si="4"/>
        <v>11718100348335.484</v>
      </c>
      <c r="AD56" s="16">
        <f t="shared" si="4"/>
        <v>11682616368863.018</v>
      </c>
      <c r="AE56" s="16">
        <f t="shared" si="4"/>
        <v>11647132389390.547</v>
      </c>
      <c r="AF56" s="16">
        <f t="shared" si="4"/>
        <v>11611648409918.088</v>
      </c>
      <c r="AG56" s="16"/>
    </row>
    <row r="57" spans="1:33">
      <c r="A57" t="s">
        <v>73</v>
      </c>
      <c r="B57" s="16">
        <f t="shared" si="2"/>
        <v>14198261559132.533</v>
      </c>
      <c r="C57" s="16">
        <f t="shared" si="3"/>
        <v>14703515642225.004</v>
      </c>
      <c r="D57" s="16">
        <f t="shared" si="4"/>
        <v>15208769725317.68</v>
      </c>
      <c r="E57" s="16">
        <f t="shared" si="4"/>
        <v>15714023808410.25</v>
      </c>
      <c r="F57" s="16">
        <f t="shared" si="4"/>
        <v>15986537964957.299</v>
      </c>
      <c r="G57" s="16">
        <f t="shared" ref="D57:AF63" si="5">IFERROR($B57*G29/$B29,0)</f>
        <v>16259052121504.344</v>
      </c>
      <c r="H57" s="16">
        <f t="shared" si="5"/>
        <v>16531566278051.389</v>
      </c>
      <c r="I57" s="16">
        <f t="shared" si="5"/>
        <v>16804080434598.434</v>
      </c>
      <c r="J57" s="16">
        <f t="shared" si="5"/>
        <v>17076594591145.479</v>
      </c>
      <c r="K57" s="16">
        <f t="shared" si="5"/>
        <v>17349108747692.523</v>
      </c>
      <c r="L57" s="16">
        <f t="shared" si="5"/>
        <v>17621622904239.57</v>
      </c>
      <c r="M57" s="16">
        <f t="shared" si="5"/>
        <v>17727578250005.801</v>
      </c>
      <c r="N57" s="16">
        <f t="shared" si="5"/>
        <v>17833533595772.035</v>
      </c>
      <c r="O57" s="16">
        <f t="shared" si="5"/>
        <v>17939488941538.27</v>
      </c>
      <c r="P57" s="16">
        <f t="shared" si="5"/>
        <v>18045444287304.5</v>
      </c>
      <c r="Q57" s="16">
        <f t="shared" si="5"/>
        <v>18151399633070.734</v>
      </c>
      <c r="R57" s="16">
        <f t="shared" si="5"/>
        <v>18257354978836.965</v>
      </c>
      <c r="S57" s="16">
        <f t="shared" si="5"/>
        <v>18363310324603.199</v>
      </c>
      <c r="T57" s="16">
        <f t="shared" si="5"/>
        <v>18469265670369.43</v>
      </c>
      <c r="U57" s="16">
        <f t="shared" si="5"/>
        <v>18575221016135.664</v>
      </c>
      <c r="V57" s="16">
        <f t="shared" si="5"/>
        <v>18681176361901.891</v>
      </c>
      <c r="W57" s="16">
        <f t="shared" si="5"/>
        <v>18625781456795.961</v>
      </c>
      <c r="X57" s="16">
        <f t="shared" si="5"/>
        <v>18570386551690.039</v>
      </c>
      <c r="Y57" s="16">
        <f t="shared" si="5"/>
        <v>18514991646584.121</v>
      </c>
      <c r="Z57" s="16">
        <f t="shared" si="5"/>
        <v>18459596741478.203</v>
      </c>
      <c r="AA57" s="16">
        <f t="shared" si="5"/>
        <v>18404201836372.277</v>
      </c>
      <c r="AB57" s="16">
        <f t="shared" si="5"/>
        <v>18348806931266.363</v>
      </c>
      <c r="AC57" s="16">
        <f t="shared" si="5"/>
        <v>18293412026160.441</v>
      </c>
      <c r="AD57" s="16">
        <f t="shared" si="5"/>
        <v>18238017121054.52</v>
      </c>
      <c r="AE57" s="16">
        <f t="shared" si="5"/>
        <v>18182622215948.602</v>
      </c>
      <c r="AF57" s="16">
        <f t="shared" si="5"/>
        <v>18127227310842.691</v>
      </c>
      <c r="AG57" s="16"/>
    </row>
    <row r="58" spans="1:33">
      <c r="A58" t="s">
        <v>75</v>
      </c>
      <c r="B58" s="16">
        <f t="shared" si="2"/>
        <v>14824123436930.201</v>
      </c>
      <c r="C58" s="16">
        <f t="shared" si="3"/>
        <v>15351649209263.797</v>
      </c>
      <c r="D58" s="16">
        <f t="shared" si="5"/>
        <v>15879174981597.604</v>
      </c>
      <c r="E58" s="16">
        <f t="shared" si="5"/>
        <v>16406700753931.305</v>
      </c>
      <c r="F58" s="16">
        <f t="shared" si="5"/>
        <v>16691227382641.414</v>
      </c>
      <c r="G58" s="16">
        <f t="shared" si="5"/>
        <v>16975754011351.523</v>
      </c>
      <c r="H58" s="16">
        <f t="shared" si="5"/>
        <v>17260280640061.633</v>
      </c>
      <c r="I58" s="16">
        <f t="shared" si="5"/>
        <v>17544807268771.742</v>
      </c>
      <c r="J58" s="16">
        <f t="shared" si="5"/>
        <v>17829333897481.852</v>
      </c>
      <c r="K58" s="16">
        <f t="shared" si="5"/>
        <v>18113860526191.961</v>
      </c>
      <c r="L58" s="16">
        <f t="shared" si="5"/>
        <v>18398387154902.07</v>
      </c>
      <c r="M58" s="16">
        <f t="shared" si="5"/>
        <v>18509013031027.797</v>
      </c>
      <c r="N58" s="16">
        <f t="shared" si="5"/>
        <v>18619638907153.523</v>
      </c>
      <c r="O58" s="16">
        <f t="shared" si="5"/>
        <v>18730264783279.246</v>
      </c>
      <c r="P58" s="16">
        <f t="shared" si="5"/>
        <v>18840890659404.973</v>
      </c>
      <c r="Q58" s="16">
        <f t="shared" si="5"/>
        <v>18951516535530.699</v>
      </c>
      <c r="R58" s="16">
        <f t="shared" si="5"/>
        <v>19062142411656.426</v>
      </c>
      <c r="S58" s="16">
        <f t="shared" si="5"/>
        <v>19172768287782.152</v>
      </c>
      <c r="T58" s="16">
        <f t="shared" si="5"/>
        <v>19283394163907.875</v>
      </c>
      <c r="U58" s="16">
        <f t="shared" si="5"/>
        <v>19394020040033.602</v>
      </c>
      <c r="V58" s="16">
        <f t="shared" si="5"/>
        <v>19504645916159.324</v>
      </c>
      <c r="W58" s="16">
        <f t="shared" si="5"/>
        <v>19446809193850.238</v>
      </c>
      <c r="X58" s="16">
        <f t="shared" si="5"/>
        <v>19388972471541.16</v>
      </c>
      <c r="Y58" s="16">
        <f t="shared" si="5"/>
        <v>19331135749232.082</v>
      </c>
      <c r="Z58" s="16">
        <f t="shared" si="5"/>
        <v>19273299026923.008</v>
      </c>
      <c r="AA58" s="16">
        <f t="shared" si="5"/>
        <v>19215462304613.93</v>
      </c>
      <c r="AB58" s="16">
        <f t="shared" si="5"/>
        <v>19157625582304.852</v>
      </c>
      <c r="AC58" s="16">
        <f t="shared" si="5"/>
        <v>19099788859995.773</v>
      </c>
      <c r="AD58" s="16">
        <f t="shared" si="5"/>
        <v>19041952137686.695</v>
      </c>
      <c r="AE58" s="16">
        <f t="shared" si="5"/>
        <v>18984115415377.621</v>
      </c>
      <c r="AF58" s="16">
        <f t="shared" si="5"/>
        <v>18926278693068.559</v>
      </c>
      <c r="AG58" s="16"/>
    </row>
    <row r="59" spans="1:33">
      <c r="A59" t="s">
        <v>78</v>
      </c>
      <c r="B59" s="16">
        <f t="shared" si="2"/>
        <v>3796171852229.4214</v>
      </c>
      <c r="C59" s="16">
        <f t="shared" si="3"/>
        <v>3931261019341.2866</v>
      </c>
      <c r="D59" s="16">
        <f t="shared" si="5"/>
        <v>4066350186453.2061</v>
      </c>
      <c r="E59" s="16">
        <f t="shared" si="5"/>
        <v>4201439353565.0981</v>
      </c>
      <c r="F59" s="16">
        <f t="shared" si="5"/>
        <v>4274301130769.9648</v>
      </c>
      <c r="G59" s="16">
        <f t="shared" si="5"/>
        <v>4347162907974.8315</v>
      </c>
      <c r="H59" s="16">
        <f t="shared" si="5"/>
        <v>4420024685179.6992</v>
      </c>
      <c r="I59" s="16">
        <f t="shared" si="5"/>
        <v>4492886462384.5645</v>
      </c>
      <c r="J59" s="16">
        <f t="shared" si="5"/>
        <v>4565748239589.4316</v>
      </c>
      <c r="K59" s="16">
        <f t="shared" si="5"/>
        <v>4638610016794.2979</v>
      </c>
      <c r="L59" s="16">
        <f t="shared" si="5"/>
        <v>4711471793999.1641</v>
      </c>
      <c r="M59" s="16">
        <f t="shared" si="5"/>
        <v>4739800945389.6943</v>
      </c>
      <c r="N59" s="16">
        <f t="shared" si="5"/>
        <v>4768130096780.2246</v>
      </c>
      <c r="O59" s="16">
        <f t="shared" si="5"/>
        <v>4796459248170.7549</v>
      </c>
      <c r="P59" s="16">
        <f t="shared" si="5"/>
        <v>4824788399561.2842</v>
      </c>
      <c r="Q59" s="16">
        <f t="shared" si="5"/>
        <v>4853117550951.8145</v>
      </c>
      <c r="R59" s="16">
        <f t="shared" si="5"/>
        <v>4881446702342.3447</v>
      </c>
      <c r="S59" s="16">
        <f t="shared" si="5"/>
        <v>4909775853732.874</v>
      </c>
      <c r="T59" s="16">
        <f t="shared" si="5"/>
        <v>4938105005123.4033</v>
      </c>
      <c r="U59" s="16">
        <f t="shared" si="5"/>
        <v>4966434156513.9346</v>
      </c>
      <c r="V59" s="16">
        <f t="shared" si="5"/>
        <v>4994763307904.4629</v>
      </c>
      <c r="W59" s="16">
        <f t="shared" si="5"/>
        <v>4979952439782.0352</v>
      </c>
      <c r="X59" s="16">
        <f t="shared" si="5"/>
        <v>4965141571659.6094</v>
      </c>
      <c r="Y59" s="16">
        <f t="shared" si="5"/>
        <v>4950330703537.1836</v>
      </c>
      <c r="Z59" s="16">
        <f t="shared" si="5"/>
        <v>4935519835414.7588</v>
      </c>
      <c r="AA59" s="16">
        <f t="shared" si="5"/>
        <v>4920708967292.334</v>
      </c>
      <c r="AB59" s="16">
        <f t="shared" si="5"/>
        <v>4905898099169.9082</v>
      </c>
      <c r="AC59" s="16">
        <f t="shared" si="5"/>
        <v>4891087231047.4834</v>
      </c>
      <c r="AD59" s="16">
        <f t="shared" si="5"/>
        <v>4876276362925.0576</v>
      </c>
      <c r="AE59" s="16">
        <f t="shared" si="5"/>
        <v>4861465494802.6328</v>
      </c>
      <c r="AF59" s="16">
        <f t="shared" si="5"/>
        <v>4846654626680.2109</v>
      </c>
      <c r="AG59" s="16"/>
    </row>
    <row r="60" spans="1:33">
      <c r="A60" t="s">
        <v>80</v>
      </c>
      <c r="B60" s="16">
        <f t="shared" si="2"/>
        <v>1548681777940.2856</v>
      </c>
      <c r="C60" s="16">
        <f t="shared" si="3"/>
        <v>1592793216297.051</v>
      </c>
      <c r="D60" s="16">
        <f t="shared" si="5"/>
        <v>1636904654653.8159</v>
      </c>
      <c r="E60" s="16">
        <f t="shared" si="5"/>
        <v>1681016093010.5815</v>
      </c>
      <c r="F60" s="16">
        <f t="shared" si="5"/>
        <v>1700978971214.4172</v>
      </c>
      <c r="G60" s="16">
        <f t="shared" si="5"/>
        <v>1720941849418.2532</v>
      </c>
      <c r="H60" s="16">
        <f t="shared" si="5"/>
        <v>1740904727622.0889</v>
      </c>
      <c r="I60" s="16">
        <f t="shared" si="5"/>
        <v>1760867605825.9248</v>
      </c>
      <c r="J60" s="16">
        <f t="shared" si="5"/>
        <v>1780830484029.7607</v>
      </c>
      <c r="K60" s="16">
        <f t="shared" si="5"/>
        <v>1800793362233.5967</v>
      </c>
      <c r="L60" s="16">
        <f t="shared" si="5"/>
        <v>1820756240437.4326</v>
      </c>
      <c r="M60" s="16">
        <f t="shared" si="5"/>
        <v>1821583105215.1062</v>
      </c>
      <c r="N60" s="16">
        <f t="shared" si="5"/>
        <v>1822409969992.7798</v>
      </c>
      <c r="O60" s="16">
        <f t="shared" si="5"/>
        <v>1823236834770.4534</v>
      </c>
      <c r="P60" s="16">
        <f t="shared" si="5"/>
        <v>1824063699548.1272</v>
      </c>
      <c r="Q60" s="16">
        <f t="shared" si="5"/>
        <v>1824890564325.8008</v>
      </c>
      <c r="R60" s="16">
        <f t="shared" si="5"/>
        <v>1825717429103.4746</v>
      </c>
      <c r="S60" s="16">
        <f t="shared" si="5"/>
        <v>1826544293881.1482</v>
      </c>
      <c r="T60" s="16">
        <f t="shared" si="5"/>
        <v>1827371158658.8218</v>
      </c>
      <c r="U60" s="16">
        <f t="shared" si="5"/>
        <v>1828198023436.4954</v>
      </c>
      <c r="V60" s="16">
        <f t="shared" si="5"/>
        <v>1829024888214.1692</v>
      </c>
      <c r="W60" s="16">
        <f t="shared" si="5"/>
        <v>1816704603026.8315</v>
      </c>
      <c r="X60" s="16">
        <f t="shared" si="5"/>
        <v>1804384317839.4937</v>
      </c>
      <c r="Y60" s="16">
        <f t="shared" si="5"/>
        <v>1792064032652.1558</v>
      </c>
      <c r="Z60" s="16">
        <f t="shared" si="5"/>
        <v>1779743747464.8181</v>
      </c>
      <c r="AA60" s="16">
        <f t="shared" si="5"/>
        <v>1767423462277.4802</v>
      </c>
      <c r="AB60" s="16">
        <f t="shared" si="5"/>
        <v>1755103177090.1426</v>
      </c>
      <c r="AC60" s="16">
        <f t="shared" si="5"/>
        <v>1742782891902.8049</v>
      </c>
      <c r="AD60" s="16">
        <f t="shared" si="5"/>
        <v>1730462606715.4673</v>
      </c>
      <c r="AE60" s="16">
        <f t="shared" si="5"/>
        <v>1718142321528.1292</v>
      </c>
      <c r="AF60" s="16">
        <f t="shared" si="5"/>
        <v>1705822036340.7915</v>
      </c>
      <c r="AG60" s="16"/>
    </row>
    <row r="61" spans="1:33">
      <c r="A61" t="s">
        <v>82</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85</v>
      </c>
      <c r="B62" s="16">
        <f t="shared" si="2"/>
        <v>1365353501728.8877</v>
      </c>
      <c r="C62" s="16">
        <f t="shared" si="3"/>
        <v>1366718855230.6165</v>
      </c>
      <c r="D62" s="16">
        <f t="shared" si="5"/>
        <v>1368085574085.8469</v>
      </c>
      <c r="E62" s="16">
        <f t="shared" si="5"/>
        <v>1369453659659.9326</v>
      </c>
      <c r="F62" s="16">
        <f t="shared" si="5"/>
        <v>1370823113319.5923</v>
      </c>
      <c r="G62" s="16">
        <f t="shared" si="5"/>
        <v>1372193936432.9116</v>
      </c>
      <c r="H62" s="16">
        <f t="shared" si="5"/>
        <v>1373566130369.3445</v>
      </c>
      <c r="I62" s="16">
        <f t="shared" si="5"/>
        <v>1374939696499.7139</v>
      </c>
      <c r="J62" s="16">
        <f t="shared" si="5"/>
        <v>1376314636196.2136</v>
      </c>
      <c r="K62" s="16">
        <f t="shared" si="5"/>
        <v>1377690950832.4094</v>
      </c>
      <c r="L62" s="16">
        <f t="shared" si="5"/>
        <v>1379068641783.2417</v>
      </c>
      <c r="M62" s="16">
        <f t="shared" si="5"/>
        <v>1380447710425.0251</v>
      </c>
      <c r="N62" s="16">
        <f t="shared" si="5"/>
        <v>1381828158135.4497</v>
      </c>
      <c r="O62" s="16">
        <f t="shared" si="5"/>
        <v>1383209986293.585</v>
      </c>
      <c r="P62" s="16">
        <f t="shared" si="5"/>
        <v>1384593196279.8784</v>
      </c>
      <c r="Q62" s="16">
        <f t="shared" si="5"/>
        <v>1385977789476.1582</v>
      </c>
      <c r="R62" s="16">
        <f t="shared" si="5"/>
        <v>1387363767265.634</v>
      </c>
      <c r="S62" s="16">
        <f t="shared" si="5"/>
        <v>1388751131032.8994</v>
      </c>
      <c r="T62" s="16">
        <f t="shared" si="5"/>
        <v>1390139882163.9324</v>
      </c>
      <c r="U62" s="16">
        <f t="shared" si="5"/>
        <v>1391530022046.0959</v>
      </c>
      <c r="V62" s="16">
        <f t="shared" si="5"/>
        <v>1392921552068.1418</v>
      </c>
      <c r="W62" s="16">
        <f t="shared" si="5"/>
        <v>1385956944307.8013</v>
      </c>
      <c r="X62" s="16">
        <f t="shared" si="5"/>
        <v>1379027159586.2622</v>
      </c>
      <c r="Y62" s="16">
        <f t="shared" si="5"/>
        <v>1372132023788.3308</v>
      </c>
      <c r="Z62" s="16">
        <f t="shared" si="5"/>
        <v>1365271363669.3892</v>
      </c>
      <c r="AA62" s="16">
        <f t="shared" si="5"/>
        <v>1358445006851.0422</v>
      </c>
      <c r="AB62" s="16">
        <f t="shared" si="5"/>
        <v>1351652781816.7871</v>
      </c>
      <c r="AC62" s="16">
        <f t="shared" si="5"/>
        <v>1344894517907.7031</v>
      </c>
      <c r="AD62" s="16">
        <f t="shared" si="5"/>
        <v>1338170045318.1646</v>
      </c>
      <c r="AE62" s="16">
        <f t="shared" si="5"/>
        <v>1331479195091.5737</v>
      </c>
      <c r="AF62" s="16">
        <f t="shared" si="5"/>
        <v>1324821799116.1157</v>
      </c>
      <c r="AG62" s="16"/>
    </row>
    <row r="63" spans="1:33">
      <c r="A63" t="s">
        <v>89</v>
      </c>
      <c r="B63" s="16">
        <f t="shared" si="2"/>
        <v>3445489922.8724227</v>
      </c>
      <c r="C63" s="16">
        <f t="shared" si="3"/>
        <v>3543628558.2632132</v>
      </c>
      <c r="D63" s="16">
        <f t="shared" si="5"/>
        <v>3641767193.6540036</v>
      </c>
      <c r="E63" s="16">
        <f t="shared" si="5"/>
        <v>3739905829.0447941</v>
      </c>
      <c r="F63" s="16">
        <f t="shared" si="5"/>
        <v>3784319017.5142312</v>
      </c>
      <c r="G63" s="16">
        <f t="shared" si="5"/>
        <v>3828732205.9836688</v>
      </c>
      <c r="H63" s="16">
        <f t="shared" si="5"/>
        <v>3873145394.4531069</v>
      </c>
      <c r="I63" s="16">
        <f t="shared" si="5"/>
        <v>3917558582.922545</v>
      </c>
      <c r="J63" s="16">
        <f t="shared" si="5"/>
        <v>3961971771.391983</v>
      </c>
      <c r="K63" s="16">
        <f t="shared" si="5"/>
        <v>4006384959.8614206</v>
      </c>
      <c r="L63" s="16">
        <f t="shared" si="5"/>
        <v>4050798148.3308587</v>
      </c>
      <c r="M63" s="16">
        <f t="shared" si="5"/>
        <v>4052637747.853261</v>
      </c>
      <c r="N63" s="16">
        <f t="shared" si="5"/>
        <v>4054477347.3756633</v>
      </c>
      <c r="O63" s="16">
        <f t="shared" si="5"/>
        <v>4056316946.8980665</v>
      </c>
      <c r="P63" s="16">
        <f t="shared" si="5"/>
        <v>4058156546.4204698</v>
      </c>
      <c r="Q63" s="16">
        <f t="shared" si="5"/>
        <v>4059996145.9428725</v>
      </c>
      <c r="R63" s="16">
        <f t="shared" si="5"/>
        <v>4061835745.4652753</v>
      </c>
      <c r="S63" s="16">
        <f t="shared" si="5"/>
        <v>4063675344.9876776</v>
      </c>
      <c r="T63" s="16">
        <f t="shared" si="5"/>
        <v>4065514944.5100803</v>
      </c>
      <c r="U63" s="16">
        <f t="shared" si="5"/>
        <v>4067354544.0324826</v>
      </c>
      <c r="V63" s="16">
        <f t="shared" si="5"/>
        <v>4069194143.5548859</v>
      </c>
      <c r="W63" s="16">
        <f t="shared" si="5"/>
        <v>4041784110.6710854</v>
      </c>
      <c r="X63" s="16">
        <f t="shared" si="5"/>
        <v>4014374077.7872839</v>
      </c>
      <c r="Y63" s="16">
        <f t="shared" si="5"/>
        <v>3986964044.9034834</v>
      </c>
      <c r="Z63" s="16">
        <f t="shared" si="5"/>
        <v>3959554012.0196819</v>
      </c>
      <c r="AA63" s="16">
        <f t="shared" si="5"/>
        <v>3932143979.1358809</v>
      </c>
      <c r="AB63" s="16">
        <f t="shared" si="5"/>
        <v>3904733946.2520804</v>
      </c>
      <c r="AC63" s="16">
        <f t="shared" si="5"/>
        <v>3877323913.368279</v>
      </c>
      <c r="AD63" s="16">
        <f t="shared" si="5"/>
        <v>3849913880.4844775</v>
      </c>
      <c r="AE63" s="16">
        <f t="shared" si="5"/>
        <v>3822503847.600677</v>
      </c>
      <c r="AF63" s="16">
        <f t="shared" si="5"/>
        <v>3795093814.7168765</v>
      </c>
      <c r="AG63" s="16"/>
    </row>
    <row r="65" spans="1:32">
      <c r="A65" s="1" t="s">
        <v>1025</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25</v>
      </c>
      <c r="B67" s="16">
        <f>C$5*$B11/SUM($B$11:$B$35)</f>
        <v>1530686191999.571</v>
      </c>
      <c r="C67" s="16">
        <f>IFERROR($B67*C11/$B11,0)</f>
        <v>1574285058186.1042</v>
      </c>
      <c r="D67" s="16">
        <f t="shared" ref="D67:AF76" si="6">IFERROR($B67*D11/$B11,0)</f>
        <v>1617883924372.6375</v>
      </c>
      <c r="E67" s="16">
        <f t="shared" si="6"/>
        <v>1661482790559.1704</v>
      </c>
      <c r="F67" s="16">
        <f t="shared" si="6"/>
        <v>1681213701359.8523</v>
      </c>
      <c r="G67" s="16">
        <f t="shared" si="6"/>
        <v>1700944612160.5337</v>
      </c>
      <c r="H67" s="16">
        <f t="shared" si="6"/>
        <v>1720675522961.2156</v>
      </c>
      <c r="I67" s="16">
        <f t="shared" si="6"/>
        <v>1740406433761.897</v>
      </c>
      <c r="J67" s="16">
        <f t="shared" si="6"/>
        <v>1760137344562.5786</v>
      </c>
      <c r="K67" s="16">
        <f t="shared" si="6"/>
        <v>1779868255363.26</v>
      </c>
      <c r="L67" s="16">
        <f t="shared" si="6"/>
        <v>1799599166163.9419</v>
      </c>
      <c r="M67" s="16">
        <f t="shared" si="6"/>
        <v>1800416422824.3252</v>
      </c>
      <c r="N67" s="16">
        <f t="shared" si="6"/>
        <v>1801233679484.7085</v>
      </c>
      <c r="O67" s="16">
        <f t="shared" si="6"/>
        <v>1802050936145.0918</v>
      </c>
      <c r="P67" s="16">
        <f t="shared" si="6"/>
        <v>1802868192805.4751</v>
      </c>
      <c r="Q67" s="16">
        <f t="shared" si="6"/>
        <v>1803685449465.8584</v>
      </c>
      <c r="R67" s="16">
        <f t="shared" si="6"/>
        <v>1804502706126.2412</v>
      </c>
      <c r="S67" s="16">
        <f t="shared" si="6"/>
        <v>1805319962786.6245</v>
      </c>
      <c r="T67" s="16">
        <f t="shared" si="6"/>
        <v>1806137219447.0076</v>
      </c>
      <c r="U67" s="16">
        <f t="shared" si="6"/>
        <v>1806954476107.3909</v>
      </c>
      <c r="V67" s="16">
        <f t="shared" si="6"/>
        <v>1807771732767.7742</v>
      </c>
      <c r="W67" s="16">
        <f t="shared" si="6"/>
        <v>1795594608528.0637</v>
      </c>
      <c r="X67" s="16">
        <f t="shared" si="6"/>
        <v>1783417484288.353</v>
      </c>
      <c r="Y67" s="16">
        <f t="shared" si="6"/>
        <v>1771240360048.6426</v>
      </c>
      <c r="Z67" s="16">
        <f t="shared" si="6"/>
        <v>1759063235808.9319</v>
      </c>
      <c r="AA67" s="16">
        <f t="shared" si="6"/>
        <v>1746886111569.2212</v>
      </c>
      <c r="AB67" s="16">
        <f t="shared" si="6"/>
        <v>1734708987329.5107</v>
      </c>
      <c r="AC67" s="16">
        <f t="shared" si="6"/>
        <v>1722531863089.8</v>
      </c>
      <c r="AD67" s="16">
        <f t="shared" si="6"/>
        <v>1710354738850.0896</v>
      </c>
      <c r="AE67" s="16">
        <f t="shared" si="6"/>
        <v>1698177614610.3789</v>
      </c>
      <c r="AF67" s="16">
        <f t="shared" si="6"/>
        <v>1686000490370.6685</v>
      </c>
    </row>
    <row r="68" spans="1:32">
      <c r="A68" t="s">
        <v>28</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32</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34</v>
      </c>
      <c r="B70" s="16">
        <f t="shared" si="7"/>
        <v>132020309662.67119</v>
      </c>
      <c r="C70" s="16">
        <f t="shared" si="8"/>
        <v>135780672724.00404</v>
      </c>
      <c r="D70" s="16">
        <f t="shared" si="6"/>
        <v>139541035785.33694</v>
      </c>
      <c r="E70" s="16">
        <f t="shared" si="6"/>
        <v>143301398846.6698</v>
      </c>
      <c r="F70" s="16">
        <f t="shared" si="6"/>
        <v>145003172186.91907</v>
      </c>
      <c r="G70" s="16">
        <f t="shared" si="6"/>
        <v>146704945527.16833</v>
      </c>
      <c r="H70" s="16">
        <f t="shared" si="6"/>
        <v>148406718867.4176</v>
      </c>
      <c r="I70" s="16">
        <f t="shared" si="6"/>
        <v>150108492207.66684</v>
      </c>
      <c r="J70" s="16">
        <f t="shared" si="6"/>
        <v>151810265547.91611</v>
      </c>
      <c r="K70" s="16">
        <f t="shared" si="6"/>
        <v>153512038888.16537</v>
      </c>
      <c r="L70" s="16">
        <f t="shared" si="6"/>
        <v>155213812228.41461</v>
      </c>
      <c r="M70" s="16">
        <f t="shared" si="6"/>
        <v>155284299881.56104</v>
      </c>
      <c r="N70" s="16">
        <f t="shared" si="6"/>
        <v>155354787534.70746</v>
      </c>
      <c r="O70" s="16">
        <f t="shared" si="6"/>
        <v>155425275187.85388</v>
      </c>
      <c r="P70" s="16">
        <f t="shared" si="6"/>
        <v>155495762841.00031</v>
      </c>
      <c r="Q70" s="16">
        <f t="shared" si="6"/>
        <v>155566250494.14673</v>
      </c>
      <c r="R70" s="16">
        <f t="shared" si="6"/>
        <v>155636738147.29315</v>
      </c>
      <c r="S70" s="16">
        <f t="shared" si="6"/>
        <v>155707225800.43958</v>
      </c>
      <c r="T70" s="16">
        <f t="shared" si="6"/>
        <v>155777713453.58597</v>
      </c>
      <c r="U70" s="16">
        <f t="shared" si="6"/>
        <v>155848201106.73239</v>
      </c>
      <c r="V70" s="16">
        <f t="shared" si="6"/>
        <v>155918688759.87881</v>
      </c>
      <c r="W70" s="16">
        <f t="shared" si="6"/>
        <v>154868422727.99716</v>
      </c>
      <c r="X70" s="16">
        <f t="shared" si="6"/>
        <v>153818156696.11551</v>
      </c>
      <c r="Y70" s="16">
        <f t="shared" si="6"/>
        <v>152767890664.23389</v>
      </c>
      <c r="Z70" s="16">
        <f t="shared" si="6"/>
        <v>151717624632.35223</v>
      </c>
      <c r="AA70" s="16">
        <f t="shared" si="6"/>
        <v>150667358600.47061</v>
      </c>
      <c r="AB70" s="16">
        <f t="shared" si="6"/>
        <v>149617092568.58896</v>
      </c>
      <c r="AC70" s="16">
        <f t="shared" si="6"/>
        <v>148566826536.70731</v>
      </c>
      <c r="AD70" s="16">
        <f t="shared" si="6"/>
        <v>147516560504.82565</v>
      </c>
      <c r="AE70" s="16">
        <f t="shared" si="6"/>
        <v>146466294472.944</v>
      </c>
      <c r="AF70" s="16">
        <f t="shared" si="6"/>
        <v>145416028441.06238</v>
      </c>
    </row>
    <row r="71" spans="1:32">
      <c r="A71" t="s">
        <v>36</v>
      </c>
      <c r="B71" s="16">
        <f t="shared" si="7"/>
        <v>1212682800801.8418</v>
      </c>
      <c r="C71" s="16">
        <f t="shared" si="8"/>
        <v>1247223907552.0127</v>
      </c>
      <c r="D71" s="16">
        <f t="shared" si="6"/>
        <v>1281765014302.1836</v>
      </c>
      <c r="E71" s="16">
        <f t="shared" si="6"/>
        <v>1316306121052.3545</v>
      </c>
      <c r="F71" s="16">
        <f t="shared" si="6"/>
        <v>1331937892147.699</v>
      </c>
      <c r="G71" s="16">
        <f t="shared" si="6"/>
        <v>1347569663243.0435</v>
      </c>
      <c r="H71" s="16">
        <f t="shared" si="6"/>
        <v>1363201434338.3879</v>
      </c>
      <c r="I71" s="16">
        <f t="shared" si="6"/>
        <v>1378833205433.7322</v>
      </c>
      <c r="J71" s="16">
        <f t="shared" si="6"/>
        <v>1394464976529.0769</v>
      </c>
      <c r="K71" s="16">
        <f t="shared" si="6"/>
        <v>1410096747624.4214</v>
      </c>
      <c r="L71" s="16">
        <f t="shared" si="6"/>
        <v>1425728518719.7661</v>
      </c>
      <c r="M71" s="16">
        <f t="shared" si="6"/>
        <v>1426375988528.449</v>
      </c>
      <c r="N71" s="16">
        <f t="shared" si="6"/>
        <v>1427023458337.1318</v>
      </c>
      <c r="O71" s="16">
        <f t="shared" si="6"/>
        <v>1427670928145.8147</v>
      </c>
      <c r="P71" s="16">
        <f t="shared" si="6"/>
        <v>1428318397954.4976</v>
      </c>
      <c r="Q71" s="16">
        <f t="shared" si="6"/>
        <v>1428965867763.1804</v>
      </c>
      <c r="R71" s="16">
        <f t="shared" si="6"/>
        <v>1429613337571.8635</v>
      </c>
      <c r="S71" s="16">
        <f t="shared" si="6"/>
        <v>1430260807380.5464</v>
      </c>
      <c r="T71" s="16">
        <f t="shared" si="6"/>
        <v>1430908277189.2292</v>
      </c>
      <c r="U71" s="16">
        <f t="shared" si="6"/>
        <v>1431555746997.9121</v>
      </c>
      <c r="V71" s="16">
        <f t="shared" si="6"/>
        <v>1432203216806.5952</v>
      </c>
      <c r="W71" s="16">
        <f t="shared" si="6"/>
        <v>1422555916657.2197</v>
      </c>
      <c r="X71" s="16">
        <f t="shared" si="6"/>
        <v>1412908616507.8442</v>
      </c>
      <c r="Y71" s="16">
        <f t="shared" si="6"/>
        <v>1403261316358.4692</v>
      </c>
      <c r="Z71" s="16">
        <f t="shared" si="6"/>
        <v>1393614016209.0938</v>
      </c>
      <c r="AA71" s="16">
        <f t="shared" si="6"/>
        <v>1383966716059.7185</v>
      </c>
      <c r="AB71" s="16">
        <f t="shared" si="6"/>
        <v>1374319415910.343</v>
      </c>
      <c r="AC71" s="16">
        <f t="shared" si="6"/>
        <v>1364672115760.9675</v>
      </c>
      <c r="AD71" s="16">
        <f t="shared" si="6"/>
        <v>1355024815611.5923</v>
      </c>
      <c r="AE71" s="16">
        <f t="shared" si="6"/>
        <v>1345377515462.2168</v>
      </c>
      <c r="AF71" s="16">
        <f t="shared" si="6"/>
        <v>1335730215312.8418</v>
      </c>
    </row>
    <row r="72" spans="1:32">
      <c r="A72" t="s">
        <v>38</v>
      </c>
      <c r="B72" s="16">
        <f t="shared" si="7"/>
        <v>913756918280.16431</v>
      </c>
      <c r="C72" s="16">
        <f t="shared" si="8"/>
        <v>939783654403.70227</v>
      </c>
      <c r="D72" s="16">
        <f t="shared" si="6"/>
        <v>965810390527.24011</v>
      </c>
      <c r="E72" s="16">
        <f t="shared" si="6"/>
        <v>991837126650.77771</v>
      </c>
      <c r="F72" s="16">
        <f t="shared" si="6"/>
        <v>1003615671686.5436</v>
      </c>
      <c r="G72" s="16">
        <f t="shared" si="6"/>
        <v>1015394216722.3092</v>
      </c>
      <c r="H72" s="16">
        <f t="shared" si="6"/>
        <v>1027172761758.075</v>
      </c>
      <c r="I72" s="16">
        <f t="shared" si="6"/>
        <v>1038951306793.8405</v>
      </c>
      <c r="J72" s="16">
        <f t="shared" si="6"/>
        <v>1050729851829.6062</v>
      </c>
      <c r="K72" s="16">
        <f t="shared" si="6"/>
        <v>1062508396865.3718</v>
      </c>
      <c r="L72" s="16">
        <f t="shared" si="6"/>
        <v>1074286941901.1376</v>
      </c>
      <c r="M72" s="16">
        <f t="shared" si="6"/>
        <v>1074774810630.4297</v>
      </c>
      <c r="N72" s="16">
        <f t="shared" si="6"/>
        <v>1075262679359.7217</v>
      </c>
      <c r="O72" s="16">
        <f t="shared" si="6"/>
        <v>1075750548089.0138</v>
      </c>
      <c r="P72" s="16">
        <f t="shared" si="6"/>
        <v>1076238416818.3059</v>
      </c>
      <c r="Q72" s="16">
        <f t="shared" si="6"/>
        <v>1076726285547.598</v>
      </c>
      <c r="R72" s="16">
        <f t="shared" si="6"/>
        <v>1077214154276.89</v>
      </c>
      <c r="S72" s="16">
        <f t="shared" si="6"/>
        <v>1077702023006.182</v>
      </c>
      <c r="T72" s="16">
        <f t="shared" si="6"/>
        <v>1078189891735.4741</v>
      </c>
      <c r="U72" s="16">
        <f t="shared" si="6"/>
        <v>1078677760464.7662</v>
      </c>
      <c r="V72" s="16">
        <f t="shared" si="6"/>
        <v>1079165629194.0583</v>
      </c>
      <c r="W72" s="16">
        <f t="shared" si="6"/>
        <v>1071896385127.6064</v>
      </c>
      <c r="X72" s="16">
        <f t="shared" si="6"/>
        <v>1064627141061.1545</v>
      </c>
      <c r="Y72" s="16">
        <f t="shared" si="6"/>
        <v>1057357896994.7028</v>
      </c>
      <c r="Z72" s="16">
        <f t="shared" si="6"/>
        <v>1050088652928.2509</v>
      </c>
      <c r="AA72" s="16">
        <f t="shared" si="6"/>
        <v>1042819408861.7991</v>
      </c>
      <c r="AB72" s="16">
        <f t="shared" si="6"/>
        <v>1035550164795.3474</v>
      </c>
      <c r="AC72" s="16">
        <f t="shared" si="6"/>
        <v>1028280920728.8954</v>
      </c>
      <c r="AD72" s="16">
        <f t="shared" si="6"/>
        <v>1021011676662.4437</v>
      </c>
      <c r="AE72" s="16">
        <f t="shared" si="6"/>
        <v>1013742432595.9918</v>
      </c>
      <c r="AF72" s="16">
        <f t="shared" si="6"/>
        <v>1006473188529.5398</v>
      </c>
    </row>
    <row r="73" spans="1:32">
      <c r="A73" t="s">
        <v>40</v>
      </c>
      <c r="B73" s="16">
        <f t="shared" si="7"/>
        <v>153429536700.19574</v>
      </c>
      <c r="C73" s="16">
        <f t="shared" si="8"/>
        <v>157799703410.14374</v>
      </c>
      <c r="D73" s="16">
        <f t="shared" si="6"/>
        <v>162169870120.09177</v>
      </c>
      <c r="E73" s="16">
        <f t="shared" si="6"/>
        <v>166540036830.03976</v>
      </c>
      <c r="F73" s="16">
        <f t="shared" si="6"/>
        <v>168517780222.9339</v>
      </c>
      <c r="G73" s="16">
        <f t="shared" si="6"/>
        <v>170495523615.82806</v>
      </c>
      <c r="H73" s="16">
        <f t="shared" si="6"/>
        <v>172473267008.7222</v>
      </c>
      <c r="I73" s="16">
        <f t="shared" si="6"/>
        <v>174451010401.61636</v>
      </c>
      <c r="J73" s="16">
        <f t="shared" si="6"/>
        <v>176428753794.51053</v>
      </c>
      <c r="K73" s="16">
        <f t="shared" si="6"/>
        <v>178406497187.40466</v>
      </c>
      <c r="L73" s="16">
        <f t="shared" si="6"/>
        <v>180384240580.29886</v>
      </c>
      <c r="M73" s="16">
        <f t="shared" si="6"/>
        <v>180466158945.685</v>
      </c>
      <c r="N73" s="16">
        <f t="shared" si="6"/>
        <v>180548077311.07114</v>
      </c>
      <c r="O73" s="16">
        <f t="shared" si="6"/>
        <v>180629995676.45728</v>
      </c>
      <c r="P73" s="16">
        <f t="shared" si="6"/>
        <v>180711914041.84341</v>
      </c>
      <c r="Q73" s="16">
        <f t="shared" si="6"/>
        <v>180793832407.22958</v>
      </c>
      <c r="R73" s="16">
        <f t="shared" si="6"/>
        <v>180875750772.61572</v>
      </c>
      <c r="S73" s="16">
        <f t="shared" si="6"/>
        <v>180957669138.00186</v>
      </c>
      <c r="T73" s="16">
        <f t="shared" si="6"/>
        <v>181039587503.388</v>
      </c>
      <c r="U73" s="16">
        <f t="shared" si="6"/>
        <v>181121505868.77414</v>
      </c>
      <c r="V73" s="16">
        <f t="shared" si="6"/>
        <v>181203424234.16034</v>
      </c>
      <c r="W73" s="16">
        <f t="shared" si="6"/>
        <v>179982840589.90671</v>
      </c>
      <c r="X73" s="16">
        <f t="shared" si="6"/>
        <v>178762256945.65308</v>
      </c>
      <c r="Y73" s="16">
        <f t="shared" si="6"/>
        <v>177541673301.39944</v>
      </c>
      <c r="Z73" s="16">
        <f t="shared" si="6"/>
        <v>176321089657.14587</v>
      </c>
      <c r="AA73" s="16">
        <f t="shared" si="6"/>
        <v>175100506012.89224</v>
      </c>
      <c r="AB73" s="16">
        <f t="shared" si="6"/>
        <v>173879922368.63867</v>
      </c>
      <c r="AC73" s="16">
        <f t="shared" si="6"/>
        <v>172659338724.38504</v>
      </c>
      <c r="AD73" s="16">
        <f t="shared" si="6"/>
        <v>171438755080.13141</v>
      </c>
      <c r="AE73" s="16">
        <f t="shared" si="6"/>
        <v>170218171435.87784</v>
      </c>
      <c r="AF73" s="16">
        <f t="shared" si="6"/>
        <v>168997587791.62421</v>
      </c>
    </row>
    <row r="74" spans="1:32">
      <c r="A74" t="s">
        <v>42</v>
      </c>
      <c r="B74" s="16">
        <f t="shared" si="7"/>
        <v>875938236130.62122</v>
      </c>
      <c r="C74" s="16">
        <f t="shared" si="8"/>
        <v>900887774543.08862</v>
      </c>
      <c r="D74" s="16">
        <f t="shared" si="6"/>
        <v>925837312955.55603</v>
      </c>
      <c r="E74" s="16">
        <f t="shared" si="6"/>
        <v>950786851368.02356</v>
      </c>
      <c r="F74" s="16">
        <f t="shared" si="6"/>
        <v>962077904553.40735</v>
      </c>
      <c r="G74" s="16">
        <f t="shared" si="6"/>
        <v>973368957738.79114</v>
      </c>
      <c r="H74" s="16">
        <f t="shared" si="6"/>
        <v>984660010924.1748</v>
      </c>
      <c r="I74" s="16">
        <f t="shared" si="6"/>
        <v>995951064109.55847</v>
      </c>
      <c r="J74" s="16">
        <f t="shared" si="6"/>
        <v>1007242117294.9421</v>
      </c>
      <c r="K74" s="16">
        <f t="shared" si="6"/>
        <v>1018533170480.326</v>
      </c>
      <c r="L74" s="16">
        <f t="shared" si="6"/>
        <v>1029824223665.7097</v>
      </c>
      <c r="M74" s="16">
        <f t="shared" si="6"/>
        <v>1030291900424.8677</v>
      </c>
      <c r="N74" s="16">
        <f t="shared" si="6"/>
        <v>1030759577184.0255</v>
      </c>
      <c r="O74" s="16">
        <f t="shared" si="6"/>
        <v>1031227253943.1835</v>
      </c>
      <c r="P74" s="16">
        <f t="shared" si="6"/>
        <v>1031694930702.3414</v>
      </c>
      <c r="Q74" s="16">
        <f t="shared" si="6"/>
        <v>1032162607461.4991</v>
      </c>
      <c r="R74" s="16">
        <f t="shared" si="6"/>
        <v>1032630284220.6572</v>
      </c>
      <c r="S74" s="16">
        <f t="shared" si="6"/>
        <v>1033097960979.8149</v>
      </c>
      <c r="T74" s="16">
        <f t="shared" si="6"/>
        <v>1033565637738.9729</v>
      </c>
      <c r="U74" s="16">
        <f t="shared" si="6"/>
        <v>1034033314498.131</v>
      </c>
      <c r="V74" s="16">
        <f t="shared" si="6"/>
        <v>1034500991257.2887</v>
      </c>
      <c r="W74" s="16">
        <f t="shared" si="6"/>
        <v>1027532607545.8361</v>
      </c>
      <c r="X74" s="16">
        <f t="shared" si="6"/>
        <v>1020564223834.3831</v>
      </c>
      <c r="Y74" s="16">
        <f t="shared" si="6"/>
        <v>1013595840122.9305</v>
      </c>
      <c r="Z74" s="16">
        <f t="shared" si="6"/>
        <v>1006627456411.4775</v>
      </c>
      <c r="AA74" s="16">
        <f t="shared" si="6"/>
        <v>999659072700.02478</v>
      </c>
      <c r="AB74" s="16">
        <f t="shared" si="6"/>
        <v>992690688988.57202</v>
      </c>
      <c r="AC74" s="16">
        <f t="shared" si="6"/>
        <v>985722305277.11926</v>
      </c>
      <c r="AD74" s="16">
        <f t="shared" si="6"/>
        <v>978753921565.66638</v>
      </c>
      <c r="AE74" s="16">
        <f t="shared" si="6"/>
        <v>971785537854.21362</v>
      </c>
      <c r="AF74" s="16">
        <f t="shared" si="6"/>
        <v>964817154142.76086</v>
      </c>
    </row>
    <row r="75" spans="1:32">
      <c r="A75" t="s">
        <v>1022</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1023</v>
      </c>
      <c r="B76" s="16">
        <f t="shared" si="7"/>
        <v>7824152057904.2373</v>
      </c>
      <c r="C76" s="16">
        <f t="shared" si="8"/>
        <v>8032899593098.0957</v>
      </c>
      <c r="D76" s="16">
        <f t="shared" si="6"/>
        <v>8241647128291.9551</v>
      </c>
      <c r="E76" s="16">
        <f t="shared" si="6"/>
        <v>8450394663485.8613</v>
      </c>
      <c r="F76" s="16">
        <f t="shared" si="6"/>
        <v>8781375464920.9248</v>
      </c>
      <c r="G76" s="16">
        <f t="shared" si="6"/>
        <v>9112356266355.9883</v>
      </c>
      <c r="H76" s="16">
        <f t="shared" si="6"/>
        <v>9443337067791.0527</v>
      </c>
      <c r="I76" s="16">
        <f t="shared" si="6"/>
        <v>9774317869226.1172</v>
      </c>
      <c r="J76" s="16">
        <f t="shared" si="6"/>
        <v>10105298670661.18</v>
      </c>
      <c r="K76" s="16">
        <f t="shared" si="6"/>
        <v>10436279472096.244</v>
      </c>
      <c r="L76" s="16">
        <f t="shared" si="6"/>
        <v>10767260273531.311</v>
      </c>
      <c r="M76" s="16">
        <f t="shared" ref="D76:AF85" si="9">IFERROR($B76*M20/$B20,0)</f>
        <v>11012380606540.088</v>
      </c>
      <c r="N76" s="16">
        <f t="shared" si="9"/>
        <v>11257500939548.867</v>
      </c>
      <c r="O76" s="16">
        <f t="shared" si="9"/>
        <v>11502621272557.648</v>
      </c>
      <c r="P76" s="16">
        <f t="shared" si="9"/>
        <v>11747741605566.426</v>
      </c>
      <c r="Q76" s="16">
        <f t="shared" si="9"/>
        <v>11992861938575.205</v>
      </c>
      <c r="R76" s="16">
        <f t="shared" si="9"/>
        <v>12237982271583.988</v>
      </c>
      <c r="S76" s="16">
        <f t="shared" si="9"/>
        <v>12483102604592.766</v>
      </c>
      <c r="T76" s="16">
        <f t="shared" si="9"/>
        <v>12728222937601.545</v>
      </c>
      <c r="U76" s="16">
        <f t="shared" si="9"/>
        <v>12973343270610.328</v>
      </c>
      <c r="V76" s="16">
        <f t="shared" si="9"/>
        <v>13218463603619.105</v>
      </c>
      <c r="W76" s="16">
        <f t="shared" si="9"/>
        <v>13394390809592.375</v>
      </c>
      <c r="X76" s="16">
        <f t="shared" si="9"/>
        <v>13570318015565.645</v>
      </c>
      <c r="Y76" s="16">
        <f t="shared" si="9"/>
        <v>13746245221538.908</v>
      </c>
      <c r="Z76" s="16">
        <f t="shared" si="9"/>
        <v>13922172427512.18</v>
      </c>
      <c r="AA76" s="16">
        <f t="shared" si="9"/>
        <v>14098099633485.449</v>
      </c>
      <c r="AB76" s="16">
        <f t="shared" si="9"/>
        <v>14274026839458.715</v>
      </c>
      <c r="AC76" s="16">
        <f t="shared" si="9"/>
        <v>14449954045431.986</v>
      </c>
      <c r="AD76" s="16">
        <f t="shared" si="9"/>
        <v>14625881251405.252</v>
      </c>
      <c r="AE76" s="16">
        <f t="shared" si="9"/>
        <v>14801808457378.521</v>
      </c>
      <c r="AF76" s="16">
        <f t="shared" si="9"/>
        <v>14977735663351.789</v>
      </c>
    </row>
    <row r="77" spans="1:32">
      <c r="A77" t="s">
        <v>51</v>
      </c>
      <c r="B77" s="16">
        <f t="shared" si="7"/>
        <v>6347569887057.0508</v>
      </c>
      <c r="C77" s="16">
        <f t="shared" si="8"/>
        <v>6516922368781.293</v>
      </c>
      <c r="D77" s="16">
        <f t="shared" si="9"/>
        <v>6686274850505.5342</v>
      </c>
      <c r="E77" s="16">
        <f t="shared" si="9"/>
        <v>6855627332229.8154</v>
      </c>
      <c r="F77" s="16">
        <f t="shared" si="9"/>
        <v>7124145090171.4951</v>
      </c>
      <c r="G77" s="16">
        <f t="shared" si="9"/>
        <v>7392662848113.1729</v>
      </c>
      <c r="H77" s="16">
        <f t="shared" si="9"/>
        <v>7661180606054.8525</v>
      </c>
      <c r="I77" s="16">
        <f t="shared" si="9"/>
        <v>7929698363996.5332</v>
      </c>
      <c r="J77" s="16">
        <f t="shared" si="9"/>
        <v>8198216121938.2129</v>
      </c>
      <c r="K77" s="16">
        <f t="shared" si="9"/>
        <v>8466733879879.8906</v>
      </c>
      <c r="L77" s="16">
        <f t="shared" si="9"/>
        <v>8735251637821.5693</v>
      </c>
      <c r="M77" s="16">
        <f t="shared" si="9"/>
        <v>8934112604862.7324</v>
      </c>
      <c r="N77" s="16">
        <f t="shared" si="9"/>
        <v>9132973571903.8906</v>
      </c>
      <c r="O77" s="16">
        <f t="shared" si="9"/>
        <v>9331834538945.0527</v>
      </c>
      <c r="P77" s="16">
        <f t="shared" si="9"/>
        <v>9530695505986.2148</v>
      </c>
      <c r="Q77" s="16">
        <f t="shared" si="9"/>
        <v>9729556473027.375</v>
      </c>
      <c r="R77" s="16">
        <f t="shared" si="9"/>
        <v>9928417440068.5352</v>
      </c>
      <c r="S77" s="16">
        <f t="shared" si="9"/>
        <v>10127278407109.697</v>
      </c>
      <c r="T77" s="16">
        <f t="shared" si="9"/>
        <v>10326139374150.859</v>
      </c>
      <c r="U77" s="16">
        <f t="shared" si="9"/>
        <v>10525000341192.02</v>
      </c>
      <c r="V77" s="16">
        <f t="shared" si="9"/>
        <v>10723861308233.182</v>
      </c>
      <c r="W77" s="16">
        <f t="shared" si="9"/>
        <v>10866587347641.102</v>
      </c>
      <c r="X77" s="16">
        <f t="shared" si="9"/>
        <v>11009313387049.021</v>
      </c>
      <c r="Y77" s="16">
        <f t="shared" si="9"/>
        <v>11152039426456.939</v>
      </c>
      <c r="Z77" s="16">
        <f t="shared" si="9"/>
        <v>11294765465864.861</v>
      </c>
      <c r="AA77" s="16">
        <f t="shared" si="9"/>
        <v>11437491505272.781</v>
      </c>
      <c r="AB77" s="16">
        <f t="shared" si="9"/>
        <v>11580217544680.701</v>
      </c>
      <c r="AC77" s="16">
        <f t="shared" si="9"/>
        <v>11722943584088.623</v>
      </c>
      <c r="AD77" s="16">
        <f t="shared" si="9"/>
        <v>11865669623496.543</v>
      </c>
      <c r="AE77" s="16">
        <f t="shared" si="9"/>
        <v>12008395662904.463</v>
      </c>
      <c r="AF77" s="16">
        <f t="shared" si="9"/>
        <v>12151121702312.385</v>
      </c>
    </row>
    <row r="78" spans="1:32">
      <c r="A78" t="s">
        <v>53</v>
      </c>
      <c r="B78" s="16">
        <f t="shared" si="7"/>
        <v>294604022972.90814</v>
      </c>
      <c r="C78" s="16">
        <f t="shared" si="8"/>
        <v>302995293138.36981</v>
      </c>
      <c r="D78" s="16">
        <f t="shared" si="9"/>
        <v>311386563303.83148</v>
      </c>
      <c r="E78" s="16">
        <f t="shared" si="9"/>
        <v>319777833469.29315</v>
      </c>
      <c r="F78" s="16">
        <f t="shared" si="9"/>
        <v>323575349726.50006</v>
      </c>
      <c r="G78" s="16">
        <f t="shared" si="9"/>
        <v>327372865983.70685</v>
      </c>
      <c r="H78" s="16">
        <f t="shared" si="9"/>
        <v>331170382240.9137</v>
      </c>
      <c r="I78" s="16">
        <f t="shared" si="9"/>
        <v>334967898498.12048</v>
      </c>
      <c r="J78" s="16">
        <f t="shared" si="9"/>
        <v>338765414755.32739</v>
      </c>
      <c r="K78" s="16">
        <f t="shared" si="9"/>
        <v>342562931012.53418</v>
      </c>
      <c r="L78" s="16">
        <f t="shared" si="9"/>
        <v>346360447269.74109</v>
      </c>
      <c r="M78" s="16">
        <f t="shared" si="9"/>
        <v>346517740842.52472</v>
      </c>
      <c r="N78" s="16">
        <f t="shared" si="9"/>
        <v>346675034415.30847</v>
      </c>
      <c r="O78" s="16">
        <f t="shared" si="9"/>
        <v>346832327988.09222</v>
      </c>
      <c r="P78" s="16">
        <f t="shared" si="9"/>
        <v>346989621560.87592</v>
      </c>
      <c r="Q78" s="16">
        <f t="shared" si="9"/>
        <v>347146915133.65967</v>
      </c>
      <c r="R78" s="16">
        <f t="shared" si="9"/>
        <v>347304208706.44342</v>
      </c>
      <c r="S78" s="16">
        <f t="shared" si="9"/>
        <v>347461502279.22705</v>
      </c>
      <c r="T78" s="16">
        <f t="shared" si="9"/>
        <v>347618795852.01074</v>
      </c>
      <c r="U78" s="16">
        <f t="shared" si="9"/>
        <v>347776089424.79449</v>
      </c>
      <c r="V78" s="16">
        <f t="shared" si="9"/>
        <v>347933382997.57825</v>
      </c>
      <c r="W78" s="16">
        <f t="shared" si="9"/>
        <v>345589708763.10083</v>
      </c>
      <c r="X78" s="16">
        <f t="shared" si="9"/>
        <v>343246034528.62347</v>
      </c>
      <c r="Y78" s="16">
        <f t="shared" si="9"/>
        <v>340902360294.14612</v>
      </c>
      <c r="Z78" s="16">
        <f t="shared" si="9"/>
        <v>338558686059.66876</v>
      </c>
      <c r="AA78" s="16">
        <f t="shared" si="9"/>
        <v>336215011825.19147</v>
      </c>
      <c r="AB78" s="16">
        <f t="shared" si="9"/>
        <v>333871337590.71411</v>
      </c>
      <c r="AC78" s="16">
        <f t="shared" si="9"/>
        <v>331527663356.23669</v>
      </c>
      <c r="AD78" s="16">
        <f t="shared" si="9"/>
        <v>329183989121.75934</v>
      </c>
      <c r="AE78" s="16">
        <f t="shared" si="9"/>
        <v>326840314887.28198</v>
      </c>
      <c r="AF78" s="16">
        <f t="shared" si="9"/>
        <v>324496640652.80463</v>
      </c>
    </row>
    <row r="79" spans="1:32">
      <c r="A79" t="s">
        <v>56</v>
      </c>
      <c r="B79" s="16">
        <f t="shared" si="7"/>
        <v>742454203403.88867</v>
      </c>
      <c r="C79" s="16">
        <f t="shared" si="8"/>
        <v>763601687214.10669</v>
      </c>
      <c r="D79" s="16">
        <f t="shared" si="9"/>
        <v>784749171024.32471</v>
      </c>
      <c r="E79" s="16">
        <f t="shared" si="9"/>
        <v>805896654834.54272</v>
      </c>
      <c r="F79" s="16">
        <f t="shared" si="9"/>
        <v>815467066939.59778</v>
      </c>
      <c r="G79" s="16">
        <f t="shared" si="9"/>
        <v>825037479044.65271</v>
      </c>
      <c r="H79" s="16">
        <f t="shared" si="9"/>
        <v>834607891149.70789</v>
      </c>
      <c r="I79" s="16">
        <f t="shared" si="9"/>
        <v>844178303254.76282</v>
      </c>
      <c r="J79" s="16">
        <f t="shared" si="9"/>
        <v>853748715359.81787</v>
      </c>
      <c r="K79" s="16">
        <f t="shared" si="9"/>
        <v>863319127464.87268</v>
      </c>
      <c r="L79" s="16">
        <f t="shared" si="9"/>
        <v>872889539569.92786</v>
      </c>
      <c r="M79" s="16">
        <f t="shared" si="9"/>
        <v>873285947171.91223</v>
      </c>
      <c r="N79" s="16">
        <f t="shared" si="9"/>
        <v>873682354773.89685</v>
      </c>
      <c r="O79" s="16">
        <f t="shared" si="9"/>
        <v>874078762375.88135</v>
      </c>
      <c r="P79" s="16">
        <f t="shared" si="9"/>
        <v>874475169977.86584</v>
      </c>
      <c r="Q79" s="16">
        <f t="shared" si="9"/>
        <v>874871577579.85046</v>
      </c>
      <c r="R79" s="16">
        <f t="shared" si="9"/>
        <v>875267985181.83496</v>
      </c>
      <c r="S79" s="16">
        <f t="shared" si="9"/>
        <v>875664392783.81946</v>
      </c>
      <c r="T79" s="16">
        <f t="shared" si="9"/>
        <v>876060800385.80408</v>
      </c>
      <c r="U79" s="16">
        <f t="shared" si="9"/>
        <v>876457207987.78857</v>
      </c>
      <c r="V79" s="16">
        <f t="shared" si="9"/>
        <v>876853615589.77307</v>
      </c>
      <c r="W79" s="16">
        <f t="shared" si="9"/>
        <v>870947142320.20374</v>
      </c>
      <c r="X79" s="16">
        <f t="shared" si="9"/>
        <v>865040669050.63403</v>
      </c>
      <c r="Y79" s="16">
        <f t="shared" si="9"/>
        <v>859134195781.06458</v>
      </c>
      <c r="Z79" s="16">
        <f t="shared" si="9"/>
        <v>853227722511.49524</v>
      </c>
      <c r="AA79" s="16">
        <f t="shared" si="9"/>
        <v>847321249241.92578</v>
      </c>
      <c r="AB79" s="16">
        <f t="shared" si="9"/>
        <v>841414775972.35632</v>
      </c>
      <c r="AC79" s="16">
        <f t="shared" si="9"/>
        <v>835508302702.78687</v>
      </c>
      <c r="AD79" s="16">
        <f t="shared" si="9"/>
        <v>829601829433.21753</v>
      </c>
      <c r="AE79" s="16">
        <f t="shared" si="9"/>
        <v>823695356163.64807</v>
      </c>
      <c r="AF79" s="16">
        <f t="shared" si="9"/>
        <v>817788882894.07861</v>
      </c>
    </row>
    <row r="80" spans="1:32">
      <c r="A80" t="s">
        <v>58</v>
      </c>
      <c r="B80" s="16">
        <f t="shared" si="7"/>
        <v>6802612033014.8252</v>
      </c>
      <c r="C80" s="16">
        <f t="shared" si="8"/>
        <v>6856088041540.2295</v>
      </c>
      <c r="D80" s="16">
        <f t="shared" si="9"/>
        <v>6909564050065.6328</v>
      </c>
      <c r="E80" s="16">
        <f t="shared" si="9"/>
        <v>6963040058591.0381</v>
      </c>
      <c r="F80" s="16">
        <f t="shared" si="9"/>
        <v>7194935053361.8662</v>
      </c>
      <c r="G80" s="16">
        <f t="shared" si="9"/>
        <v>7426830048132.6963</v>
      </c>
      <c r="H80" s="16">
        <f t="shared" si="9"/>
        <v>7658725042903.5244</v>
      </c>
      <c r="I80" s="16">
        <f t="shared" si="9"/>
        <v>7890620037674.3555</v>
      </c>
      <c r="J80" s="16">
        <f t="shared" si="9"/>
        <v>8122515032445.1836</v>
      </c>
      <c r="K80" s="16">
        <f t="shared" si="9"/>
        <v>8354410027216.0127</v>
      </c>
      <c r="L80" s="16">
        <f t="shared" si="9"/>
        <v>8586305021986.8408</v>
      </c>
      <c r="M80" s="16">
        <f t="shared" si="9"/>
        <v>8593971365756.4736</v>
      </c>
      <c r="N80" s="16">
        <f t="shared" si="9"/>
        <v>8601637709526.1035</v>
      </c>
      <c r="O80" s="16">
        <f t="shared" si="9"/>
        <v>8609304053295.7363</v>
      </c>
      <c r="P80" s="16">
        <f t="shared" si="9"/>
        <v>8616970397065.3662</v>
      </c>
      <c r="Q80" s="16">
        <f t="shared" si="9"/>
        <v>8624636740834.9971</v>
      </c>
      <c r="R80" s="16">
        <f t="shared" si="9"/>
        <v>8632303084604.6289</v>
      </c>
      <c r="S80" s="16">
        <f t="shared" si="9"/>
        <v>8639969428374.2598</v>
      </c>
      <c r="T80" s="16">
        <f t="shared" si="9"/>
        <v>8647635772143.8936</v>
      </c>
      <c r="U80" s="16">
        <f t="shared" si="9"/>
        <v>8655302115913.5234</v>
      </c>
      <c r="V80" s="16">
        <f t="shared" si="9"/>
        <v>8662968459683.1543</v>
      </c>
      <c r="W80" s="16">
        <f t="shared" si="9"/>
        <v>8645969175672.2324</v>
      </c>
      <c r="X80" s="16">
        <f t="shared" si="9"/>
        <v>8628969891661.3105</v>
      </c>
      <c r="Y80" s="16">
        <f t="shared" si="9"/>
        <v>8611970607650.3896</v>
      </c>
      <c r="Z80" s="16">
        <f t="shared" si="9"/>
        <v>8594971323639.4678</v>
      </c>
      <c r="AA80" s="16">
        <f t="shared" si="9"/>
        <v>8577972039628.5479</v>
      </c>
      <c r="AB80" s="16">
        <f t="shared" si="9"/>
        <v>8560972755617.626</v>
      </c>
      <c r="AC80" s="16">
        <f t="shared" si="9"/>
        <v>8543973471606.7051</v>
      </c>
      <c r="AD80" s="16">
        <f t="shared" si="9"/>
        <v>8526974187595.7832</v>
      </c>
      <c r="AE80" s="16">
        <f t="shared" si="9"/>
        <v>8509974903584.8633</v>
      </c>
      <c r="AF80" s="16">
        <f t="shared" si="9"/>
        <v>8492975619573.9414</v>
      </c>
    </row>
    <row r="81" spans="1:32">
      <c r="A81" t="s">
        <v>61</v>
      </c>
      <c r="B81" s="16">
        <f t="shared" si="7"/>
        <v>1078660765864.2743</v>
      </c>
      <c r="C81" s="16">
        <f t="shared" si="8"/>
        <v>1089057023473.0769</v>
      </c>
      <c r="D81" s="16">
        <f t="shared" si="9"/>
        <v>1099453281081.8798</v>
      </c>
      <c r="E81" s="16">
        <f t="shared" si="9"/>
        <v>1109849538690.6826</v>
      </c>
      <c r="F81" s="16">
        <f t="shared" si="9"/>
        <v>1152709581851.5017</v>
      </c>
      <c r="G81" s="16">
        <f t="shared" si="9"/>
        <v>1195569625012.3208</v>
      </c>
      <c r="H81" s="16">
        <f t="shared" si="9"/>
        <v>1238429668173.1396</v>
      </c>
      <c r="I81" s="16">
        <f t="shared" si="9"/>
        <v>1281289711333.9587</v>
      </c>
      <c r="J81" s="16">
        <f t="shared" si="9"/>
        <v>1324149754494.7778</v>
      </c>
      <c r="K81" s="16">
        <f t="shared" si="9"/>
        <v>1367009797655.5967</v>
      </c>
      <c r="L81" s="16">
        <f t="shared" si="9"/>
        <v>1409869840816.416</v>
      </c>
      <c r="M81" s="16">
        <f t="shared" si="9"/>
        <v>1416298847290.5388</v>
      </c>
      <c r="N81" s="16">
        <f t="shared" si="9"/>
        <v>1422727853764.6616</v>
      </c>
      <c r="O81" s="16">
        <f t="shared" si="9"/>
        <v>1429156860238.7844</v>
      </c>
      <c r="P81" s="16">
        <f t="shared" si="9"/>
        <v>1435585866712.9072</v>
      </c>
      <c r="Q81" s="16">
        <f t="shared" si="9"/>
        <v>1442014873187.03</v>
      </c>
      <c r="R81" s="16">
        <f t="shared" si="9"/>
        <v>1448443879661.1531</v>
      </c>
      <c r="S81" s="16">
        <f t="shared" si="9"/>
        <v>1454872886135.2759</v>
      </c>
      <c r="T81" s="16">
        <f t="shared" si="9"/>
        <v>1461301892609.3987</v>
      </c>
      <c r="U81" s="16">
        <f t="shared" si="9"/>
        <v>1467730899083.5217</v>
      </c>
      <c r="V81" s="16">
        <f t="shared" si="9"/>
        <v>1474159905557.6445</v>
      </c>
      <c r="W81" s="16">
        <f t="shared" si="9"/>
        <v>1468069267845.3176</v>
      </c>
      <c r="X81" s="16">
        <f t="shared" si="9"/>
        <v>1461978630132.9905</v>
      </c>
      <c r="Y81" s="16">
        <f t="shared" si="9"/>
        <v>1455887992420.6636</v>
      </c>
      <c r="Z81" s="16">
        <f t="shared" si="9"/>
        <v>1449797354708.3367</v>
      </c>
      <c r="AA81" s="16">
        <f t="shared" si="9"/>
        <v>1443706716996.0098</v>
      </c>
      <c r="AB81" s="16">
        <f t="shared" si="9"/>
        <v>1437616079283.6829</v>
      </c>
      <c r="AC81" s="16">
        <f t="shared" si="9"/>
        <v>1431525441571.356</v>
      </c>
      <c r="AD81" s="16">
        <f t="shared" si="9"/>
        <v>1425434803859.0291</v>
      </c>
      <c r="AE81" s="16">
        <f t="shared" si="9"/>
        <v>1419344166146.7021</v>
      </c>
      <c r="AF81" s="16">
        <f t="shared" si="9"/>
        <v>1413253528434.375</v>
      </c>
    </row>
    <row r="82" spans="1:32">
      <c r="A82" t="s">
        <v>65</v>
      </c>
      <c r="B82" s="16">
        <f t="shared" si="7"/>
        <v>2109031059406.1577</v>
      </c>
      <c r="C82" s="16">
        <f t="shared" si="8"/>
        <v>2129358145448.8069</v>
      </c>
      <c r="D82" s="16">
        <f t="shared" si="9"/>
        <v>2149685231491.4556</v>
      </c>
      <c r="E82" s="16">
        <f t="shared" si="9"/>
        <v>2170012317534.1047</v>
      </c>
      <c r="F82" s="16">
        <f t="shared" si="9"/>
        <v>2253813606219.3647</v>
      </c>
      <c r="G82" s="16">
        <f t="shared" si="9"/>
        <v>2337614894904.6245</v>
      </c>
      <c r="H82" s="16">
        <f t="shared" si="9"/>
        <v>2421416183589.8848</v>
      </c>
      <c r="I82" s="16">
        <f t="shared" si="9"/>
        <v>2505217472275.145</v>
      </c>
      <c r="J82" s="16">
        <f t="shared" si="9"/>
        <v>2589018760960.4053</v>
      </c>
      <c r="K82" s="16">
        <f t="shared" si="9"/>
        <v>2672820049645.6655</v>
      </c>
      <c r="L82" s="16">
        <f t="shared" si="9"/>
        <v>2756621338330.9253</v>
      </c>
      <c r="M82" s="16">
        <f t="shared" si="9"/>
        <v>2769191531633.7144</v>
      </c>
      <c r="N82" s="16">
        <f t="shared" si="9"/>
        <v>2781761724936.5034</v>
      </c>
      <c r="O82" s="16">
        <f t="shared" si="9"/>
        <v>2794331918239.2925</v>
      </c>
      <c r="P82" s="16">
        <f t="shared" si="9"/>
        <v>2806902111542.0815</v>
      </c>
      <c r="Q82" s="16">
        <f t="shared" si="9"/>
        <v>2819472304844.8706</v>
      </c>
      <c r="R82" s="16">
        <f t="shared" si="9"/>
        <v>2832042498147.6597</v>
      </c>
      <c r="S82" s="16">
        <f t="shared" si="9"/>
        <v>2844612691450.4482</v>
      </c>
      <c r="T82" s="16">
        <f t="shared" si="9"/>
        <v>2857182884753.2378</v>
      </c>
      <c r="U82" s="16">
        <f t="shared" si="9"/>
        <v>2869753078056.0269</v>
      </c>
      <c r="V82" s="16">
        <f t="shared" si="9"/>
        <v>2882323271358.8154</v>
      </c>
      <c r="W82" s="16">
        <f t="shared" si="9"/>
        <v>2870414667177.2261</v>
      </c>
      <c r="X82" s="16">
        <f t="shared" si="9"/>
        <v>2858506062995.6362</v>
      </c>
      <c r="Y82" s="16">
        <f t="shared" si="9"/>
        <v>2846597458814.0469</v>
      </c>
      <c r="Z82" s="16">
        <f t="shared" si="9"/>
        <v>2834688854632.457</v>
      </c>
      <c r="AA82" s="16">
        <f t="shared" si="9"/>
        <v>2822780250450.8677</v>
      </c>
      <c r="AB82" s="16">
        <f t="shared" si="9"/>
        <v>2810871646269.2778</v>
      </c>
      <c r="AC82" s="16">
        <f t="shared" si="9"/>
        <v>2798963042087.6885</v>
      </c>
      <c r="AD82" s="16">
        <f t="shared" si="9"/>
        <v>2787054437906.0986</v>
      </c>
      <c r="AE82" s="16">
        <f t="shared" si="9"/>
        <v>2775145833724.5093</v>
      </c>
      <c r="AF82" s="16">
        <f t="shared" si="9"/>
        <v>2763237229542.9194</v>
      </c>
    </row>
    <row r="83" spans="1:32">
      <c r="A83" t="s">
        <v>67</v>
      </c>
      <c r="B83" s="16">
        <f t="shared" si="7"/>
        <v>13034044235573.143</v>
      </c>
      <c r="C83" s="16">
        <f t="shared" si="8"/>
        <v>13497868911700.152</v>
      </c>
      <c r="D83" s="16">
        <f t="shared" si="9"/>
        <v>13961693587827.35</v>
      </c>
      <c r="E83" s="16">
        <f t="shared" si="9"/>
        <v>14425518263954.451</v>
      </c>
      <c r="F83" s="16">
        <f t="shared" si="9"/>
        <v>14675687029789.691</v>
      </c>
      <c r="G83" s="16">
        <f t="shared" si="9"/>
        <v>14925855795624.93</v>
      </c>
      <c r="H83" s="16">
        <f t="shared" si="9"/>
        <v>15176024561460.166</v>
      </c>
      <c r="I83" s="16">
        <f t="shared" si="9"/>
        <v>15426193327295.408</v>
      </c>
      <c r="J83" s="16">
        <f t="shared" si="9"/>
        <v>15676362093130.645</v>
      </c>
      <c r="K83" s="16">
        <f t="shared" si="9"/>
        <v>15926530858965.883</v>
      </c>
      <c r="L83" s="16">
        <f t="shared" si="9"/>
        <v>16176699624801.121</v>
      </c>
      <c r="M83" s="16">
        <f t="shared" si="9"/>
        <v>16273966931644.346</v>
      </c>
      <c r="N83" s="16">
        <f t="shared" si="9"/>
        <v>16371234238487.574</v>
      </c>
      <c r="O83" s="16">
        <f t="shared" si="9"/>
        <v>16468501545330.801</v>
      </c>
      <c r="P83" s="16">
        <f t="shared" si="9"/>
        <v>16565768852174.025</v>
      </c>
      <c r="Q83" s="16">
        <f t="shared" si="9"/>
        <v>16663036159017.25</v>
      </c>
      <c r="R83" s="16">
        <f t="shared" si="9"/>
        <v>16760303465860.475</v>
      </c>
      <c r="S83" s="16">
        <f t="shared" si="9"/>
        <v>16857570772703.701</v>
      </c>
      <c r="T83" s="16">
        <f t="shared" si="9"/>
        <v>16954838079546.93</v>
      </c>
      <c r="U83" s="16">
        <f t="shared" si="9"/>
        <v>17052105386390.154</v>
      </c>
      <c r="V83" s="16">
        <f t="shared" si="9"/>
        <v>17149372693233.375</v>
      </c>
      <c r="W83" s="16">
        <f t="shared" si="9"/>
        <v>17098520013800.123</v>
      </c>
      <c r="X83" s="16">
        <f t="shared" si="9"/>
        <v>17047667334366.877</v>
      </c>
      <c r="Y83" s="16">
        <f t="shared" si="9"/>
        <v>16996814654933.631</v>
      </c>
      <c r="Z83" s="16">
        <f t="shared" si="9"/>
        <v>16945961975500.385</v>
      </c>
      <c r="AA83" s="16">
        <f t="shared" si="9"/>
        <v>16895109296067.139</v>
      </c>
      <c r="AB83" s="16">
        <f t="shared" si="9"/>
        <v>16844256616633.895</v>
      </c>
      <c r="AC83" s="16">
        <f t="shared" si="9"/>
        <v>16793403937200.648</v>
      </c>
      <c r="AD83" s="16">
        <f t="shared" si="9"/>
        <v>16742551257767.402</v>
      </c>
      <c r="AE83" s="16">
        <f t="shared" si="9"/>
        <v>16691698578334.156</v>
      </c>
      <c r="AF83" s="16">
        <f t="shared" si="9"/>
        <v>16640845898900.926</v>
      </c>
    </row>
    <row r="84" spans="1:32">
      <c r="A84" t="s">
        <v>71</v>
      </c>
      <c r="B84" s="16">
        <f t="shared" si="7"/>
        <v>2269747439960.5781</v>
      </c>
      <c r="C84" s="16">
        <f t="shared" si="8"/>
        <v>2350517832649.3315</v>
      </c>
      <c r="D84" s="16">
        <f t="shared" si="9"/>
        <v>2431288225338.1172</v>
      </c>
      <c r="E84" s="16">
        <f t="shared" si="9"/>
        <v>2512058618026.8872</v>
      </c>
      <c r="F84" s="16">
        <f t="shared" si="9"/>
        <v>2555622987270.2339</v>
      </c>
      <c r="G84" s="16">
        <f t="shared" si="9"/>
        <v>2599187356513.5815</v>
      </c>
      <c r="H84" s="16">
        <f t="shared" si="9"/>
        <v>2642751725756.9287</v>
      </c>
      <c r="I84" s="16">
        <f t="shared" si="9"/>
        <v>2686316095000.2759</v>
      </c>
      <c r="J84" s="16">
        <f t="shared" si="9"/>
        <v>2729880464243.623</v>
      </c>
      <c r="K84" s="16">
        <f t="shared" si="9"/>
        <v>2773444833486.9702</v>
      </c>
      <c r="L84" s="16">
        <f t="shared" si="9"/>
        <v>2817009202730.3179</v>
      </c>
      <c r="M84" s="16">
        <f t="shared" si="9"/>
        <v>2833947323908.1431</v>
      </c>
      <c r="N84" s="16">
        <f t="shared" si="9"/>
        <v>2850885445085.9678</v>
      </c>
      <c r="O84" s="16">
        <f t="shared" si="9"/>
        <v>2867823566263.7935</v>
      </c>
      <c r="P84" s="16">
        <f t="shared" si="9"/>
        <v>2884761687441.6187</v>
      </c>
      <c r="Q84" s="16">
        <f t="shared" si="9"/>
        <v>2901699808619.4438</v>
      </c>
      <c r="R84" s="16">
        <f t="shared" si="9"/>
        <v>2918637929797.2686</v>
      </c>
      <c r="S84" s="16">
        <f t="shared" si="9"/>
        <v>2935576050975.0938</v>
      </c>
      <c r="T84" s="16">
        <f t="shared" si="9"/>
        <v>2952514172152.9189</v>
      </c>
      <c r="U84" s="16">
        <f t="shared" si="9"/>
        <v>2969452293330.7441</v>
      </c>
      <c r="V84" s="16">
        <f t="shared" si="9"/>
        <v>2986390414508.5693</v>
      </c>
      <c r="W84" s="16">
        <f t="shared" si="9"/>
        <v>2977534932904.1909</v>
      </c>
      <c r="X84" s="16">
        <f t="shared" si="9"/>
        <v>2968679451299.8145</v>
      </c>
      <c r="Y84" s="16">
        <f t="shared" si="9"/>
        <v>2959823969695.4385</v>
      </c>
      <c r="Z84" s="16">
        <f t="shared" si="9"/>
        <v>2950968488091.062</v>
      </c>
      <c r="AA84" s="16">
        <f t="shared" si="9"/>
        <v>2942113006486.6865</v>
      </c>
      <c r="AB84" s="16">
        <f t="shared" si="9"/>
        <v>2933257524882.3101</v>
      </c>
      <c r="AC84" s="16">
        <f t="shared" si="9"/>
        <v>2924402043277.9336</v>
      </c>
      <c r="AD84" s="16">
        <f t="shared" si="9"/>
        <v>2915546561673.5571</v>
      </c>
      <c r="AE84" s="16">
        <f t="shared" si="9"/>
        <v>2906691080069.1812</v>
      </c>
      <c r="AF84" s="16">
        <f t="shared" si="9"/>
        <v>2897835598464.8066</v>
      </c>
    </row>
    <row r="85" spans="1:32">
      <c r="A85" t="s">
        <v>73</v>
      </c>
      <c r="B85" s="16">
        <f t="shared" si="7"/>
        <v>3543358042706.9546</v>
      </c>
      <c r="C85" s="16">
        <f t="shared" si="8"/>
        <v>3669450671123.4727</v>
      </c>
      <c r="D85" s="16">
        <f t="shared" si="9"/>
        <v>3795543299540.042</v>
      </c>
      <c r="E85" s="16">
        <f t="shared" si="9"/>
        <v>3921635927956.5854</v>
      </c>
      <c r="F85" s="16">
        <f t="shared" si="9"/>
        <v>3989645326454.4873</v>
      </c>
      <c r="G85" s="16">
        <f t="shared" ref="D85:AF91" si="10">IFERROR($B85*G29/$B29,0)</f>
        <v>4057654724952.3882</v>
      </c>
      <c r="H85" s="16">
        <f t="shared" si="10"/>
        <v>4125664123450.2891</v>
      </c>
      <c r="I85" s="16">
        <f t="shared" si="10"/>
        <v>4193673521948.1904</v>
      </c>
      <c r="J85" s="16">
        <f t="shared" si="10"/>
        <v>4261682920446.0923</v>
      </c>
      <c r="K85" s="16">
        <f t="shared" si="10"/>
        <v>4329692318943.9932</v>
      </c>
      <c r="L85" s="16">
        <f t="shared" si="10"/>
        <v>4397701717441.8931</v>
      </c>
      <c r="M85" s="16">
        <f t="shared" si="10"/>
        <v>4424144231197.8887</v>
      </c>
      <c r="N85" s="16">
        <f t="shared" si="10"/>
        <v>4450586744953.8838</v>
      </c>
      <c r="O85" s="16">
        <f t="shared" si="10"/>
        <v>4477029258709.8779</v>
      </c>
      <c r="P85" s="16">
        <f t="shared" si="10"/>
        <v>4503471772465.873</v>
      </c>
      <c r="Q85" s="16">
        <f t="shared" si="10"/>
        <v>4529914286221.8682</v>
      </c>
      <c r="R85" s="16">
        <f t="shared" si="10"/>
        <v>4556356799977.8633</v>
      </c>
      <c r="S85" s="16">
        <f t="shared" si="10"/>
        <v>4582799313733.8584</v>
      </c>
      <c r="T85" s="16">
        <f t="shared" si="10"/>
        <v>4609241827489.8535</v>
      </c>
      <c r="U85" s="16">
        <f t="shared" si="10"/>
        <v>4635684341245.8477</v>
      </c>
      <c r="V85" s="16">
        <f t="shared" si="10"/>
        <v>4662126855001.8418</v>
      </c>
      <c r="W85" s="16">
        <f t="shared" si="10"/>
        <v>4648302346859.4473</v>
      </c>
      <c r="X85" s="16">
        <f t="shared" si="10"/>
        <v>4634477838717.0547</v>
      </c>
      <c r="Y85" s="16">
        <f t="shared" si="10"/>
        <v>4620653330574.6621</v>
      </c>
      <c r="Z85" s="16">
        <f t="shared" si="10"/>
        <v>4606828822432.2686</v>
      </c>
      <c r="AA85" s="16">
        <f t="shared" si="10"/>
        <v>4593004314289.875</v>
      </c>
      <c r="AB85" s="16">
        <f t="shared" si="10"/>
        <v>4579179806147.4834</v>
      </c>
      <c r="AC85" s="16">
        <f t="shared" si="10"/>
        <v>4565355298005.0908</v>
      </c>
      <c r="AD85" s="16">
        <f t="shared" si="10"/>
        <v>4551530789862.6973</v>
      </c>
      <c r="AE85" s="16">
        <f t="shared" si="10"/>
        <v>4537706281720.3047</v>
      </c>
      <c r="AF85" s="16">
        <f t="shared" si="10"/>
        <v>4523881773577.915</v>
      </c>
    </row>
    <row r="86" spans="1:32">
      <c r="A86" t="s">
        <v>75</v>
      </c>
      <c r="B86" s="16">
        <f t="shared" si="7"/>
        <v>3699549891200.6611</v>
      </c>
      <c r="C86" s="16">
        <f t="shared" si="8"/>
        <v>3831200704953.3589</v>
      </c>
      <c r="D86" s="16">
        <f t="shared" si="10"/>
        <v>3962851518706.1094</v>
      </c>
      <c r="E86" s="16">
        <f t="shared" si="10"/>
        <v>4094502332458.8335</v>
      </c>
      <c r="F86" s="16">
        <f t="shared" si="10"/>
        <v>4165509597257.0923</v>
      </c>
      <c r="G86" s="16">
        <f t="shared" si="10"/>
        <v>4236516862055.3506</v>
      </c>
      <c r="H86" s="16">
        <f t="shared" si="10"/>
        <v>4307524126853.6094</v>
      </c>
      <c r="I86" s="16">
        <f t="shared" si="10"/>
        <v>4378531391651.8682</v>
      </c>
      <c r="J86" s="16">
        <f t="shared" si="10"/>
        <v>4449538656450.126</v>
      </c>
      <c r="K86" s="16">
        <f t="shared" si="10"/>
        <v>4520545921248.3857</v>
      </c>
      <c r="L86" s="16">
        <f t="shared" si="10"/>
        <v>4591553186046.6445</v>
      </c>
      <c r="M86" s="16">
        <f t="shared" si="10"/>
        <v>4619161290480.3486</v>
      </c>
      <c r="N86" s="16">
        <f t="shared" si="10"/>
        <v>4646769394914.0547</v>
      </c>
      <c r="O86" s="16">
        <f t="shared" si="10"/>
        <v>4674377499347.7598</v>
      </c>
      <c r="P86" s="16">
        <f t="shared" si="10"/>
        <v>4701985603781.4648</v>
      </c>
      <c r="Q86" s="16">
        <f t="shared" si="10"/>
        <v>4729593708215.1709</v>
      </c>
      <c r="R86" s="16">
        <f t="shared" si="10"/>
        <v>4757201812648.876</v>
      </c>
      <c r="S86" s="16">
        <f t="shared" si="10"/>
        <v>4784809917082.5811</v>
      </c>
      <c r="T86" s="16">
        <f t="shared" si="10"/>
        <v>4812418021516.2852</v>
      </c>
      <c r="U86" s="16">
        <f t="shared" si="10"/>
        <v>4840026125949.9912</v>
      </c>
      <c r="V86" s="16">
        <f t="shared" si="10"/>
        <v>4867634230383.6963</v>
      </c>
      <c r="W86" s="16">
        <f t="shared" si="10"/>
        <v>4853200335480.1396</v>
      </c>
      <c r="X86" s="16">
        <f t="shared" si="10"/>
        <v>4838766440576.5879</v>
      </c>
      <c r="Y86" s="16">
        <f t="shared" si="10"/>
        <v>4824332545673.0342</v>
      </c>
      <c r="Z86" s="16">
        <f t="shared" si="10"/>
        <v>4809898650769.4805</v>
      </c>
      <c r="AA86" s="16">
        <f t="shared" si="10"/>
        <v>4795464755865.9277</v>
      </c>
      <c r="AB86" s="16">
        <f t="shared" si="10"/>
        <v>4781030860962.374</v>
      </c>
      <c r="AC86" s="16">
        <f t="shared" si="10"/>
        <v>4766596966058.8213</v>
      </c>
      <c r="AD86" s="16">
        <f t="shared" si="10"/>
        <v>4752163071155.2686</v>
      </c>
      <c r="AE86" s="16">
        <f t="shared" si="10"/>
        <v>4737729176251.7148</v>
      </c>
      <c r="AF86" s="16">
        <f t="shared" si="10"/>
        <v>4723295281348.166</v>
      </c>
    </row>
    <row r="87" spans="1:32">
      <c r="A87" t="s">
        <v>78</v>
      </c>
      <c r="B87" s="16">
        <f t="shared" si="7"/>
        <v>947383312250.84875</v>
      </c>
      <c r="C87" s="16">
        <f t="shared" si="8"/>
        <v>981096544309.21472</v>
      </c>
      <c r="D87" s="16">
        <f t="shared" si="10"/>
        <v>1014809776367.5942</v>
      </c>
      <c r="E87" s="16">
        <f t="shared" si="10"/>
        <v>1048523008425.9669</v>
      </c>
      <c r="F87" s="16">
        <f t="shared" si="10"/>
        <v>1066706598240.082</v>
      </c>
      <c r="G87" s="16">
        <f t="shared" si="10"/>
        <v>1084890188054.1973</v>
      </c>
      <c r="H87" s="16">
        <f t="shared" si="10"/>
        <v>1103073777868.3125</v>
      </c>
      <c r="I87" s="16">
        <f t="shared" si="10"/>
        <v>1121257367682.428</v>
      </c>
      <c r="J87" s="16">
        <f t="shared" si="10"/>
        <v>1139440957496.543</v>
      </c>
      <c r="K87" s="16">
        <f t="shared" si="10"/>
        <v>1157624547310.6582</v>
      </c>
      <c r="L87" s="16">
        <f t="shared" si="10"/>
        <v>1175808137124.7734</v>
      </c>
      <c r="M87" s="16">
        <f t="shared" si="10"/>
        <v>1182878039732.5425</v>
      </c>
      <c r="N87" s="16">
        <f t="shared" si="10"/>
        <v>1189947942340.3115</v>
      </c>
      <c r="O87" s="16">
        <f t="shared" si="10"/>
        <v>1197017844948.0803</v>
      </c>
      <c r="P87" s="16">
        <f t="shared" si="10"/>
        <v>1204087747555.8496</v>
      </c>
      <c r="Q87" s="16">
        <f t="shared" si="10"/>
        <v>1211157650163.6184</v>
      </c>
      <c r="R87" s="16">
        <f t="shared" si="10"/>
        <v>1218227552771.3875</v>
      </c>
      <c r="S87" s="16">
        <f t="shared" si="10"/>
        <v>1225297455379.1563</v>
      </c>
      <c r="T87" s="16">
        <f t="shared" si="10"/>
        <v>1232367357986.9253</v>
      </c>
      <c r="U87" s="16">
        <f t="shared" si="10"/>
        <v>1239437260594.6943</v>
      </c>
      <c r="V87" s="16">
        <f t="shared" si="10"/>
        <v>1246507163202.4631</v>
      </c>
      <c r="W87" s="16">
        <f t="shared" si="10"/>
        <v>1242810921344.7886</v>
      </c>
      <c r="X87" s="16">
        <f t="shared" si="10"/>
        <v>1239114679487.1147</v>
      </c>
      <c r="Y87" s="16">
        <f t="shared" si="10"/>
        <v>1235418437629.4409</v>
      </c>
      <c r="Z87" s="16">
        <f t="shared" si="10"/>
        <v>1231722195771.7668</v>
      </c>
      <c r="AA87" s="16">
        <f t="shared" si="10"/>
        <v>1228025953914.093</v>
      </c>
      <c r="AB87" s="16">
        <f t="shared" si="10"/>
        <v>1224329712056.4192</v>
      </c>
      <c r="AC87" s="16">
        <f t="shared" si="10"/>
        <v>1220633470198.7454</v>
      </c>
      <c r="AD87" s="16">
        <f t="shared" si="10"/>
        <v>1216937228341.0713</v>
      </c>
      <c r="AE87" s="16">
        <f t="shared" si="10"/>
        <v>1213240986483.3975</v>
      </c>
      <c r="AF87" s="16">
        <f t="shared" si="10"/>
        <v>1209544744625.7244</v>
      </c>
    </row>
    <row r="88" spans="1:32">
      <c r="A88" t="s">
        <v>80</v>
      </c>
      <c r="B88" s="16">
        <f t="shared" si="7"/>
        <v>386493375305.42633</v>
      </c>
      <c r="C88" s="16">
        <f t="shared" si="8"/>
        <v>397501949786.59448</v>
      </c>
      <c r="D88" s="16">
        <f t="shared" si="10"/>
        <v>408510524267.76251</v>
      </c>
      <c r="E88" s="16">
        <f t="shared" si="10"/>
        <v>419519098748.9306</v>
      </c>
      <c r="F88" s="16">
        <f t="shared" si="10"/>
        <v>424501090716.36566</v>
      </c>
      <c r="G88" s="16">
        <f t="shared" si="10"/>
        <v>429483082683.80084</v>
      </c>
      <c r="H88" s="16">
        <f t="shared" si="10"/>
        <v>434465074651.2359</v>
      </c>
      <c r="I88" s="16">
        <f t="shared" si="10"/>
        <v>439447066618.67108</v>
      </c>
      <c r="J88" s="16">
        <f t="shared" si="10"/>
        <v>444429058586.1062</v>
      </c>
      <c r="K88" s="16">
        <f t="shared" si="10"/>
        <v>449411050553.54132</v>
      </c>
      <c r="L88" s="16">
        <f t="shared" si="10"/>
        <v>454393042520.97644</v>
      </c>
      <c r="M88" s="16">
        <f t="shared" si="10"/>
        <v>454599397217.85248</v>
      </c>
      <c r="N88" s="16">
        <f t="shared" si="10"/>
        <v>454805751914.72852</v>
      </c>
      <c r="O88" s="16">
        <f t="shared" si="10"/>
        <v>455012106611.60449</v>
      </c>
      <c r="P88" s="16">
        <f t="shared" si="10"/>
        <v>455218461308.48053</v>
      </c>
      <c r="Q88" s="16">
        <f t="shared" si="10"/>
        <v>455424816005.35651</v>
      </c>
      <c r="R88" s="16">
        <f t="shared" si="10"/>
        <v>455631170702.23254</v>
      </c>
      <c r="S88" s="16">
        <f t="shared" si="10"/>
        <v>455837525399.10852</v>
      </c>
      <c r="T88" s="16">
        <f t="shared" si="10"/>
        <v>456043880095.98456</v>
      </c>
      <c r="U88" s="16">
        <f t="shared" si="10"/>
        <v>456250234792.8606</v>
      </c>
      <c r="V88" s="16">
        <f t="shared" si="10"/>
        <v>456456589489.73657</v>
      </c>
      <c r="W88" s="16">
        <f t="shared" si="10"/>
        <v>453381904506.284</v>
      </c>
      <c r="X88" s="16">
        <f t="shared" si="10"/>
        <v>450307219522.83142</v>
      </c>
      <c r="Y88" s="16">
        <f t="shared" si="10"/>
        <v>447232534539.37885</v>
      </c>
      <c r="Z88" s="16">
        <f t="shared" si="10"/>
        <v>444157849555.92627</v>
      </c>
      <c r="AA88" s="16">
        <f t="shared" si="10"/>
        <v>441083164572.47375</v>
      </c>
      <c r="AB88" s="16">
        <f t="shared" si="10"/>
        <v>438008479589.02118</v>
      </c>
      <c r="AC88" s="16">
        <f t="shared" si="10"/>
        <v>434933794605.5686</v>
      </c>
      <c r="AD88" s="16">
        <f t="shared" si="10"/>
        <v>431859109622.11609</v>
      </c>
      <c r="AE88" s="16">
        <f t="shared" si="10"/>
        <v>428784424638.66345</v>
      </c>
      <c r="AF88" s="16">
        <f t="shared" si="10"/>
        <v>425709739655.21094</v>
      </c>
    </row>
    <row r="89" spans="1:32">
      <c r="A89" t="s">
        <v>82</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85</v>
      </c>
      <c r="B90" s="16">
        <f t="shared" si="7"/>
        <v>340741455659.21948</v>
      </c>
      <c r="C90" s="16">
        <f t="shared" si="8"/>
        <v>341082197114.8786</v>
      </c>
      <c r="D90" s="16">
        <f t="shared" si="10"/>
        <v>341423279311.99347</v>
      </c>
      <c r="E90" s="16">
        <f t="shared" si="10"/>
        <v>341764702591.30548</v>
      </c>
      <c r="F90" s="16">
        <f t="shared" si="10"/>
        <v>342106467293.89673</v>
      </c>
      <c r="G90" s="16">
        <f t="shared" si="10"/>
        <v>342448573761.19061</v>
      </c>
      <c r="H90" s="16">
        <f t="shared" si="10"/>
        <v>342791022334.95172</v>
      </c>
      <c r="I90" s="16">
        <f t="shared" si="10"/>
        <v>343133813357.28668</v>
      </c>
      <c r="J90" s="16">
        <f t="shared" si="10"/>
        <v>343476947170.64398</v>
      </c>
      <c r="K90" s="16">
        <f t="shared" si="10"/>
        <v>343820424117.81451</v>
      </c>
      <c r="L90" s="16">
        <f t="shared" si="10"/>
        <v>344164244541.93237</v>
      </c>
      <c r="M90" s="16">
        <f t="shared" si="10"/>
        <v>344508408786.47424</v>
      </c>
      <c r="N90" s="16">
        <f t="shared" si="10"/>
        <v>344852917195.26068</v>
      </c>
      <c r="O90" s="16">
        <f t="shared" si="10"/>
        <v>345197770112.45587</v>
      </c>
      <c r="P90" s="16">
        <f t="shared" si="10"/>
        <v>345542967882.56824</v>
      </c>
      <c r="Q90" s="16">
        <f t="shared" si="10"/>
        <v>345888510850.45081</v>
      </c>
      <c r="R90" s="16">
        <f t="shared" si="10"/>
        <v>346234399361.30121</v>
      </c>
      <c r="S90" s="16">
        <f t="shared" si="10"/>
        <v>346580633760.66248</v>
      </c>
      <c r="T90" s="16">
        <f t="shared" si="10"/>
        <v>346927214394.42303</v>
      </c>
      <c r="U90" s="16">
        <f t="shared" si="10"/>
        <v>347274141608.8175</v>
      </c>
      <c r="V90" s="16">
        <f t="shared" si="10"/>
        <v>347621415750.42621</v>
      </c>
      <c r="W90" s="16">
        <f t="shared" si="10"/>
        <v>345883308671.67413</v>
      </c>
      <c r="X90" s="16">
        <f t="shared" si="10"/>
        <v>344153892128.31573</v>
      </c>
      <c r="Y90" s="16">
        <f t="shared" si="10"/>
        <v>342433122667.67413</v>
      </c>
      <c r="Z90" s="16">
        <f t="shared" si="10"/>
        <v>340720957054.33575</v>
      </c>
      <c r="AA90" s="16">
        <f t="shared" si="10"/>
        <v>339017352269.06409</v>
      </c>
      <c r="AB90" s="16">
        <f t="shared" si="10"/>
        <v>337322265507.71875</v>
      </c>
      <c r="AC90" s="16">
        <f t="shared" si="10"/>
        <v>335635654180.18024</v>
      </c>
      <c r="AD90" s="16">
        <f t="shared" si="10"/>
        <v>333957475909.27924</v>
      </c>
      <c r="AE90" s="16">
        <f t="shared" si="10"/>
        <v>332287688529.73285</v>
      </c>
      <c r="AF90" s="16">
        <f t="shared" si="10"/>
        <v>330626250087.08417</v>
      </c>
    </row>
    <row r="91" spans="1:32">
      <c r="A91" t="s">
        <v>89</v>
      </c>
      <c r="B91" s="16">
        <f t="shared" si="7"/>
        <v>859866144.76918197</v>
      </c>
      <c r="C91" s="16">
        <f t="shared" si="8"/>
        <v>884357898.32393813</v>
      </c>
      <c r="D91" s="16">
        <f t="shared" si="10"/>
        <v>908849651.8786943</v>
      </c>
      <c r="E91" s="16">
        <f t="shared" si="10"/>
        <v>933341405.43345058</v>
      </c>
      <c r="F91" s="16">
        <f t="shared" si="10"/>
        <v>944425285.52046144</v>
      </c>
      <c r="G91" s="16">
        <f t="shared" si="10"/>
        <v>955509165.60747242</v>
      </c>
      <c r="H91" s="16">
        <f t="shared" si="10"/>
        <v>966593045.6944834</v>
      </c>
      <c r="I91" s="16">
        <f t="shared" si="10"/>
        <v>977676925.78149438</v>
      </c>
      <c r="J91" s="16">
        <f t="shared" si="10"/>
        <v>988760805.86850524</v>
      </c>
      <c r="K91" s="16">
        <f t="shared" si="10"/>
        <v>999844685.95551622</v>
      </c>
      <c r="L91" s="16">
        <f t="shared" si="10"/>
        <v>1010928566.0425272</v>
      </c>
      <c r="M91" s="16">
        <f t="shared" si="10"/>
        <v>1011387661.667433</v>
      </c>
      <c r="N91" s="16">
        <f t="shared" si="10"/>
        <v>1011846757.2923388</v>
      </c>
      <c r="O91" s="16">
        <f t="shared" si="10"/>
        <v>1012305852.9172447</v>
      </c>
      <c r="P91" s="16">
        <f t="shared" si="10"/>
        <v>1012764948.5421504</v>
      </c>
      <c r="Q91" s="16">
        <f t="shared" si="10"/>
        <v>1013224044.1670562</v>
      </c>
      <c r="R91" s="16">
        <f t="shared" si="10"/>
        <v>1013683139.791962</v>
      </c>
      <c r="S91" s="16">
        <f t="shared" si="10"/>
        <v>1014142235.4168679</v>
      </c>
      <c r="T91" s="16">
        <f t="shared" si="10"/>
        <v>1014601331.0417734</v>
      </c>
      <c r="U91" s="16">
        <f t="shared" si="10"/>
        <v>1015060426.6666793</v>
      </c>
      <c r="V91" s="16">
        <f t="shared" si="10"/>
        <v>1015519522.291585</v>
      </c>
      <c r="W91" s="16">
        <f t="shared" si="10"/>
        <v>1008678997.4804889</v>
      </c>
      <c r="X91" s="16">
        <f t="shared" si="10"/>
        <v>1001838472.6693928</v>
      </c>
      <c r="Y91" s="16">
        <f t="shared" si="10"/>
        <v>994997947.85829687</v>
      </c>
      <c r="Z91" s="16">
        <f t="shared" si="10"/>
        <v>988157423.04720056</v>
      </c>
      <c r="AA91" s="16">
        <f t="shared" si="10"/>
        <v>981316898.23610449</v>
      </c>
      <c r="AB91" s="16">
        <f t="shared" si="10"/>
        <v>974476373.42500842</v>
      </c>
      <c r="AC91" s="16">
        <f t="shared" si="10"/>
        <v>967635848.61391211</v>
      </c>
      <c r="AD91" s="16">
        <f t="shared" si="10"/>
        <v>960795323.80281615</v>
      </c>
      <c r="AE91" s="16">
        <f t="shared" si="10"/>
        <v>953954798.99172008</v>
      </c>
      <c r="AF91" s="16">
        <f t="shared" si="10"/>
        <v>947114274.18062401</v>
      </c>
    </row>
    <row r="93" spans="1:32">
      <c r="A93" s="1" t="s">
        <v>1026</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25</v>
      </c>
      <c r="B95" s="16">
        <f>D$5*$B11/SUM($B$11:$B$35)</f>
        <v>10201186521944.508</v>
      </c>
      <c r="C95" s="16">
        <f>IFERROR($B95*C11/$B11,0)</f>
        <v>10491749126114.291</v>
      </c>
      <c r="D95" s="16">
        <f t="shared" ref="D95:AF104" si="11">IFERROR($B95*D11/$B11,0)</f>
        <v>10782311730284.074</v>
      </c>
      <c r="E95" s="16">
        <f t="shared" si="11"/>
        <v>11072874334453.857</v>
      </c>
      <c r="F95" s="16">
        <f t="shared" si="11"/>
        <v>11204370066484.123</v>
      </c>
      <c r="G95" s="16">
        <f t="shared" si="11"/>
        <v>11335865798514.389</v>
      </c>
      <c r="H95" s="16">
        <f t="shared" si="11"/>
        <v>11467361530544.654</v>
      </c>
      <c r="I95" s="16">
        <f t="shared" si="11"/>
        <v>11598857262574.918</v>
      </c>
      <c r="J95" s="16">
        <f t="shared" si="11"/>
        <v>11730352994605.184</v>
      </c>
      <c r="K95" s="16">
        <f t="shared" si="11"/>
        <v>11861848726635.447</v>
      </c>
      <c r="L95" s="16">
        <f t="shared" si="11"/>
        <v>11993344458665.713</v>
      </c>
      <c r="M95" s="16">
        <f t="shared" si="11"/>
        <v>11998791027448.031</v>
      </c>
      <c r="N95" s="16">
        <f t="shared" si="11"/>
        <v>12004237596230.35</v>
      </c>
      <c r="O95" s="16">
        <f t="shared" si="11"/>
        <v>12009684165012.67</v>
      </c>
      <c r="P95" s="16">
        <f t="shared" si="11"/>
        <v>12015130733794.988</v>
      </c>
      <c r="Q95" s="16">
        <f t="shared" si="11"/>
        <v>12020577302577.307</v>
      </c>
      <c r="R95" s="16">
        <f t="shared" si="11"/>
        <v>12026023871359.623</v>
      </c>
      <c r="S95" s="16">
        <f t="shared" si="11"/>
        <v>12031470440141.943</v>
      </c>
      <c r="T95" s="16">
        <f t="shared" si="11"/>
        <v>12036917008924.262</v>
      </c>
      <c r="U95" s="16">
        <f t="shared" si="11"/>
        <v>12042363577706.58</v>
      </c>
      <c r="V95" s="16">
        <f t="shared" si="11"/>
        <v>12047810146488.9</v>
      </c>
      <c r="W95" s="16">
        <f t="shared" si="11"/>
        <v>11966656271632.352</v>
      </c>
      <c r="X95" s="16">
        <f t="shared" si="11"/>
        <v>11885502396775.803</v>
      </c>
      <c r="Y95" s="16">
        <f t="shared" si="11"/>
        <v>11804348521919.254</v>
      </c>
      <c r="Z95" s="16">
        <f t="shared" si="11"/>
        <v>11723194647062.707</v>
      </c>
      <c r="AA95" s="16">
        <f t="shared" si="11"/>
        <v>11642040772206.158</v>
      </c>
      <c r="AB95" s="16">
        <f t="shared" si="11"/>
        <v>11560886897349.611</v>
      </c>
      <c r="AC95" s="16">
        <f t="shared" si="11"/>
        <v>11479733022493.063</v>
      </c>
      <c r="AD95" s="16">
        <f t="shared" si="11"/>
        <v>11398579147636.514</v>
      </c>
      <c r="AE95" s="16">
        <f t="shared" si="11"/>
        <v>11317425272779.965</v>
      </c>
      <c r="AF95" s="16">
        <f t="shared" si="11"/>
        <v>11236271397923.416</v>
      </c>
    </row>
    <row r="96" spans="1:32">
      <c r="A96" t="s">
        <v>28</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32</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34</v>
      </c>
      <c r="B98" s="16">
        <f t="shared" si="12"/>
        <v>879843177911.25598</v>
      </c>
      <c r="C98" s="16">
        <f t="shared" si="13"/>
        <v>904903941625.84607</v>
      </c>
      <c r="D98" s="16">
        <f t="shared" si="11"/>
        <v>929964705340.43616</v>
      </c>
      <c r="E98" s="16">
        <f t="shared" si="11"/>
        <v>955025469055.02612</v>
      </c>
      <c r="F98" s="16">
        <f t="shared" si="11"/>
        <v>966366857873.12048</v>
      </c>
      <c r="G98" s="16">
        <f t="shared" si="11"/>
        <v>977708246691.21472</v>
      </c>
      <c r="H98" s="16">
        <f t="shared" si="11"/>
        <v>989049635509.30908</v>
      </c>
      <c r="I98" s="16">
        <f t="shared" si="11"/>
        <v>1000391024327.4032</v>
      </c>
      <c r="J98" s="16">
        <f t="shared" si="11"/>
        <v>1011732413145.4974</v>
      </c>
      <c r="K98" s="16">
        <f t="shared" si="11"/>
        <v>1023073801963.5918</v>
      </c>
      <c r="L98" s="16">
        <f t="shared" si="11"/>
        <v>1034415190781.6859</v>
      </c>
      <c r="M98" s="16">
        <f t="shared" si="11"/>
        <v>1034884952448.7076</v>
      </c>
      <c r="N98" s="16">
        <f t="shared" si="11"/>
        <v>1035354714115.7294</v>
      </c>
      <c r="O98" s="16">
        <f t="shared" si="11"/>
        <v>1035824475782.751</v>
      </c>
      <c r="P98" s="16">
        <f t="shared" si="11"/>
        <v>1036294237449.7727</v>
      </c>
      <c r="Q98" s="16">
        <f t="shared" si="11"/>
        <v>1036763999116.7942</v>
      </c>
      <c r="R98" s="16">
        <f t="shared" si="11"/>
        <v>1037233760783.8159</v>
      </c>
      <c r="S98" s="16">
        <f t="shared" si="11"/>
        <v>1037703522450.8375</v>
      </c>
      <c r="T98" s="16">
        <f t="shared" si="11"/>
        <v>1038173284117.8593</v>
      </c>
      <c r="U98" s="16">
        <f t="shared" si="11"/>
        <v>1038643045784.881</v>
      </c>
      <c r="V98" s="16">
        <f t="shared" si="11"/>
        <v>1039112807451.9026</v>
      </c>
      <c r="W98" s="16">
        <f t="shared" si="11"/>
        <v>1032113358613.2799</v>
      </c>
      <c r="X98" s="16">
        <f t="shared" si="11"/>
        <v>1025113909774.6572</v>
      </c>
      <c r="Y98" s="16">
        <f t="shared" si="11"/>
        <v>1018114460936.0347</v>
      </c>
      <c r="Z98" s="16">
        <f t="shared" si="11"/>
        <v>1011115012097.412</v>
      </c>
      <c r="AA98" s="16">
        <f t="shared" si="11"/>
        <v>1004115563258.7893</v>
      </c>
      <c r="AB98" s="16">
        <f t="shared" si="11"/>
        <v>997116114420.16663</v>
      </c>
      <c r="AC98" s="16">
        <f t="shared" si="11"/>
        <v>990116665581.54395</v>
      </c>
      <c r="AD98" s="16">
        <f t="shared" si="11"/>
        <v>983117216742.92114</v>
      </c>
      <c r="AE98" s="16">
        <f t="shared" si="11"/>
        <v>976117767904.29846</v>
      </c>
      <c r="AF98" s="16">
        <f t="shared" si="11"/>
        <v>969118319065.67578</v>
      </c>
    </row>
    <row r="99" spans="1:32">
      <c r="A99" t="s">
        <v>36</v>
      </c>
      <c r="B99" s="16">
        <f t="shared" si="12"/>
        <v>8081867797326.5029</v>
      </c>
      <c r="C99" s="16">
        <f t="shared" si="13"/>
        <v>8312065387449.5264</v>
      </c>
      <c r="D99" s="16">
        <f t="shared" si="11"/>
        <v>8542262977572.5508</v>
      </c>
      <c r="E99" s="16">
        <f t="shared" si="11"/>
        <v>8772460567695.5752</v>
      </c>
      <c r="F99" s="16">
        <f t="shared" si="11"/>
        <v>8876637774915.0645</v>
      </c>
      <c r="G99" s="16">
        <f t="shared" si="11"/>
        <v>8980814982134.5527</v>
      </c>
      <c r="H99" s="16">
        <f t="shared" si="11"/>
        <v>9084992189354.043</v>
      </c>
      <c r="I99" s="16">
        <f t="shared" si="11"/>
        <v>9189169396573.5313</v>
      </c>
      <c r="J99" s="16">
        <f t="shared" si="11"/>
        <v>9293346603793.0195</v>
      </c>
      <c r="K99" s="16">
        <f t="shared" si="11"/>
        <v>9397523811012.5098</v>
      </c>
      <c r="L99" s="16">
        <f t="shared" si="11"/>
        <v>9501701018231.998</v>
      </c>
      <c r="M99" s="16">
        <f t="shared" si="11"/>
        <v>9506016050483.6934</v>
      </c>
      <c r="N99" s="16">
        <f t="shared" si="11"/>
        <v>9510331082735.3887</v>
      </c>
      <c r="O99" s="16">
        <f t="shared" si="11"/>
        <v>9514646114987.084</v>
      </c>
      <c r="P99" s="16">
        <f t="shared" si="11"/>
        <v>9518961147238.7793</v>
      </c>
      <c r="Q99" s="16">
        <f t="shared" si="11"/>
        <v>9523276179490.4746</v>
      </c>
      <c r="R99" s="16">
        <f t="shared" si="11"/>
        <v>9527591211742.168</v>
      </c>
      <c r="S99" s="16">
        <f t="shared" si="11"/>
        <v>9531906243993.8633</v>
      </c>
      <c r="T99" s="16">
        <f t="shared" si="11"/>
        <v>9536221276245.5566</v>
      </c>
      <c r="U99" s="16">
        <f t="shared" si="11"/>
        <v>9540536308497.252</v>
      </c>
      <c r="V99" s="16">
        <f t="shared" si="11"/>
        <v>9544851340748.9492</v>
      </c>
      <c r="W99" s="16">
        <f t="shared" si="11"/>
        <v>9480557360198.6953</v>
      </c>
      <c r="X99" s="16">
        <f t="shared" si="11"/>
        <v>9416263379648.4414</v>
      </c>
      <c r="Y99" s="16">
        <f t="shared" si="11"/>
        <v>9351969399098.1895</v>
      </c>
      <c r="Z99" s="16">
        <f t="shared" si="11"/>
        <v>9287675418547.9355</v>
      </c>
      <c r="AA99" s="16">
        <f t="shared" si="11"/>
        <v>9223381437997.6836</v>
      </c>
      <c r="AB99" s="16">
        <f t="shared" si="11"/>
        <v>9159087457447.4297</v>
      </c>
      <c r="AC99" s="16">
        <f t="shared" si="11"/>
        <v>9094793476897.1777</v>
      </c>
      <c r="AD99" s="16">
        <f t="shared" si="11"/>
        <v>9030499496346.9238</v>
      </c>
      <c r="AE99" s="16">
        <f t="shared" si="11"/>
        <v>8966205515796.6719</v>
      </c>
      <c r="AF99" s="16">
        <f t="shared" si="11"/>
        <v>8901911535246.418</v>
      </c>
    </row>
    <row r="100" spans="1:32">
      <c r="A100" t="s">
        <v>38</v>
      </c>
      <c r="B100" s="16">
        <f t="shared" si="12"/>
        <v>6089690236844.9492</v>
      </c>
      <c r="C100" s="16">
        <f t="shared" si="13"/>
        <v>6263144202224.2324</v>
      </c>
      <c r="D100" s="16">
        <f t="shared" si="11"/>
        <v>6436598167603.5166</v>
      </c>
      <c r="E100" s="16">
        <f t="shared" si="11"/>
        <v>6610052132982.7988</v>
      </c>
      <c r="F100" s="16">
        <f t="shared" si="11"/>
        <v>6688549695379.9668</v>
      </c>
      <c r="G100" s="16">
        <f t="shared" si="11"/>
        <v>6767047257777.1338</v>
      </c>
      <c r="H100" s="16">
        <f t="shared" si="11"/>
        <v>6845544820174.3018</v>
      </c>
      <c r="I100" s="16">
        <f t="shared" si="11"/>
        <v>6924042382571.4688</v>
      </c>
      <c r="J100" s="16">
        <f t="shared" si="11"/>
        <v>7002539944968.6377</v>
      </c>
      <c r="K100" s="16">
        <f t="shared" si="11"/>
        <v>7081037507365.8047</v>
      </c>
      <c r="L100" s="16">
        <f t="shared" si="11"/>
        <v>7159535069762.9717</v>
      </c>
      <c r="M100" s="16">
        <f t="shared" si="11"/>
        <v>7162786448087.1162</v>
      </c>
      <c r="N100" s="16">
        <f t="shared" si="11"/>
        <v>7166037826411.2578</v>
      </c>
      <c r="O100" s="16">
        <f t="shared" si="11"/>
        <v>7169289204735.4023</v>
      </c>
      <c r="P100" s="16">
        <f t="shared" si="11"/>
        <v>7172540583059.5449</v>
      </c>
      <c r="Q100" s="16">
        <f t="shared" si="11"/>
        <v>7175791961383.6875</v>
      </c>
      <c r="R100" s="16">
        <f t="shared" si="11"/>
        <v>7179043339707.832</v>
      </c>
      <c r="S100" s="16">
        <f t="shared" si="11"/>
        <v>7182294718031.9727</v>
      </c>
      <c r="T100" s="16">
        <f t="shared" si="11"/>
        <v>7185546096356.1162</v>
      </c>
      <c r="U100" s="16">
        <f t="shared" si="11"/>
        <v>7188797474680.2598</v>
      </c>
      <c r="V100" s="16">
        <f t="shared" si="11"/>
        <v>7192048853004.4033</v>
      </c>
      <c r="W100" s="16">
        <f t="shared" si="11"/>
        <v>7143603315974.6709</v>
      </c>
      <c r="X100" s="16">
        <f t="shared" si="11"/>
        <v>7095157778944.9395</v>
      </c>
      <c r="Y100" s="16">
        <f t="shared" si="11"/>
        <v>7046712241915.209</v>
      </c>
      <c r="Z100" s="16">
        <f t="shared" si="11"/>
        <v>6998266704885.4775</v>
      </c>
      <c r="AA100" s="16">
        <f t="shared" si="11"/>
        <v>6949821167855.7461</v>
      </c>
      <c r="AB100" s="16">
        <f t="shared" si="11"/>
        <v>6901375630826.0156</v>
      </c>
      <c r="AC100" s="16">
        <f t="shared" si="11"/>
        <v>6852930093796.2842</v>
      </c>
      <c r="AD100" s="16">
        <f t="shared" si="11"/>
        <v>6804484556766.5527</v>
      </c>
      <c r="AE100" s="16">
        <f t="shared" si="11"/>
        <v>6756039019736.8213</v>
      </c>
      <c r="AF100" s="16">
        <f t="shared" si="11"/>
        <v>6707593482707.0898</v>
      </c>
    </row>
    <row r="101" spans="1:32">
      <c r="A101" t="s">
        <v>40</v>
      </c>
      <c r="B101" s="16">
        <f t="shared" si="12"/>
        <v>1022523969991.2742</v>
      </c>
      <c r="C101" s="16">
        <f t="shared" si="13"/>
        <v>1051648741595.7889</v>
      </c>
      <c r="D101" s="16">
        <f t="shared" si="11"/>
        <v>1080773513200.304</v>
      </c>
      <c r="E101" s="16">
        <f t="shared" si="11"/>
        <v>1109898284804.8188</v>
      </c>
      <c r="F101" s="16">
        <f t="shared" si="11"/>
        <v>1123078863129.0417</v>
      </c>
      <c r="G101" s="16">
        <f t="shared" si="11"/>
        <v>1136259441453.2644</v>
      </c>
      <c r="H101" s="16">
        <f t="shared" si="11"/>
        <v>1149440019777.4871</v>
      </c>
      <c r="I101" s="16">
        <f t="shared" si="11"/>
        <v>1162620598101.71</v>
      </c>
      <c r="J101" s="16">
        <f t="shared" si="11"/>
        <v>1175801176425.9329</v>
      </c>
      <c r="K101" s="16">
        <f t="shared" si="11"/>
        <v>1188981754750.1558</v>
      </c>
      <c r="L101" s="16">
        <f t="shared" si="11"/>
        <v>1202162333074.3784</v>
      </c>
      <c r="M101" s="16">
        <f t="shared" si="11"/>
        <v>1202708274188.3994</v>
      </c>
      <c r="N101" s="16">
        <f t="shared" si="11"/>
        <v>1203254215302.4204</v>
      </c>
      <c r="O101" s="16">
        <f t="shared" si="11"/>
        <v>1203800156416.4417</v>
      </c>
      <c r="P101" s="16">
        <f t="shared" si="11"/>
        <v>1204346097530.4626</v>
      </c>
      <c r="Q101" s="16">
        <f t="shared" si="11"/>
        <v>1204892038644.4836</v>
      </c>
      <c r="R101" s="16">
        <f t="shared" si="11"/>
        <v>1205437979758.5046</v>
      </c>
      <c r="S101" s="16">
        <f t="shared" si="11"/>
        <v>1205983920872.5259</v>
      </c>
      <c r="T101" s="16">
        <f t="shared" si="11"/>
        <v>1206529861986.5466</v>
      </c>
      <c r="U101" s="16">
        <f t="shared" si="11"/>
        <v>1207075803100.5679</v>
      </c>
      <c r="V101" s="16">
        <f t="shared" si="11"/>
        <v>1207621744214.5889</v>
      </c>
      <c r="W101" s="16">
        <f t="shared" si="11"/>
        <v>1199487221615.675</v>
      </c>
      <c r="X101" s="16">
        <f t="shared" si="11"/>
        <v>1191352699016.7612</v>
      </c>
      <c r="Y101" s="16">
        <f t="shared" si="11"/>
        <v>1183218176417.8474</v>
      </c>
      <c r="Z101" s="16">
        <f t="shared" si="11"/>
        <v>1175083653818.9336</v>
      </c>
      <c r="AA101" s="16">
        <f t="shared" si="11"/>
        <v>1166949131220.02</v>
      </c>
      <c r="AB101" s="16">
        <f t="shared" si="11"/>
        <v>1158814608621.106</v>
      </c>
      <c r="AC101" s="16">
        <f t="shared" si="11"/>
        <v>1150680086022.1924</v>
      </c>
      <c r="AD101" s="16">
        <f t="shared" si="11"/>
        <v>1142545563423.2783</v>
      </c>
      <c r="AE101" s="16">
        <f t="shared" si="11"/>
        <v>1134411040824.3645</v>
      </c>
      <c r="AF101" s="16">
        <f t="shared" si="11"/>
        <v>1126276518225.4507</v>
      </c>
    </row>
    <row r="102" spans="1:32">
      <c r="A102" t="s">
        <v>42</v>
      </c>
      <c r="B102" s="16">
        <f t="shared" si="12"/>
        <v>5837649398795.9375</v>
      </c>
      <c r="C102" s="16">
        <f t="shared" si="13"/>
        <v>6003924430420.4932</v>
      </c>
      <c r="D102" s="16">
        <f t="shared" si="11"/>
        <v>6170199462045.0488</v>
      </c>
      <c r="E102" s="16">
        <f t="shared" si="11"/>
        <v>6336474493669.6045</v>
      </c>
      <c r="F102" s="16">
        <f t="shared" si="11"/>
        <v>6411723189434.4961</v>
      </c>
      <c r="G102" s="16">
        <f t="shared" si="11"/>
        <v>6486971885199.3877</v>
      </c>
      <c r="H102" s="16">
        <f t="shared" si="11"/>
        <v>6562220580964.2783</v>
      </c>
      <c r="I102" s="16">
        <f t="shared" si="11"/>
        <v>6637469276729.168</v>
      </c>
      <c r="J102" s="16">
        <f t="shared" si="11"/>
        <v>6712717972494.0596</v>
      </c>
      <c r="K102" s="16">
        <f t="shared" si="11"/>
        <v>6787966668258.9512</v>
      </c>
      <c r="L102" s="16">
        <f t="shared" si="11"/>
        <v>6863215364023.8418</v>
      </c>
      <c r="M102" s="16">
        <f t="shared" si="11"/>
        <v>6866332173907.5947</v>
      </c>
      <c r="N102" s="16">
        <f t="shared" si="11"/>
        <v>6869448983791.3477</v>
      </c>
      <c r="O102" s="16">
        <f t="shared" si="11"/>
        <v>6872565793675.1006</v>
      </c>
      <c r="P102" s="16">
        <f t="shared" si="11"/>
        <v>6875682603558.8525</v>
      </c>
      <c r="Q102" s="16">
        <f t="shared" si="11"/>
        <v>6878799413442.6055</v>
      </c>
      <c r="R102" s="16">
        <f t="shared" si="11"/>
        <v>6881916223326.3594</v>
      </c>
      <c r="S102" s="16">
        <f t="shared" si="11"/>
        <v>6885033033210.1123</v>
      </c>
      <c r="T102" s="16">
        <f t="shared" si="11"/>
        <v>6888149843093.8643</v>
      </c>
      <c r="U102" s="16">
        <f t="shared" si="11"/>
        <v>6891266652977.6182</v>
      </c>
      <c r="V102" s="16">
        <f t="shared" si="11"/>
        <v>6894383462861.3701</v>
      </c>
      <c r="W102" s="16">
        <f t="shared" si="11"/>
        <v>6847942995593.4521</v>
      </c>
      <c r="X102" s="16">
        <f t="shared" si="11"/>
        <v>6801502528325.5342</v>
      </c>
      <c r="Y102" s="16">
        <f t="shared" si="11"/>
        <v>6755062061057.6172</v>
      </c>
      <c r="Z102" s="16">
        <f t="shared" si="11"/>
        <v>6708621593789.6992</v>
      </c>
      <c r="AA102" s="16">
        <f t="shared" si="11"/>
        <v>6662181126521.7803</v>
      </c>
      <c r="AB102" s="16">
        <f t="shared" si="11"/>
        <v>6615740659253.8633</v>
      </c>
      <c r="AC102" s="16">
        <f t="shared" si="11"/>
        <v>6569300191985.9453</v>
      </c>
      <c r="AD102" s="16">
        <f t="shared" si="11"/>
        <v>6522859724718.0273</v>
      </c>
      <c r="AE102" s="16">
        <f t="shared" si="11"/>
        <v>6476419257450.1094</v>
      </c>
      <c r="AF102" s="16">
        <f t="shared" si="11"/>
        <v>6429978790182.1924</v>
      </c>
    </row>
    <row r="103" spans="1:32">
      <c r="A103" t="s">
        <v>1022</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1023</v>
      </c>
      <c r="B104" s="16">
        <f t="shared" si="12"/>
        <v>52143695380482.953</v>
      </c>
      <c r="C104" s="16">
        <f t="shared" si="13"/>
        <v>53534883563690.477</v>
      </c>
      <c r="D104" s="16">
        <f t="shared" si="11"/>
        <v>54926071746898</v>
      </c>
      <c r="E104" s="16">
        <f t="shared" si="11"/>
        <v>56317259930105.844</v>
      </c>
      <c r="F104" s="16">
        <f t="shared" si="11"/>
        <v>58523065998174.633</v>
      </c>
      <c r="G104" s="16">
        <f t="shared" si="11"/>
        <v>60728872066243.43</v>
      </c>
      <c r="H104" s="16">
        <f t="shared" si="11"/>
        <v>62934678134312.219</v>
      </c>
      <c r="I104" s="16">
        <f t="shared" si="11"/>
        <v>65140484202381.008</v>
      </c>
      <c r="J104" s="16">
        <f t="shared" si="11"/>
        <v>67346290270449.797</v>
      </c>
      <c r="K104" s="16">
        <f t="shared" si="11"/>
        <v>69552096338518.594</v>
      </c>
      <c r="L104" s="16">
        <f t="shared" si="11"/>
        <v>71757902406587.391</v>
      </c>
      <c r="M104" s="16">
        <f t="shared" ref="D104:AF113" si="14">IFERROR($B104*M20/$B20,0)</f>
        <v>73391495399333.484</v>
      </c>
      <c r="N104" s="16">
        <f t="shared" si="14"/>
        <v>75025088392079.594</v>
      </c>
      <c r="O104" s="16">
        <f t="shared" si="14"/>
        <v>76658681384825.688</v>
      </c>
      <c r="P104" s="16">
        <f t="shared" si="14"/>
        <v>78292274377571.781</v>
      </c>
      <c r="Q104" s="16">
        <f t="shared" si="14"/>
        <v>79925867370317.891</v>
      </c>
      <c r="R104" s="16">
        <f t="shared" si="14"/>
        <v>81559460363064</v>
      </c>
      <c r="S104" s="16">
        <f t="shared" si="14"/>
        <v>83193053355810.094</v>
      </c>
      <c r="T104" s="16">
        <f t="shared" si="14"/>
        <v>84826646348556.188</v>
      </c>
      <c r="U104" s="16">
        <f t="shared" si="14"/>
        <v>86460239341302.313</v>
      </c>
      <c r="V104" s="16">
        <f t="shared" si="14"/>
        <v>88093832334048.406</v>
      </c>
      <c r="W104" s="16">
        <f t="shared" si="14"/>
        <v>89266290968481.797</v>
      </c>
      <c r="X104" s="16">
        <f t="shared" si="14"/>
        <v>90438749602915.188</v>
      </c>
      <c r="Y104" s="16">
        <f t="shared" si="14"/>
        <v>91611208237348.563</v>
      </c>
      <c r="Z104" s="16">
        <f t="shared" si="14"/>
        <v>92783666871781.953</v>
      </c>
      <c r="AA104" s="16">
        <f t="shared" si="14"/>
        <v>93956125506215.344</v>
      </c>
      <c r="AB104" s="16">
        <f t="shared" si="14"/>
        <v>95128584140648.734</v>
      </c>
      <c r="AC104" s="16">
        <f t="shared" si="14"/>
        <v>96301042775082.125</v>
      </c>
      <c r="AD104" s="16">
        <f t="shared" si="14"/>
        <v>97473501409515.5</v>
      </c>
      <c r="AE104" s="16">
        <f t="shared" si="14"/>
        <v>98645960043948.891</v>
      </c>
      <c r="AF104" s="16">
        <f t="shared" si="14"/>
        <v>99818418678382.281</v>
      </c>
    </row>
    <row r="105" spans="1:32">
      <c r="A105" t="s">
        <v>51</v>
      </c>
      <c r="B105" s="16">
        <f t="shared" si="12"/>
        <v>42303082576552.93</v>
      </c>
      <c r="C105" s="16">
        <f t="shared" si="13"/>
        <v>43431724268790.578</v>
      </c>
      <c r="D105" s="16">
        <f t="shared" si="14"/>
        <v>44560365961028.219</v>
      </c>
      <c r="E105" s="16">
        <f t="shared" si="14"/>
        <v>45689007653266.117</v>
      </c>
      <c r="F105" s="16">
        <f t="shared" si="14"/>
        <v>47478531689959.195</v>
      </c>
      <c r="G105" s="16">
        <f t="shared" si="14"/>
        <v>49268055726652.258</v>
      </c>
      <c r="H105" s="16">
        <f t="shared" si="14"/>
        <v>51057579763345.328</v>
      </c>
      <c r="I105" s="16">
        <f t="shared" si="14"/>
        <v>52847103800038.398</v>
      </c>
      <c r="J105" s="16">
        <f t="shared" si="14"/>
        <v>54636627836731.477</v>
      </c>
      <c r="K105" s="16">
        <f t="shared" si="14"/>
        <v>56426151873424.531</v>
      </c>
      <c r="L105" s="16">
        <f t="shared" si="14"/>
        <v>58215675910117.602</v>
      </c>
      <c r="M105" s="16">
        <f t="shared" si="14"/>
        <v>59540975522359.563</v>
      </c>
      <c r="N105" s="16">
        <f t="shared" si="14"/>
        <v>60866275134601.516</v>
      </c>
      <c r="O105" s="16">
        <f t="shared" si="14"/>
        <v>62191574746843.469</v>
      </c>
      <c r="P105" s="16">
        <f t="shared" si="14"/>
        <v>63516874359085.422</v>
      </c>
      <c r="Q105" s="16">
        <f t="shared" si="14"/>
        <v>64842173971327.375</v>
      </c>
      <c r="R105" s="16">
        <f t="shared" si="14"/>
        <v>66167473583569.32</v>
      </c>
      <c r="S105" s="16">
        <f t="shared" si="14"/>
        <v>67492773195811.281</v>
      </c>
      <c r="T105" s="16">
        <f t="shared" si="14"/>
        <v>68818072808053.227</v>
      </c>
      <c r="U105" s="16">
        <f t="shared" si="14"/>
        <v>70143372420295.18</v>
      </c>
      <c r="V105" s="16">
        <f t="shared" si="14"/>
        <v>71468672032537.141</v>
      </c>
      <c r="W105" s="16">
        <f t="shared" si="14"/>
        <v>72419863045527.594</v>
      </c>
      <c r="X105" s="16">
        <f t="shared" si="14"/>
        <v>73371054058518.094</v>
      </c>
      <c r="Y105" s="16">
        <f t="shared" si="14"/>
        <v>74322245071508.547</v>
      </c>
      <c r="Z105" s="16">
        <f t="shared" si="14"/>
        <v>75273436084499.016</v>
      </c>
      <c r="AA105" s="16">
        <f t="shared" si="14"/>
        <v>76224627097489.484</v>
      </c>
      <c r="AB105" s="16">
        <f t="shared" si="14"/>
        <v>77175818110479.953</v>
      </c>
      <c r="AC105" s="16">
        <f t="shared" si="14"/>
        <v>78127009123470.438</v>
      </c>
      <c r="AD105" s="16">
        <f t="shared" si="14"/>
        <v>79078200136460.891</v>
      </c>
      <c r="AE105" s="16">
        <f t="shared" si="14"/>
        <v>80029391149451.375</v>
      </c>
      <c r="AF105" s="16">
        <f t="shared" si="14"/>
        <v>80980582162441.844</v>
      </c>
    </row>
    <row r="106" spans="1:32">
      <c r="A106" t="s">
        <v>53</v>
      </c>
      <c r="B106" s="16">
        <f t="shared" si="12"/>
        <v>1963374729692.9316</v>
      </c>
      <c r="C106" s="16">
        <f t="shared" si="13"/>
        <v>2019297957171.7659</v>
      </c>
      <c r="D106" s="16">
        <f t="shared" si="14"/>
        <v>2075221184650.6003</v>
      </c>
      <c r="E106" s="16">
        <f t="shared" si="14"/>
        <v>2131144412129.4346</v>
      </c>
      <c r="F106" s="16">
        <f t="shared" si="14"/>
        <v>2156452781579.9216</v>
      </c>
      <c r="G106" s="16">
        <f t="shared" si="14"/>
        <v>2181761151030.408</v>
      </c>
      <c r="H106" s="16">
        <f t="shared" si="14"/>
        <v>2207069520480.8945</v>
      </c>
      <c r="I106" s="16">
        <f t="shared" si="14"/>
        <v>2232377889931.3809</v>
      </c>
      <c r="J106" s="16">
        <f t="shared" si="14"/>
        <v>2257686259381.8677</v>
      </c>
      <c r="K106" s="16">
        <f t="shared" si="14"/>
        <v>2282994628832.354</v>
      </c>
      <c r="L106" s="16">
        <f t="shared" si="14"/>
        <v>2308302998282.8408</v>
      </c>
      <c r="M106" s="16">
        <f t="shared" si="14"/>
        <v>2309351273940.5532</v>
      </c>
      <c r="N106" s="16">
        <f t="shared" si="14"/>
        <v>2310399549598.2656</v>
      </c>
      <c r="O106" s="16">
        <f t="shared" si="14"/>
        <v>2311447825255.978</v>
      </c>
      <c r="P106" s="16">
        <f t="shared" si="14"/>
        <v>2312496100913.6904</v>
      </c>
      <c r="Q106" s="16">
        <f t="shared" si="14"/>
        <v>2313544376571.4028</v>
      </c>
      <c r="R106" s="16">
        <f t="shared" si="14"/>
        <v>2314592652229.1157</v>
      </c>
      <c r="S106" s="16">
        <f t="shared" si="14"/>
        <v>2315640927886.8281</v>
      </c>
      <c r="T106" s="16">
        <f t="shared" si="14"/>
        <v>2316689203544.54</v>
      </c>
      <c r="U106" s="16">
        <f t="shared" si="14"/>
        <v>2317737479202.2529</v>
      </c>
      <c r="V106" s="16">
        <f t="shared" si="14"/>
        <v>2318785754859.9653</v>
      </c>
      <c r="W106" s="16">
        <f t="shared" si="14"/>
        <v>2303166447560.0498</v>
      </c>
      <c r="X106" s="16">
        <f t="shared" si="14"/>
        <v>2287547140260.1338</v>
      </c>
      <c r="Y106" s="16">
        <f t="shared" si="14"/>
        <v>2271927832960.2183</v>
      </c>
      <c r="Z106" s="16">
        <f t="shared" si="14"/>
        <v>2256308525660.3027</v>
      </c>
      <c r="AA106" s="16">
        <f t="shared" si="14"/>
        <v>2240689218360.3867</v>
      </c>
      <c r="AB106" s="16">
        <f t="shared" si="14"/>
        <v>2225069911060.4712</v>
      </c>
      <c r="AC106" s="16">
        <f t="shared" si="14"/>
        <v>2209450603760.5552</v>
      </c>
      <c r="AD106" s="16">
        <f t="shared" si="14"/>
        <v>2193831296460.6399</v>
      </c>
      <c r="AE106" s="16">
        <f t="shared" si="14"/>
        <v>2178211989160.7244</v>
      </c>
      <c r="AF106" s="16">
        <f t="shared" si="14"/>
        <v>2162592681860.8086</v>
      </c>
    </row>
    <row r="107" spans="1:32">
      <c r="A107" t="s">
        <v>56</v>
      </c>
      <c r="B107" s="16">
        <f t="shared" si="12"/>
        <v>4948051306996.3838</v>
      </c>
      <c r="C107" s="16">
        <f t="shared" si="13"/>
        <v>5088987723582.2178</v>
      </c>
      <c r="D107" s="16">
        <f t="shared" si="14"/>
        <v>5229924140168.0518</v>
      </c>
      <c r="E107" s="16">
        <f t="shared" si="14"/>
        <v>5370860556753.8867</v>
      </c>
      <c r="F107" s="16">
        <f t="shared" si="14"/>
        <v>5434642120529.5459</v>
      </c>
      <c r="G107" s="16">
        <f t="shared" si="14"/>
        <v>5498423684305.2051</v>
      </c>
      <c r="H107" s="16">
        <f t="shared" si="14"/>
        <v>5562205248080.8652</v>
      </c>
      <c r="I107" s="16">
        <f t="shared" si="14"/>
        <v>5625986811856.5234</v>
      </c>
      <c r="J107" s="16">
        <f t="shared" si="14"/>
        <v>5689768375632.1836</v>
      </c>
      <c r="K107" s="16">
        <f t="shared" si="14"/>
        <v>5753549939407.8418</v>
      </c>
      <c r="L107" s="16">
        <f t="shared" si="14"/>
        <v>5817331503183.502</v>
      </c>
      <c r="M107" s="16">
        <f t="shared" si="14"/>
        <v>5819973343103.2031</v>
      </c>
      <c r="N107" s="16">
        <f t="shared" si="14"/>
        <v>5822615183022.9043</v>
      </c>
      <c r="O107" s="16">
        <f t="shared" si="14"/>
        <v>5825257022942.6074</v>
      </c>
      <c r="P107" s="16">
        <f t="shared" si="14"/>
        <v>5827898862862.3086</v>
      </c>
      <c r="Q107" s="16">
        <f t="shared" si="14"/>
        <v>5830540702782.0107</v>
      </c>
      <c r="R107" s="16">
        <f t="shared" si="14"/>
        <v>5833182542701.7119</v>
      </c>
      <c r="S107" s="16">
        <f t="shared" si="14"/>
        <v>5835824382621.415</v>
      </c>
      <c r="T107" s="16">
        <f t="shared" si="14"/>
        <v>5838466222541.1162</v>
      </c>
      <c r="U107" s="16">
        <f t="shared" si="14"/>
        <v>5841108062460.8184</v>
      </c>
      <c r="V107" s="16">
        <f t="shared" si="14"/>
        <v>5843749902380.5205</v>
      </c>
      <c r="W107" s="16">
        <f t="shared" si="14"/>
        <v>5804386487576.9629</v>
      </c>
      <c r="X107" s="16">
        <f t="shared" si="14"/>
        <v>5765023072773.4043</v>
      </c>
      <c r="Y107" s="16">
        <f t="shared" si="14"/>
        <v>5725659657969.8467</v>
      </c>
      <c r="Z107" s="16">
        <f t="shared" si="14"/>
        <v>5686296243166.2891</v>
      </c>
      <c r="AA107" s="16">
        <f t="shared" si="14"/>
        <v>5646932828362.7314</v>
      </c>
      <c r="AB107" s="16">
        <f t="shared" si="14"/>
        <v>5607569413559.1738</v>
      </c>
      <c r="AC107" s="16">
        <f t="shared" si="14"/>
        <v>5568205998755.6162</v>
      </c>
      <c r="AD107" s="16">
        <f t="shared" si="14"/>
        <v>5528842583952.0586</v>
      </c>
      <c r="AE107" s="16">
        <f t="shared" si="14"/>
        <v>5489479169148.501</v>
      </c>
      <c r="AF107" s="16">
        <f t="shared" si="14"/>
        <v>5450115754344.9434</v>
      </c>
    </row>
    <row r="108" spans="1:32">
      <c r="A108" t="s">
        <v>58</v>
      </c>
      <c r="B108" s="16">
        <f t="shared" si="12"/>
        <v>45335689671673.609</v>
      </c>
      <c r="C108" s="16">
        <f t="shared" si="13"/>
        <v>45692078028913.656</v>
      </c>
      <c r="D108" s="16">
        <f t="shared" si="14"/>
        <v>46048466386153.695</v>
      </c>
      <c r="E108" s="16">
        <f t="shared" si="14"/>
        <v>46404854743393.734</v>
      </c>
      <c r="F108" s="16">
        <f t="shared" si="14"/>
        <v>47950308088126.875</v>
      </c>
      <c r="G108" s="16">
        <f t="shared" si="14"/>
        <v>49495761432860.023</v>
      </c>
      <c r="H108" s="16">
        <f t="shared" si="14"/>
        <v>51041214777593.164</v>
      </c>
      <c r="I108" s="16">
        <f t="shared" si="14"/>
        <v>52586668122326.313</v>
      </c>
      <c r="J108" s="16">
        <f t="shared" si="14"/>
        <v>54132121467059.445</v>
      </c>
      <c r="K108" s="16">
        <f t="shared" si="14"/>
        <v>55677574811792.594</v>
      </c>
      <c r="L108" s="16">
        <f t="shared" si="14"/>
        <v>57223028156525.734</v>
      </c>
      <c r="M108" s="16">
        <f t="shared" si="14"/>
        <v>57274120145951.211</v>
      </c>
      <c r="N108" s="16">
        <f t="shared" si="14"/>
        <v>57325212135376.672</v>
      </c>
      <c r="O108" s="16">
        <f t="shared" si="14"/>
        <v>57376304124802.141</v>
      </c>
      <c r="P108" s="16">
        <f t="shared" si="14"/>
        <v>57427396114227.617</v>
      </c>
      <c r="Q108" s="16">
        <f t="shared" si="14"/>
        <v>57478488103653.078</v>
      </c>
      <c r="R108" s="16">
        <f t="shared" si="14"/>
        <v>57529580093078.555</v>
      </c>
      <c r="S108" s="16">
        <f t="shared" si="14"/>
        <v>57580672082504.016</v>
      </c>
      <c r="T108" s="16">
        <f t="shared" si="14"/>
        <v>57631764071929.508</v>
      </c>
      <c r="U108" s="16">
        <f t="shared" si="14"/>
        <v>57682856061354.977</v>
      </c>
      <c r="V108" s="16">
        <f t="shared" si="14"/>
        <v>57733948050780.438</v>
      </c>
      <c r="W108" s="16">
        <f t="shared" si="14"/>
        <v>57620657117706.563</v>
      </c>
      <c r="X108" s="16">
        <f t="shared" si="14"/>
        <v>57507366184632.695</v>
      </c>
      <c r="Y108" s="16">
        <f t="shared" si="14"/>
        <v>57394075251558.828</v>
      </c>
      <c r="Z108" s="16">
        <f t="shared" si="14"/>
        <v>57280784318484.961</v>
      </c>
      <c r="AA108" s="16">
        <f t="shared" si="14"/>
        <v>57167493385411.094</v>
      </c>
      <c r="AB108" s="16">
        <f t="shared" si="14"/>
        <v>57054202452337.227</v>
      </c>
      <c r="AC108" s="16">
        <f t="shared" si="14"/>
        <v>56940911519263.359</v>
      </c>
      <c r="AD108" s="16">
        <f t="shared" si="14"/>
        <v>56827620586189.492</v>
      </c>
      <c r="AE108" s="16">
        <f t="shared" si="14"/>
        <v>56714329653115.625</v>
      </c>
      <c r="AF108" s="16">
        <f t="shared" si="14"/>
        <v>56601038720041.758</v>
      </c>
    </row>
    <row r="109" spans="1:32">
      <c r="A109" t="s">
        <v>61</v>
      </c>
      <c r="B109" s="16">
        <f t="shared" si="12"/>
        <v>7188684214960.2783</v>
      </c>
      <c r="C109" s="16">
        <f t="shared" si="13"/>
        <v>7257969587463.0771</v>
      </c>
      <c r="D109" s="16">
        <f t="shared" si="14"/>
        <v>7327254959965.876</v>
      </c>
      <c r="E109" s="16">
        <f t="shared" si="14"/>
        <v>7396540332468.6768</v>
      </c>
      <c r="F109" s="16">
        <f t="shared" si="14"/>
        <v>7682179085145.3135</v>
      </c>
      <c r="G109" s="16">
        <f t="shared" si="14"/>
        <v>7967817837821.9482</v>
      </c>
      <c r="H109" s="16">
        <f t="shared" si="14"/>
        <v>8253456590498.585</v>
      </c>
      <c r="I109" s="16">
        <f t="shared" si="14"/>
        <v>8539095343175.2197</v>
      </c>
      <c r="J109" s="16">
        <f t="shared" si="14"/>
        <v>8824734095851.8574</v>
      </c>
      <c r="K109" s="16">
        <f t="shared" si="14"/>
        <v>9110372848528.4922</v>
      </c>
      <c r="L109" s="16">
        <f t="shared" si="14"/>
        <v>9396011601205.1289</v>
      </c>
      <c r="M109" s="16">
        <f t="shared" si="14"/>
        <v>9438857414106.623</v>
      </c>
      <c r="N109" s="16">
        <f t="shared" si="14"/>
        <v>9481703227008.1172</v>
      </c>
      <c r="O109" s="16">
        <f t="shared" si="14"/>
        <v>9524549039909.6133</v>
      </c>
      <c r="P109" s="16">
        <f t="shared" si="14"/>
        <v>9567394852811.1094</v>
      </c>
      <c r="Q109" s="16">
        <f t="shared" si="14"/>
        <v>9610240665712.6035</v>
      </c>
      <c r="R109" s="16">
        <f t="shared" si="14"/>
        <v>9653086478614.0996</v>
      </c>
      <c r="S109" s="16">
        <f t="shared" si="14"/>
        <v>9695932291515.5957</v>
      </c>
      <c r="T109" s="16">
        <f t="shared" si="14"/>
        <v>9738778104417.0898</v>
      </c>
      <c r="U109" s="16">
        <f t="shared" si="14"/>
        <v>9781623917318.5859</v>
      </c>
      <c r="V109" s="16">
        <f t="shared" si="14"/>
        <v>9824469730220.082</v>
      </c>
      <c r="W109" s="16">
        <f t="shared" si="14"/>
        <v>9783878960102.875</v>
      </c>
      <c r="X109" s="16">
        <f t="shared" si="14"/>
        <v>9743288189985.6699</v>
      </c>
      <c r="Y109" s="16">
        <f t="shared" si="14"/>
        <v>9702697419868.4629</v>
      </c>
      <c r="Z109" s="16">
        <f t="shared" si="14"/>
        <v>9662106649751.2559</v>
      </c>
      <c r="AA109" s="16">
        <f t="shared" si="14"/>
        <v>9621515879634.0508</v>
      </c>
      <c r="AB109" s="16">
        <f t="shared" si="14"/>
        <v>9580925109516.8438</v>
      </c>
      <c r="AC109" s="16">
        <f t="shared" si="14"/>
        <v>9540334339399.6367</v>
      </c>
      <c r="AD109" s="16">
        <f t="shared" si="14"/>
        <v>9499743569282.4316</v>
      </c>
      <c r="AE109" s="16">
        <f t="shared" si="14"/>
        <v>9459152799165.2266</v>
      </c>
      <c r="AF109" s="16">
        <f t="shared" si="14"/>
        <v>9418562029048.0176</v>
      </c>
    </row>
    <row r="110" spans="1:32">
      <c r="A110" t="s">
        <v>65</v>
      </c>
      <c r="B110" s="16">
        <f t="shared" si="12"/>
        <v>14055538836129.041</v>
      </c>
      <c r="C110" s="16">
        <f t="shared" si="13"/>
        <v>14191007750170.658</v>
      </c>
      <c r="D110" s="16">
        <f t="shared" si="14"/>
        <v>14326476664212.271</v>
      </c>
      <c r="E110" s="16">
        <f t="shared" si="14"/>
        <v>14461945578253.887</v>
      </c>
      <c r="F110" s="16">
        <f t="shared" si="14"/>
        <v>15020435346519.789</v>
      </c>
      <c r="G110" s="16">
        <f t="shared" si="14"/>
        <v>15578925114785.689</v>
      </c>
      <c r="H110" s="16">
        <f t="shared" si="14"/>
        <v>16137414883051.594</v>
      </c>
      <c r="I110" s="16">
        <f t="shared" si="14"/>
        <v>16695904651317.494</v>
      </c>
      <c r="J110" s="16">
        <f t="shared" si="14"/>
        <v>17254394419583.396</v>
      </c>
      <c r="K110" s="16">
        <f t="shared" si="14"/>
        <v>17812884187849.301</v>
      </c>
      <c r="L110" s="16">
        <f t="shared" si="14"/>
        <v>18371373956115.199</v>
      </c>
      <c r="M110" s="16">
        <f t="shared" si="14"/>
        <v>18455147421355.082</v>
      </c>
      <c r="N110" s="16">
        <f t="shared" si="14"/>
        <v>18538920886594.969</v>
      </c>
      <c r="O110" s="16">
        <f t="shared" si="14"/>
        <v>18622694351834.855</v>
      </c>
      <c r="P110" s="16">
        <f t="shared" si="14"/>
        <v>18706467817074.738</v>
      </c>
      <c r="Q110" s="16">
        <f t="shared" si="14"/>
        <v>18790241282314.625</v>
      </c>
      <c r="R110" s="16">
        <f t="shared" si="14"/>
        <v>18874014747554.512</v>
      </c>
      <c r="S110" s="16">
        <f t="shared" si="14"/>
        <v>18957788212794.398</v>
      </c>
      <c r="T110" s="16">
        <f t="shared" si="14"/>
        <v>19041561678034.285</v>
      </c>
      <c r="U110" s="16">
        <f t="shared" si="14"/>
        <v>19125335143274.168</v>
      </c>
      <c r="V110" s="16">
        <f t="shared" si="14"/>
        <v>19209108608514.051</v>
      </c>
      <c r="W110" s="16">
        <f t="shared" si="14"/>
        <v>19129744273023.637</v>
      </c>
      <c r="X110" s="16">
        <f t="shared" si="14"/>
        <v>19050379937533.215</v>
      </c>
      <c r="Y110" s="16">
        <f t="shared" si="14"/>
        <v>18971015602042.801</v>
      </c>
      <c r="Z110" s="16">
        <f t="shared" si="14"/>
        <v>18891651266552.379</v>
      </c>
      <c r="AA110" s="16">
        <f t="shared" si="14"/>
        <v>18812286931061.965</v>
      </c>
      <c r="AB110" s="16">
        <f t="shared" si="14"/>
        <v>18732922595571.547</v>
      </c>
      <c r="AC110" s="16">
        <f t="shared" si="14"/>
        <v>18653558260081.129</v>
      </c>
      <c r="AD110" s="16">
        <f t="shared" si="14"/>
        <v>18574193924590.711</v>
      </c>
      <c r="AE110" s="16">
        <f t="shared" si="14"/>
        <v>18494829589100.293</v>
      </c>
      <c r="AF110" s="16">
        <f t="shared" si="14"/>
        <v>18415465253609.875</v>
      </c>
    </row>
    <row r="111" spans="1:32">
      <c r="A111" t="s">
        <v>67</v>
      </c>
      <c r="B111" s="16">
        <f t="shared" si="12"/>
        <v>86864778082740.094</v>
      </c>
      <c r="C111" s="16">
        <f t="shared" si="13"/>
        <v>89955915939331.844</v>
      </c>
      <c r="D111" s="16">
        <f t="shared" si="14"/>
        <v>93047053795924.813</v>
      </c>
      <c r="E111" s="16">
        <f t="shared" si="14"/>
        <v>96138191652517.188</v>
      </c>
      <c r="F111" s="16">
        <f t="shared" si="14"/>
        <v>97805429689672.391</v>
      </c>
      <c r="G111" s="16">
        <f t="shared" si="14"/>
        <v>99472667726827.578</v>
      </c>
      <c r="H111" s="16">
        <f t="shared" si="14"/>
        <v>101139905763982.77</v>
      </c>
      <c r="I111" s="16">
        <f t="shared" si="14"/>
        <v>102807143801137.97</v>
      </c>
      <c r="J111" s="16">
        <f t="shared" si="14"/>
        <v>104474381838293.17</v>
      </c>
      <c r="K111" s="16">
        <f t="shared" si="14"/>
        <v>106141619875448.36</v>
      </c>
      <c r="L111" s="16">
        <f t="shared" si="14"/>
        <v>107808857912603.55</v>
      </c>
      <c r="M111" s="16">
        <f t="shared" si="14"/>
        <v>108457091328950.48</v>
      </c>
      <c r="N111" s="16">
        <f t="shared" si="14"/>
        <v>109105324745297.42</v>
      </c>
      <c r="O111" s="16">
        <f t="shared" si="14"/>
        <v>109753558161644.34</v>
      </c>
      <c r="P111" s="16">
        <f t="shared" si="14"/>
        <v>110401791577991.28</v>
      </c>
      <c r="Q111" s="16">
        <f t="shared" si="14"/>
        <v>111050024994338.19</v>
      </c>
      <c r="R111" s="16">
        <f t="shared" si="14"/>
        <v>111698258410685.16</v>
      </c>
      <c r="S111" s="16">
        <f t="shared" si="14"/>
        <v>112346491827032.06</v>
      </c>
      <c r="T111" s="16">
        <f t="shared" si="14"/>
        <v>112994725243379</v>
      </c>
      <c r="U111" s="16">
        <f t="shared" si="14"/>
        <v>113642958659725.92</v>
      </c>
      <c r="V111" s="16">
        <f t="shared" si="14"/>
        <v>114291192076072.84</v>
      </c>
      <c r="W111" s="16">
        <f t="shared" si="14"/>
        <v>113952286772849.58</v>
      </c>
      <c r="X111" s="16">
        <f t="shared" si="14"/>
        <v>113613381469626.36</v>
      </c>
      <c r="Y111" s="16">
        <f t="shared" si="14"/>
        <v>113274476166403.16</v>
      </c>
      <c r="Z111" s="16">
        <f t="shared" si="14"/>
        <v>112935570863179.95</v>
      </c>
      <c r="AA111" s="16">
        <f t="shared" si="14"/>
        <v>112596665559956.77</v>
      </c>
      <c r="AB111" s="16">
        <f t="shared" si="14"/>
        <v>112257760256733.55</v>
      </c>
      <c r="AC111" s="16">
        <f t="shared" si="14"/>
        <v>111918854953510.34</v>
      </c>
      <c r="AD111" s="16">
        <f t="shared" si="14"/>
        <v>111579949650287.14</v>
      </c>
      <c r="AE111" s="16">
        <f t="shared" si="14"/>
        <v>111241044347063.92</v>
      </c>
      <c r="AF111" s="16">
        <f t="shared" si="14"/>
        <v>110902139043840.81</v>
      </c>
    </row>
    <row r="112" spans="1:32">
      <c r="A112" t="s">
        <v>71</v>
      </c>
      <c r="B112" s="16">
        <f t="shared" si="12"/>
        <v>15126625636112.35</v>
      </c>
      <c r="C112" s="16">
        <f t="shared" si="13"/>
        <v>15664916139793.137</v>
      </c>
      <c r="D112" s="16">
        <f t="shared" si="14"/>
        <v>16203206643474.143</v>
      </c>
      <c r="E112" s="16">
        <f t="shared" si="14"/>
        <v>16741497147155.037</v>
      </c>
      <c r="F112" s="16">
        <f t="shared" si="14"/>
        <v>17031829848060.705</v>
      </c>
      <c r="G112" s="16">
        <f t="shared" si="14"/>
        <v>17322162548966.375</v>
      </c>
      <c r="H112" s="16">
        <f t="shared" si="14"/>
        <v>17612495249872.043</v>
      </c>
      <c r="I112" s="16">
        <f t="shared" si="14"/>
        <v>17902827950777.711</v>
      </c>
      <c r="J112" s="16">
        <f t="shared" si="14"/>
        <v>18193160651683.379</v>
      </c>
      <c r="K112" s="16">
        <f t="shared" si="14"/>
        <v>18483493352589.047</v>
      </c>
      <c r="L112" s="16">
        <f t="shared" si="14"/>
        <v>18773826053494.715</v>
      </c>
      <c r="M112" s="16">
        <f t="shared" si="14"/>
        <v>18886709369728.578</v>
      </c>
      <c r="N112" s="16">
        <f t="shared" si="14"/>
        <v>18999592685962.438</v>
      </c>
      <c r="O112" s="16">
        <f t="shared" si="14"/>
        <v>19112476002196.301</v>
      </c>
      <c r="P112" s="16">
        <f t="shared" si="14"/>
        <v>19225359318430.164</v>
      </c>
      <c r="Q112" s="16">
        <f t="shared" si="14"/>
        <v>19338242634664.023</v>
      </c>
      <c r="R112" s="16">
        <f t="shared" si="14"/>
        <v>19451125950897.887</v>
      </c>
      <c r="S112" s="16">
        <f t="shared" si="14"/>
        <v>19564009267131.746</v>
      </c>
      <c r="T112" s="16">
        <f t="shared" si="14"/>
        <v>19676892583365.609</v>
      </c>
      <c r="U112" s="16">
        <f t="shared" si="14"/>
        <v>19789775899599.469</v>
      </c>
      <c r="V112" s="16">
        <f t="shared" si="14"/>
        <v>19902659215833.328</v>
      </c>
      <c r="W112" s="16">
        <f t="shared" si="14"/>
        <v>19843642272935.387</v>
      </c>
      <c r="X112" s="16">
        <f t="shared" si="14"/>
        <v>19784625330037.453</v>
      </c>
      <c r="Y112" s="16">
        <f t="shared" si="14"/>
        <v>19725608387139.527</v>
      </c>
      <c r="Z112" s="16">
        <f t="shared" si="14"/>
        <v>19666591444241.59</v>
      </c>
      <c r="AA112" s="16">
        <f t="shared" si="14"/>
        <v>19607574501343.66</v>
      </c>
      <c r="AB112" s="16">
        <f t="shared" si="14"/>
        <v>19548557558445.73</v>
      </c>
      <c r="AC112" s="16">
        <f t="shared" si="14"/>
        <v>19489540615547.797</v>
      </c>
      <c r="AD112" s="16">
        <f t="shared" si="14"/>
        <v>19430523672649.867</v>
      </c>
      <c r="AE112" s="16">
        <f t="shared" si="14"/>
        <v>19371506729751.938</v>
      </c>
      <c r="AF112" s="16">
        <f t="shared" si="14"/>
        <v>19312489786854.016</v>
      </c>
    </row>
    <row r="113" spans="1:32">
      <c r="A113" t="s">
        <v>73</v>
      </c>
      <c r="B113" s="16">
        <f t="shared" si="12"/>
        <v>23614543919329.996</v>
      </c>
      <c r="C113" s="16">
        <f t="shared" si="13"/>
        <v>24454882342869.848</v>
      </c>
      <c r="D113" s="16">
        <f t="shared" si="14"/>
        <v>25295220766410.043</v>
      </c>
      <c r="E113" s="16">
        <f t="shared" si="14"/>
        <v>26135559189950.066</v>
      </c>
      <c r="F113" s="16">
        <f t="shared" si="14"/>
        <v>26588804644798.035</v>
      </c>
      <c r="G113" s="16">
        <f t="shared" ref="D113:AF119" si="15">IFERROR($B113*G29/$B29,0)</f>
        <v>27042050099645.996</v>
      </c>
      <c r="H113" s="16">
        <f t="shared" si="15"/>
        <v>27495295554493.961</v>
      </c>
      <c r="I113" s="16">
        <f t="shared" si="15"/>
        <v>27948541009341.922</v>
      </c>
      <c r="J113" s="16">
        <f t="shared" si="15"/>
        <v>28401786464189.887</v>
      </c>
      <c r="K113" s="16">
        <f t="shared" si="15"/>
        <v>28855031919037.848</v>
      </c>
      <c r="L113" s="16">
        <f t="shared" si="15"/>
        <v>29308277373885.809</v>
      </c>
      <c r="M113" s="16">
        <f t="shared" si="15"/>
        <v>29484502269846.766</v>
      </c>
      <c r="N113" s="16">
        <f t="shared" si="15"/>
        <v>29660727165807.711</v>
      </c>
      <c r="O113" s="16">
        <f t="shared" si="15"/>
        <v>29836952061768.66</v>
      </c>
      <c r="P113" s="16">
        <f t="shared" si="15"/>
        <v>30013176957729.613</v>
      </c>
      <c r="Q113" s="16">
        <f t="shared" si="15"/>
        <v>30189401853690.563</v>
      </c>
      <c r="R113" s="16">
        <f t="shared" si="15"/>
        <v>30365626749651.516</v>
      </c>
      <c r="S113" s="16">
        <f t="shared" si="15"/>
        <v>30541851645612.465</v>
      </c>
      <c r="T113" s="16">
        <f t="shared" si="15"/>
        <v>30718076541573.418</v>
      </c>
      <c r="U113" s="16">
        <f t="shared" si="15"/>
        <v>30894301437534.363</v>
      </c>
      <c r="V113" s="16">
        <f t="shared" si="15"/>
        <v>31070526333495.313</v>
      </c>
      <c r="W113" s="16">
        <f t="shared" si="15"/>
        <v>30978393545683.012</v>
      </c>
      <c r="X113" s="16">
        <f t="shared" si="15"/>
        <v>30886260757870.727</v>
      </c>
      <c r="Y113" s="16">
        <f t="shared" si="15"/>
        <v>30794127970058.445</v>
      </c>
      <c r="Z113" s="16">
        <f t="shared" si="15"/>
        <v>30701995182246.156</v>
      </c>
      <c r="AA113" s="16">
        <f t="shared" si="15"/>
        <v>30609862394433.871</v>
      </c>
      <c r="AB113" s="16">
        <f t="shared" si="15"/>
        <v>30517729606621.59</v>
      </c>
      <c r="AC113" s="16">
        <f t="shared" si="15"/>
        <v>30425596818809.309</v>
      </c>
      <c r="AD113" s="16">
        <f t="shared" si="15"/>
        <v>30333464030997.023</v>
      </c>
      <c r="AE113" s="16">
        <f t="shared" si="15"/>
        <v>30241331243184.742</v>
      </c>
      <c r="AF113" s="16">
        <f t="shared" si="15"/>
        <v>30149198455372.477</v>
      </c>
    </row>
    <row r="114" spans="1:32">
      <c r="A114" t="s">
        <v>75</v>
      </c>
      <c r="B114" s="16">
        <f t="shared" si="12"/>
        <v>24655477187049.738</v>
      </c>
      <c r="C114" s="16">
        <f t="shared" si="13"/>
        <v>25532857876753.785</v>
      </c>
      <c r="D114" s="16">
        <f t="shared" si="15"/>
        <v>26410238566458.184</v>
      </c>
      <c r="E114" s="16">
        <f t="shared" si="15"/>
        <v>27287619256162.406</v>
      </c>
      <c r="F114" s="16">
        <f t="shared" si="15"/>
        <v>27760843850730.609</v>
      </c>
      <c r="G114" s="16">
        <f t="shared" si="15"/>
        <v>28234068445298.813</v>
      </c>
      <c r="H114" s="16">
        <f t="shared" si="15"/>
        <v>28707293039867.016</v>
      </c>
      <c r="I114" s="16">
        <f t="shared" si="15"/>
        <v>29180517634435.215</v>
      </c>
      <c r="J114" s="16">
        <f t="shared" si="15"/>
        <v>29653742229003.418</v>
      </c>
      <c r="K114" s="16">
        <f t="shared" si="15"/>
        <v>30126966823571.617</v>
      </c>
      <c r="L114" s="16">
        <f t="shared" si="15"/>
        <v>30600191418139.816</v>
      </c>
      <c r="M114" s="16">
        <f t="shared" si="15"/>
        <v>30784184338646.695</v>
      </c>
      <c r="N114" s="16">
        <f t="shared" si="15"/>
        <v>30968177259153.574</v>
      </c>
      <c r="O114" s="16">
        <f t="shared" si="15"/>
        <v>31152170179660.453</v>
      </c>
      <c r="P114" s="16">
        <f t="shared" si="15"/>
        <v>31336163100167.32</v>
      </c>
      <c r="Q114" s="16">
        <f t="shared" si="15"/>
        <v>31520156020674.199</v>
      </c>
      <c r="R114" s="16">
        <f t="shared" si="15"/>
        <v>31704148941181.078</v>
      </c>
      <c r="S114" s="16">
        <f t="shared" si="15"/>
        <v>31888141861687.961</v>
      </c>
      <c r="T114" s="16">
        <f t="shared" si="15"/>
        <v>32072134782194.832</v>
      </c>
      <c r="U114" s="16">
        <f t="shared" si="15"/>
        <v>32256127702701.707</v>
      </c>
      <c r="V114" s="16">
        <f t="shared" si="15"/>
        <v>32440120623208.578</v>
      </c>
      <c r="W114" s="16">
        <f t="shared" si="15"/>
        <v>32343926605833.297</v>
      </c>
      <c r="X114" s="16">
        <f t="shared" si="15"/>
        <v>32247732588458.031</v>
      </c>
      <c r="Y114" s="16">
        <f t="shared" si="15"/>
        <v>32151538571082.758</v>
      </c>
      <c r="Z114" s="16">
        <f t="shared" si="15"/>
        <v>32055344553707.488</v>
      </c>
      <c r="AA114" s="16">
        <f t="shared" si="15"/>
        <v>31959150536332.223</v>
      </c>
      <c r="AB114" s="16">
        <f t="shared" si="15"/>
        <v>31862956518956.953</v>
      </c>
      <c r="AC114" s="16">
        <f t="shared" si="15"/>
        <v>31766762501581.684</v>
      </c>
      <c r="AD114" s="16">
        <f t="shared" si="15"/>
        <v>31670568484206.418</v>
      </c>
      <c r="AE114" s="16">
        <f t="shared" si="15"/>
        <v>31574374466831.148</v>
      </c>
      <c r="AF114" s="16">
        <f t="shared" si="15"/>
        <v>31478180449455.906</v>
      </c>
    </row>
    <row r="115" spans="1:32">
      <c r="A115" t="s">
        <v>78</v>
      </c>
      <c r="B115" s="16">
        <f t="shared" si="12"/>
        <v>6313791766438.833</v>
      </c>
      <c r="C115" s="16">
        <f t="shared" si="13"/>
        <v>6538472024405.834</v>
      </c>
      <c r="D115" s="16">
        <f t="shared" si="15"/>
        <v>6763152282372.9258</v>
      </c>
      <c r="E115" s="16">
        <f t="shared" si="15"/>
        <v>6987832540339.9707</v>
      </c>
      <c r="F115" s="16">
        <f t="shared" si="15"/>
        <v>7109016224038.0674</v>
      </c>
      <c r="G115" s="16">
        <f t="shared" si="15"/>
        <v>7230199907736.1631</v>
      </c>
      <c r="H115" s="16">
        <f t="shared" si="15"/>
        <v>7351383591434.2607</v>
      </c>
      <c r="I115" s="16">
        <f t="shared" si="15"/>
        <v>7472567275132.3574</v>
      </c>
      <c r="J115" s="16">
        <f t="shared" si="15"/>
        <v>7593750958830.4531</v>
      </c>
      <c r="K115" s="16">
        <f t="shared" si="15"/>
        <v>7714934642528.5498</v>
      </c>
      <c r="L115" s="16">
        <f t="shared" si="15"/>
        <v>7836118326226.6455</v>
      </c>
      <c r="M115" s="16">
        <f t="shared" si="15"/>
        <v>7883235361430.0684</v>
      </c>
      <c r="N115" s="16">
        <f t="shared" si="15"/>
        <v>7930352396633.4873</v>
      </c>
      <c r="O115" s="16">
        <f t="shared" si="15"/>
        <v>7977469431836.9072</v>
      </c>
      <c r="P115" s="16">
        <f t="shared" si="15"/>
        <v>8024586467040.3281</v>
      </c>
      <c r="Q115" s="16">
        <f t="shared" si="15"/>
        <v>8071703502243.748</v>
      </c>
      <c r="R115" s="16">
        <f t="shared" si="15"/>
        <v>8118820537447.1689</v>
      </c>
      <c r="S115" s="16">
        <f t="shared" si="15"/>
        <v>8165937572650.5898</v>
      </c>
      <c r="T115" s="16">
        <f t="shared" si="15"/>
        <v>8213054607854.0088</v>
      </c>
      <c r="U115" s="16">
        <f t="shared" si="15"/>
        <v>8260171643057.4307</v>
      </c>
      <c r="V115" s="16">
        <f t="shared" si="15"/>
        <v>8307288678260.8477</v>
      </c>
      <c r="W115" s="16">
        <f t="shared" si="15"/>
        <v>8282655247308.4854</v>
      </c>
      <c r="X115" s="16">
        <f t="shared" si="15"/>
        <v>8258021816356.127</v>
      </c>
      <c r="Y115" s="16">
        <f t="shared" si="15"/>
        <v>8233388385403.7695</v>
      </c>
      <c r="Z115" s="16">
        <f t="shared" si="15"/>
        <v>8208754954451.4102</v>
      </c>
      <c r="AA115" s="16">
        <f t="shared" si="15"/>
        <v>8184121523499.0518</v>
      </c>
      <c r="AB115" s="16">
        <f t="shared" si="15"/>
        <v>8159488092546.6943</v>
      </c>
      <c r="AC115" s="16">
        <f t="shared" si="15"/>
        <v>8134854661594.335</v>
      </c>
      <c r="AD115" s="16">
        <f t="shared" si="15"/>
        <v>8110221230641.9756</v>
      </c>
      <c r="AE115" s="16">
        <f t="shared" si="15"/>
        <v>8085587799689.6182</v>
      </c>
      <c r="AF115" s="16">
        <f t="shared" si="15"/>
        <v>8060954368737.2656</v>
      </c>
    </row>
    <row r="116" spans="1:32">
      <c r="A116" t="s">
        <v>80</v>
      </c>
      <c r="B116" s="16">
        <f t="shared" si="12"/>
        <v>2575767019780.9302</v>
      </c>
      <c r="C116" s="16">
        <f t="shared" si="13"/>
        <v>2649133149435.7705</v>
      </c>
      <c r="D116" s="16">
        <f t="shared" si="15"/>
        <v>2722499279090.6104</v>
      </c>
      <c r="E116" s="16">
        <f t="shared" si="15"/>
        <v>2795865408745.4507</v>
      </c>
      <c r="F116" s="16">
        <f t="shared" si="15"/>
        <v>2829067661157.6479</v>
      </c>
      <c r="G116" s="16">
        <f t="shared" si="15"/>
        <v>2862269913569.8452</v>
      </c>
      <c r="H116" s="16">
        <f t="shared" si="15"/>
        <v>2895472165982.043</v>
      </c>
      <c r="I116" s="16">
        <f t="shared" si="15"/>
        <v>2928674418394.2402</v>
      </c>
      <c r="J116" s="16">
        <f t="shared" si="15"/>
        <v>2961876670806.438</v>
      </c>
      <c r="K116" s="16">
        <f t="shared" si="15"/>
        <v>2995078923218.6348</v>
      </c>
      <c r="L116" s="16">
        <f t="shared" si="15"/>
        <v>3028281175630.833</v>
      </c>
      <c r="M116" s="16">
        <f t="shared" si="15"/>
        <v>3029656416855.0063</v>
      </c>
      <c r="N116" s="16">
        <f t="shared" si="15"/>
        <v>3031031658079.1807</v>
      </c>
      <c r="O116" s="16">
        <f t="shared" si="15"/>
        <v>3032406899303.354</v>
      </c>
      <c r="P116" s="16">
        <f t="shared" si="15"/>
        <v>3033782140527.5278</v>
      </c>
      <c r="Q116" s="16">
        <f t="shared" si="15"/>
        <v>3035157381751.7017</v>
      </c>
      <c r="R116" s="16">
        <f t="shared" si="15"/>
        <v>3036532622975.8755</v>
      </c>
      <c r="S116" s="16">
        <f t="shared" si="15"/>
        <v>3037907864200.0498</v>
      </c>
      <c r="T116" s="16">
        <f t="shared" si="15"/>
        <v>3039283105424.2231</v>
      </c>
      <c r="U116" s="16">
        <f t="shared" si="15"/>
        <v>3040658346648.3975</v>
      </c>
      <c r="V116" s="16">
        <f t="shared" si="15"/>
        <v>3042033587872.5708</v>
      </c>
      <c r="W116" s="16">
        <f t="shared" si="15"/>
        <v>3021542493632.3809</v>
      </c>
      <c r="X116" s="16">
        <f t="shared" si="15"/>
        <v>3001051399392.1904</v>
      </c>
      <c r="Y116" s="16">
        <f t="shared" si="15"/>
        <v>2980560305151.9995</v>
      </c>
      <c r="Z116" s="16">
        <f t="shared" si="15"/>
        <v>2960069210911.8091</v>
      </c>
      <c r="AA116" s="16">
        <f t="shared" si="15"/>
        <v>2939578116671.6187</v>
      </c>
      <c r="AB116" s="16">
        <f t="shared" si="15"/>
        <v>2919087022431.4282</v>
      </c>
      <c r="AC116" s="16">
        <f t="shared" si="15"/>
        <v>2898595928191.2383</v>
      </c>
      <c r="AD116" s="16">
        <f t="shared" si="15"/>
        <v>2878104833951.0474</v>
      </c>
      <c r="AE116" s="16">
        <f t="shared" si="15"/>
        <v>2857613739710.8564</v>
      </c>
      <c r="AF116" s="16">
        <f t="shared" si="15"/>
        <v>2837122645470.666</v>
      </c>
    </row>
    <row r="117" spans="1:32">
      <c r="A117" t="s">
        <v>82</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85</v>
      </c>
      <c r="B118" s="16">
        <f t="shared" si="12"/>
        <v>2270855491547.7778</v>
      </c>
      <c r="C118" s="16">
        <f t="shared" si="13"/>
        <v>2273126347039.3257</v>
      </c>
      <c r="D118" s="16">
        <f t="shared" si="15"/>
        <v>2275399473386.3647</v>
      </c>
      <c r="E118" s="16">
        <f t="shared" si="15"/>
        <v>2277674872859.7505</v>
      </c>
      <c r="F118" s="16">
        <f t="shared" si="15"/>
        <v>2279952547732.6099</v>
      </c>
      <c r="G118" s="16">
        <f t="shared" si="15"/>
        <v>2282232500280.3428</v>
      </c>
      <c r="H118" s="16">
        <f t="shared" si="15"/>
        <v>2284514732780.6226</v>
      </c>
      <c r="I118" s="16">
        <f t="shared" si="15"/>
        <v>2286799247513.4028</v>
      </c>
      <c r="J118" s="16">
        <f t="shared" si="15"/>
        <v>2289086046760.916</v>
      </c>
      <c r="K118" s="16">
        <f t="shared" si="15"/>
        <v>2291375132807.6768</v>
      </c>
      <c r="L118" s="16">
        <f t="shared" si="15"/>
        <v>2293666507940.4844</v>
      </c>
      <c r="M118" s="16">
        <f t="shared" si="15"/>
        <v>2295960174448.4248</v>
      </c>
      <c r="N118" s="16">
        <f t="shared" si="15"/>
        <v>2298256134622.8726</v>
      </c>
      <c r="O118" s="16">
        <f t="shared" si="15"/>
        <v>2300554390757.4951</v>
      </c>
      <c r="P118" s="16">
        <f t="shared" si="15"/>
        <v>2302854945148.2524</v>
      </c>
      <c r="Q118" s="16">
        <f t="shared" si="15"/>
        <v>2305157800093.4004</v>
      </c>
      <c r="R118" s="16">
        <f t="shared" si="15"/>
        <v>2307462957893.4937</v>
      </c>
      <c r="S118" s="16">
        <f t="shared" si="15"/>
        <v>2309770420851.3867</v>
      </c>
      <c r="T118" s="16">
        <f t="shared" si="15"/>
        <v>2312080191272.2378</v>
      </c>
      <c r="U118" s="16">
        <f t="shared" si="15"/>
        <v>2314392271463.5098</v>
      </c>
      <c r="V118" s="16">
        <f t="shared" si="15"/>
        <v>2316706663734.9731</v>
      </c>
      <c r="W118" s="16">
        <f t="shared" si="15"/>
        <v>2305123130416.2983</v>
      </c>
      <c r="X118" s="16">
        <f t="shared" si="15"/>
        <v>2293597514764.2168</v>
      </c>
      <c r="Y118" s="16">
        <f t="shared" si="15"/>
        <v>2282129527190.3955</v>
      </c>
      <c r="Z118" s="16">
        <f t="shared" si="15"/>
        <v>2270718879554.4434</v>
      </c>
      <c r="AA118" s="16">
        <f t="shared" si="15"/>
        <v>2259365285156.6714</v>
      </c>
      <c r="AB118" s="16">
        <f t="shared" si="15"/>
        <v>2248068458730.8877</v>
      </c>
      <c r="AC118" s="16">
        <f t="shared" si="15"/>
        <v>2236828116437.2334</v>
      </c>
      <c r="AD118" s="16">
        <f t="shared" si="15"/>
        <v>2225643975855.0474</v>
      </c>
      <c r="AE118" s="16">
        <f t="shared" si="15"/>
        <v>2214515755975.772</v>
      </c>
      <c r="AF118" s="16">
        <f t="shared" si="15"/>
        <v>2203443177195.8931</v>
      </c>
    </row>
    <row r="119" spans="1:32">
      <c r="A119" t="s">
        <v>89</v>
      </c>
      <c r="B119" s="16">
        <f t="shared" si="12"/>
        <v>5730537697.760993</v>
      </c>
      <c r="C119" s="16">
        <f t="shared" si="13"/>
        <v>5893761843.6162491</v>
      </c>
      <c r="D119" s="16">
        <f t="shared" si="15"/>
        <v>6056985989.4715061</v>
      </c>
      <c r="E119" s="16">
        <f t="shared" si="15"/>
        <v>6220210135.3267622</v>
      </c>
      <c r="F119" s="16">
        <f t="shared" si="15"/>
        <v>6294078135.6689882</v>
      </c>
      <c r="G119" s="16">
        <f t="shared" si="15"/>
        <v>6367946136.0112143</v>
      </c>
      <c r="H119" s="16">
        <f t="shared" si="15"/>
        <v>6441814136.3534412</v>
      </c>
      <c r="I119" s="16">
        <f t="shared" si="15"/>
        <v>6515682136.6956673</v>
      </c>
      <c r="J119" s="16">
        <f t="shared" si="15"/>
        <v>6589550137.0378933</v>
      </c>
      <c r="K119" s="16">
        <f t="shared" si="15"/>
        <v>6663418137.3801203</v>
      </c>
      <c r="L119" s="16">
        <f t="shared" si="15"/>
        <v>6737286137.7223463</v>
      </c>
      <c r="M119" s="16">
        <f t="shared" si="15"/>
        <v>6740345759.0382967</v>
      </c>
      <c r="N119" s="16">
        <f t="shared" si="15"/>
        <v>6743405380.3542471</v>
      </c>
      <c r="O119" s="16">
        <f t="shared" si="15"/>
        <v>6746465001.6701975</v>
      </c>
      <c r="P119" s="16">
        <f t="shared" si="15"/>
        <v>6749524622.9861479</v>
      </c>
      <c r="Q119" s="16">
        <f t="shared" si="15"/>
        <v>6752584244.3020983</v>
      </c>
      <c r="R119" s="16">
        <f t="shared" si="15"/>
        <v>6755643865.6180477</v>
      </c>
      <c r="S119" s="16">
        <f t="shared" si="15"/>
        <v>6758703486.9339981</v>
      </c>
      <c r="T119" s="16">
        <f t="shared" si="15"/>
        <v>6761763108.2499485</v>
      </c>
      <c r="U119" s="16">
        <f t="shared" si="15"/>
        <v>6764822729.5658979</v>
      </c>
      <c r="V119" s="16">
        <f t="shared" si="15"/>
        <v>6767882350.8818483</v>
      </c>
      <c r="W119" s="16">
        <f t="shared" si="15"/>
        <v>6722293993.2741909</v>
      </c>
      <c r="X119" s="16">
        <f t="shared" si="15"/>
        <v>6676705635.6665325</v>
      </c>
      <c r="Y119" s="16">
        <f t="shared" si="15"/>
        <v>6631117278.0588751</v>
      </c>
      <c r="Z119" s="16">
        <f t="shared" si="15"/>
        <v>6585528920.4512167</v>
      </c>
      <c r="AA119" s="16">
        <f t="shared" si="15"/>
        <v>6539940562.8435583</v>
      </c>
      <c r="AB119" s="16">
        <f t="shared" si="15"/>
        <v>6494352205.2359009</v>
      </c>
      <c r="AC119" s="16">
        <f t="shared" si="15"/>
        <v>6448763847.6282425</v>
      </c>
      <c r="AD119" s="16">
        <f t="shared" si="15"/>
        <v>6403175490.0205841</v>
      </c>
      <c r="AE119" s="16">
        <f t="shared" si="15"/>
        <v>6357587132.4129276</v>
      </c>
      <c r="AF119" s="16">
        <f t="shared" si="15"/>
        <v>6311998774.8052683</v>
      </c>
    </row>
    <row r="121" spans="1:32">
      <c r="A121" s="1" t="s">
        <v>1027</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25</v>
      </c>
      <c r="B123" s="16">
        <f>E$5*$B11/SUM($B$11:$B$35)</f>
        <v>556707994863.99658</v>
      </c>
      <c r="C123" s="16">
        <f>IFERROR($B123*C11/$B11,0)</f>
        <v>572564829203.98743</v>
      </c>
      <c r="D123" s="16">
        <f t="shared" ref="D123:AF132" si="16">IFERROR($B123*D11/$B11,0)</f>
        <v>588421663543.97827</v>
      </c>
      <c r="E123" s="16">
        <f t="shared" si="16"/>
        <v>604278497883.96899</v>
      </c>
      <c r="F123" s="16">
        <f t="shared" si="16"/>
        <v>611454596973.44922</v>
      </c>
      <c r="G123" s="16">
        <f t="shared" si="16"/>
        <v>618630696062.9292</v>
      </c>
      <c r="H123" s="16">
        <f t="shared" si="16"/>
        <v>625806795152.4093</v>
      </c>
      <c r="I123" s="16">
        <f t="shared" si="16"/>
        <v>632982894241.88928</v>
      </c>
      <c r="J123" s="16">
        <f t="shared" si="16"/>
        <v>640158993331.36938</v>
      </c>
      <c r="K123" s="16">
        <f t="shared" si="16"/>
        <v>647335092420.84937</v>
      </c>
      <c r="L123" s="16">
        <f t="shared" si="16"/>
        <v>654511191510.32947</v>
      </c>
      <c r="M123" s="16">
        <f t="shared" si="16"/>
        <v>654808426383.85828</v>
      </c>
      <c r="N123" s="16">
        <f t="shared" si="16"/>
        <v>655105661257.38696</v>
      </c>
      <c r="O123" s="16">
        <f t="shared" si="16"/>
        <v>655402896130.91577</v>
      </c>
      <c r="P123" s="16">
        <f t="shared" si="16"/>
        <v>655700131004.44458</v>
      </c>
      <c r="Q123" s="16">
        <f t="shared" si="16"/>
        <v>655997365877.97327</v>
      </c>
      <c r="R123" s="16">
        <f t="shared" si="16"/>
        <v>656294600751.50195</v>
      </c>
      <c r="S123" s="16">
        <f t="shared" si="16"/>
        <v>656591835625.03076</v>
      </c>
      <c r="T123" s="16">
        <f t="shared" si="16"/>
        <v>656889070498.55957</v>
      </c>
      <c r="U123" s="16">
        <f t="shared" si="16"/>
        <v>657186305372.08826</v>
      </c>
      <c r="V123" s="16">
        <f t="shared" si="16"/>
        <v>657483540245.61707</v>
      </c>
      <c r="W123" s="16">
        <f t="shared" si="16"/>
        <v>653054740630.03845</v>
      </c>
      <c r="X123" s="16">
        <f t="shared" si="16"/>
        <v>648625941014.45996</v>
      </c>
      <c r="Y123" s="16">
        <f t="shared" si="16"/>
        <v>644197141398.88147</v>
      </c>
      <c r="Z123" s="16">
        <f t="shared" si="16"/>
        <v>639768341783.30298</v>
      </c>
      <c r="AA123" s="16">
        <f t="shared" si="16"/>
        <v>635339542167.72437</v>
      </c>
      <c r="AB123" s="16">
        <f t="shared" si="16"/>
        <v>630910742552.14587</v>
      </c>
      <c r="AC123" s="16">
        <f t="shared" si="16"/>
        <v>626481942936.56738</v>
      </c>
      <c r="AD123" s="16">
        <f t="shared" si="16"/>
        <v>622053143320.98889</v>
      </c>
      <c r="AE123" s="16">
        <f t="shared" si="16"/>
        <v>617624343705.41028</v>
      </c>
      <c r="AF123" s="16">
        <f t="shared" si="16"/>
        <v>613195544089.83179</v>
      </c>
    </row>
    <row r="124" spans="1:32">
      <c r="A124" t="s">
        <v>28</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32</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34</v>
      </c>
      <c r="B126" s="16">
        <f t="shared" si="17"/>
        <v>48015564691.035118</v>
      </c>
      <c r="C126" s="16">
        <f t="shared" si="18"/>
        <v>49383202415.068268</v>
      </c>
      <c r="D126" s="16">
        <f t="shared" si="16"/>
        <v>50750840139.101425</v>
      </c>
      <c r="E126" s="16">
        <f t="shared" si="16"/>
        <v>52118477863.134567</v>
      </c>
      <c r="F126" s="16">
        <f t="shared" si="16"/>
        <v>52737409966.210236</v>
      </c>
      <c r="G126" s="16">
        <f t="shared" si="16"/>
        <v>53356342069.285896</v>
      </c>
      <c r="H126" s="16">
        <f t="shared" si="16"/>
        <v>53975274172.361557</v>
      </c>
      <c r="I126" s="16">
        <f t="shared" si="16"/>
        <v>54594206275.437218</v>
      </c>
      <c r="J126" s="16">
        <f t="shared" si="16"/>
        <v>55213138378.512878</v>
      </c>
      <c r="K126" s="16">
        <f t="shared" si="16"/>
        <v>55832070481.588547</v>
      </c>
      <c r="L126" s="16">
        <f t="shared" si="16"/>
        <v>56451002584.6642</v>
      </c>
      <c r="M126" s="16">
        <f t="shared" si="16"/>
        <v>56476638825.620003</v>
      </c>
      <c r="N126" s="16">
        <f t="shared" si="16"/>
        <v>56502275066.57579</v>
      </c>
      <c r="O126" s="16">
        <f t="shared" si="16"/>
        <v>56527911307.531593</v>
      </c>
      <c r="P126" s="16">
        <f t="shared" si="16"/>
        <v>56553547548.487396</v>
      </c>
      <c r="Q126" s="16">
        <f t="shared" si="16"/>
        <v>56579183789.443192</v>
      </c>
      <c r="R126" s="16">
        <f t="shared" si="16"/>
        <v>56604820030.398979</v>
      </c>
      <c r="S126" s="16">
        <f t="shared" si="16"/>
        <v>56630456271.354782</v>
      </c>
      <c r="T126" s="16">
        <f t="shared" si="16"/>
        <v>56656092512.310577</v>
      </c>
      <c r="U126" s="16">
        <f t="shared" si="16"/>
        <v>56681728753.26638</v>
      </c>
      <c r="V126" s="16">
        <f t="shared" si="16"/>
        <v>56707364994.222168</v>
      </c>
      <c r="W126" s="16">
        <f t="shared" si="16"/>
        <v>56325385003.980804</v>
      </c>
      <c r="X126" s="16">
        <f t="shared" si="16"/>
        <v>55943405013.739433</v>
      </c>
      <c r="Y126" s="16">
        <f t="shared" si="16"/>
        <v>55561425023.498055</v>
      </c>
      <c r="Z126" s="16">
        <f t="shared" si="16"/>
        <v>55179445033.256691</v>
      </c>
      <c r="AA126" s="16">
        <f t="shared" si="16"/>
        <v>54797465043.015327</v>
      </c>
      <c r="AB126" s="16">
        <f t="shared" si="16"/>
        <v>54415485052.773949</v>
      </c>
      <c r="AC126" s="16">
        <f t="shared" si="16"/>
        <v>54033505062.532578</v>
      </c>
      <c r="AD126" s="16">
        <f t="shared" si="16"/>
        <v>53651525072.291214</v>
      </c>
      <c r="AE126" s="16">
        <f t="shared" si="16"/>
        <v>53269545082.049835</v>
      </c>
      <c r="AF126" s="16">
        <f t="shared" si="16"/>
        <v>52887565091.808472</v>
      </c>
    </row>
    <row r="127" spans="1:32">
      <c r="A127" t="s">
        <v>36</v>
      </c>
      <c r="B127" s="16">
        <f t="shared" si="17"/>
        <v>441050696066.27643</v>
      </c>
      <c r="C127" s="16">
        <f t="shared" si="18"/>
        <v>453613238525.84564</v>
      </c>
      <c r="D127" s="16">
        <f t="shared" si="16"/>
        <v>466175780985.41479</v>
      </c>
      <c r="E127" s="16">
        <f t="shared" si="16"/>
        <v>478738323444.98395</v>
      </c>
      <c r="F127" s="16">
        <f t="shared" si="16"/>
        <v>484423572314.50842</v>
      </c>
      <c r="G127" s="16">
        <f t="shared" si="16"/>
        <v>490108821184.03284</v>
      </c>
      <c r="H127" s="16">
        <f t="shared" si="16"/>
        <v>495794070053.55731</v>
      </c>
      <c r="I127" s="16">
        <f t="shared" si="16"/>
        <v>501479318923.08167</v>
      </c>
      <c r="J127" s="16">
        <f t="shared" si="16"/>
        <v>507164567792.60614</v>
      </c>
      <c r="K127" s="16">
        <f t="shared" si="16"/>
        <v>512849816662.13055</v>
      </c>
      <c r="L127" s="16">
        <f t="shared" si="16"/>
        <v>518535065531.65503</v>
      </c>
      <c r="M127" s="16">
        <f t="shared" si="16"/>
        <v>518770549212.64124</v>
      </c>
      <c r="N127" s="16">
        <f t="shared" si="16"/>
        <v>519006032893.62744</v>
      </c>
      <c r="O127" s="16">
        <f t="shared" si="16"/>
        <v>519241516574.61371</v>
      </c>
      <c r="P127" s="16">
        <f t="shared" si="16"/>
        <v>519477000255.59998</v>
      </c>
      <c r="Q127" s="16">
        <f t="shared" si="16"/>
        <v>519712483936.58612</v>
      </c>
      <c r="R127" s="16">
        <f t="shared" si="16"/>
        <v>519947967617.57233</v>
      </c>
      <c r="S127" s="16">
        <f t="shared" si="16"/>
        <v>520183451298.55859</v>
      </c>
      <c r="T127" s="16">
        <f t="shared" si="16"/>
        <v>520418934979.54474</v>
      </c>
      <c r="U127" s="16">
        <f t="shared" si="16"/>
        <v>520654418660.53101</v>
      </c>
      <c r="V127" s="16">
        <f t="shared" si="16"/>
        <v>520889902341.51727</v>
      </c>
      <c r="W127" s="16">
        <f t="shared" si="16"/>
        <v>517381195494.82257</v>
      </c>
      <c r="X127" s="16">
        <f t="shared" si="16"/>
        <v>513872488648.12787</v>
      </c>
      <c r="Y127" s="16">
        <f t="shared" si="16"/>
        <v>510363781801.43323</v>
      </c>
      <c r="Z127" s="16">
        <f t="shared" si="16"/>
        <v>506855074954.73859</v>
      </c>
      <c r="AA127" s="16">
        <f t="shared" si="16"/>
        <v>503346368108.04388</v>
      </c>
      <c r="AB127" s="16">
        <f t="shared" si="16"/>
        <v>499837661261.34918</v>
      </c>
      <c r="AC127" s="16">
        <f t="shared" si="16"/>
        <v>496328954414.65454</v>
      </c>
      <c r="AD127" s="16">
        <f t="shared" si="16"/>
        <v>492820247567.95984</v>
      </c>
      <c r="AE127" s="16">
        <f t="shared" si="16"/>
        <v>489311540721.2652</v>
      </c>
      <c r="AF127" s="16">
        <f t="shared" si="16"/>
        <v>485802833874.57056</v>
      </c>
    </row>
    <row r="128" spans="1:32">
      <c r="A128" t="s">
        <v>38</v>
      </c>
      <c r="B128" s="16">
        <f t="shared" si="17"/>
        <v>332331855103.71265</v>
      </c>
      <c r="C128" s="16">
        <f t="shared" si="18"/>
        <v>341797735279.4928</v>
      </c>
      <c r="D128" s="16">
        <f t="shared" si="16"/>
        <v>351263615455.27295</v>
      </c>
      <c r="E128" s="16">
        <f t="shared" si="16"/>
        <v>360729495631.05298</v>
      </c>
      <c r="F128" s="16">
        <f t="shared" si="16"/>
        <v>365013332660.18994</v>
      </c>
      <c r="G128" s="16">
        <f t="shared" si="16"/>
        <v>369297169689.3269</v>
      </c>
      <c r="H128" s="16">
        <f t="shared" si="16"/>
        <v>373581006718.46387</v>
      </c>
      <c r="I128" s="16">
        <f t="shared" si="16"/>
        <v>377864843747.60077</v>
      </c>
      <c r="J128" s="16">
        <f t="shared" si="16"/>
        <v>382148680776.73779</v>
      </c>
      <c r="K128" s="16">
        <f t="shared" si="16"/>
        <v>386432517805.87469</v>
      </c>
      <c r="L128" s="16">
        <f t="shared" si="16"/>
        <v>390716354835.01166</v>
      </c>
      <c r="M128" s="16">
        <f t="shared" si="16"/>
        <v>390893791871.7215</v>
      </c>
      <c r="N128" s="16">
        <f t="shared" si="16"/>
        <v>391071228908.43127</v>
      </c>
      <c r="O128" s="16">
        <f t="shared" si="16"/>
        <v>391248665945.14111</v>
      </c>
      <c r="P128" s="16">
        <f t="shared" si="16"/>
        <v>391426102981.85095</v>
      </c>
      <c r="Q128" s="16">
        <f t="shared" si="16"/>
        <v>391603540018.56073</v>
      </c>
      <c r="R128" s="16">
        <f t="shared" si="16"/>
        <v>391780977055.27057</v>
      </c>
      <c r="S128" s="16">
        <f t="shared" si="16"/>
        <v>391958414091.98035</v>
      </c>
      <c r="T128" s="16">
        <f t="shared" si="16"/>
        <v>392135851128.69012</v>
      </c>
      <c r="U128" s="16">
        <f t="shared" si="16"/>
        <v>392313288165.39996</v>
      </c>
      <c r="V128" s="16">
        <f t="shared" si="16"/>
        <v>392490725202.1098</v>
      </c>
      <c r="W128" s="16">
        <f t="shared" si="16"/>
        <v>389846913355.13354</v>
      </c>
      <c r="X128" s="16">
        <f t="shared" si="16"/>
        <v>387203101508.15735</v>
      </c>
      <c r="Y128" s="16">
        <f t="shared" si="16"/>
        <v>384559289661.18109</v>
      </c>
      <c r="Z128" s="16">
        <f t="shared" si="16"/>
        <v>381915477814.20483</v>
      </c>
      <c r="AA128" s="16">
        <f t="shared" si="16"/>
        <v>379271665967.22864</v>
      </c>
      <c r="AB128" s="16">
        <f t="shared" si="16"/>
        <v>376627854120.25244</v>
      </c>
      <c r="AC128" s="16">
        <f t="shared" si="16"/>
        <v>373984042273.27612</v>
      </c>
      <c r="AD128" s="16">
        <f t="shared" si="16"/>
        <v>371340230426.29993</v>
      </c>
      <c r="AE128" s="16">
        <f t="shared" si="16"/>
        <v>368696418579.32367</v>
      </c>
      <c r="AF128" s="16">
        <f t="shared" si="16"/>
        <v>366052606732.34741</v>
      </c>
    </row>
    <row r="129" spans="1:32">
      <c r="A129" t="s">
        <v>40</v>
      </c>
      <c r="B129" s="16">
        <f t="shared" si="17"/>
        <v>55802064574.514626</v>
      </c>
      <c r="C129" s="16">
        <f t="shared" si="18"/>
        <v>57391486860.436188</v>
      </c>
      <c r="D129" s="16">
        <f t="shared" si="16"/>
        <v>58980909146.357765</v>
      </c>
      <c r="E129" s="16">
        <f t="shared" si="16"/>
        <v>60570331432.279335</v>
      </c>
      <c r="F129" s="16">
        <f t="shared" si="16"/>
        <v>61289633379.581367</v>
      </c>
      <c r="G129" s="16">
        <f t="shared" si="16"/>
        <v>62008935326.8834</v>
      </c>
      <c r="H129" s="16">
        <f t="shared" si="16"/>
        <v>62728237274.185432</v>
      </c>
      <c r="I129" s="16">
        <f t="shared" si="16"/>
        <v>63447539221.487465</v>
      </c>
      <c r="J129" s="16">
        <f t="shared" si="16"/>
        <v>64166841168.789497</v>
      </c>
      <c r="K129" s="16">
        <f t="shared" si="16"/>
        <v>64886143116.091522</v>
      </c>
      <c r="L129" s="16">
        <f t="shared" si="16"/>
        <v>65605445063.393555</v>
      </c>
      <c r="M129" s="16">
        <f t="shared" si="16"/>
        <v>65635238635.175301</v>
      </c>
      <c r="N129" s="16">
        <f t="shared" si="16"/>
        <v>65665032206.957039</v>
      </c>
      <c r="O129" s="16">
        <f t="shared" si="16"/>
        <v>65694825778.738777</v>
      </c>
      <c r="P129" s="16">
        <f t="shared" si="16"/>
        <v>65724619350.520523</v>
      </c>
      <c r="Q129" s="16">
        <f t="shared" si="16"/>
        <v>65754412922.302261</v>
      </c>
      <c r="R129" s="16">
        <f t="shared" si="16"/>
        <v>65784206494.084007</v>
      </c>
      <c r="S129" s="16">
        <f t="shared" si="16"/>
        <v>65814000065.865738</v>
      </c>
      <c r="T129" s="16">
        <f t="shared" si="16"/>
        <v>65843793637.647484</v>
      </c>
      <c r="U129" s="16">
        <f t="shared" si="16"/>
        <v>65873587209.42923</v>
      </c>
      <c r="V129" s="16">
        <f t="shared" si="16"/>
        <v>65903380781.21096</v>
      </c>
      <c r="W129" s="16">
        <f t="shared" si="16"/>
        <v>65459456561.663017</v>
      </c>
      <c r="X129" s="16">
        <f t="shared" si="16"/>
        <v>65015532342.115082</v>
      </c>
      <c r="Y129" s="16">
        <f t="shared" si="16"/>
        <v>64571608122.567139</v>
      </c>
      <c r="Z129" s="16">
        <f t="shared" si="16"/>
        <v>64127683903.019196</v>
      </c>
      <c r="AA129" s="16">
        <f t="shared" si="16"/>
        <v>63683759683.471268</v>
      </c>
      <c r="AB129" s="16">
        <f t="shared" si="16"/>
        <v>63239835463.923325</v>
      </c>
      <c r="AC129" s="16">
        <f t="shared" si="16"/>
        <v>62795911244.375381</v>
      </c>
      <c r="AD129" s="16">
        <f t="shared" si="16"/>
        <v>62351987024.827446</v>
      </c>
      <c r="AE129" s="16">
        <f t="shared" si="16"/>
        <v>61908062805.279503</v>
      </c>
      <c r="AF129" s="16">
        <f t="shared" si="16"/>
        <v>61464138585.73156</v>
      </c>
    </row>
    <row r="130" spans="1:32">
      <c r="A130" t="s">
        <v>42</v>
      </c>
      <c r="B130" s="16">
        <f t="shared" si="17"/>
        <v>318577263981.17322</v>
      </c>
      <c r="C130" s="16">
        <f t="shared" si="18"/>
        <v>327651369160.26465</v>
      </c>
      <c r="D130" s="16">
        <f t="shared" si="16"/>
        <v>336725474339.35602</v>
      </c>
      <c r="E130" s="16">
        <f t="shared" si="16"/>
        <v>345799579518.44739</v>
      </c>
      <c r="F130" s="16">
        <f t="shared" si="16"/>
        <v>349906116581.10065</v>
      </c>
      <c r="G130" s="16">
        <f t="shared" si="16"/>
        <v>354012653643.75385</v>
      </c>
      <c r="H130" s="16">
        <f t="shared" si="16"/>
        <v>358119190706.40704</v>
      </c>
      <c r="I130" s="16">
        <f t="shared" si="16"/>
        <v>362225727769.06018</v>
      </c>
      <c r="J130" s="16">
        <f t="shared" si="16"/>
        <v>366332264831.71338</v>
      </c>
      <c r="K130" s="16">
        <f t="shared" si="16"/>
        <v>370438801894.36664</v>
      </c>
      <c r="L130" s="16">
        <f t="shared" si="16"/>
        <v>374545338957.01978</v>
      </c>
      <c r="M130" s="16">
        <f t="shared" si="16"/>
        <v>374715432208.13562</v>
      </c>
      <c r="N130" s="16">
        <f t="shared" si="16"/>
        <v>374885525459.25146</v>
      </c>
      <c r="O130" s="16">
        <f t="shared" si="16"/>
        <v>375055618710.36725</v>
      </c>
      <c r="P130" s="16">
        <f t="shared" si="16"/>
        <v>375225711961.48303</v>
      </c>
      <c r="Q130" s="16">
        <f t="shared" si="16"/>
        <v>375395805212.59888</v>
      </c>
      <c r="R130" s="16">
        <f t="shared" si="16"/>
        <v>375565898463.71466</v>
      </c>
      <c r="S130" s="16">
        <f t="shared" si="16"/>
        <v>375735991714.83051</v>
      </c>
      <c r="T130" s="16">
        <f t="shared" si="16"/>
        <v>375906084965.94629</v>
      </c>
      <c r="U130" s="16">
        <f t="shared" si="16"/>
        <v>376076178217.06213</v>
      </c>
      <c r="V130" s="16">
        <f t="shared" si="16"/>
        <v>376246271468.17798</v>
      </c>
      <c r="W130" s="16">
        <f t="shared" si="16"/>
        <v>373711882026.55231</v>
      </c>
      <c r="X130" s="16">
        <f t="shared" si="16"/>
        <v>371177492584.9267</v>
      </c>
      <c r="Y130" s="16">
        <f t="shared" si="16"/>
        <v>368643103143.30109</v>
      </c>
      <c r="Z130" s="16">
        <f t="shared" si="16"/>
        <v>366108713701.67554</v>
      </c>
      <c r="AA130" s="16">
        <f t="shared" si="16"/>
        <v>363574324260.04987</v>
      </c>
      <c r="AB130" s="16">
        <f t="shared" si="16"/>
        <v>361039934818.42426</v>
      </c>
      <c r="AC130" s="16">
        <f t="shared" si="16"/>
        <v>358505545376.79871</v>
      </c>
      <c r="AD130" s="16">
        <f t="shared" si="16"/>
        <v>355971155935.17303</v>
      </c>
      <c r="AE130" s="16">
        <f t="shared" si="16"/>
        <v>353436766493.54742</v>
      </c>
      <c r="AF130" s="16">
        <f t="shared" si="16"/>
        <v>350902377051.92181</v>
      </c>
    </row>
    <row r="131" spans="1:32">
      <c r="A131" t="s">
        <v>1022</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1023</v>
      </c>
      <c r="B132" s="16">
        <f t="shared" si="17"/>
        <v>2845630950637.1382</v>
      </c>
      <c r="C132" s="16">
        <f t="shared" si="18"/>
        <v>2921552078271.252</v>
      </c>
      <c r="D132" s="16">
        <f t="shared" si="16"/>
        <v>2997473205905.3652</v>
      </c>
      <c r="E132" s="16">
        <f t="shared" si="16"/>
        <v>3073394333539.4961</v>
      </c>
      <c r="F132" s="16">
        <f t="shared" si="16"/>
        <v>3193771494624.8066</v>
      </c>
      <c r="G132" s="16">
        <f t="shared" si="16"/>
        <v>3314148655710.1172</v>
      </c>
      <c r="H132" s="16">
        <f t="shared" si="16"/>
        <v>3434525816795.4282</v>
      </c>
      <c r="I132" s="16">
        <f t="shared" si="16"/>
        <v>3554902977880.7388</v>
      </c>
      <c r="J132" s="16">
        <f t="shared" si="16"/>
        <v>3675280138966.0488</v>
      </c>
      <c r="K132" s="16">
        <f t="shared" si="16"/>
        <v>3795657300051.3594</v>
      </c>
      <c r="L132" s="16">
        <f t="shared" si="16"/>
        <v>3916034461136.6704</v>
      </c>
      <c r="M132" s="16">
        <f t="shared" ref="D132:AF141" si="19">IFERROR($B132*M20/$B20,0)</f>
        <v>4005184314191.4312</v>
      </c>
      <c r="N132" s="16">
        <f t="shared" si="19"/>
        <v>4094334167246.1919</v>
      </c>
      <c r="O132" s="16">
        <f t="shared" si="19"/>
        <v>4183484020300.9526</v>
      </c>
      <c r="P132" s="16">
        <f t="shared" si="19"/>
        <v>4272633873355.7124</v>
      </c>
      <c r="Q132" s="16">
        <f t="shared" si="19"/>
        <v>4361783726410.4731</v>
      </c>
      <c r="R132" s="16">
        <f t="shared" si="19"/>
        <v>4450933579465.2344</v>
      </c>
      <c r="S132" s="16">
        <f t="shared" si="19"/>
        <v>4540083432519.9951</v>
      </c>
      <c r="T132" s="16">
        <f t="shared" si="19"/>
        <v>4629233285574.7549</v>
      </c>
      <c r="U132" s="16">
        <f t="shared" si="19"/>
        <v>4718383138629.5166</v>
      </c>
      <c r="V132" s="16">
        <f t="shared" si="19"/>
        <v>4807532991684.2764</v>
      </c>
      <c r="W132" s="16">
        <f t="shared" si="19"/>
        <v>4871517420753.6094</v>
      </c>
      <c r="X132" s="16">
        <f t="shared" si="19"/>
        <v>4935501849822.9424</v>
      </c>
      <c r="Y132" s="16">
        <f t="shared" si="19"/>
        <v>4999486278892.2744</v>
      </c>
      <c r="Z132" s="16">
        <f t="shared" si="19"/>
        <v>5063470707961.6074</v>
      </c>
      <c r="AA132" s="16">
        <f t="shared" si="19"/>
        <v>5127455137030.9404</v>
      </c>
      <c r="AB132" s="16">
        <f t="shared" si="19"/>
        <v>5191439566100.2734</v>
      </c>
      <c r="AC132" s="16">
        <f t="shared" si="19"/>
        <v>5255423995169.6064</v>
      </c>
      <c r="AD132" s="16">
        <f t="shared" si="19"/>
        <v>5319408424238.9385</v>
      </c>
      <c r="AE132" s="16">
        <f t="shared" si="19"/>
        <v>5383392853308.2715</v>
      </c>
      <c r="AF132" s="16">
        <f t="shared" si="19"/>
        <v>5447377282377.6045</v>
      </c>
    </row>
    <row r="133" spans="1:32">
      <c r="A133" t="s">
        <v>51</v>
      </c>
      <c r="B133" s="16">
        <f t="shared" si="17"/>
        <v>2308600497314.479</v>
      </c>
      <c r="C133" s="16">
        <f t="shared" si="18"/>
        <v>2370193710226.9082</v>
      </c>
      <c r="D133" s="16">
        <f t="shared" si="19"/>
        <v>2431786923139.3364</v>
      </c>
      <c r="E133" s="16">
        <f t="shared" si="19"/>
        <v>2493380136051.7793</v>
      </c>
      <c r="F133" s="16">
        <f t="shared" si="19"/>
        <v>2591039593222.2993</v>
      </c>
      <c r="G133" s="16">
        <f t="shared" si="19"/>
        <v>2688699050392.8188</v>
      </c>
      <c r="H133" s="16">
        <f t="shared" si="19"/>
        <v>2786358507563.3389</v>
      </c>
      <c r="I133" s="16">
        <f t="shared" si="19"/>
        <v>2884017964733.8589</v>
      </c>
      <c r="J133" s="16">
        <f t="shared" si="19"/>
        <v>2981677421904.3789</v>
      </c>
      <c r="K133" s="16">
        <f t="shared" si="19"/>
        <v>3079336879074.8979</v>
      </c>
      <c r="L133" s="16">
        <f t="shared" si="19"/>
        <v>3176996336245.418</v>
      </c>
      <c r="M133" s="16">
        <f t="shared" si="19"/>
        <v>3249321735662.2515</v>
      </c>
      <c r="N133" s="16">
        <f t="shared" si="19"/>
        <v>3321647135079.084</v>
      </c>
      <c r="O133" s="16">
        <f t="shared" si="19"/>
        <v>3393972534495.917</v>
      </c>
      <c r="P133" s="16">
        <f t="shared" si="19"/>
        <v>3466297933912.7505</v>
      </c>
      <c r="Q133" s="16">
        <f t="shared" si="19"/>
        <v>3538623333329.5835</v>
      </c>
      <c r="R133" s="16">
        <f t="shared" si="19"/>
        <v>3610948732746.416</v>
      </c>
      <c r="S133" s="16">
        <f t="shared" si="19"/>
        <v>3683274132163.2495</v>
      </c>
      <c r="T133" s="16">
        <f t="shared" si="19"/>
        <v>3755599531580.082</v>
      </c>
      <c r="U133" s="16">
        <f t="shared" si="19"/>
        <v>3827924930996.9146</v>
      </c>
      <c r="V133" s="16">
        <f t="shared" si="19"/>
        <v>3900250330413.748</v>
      </c>
      <c r="W133" s="16">
        <f t="shared" si="19"/>
        <v>3952159551016.2197</v>
      </c>
      <c r="X133" s="16">
        <f t="shared" si="19"/>
        <v>4004068771618.6914</v>
      </c>
      <c r="Y133" s="16">
        <f t="shared" si="19"/>
        <v>4055977992221.1631</v>
      </c>
      <c r="Z133" s="16">
        <f t="shared" si="19"/>
        <v>4107887212823.6348</v>
      </c>
      <c r="AA133" s="16">
        <f t="shared" si="19"/>
        <v>4159796433426.1069</v>
      </c>
      <c r="AB133" s="16">
        <f t="shared" si="19"/>
        <v>4211705654028.5776</v>
      </c>
      <c r="AC133" s="16">
        <f t="shared" si="19"/>
        <v>4263614874631.0498</v>
      </c>
      <c r="AD133" s="16">
        <f t="shared" si="19"/>
        <v>4315524095233.5215</v>
      </c>
      <c r="AE133" s="16">
        <f t="shared" si="19"/>
        <v>4367433315835.9927</v>
      </c>
      <c r="AF133" s="16">
        <f t="shared" si="19"/>
        <v>4419342536438.4658</v>
      </c>
    </row>
    <row r="134" spans="1:32">
      <c r="A134" t="s">
        <v>53</v>
      </c>
      <c r="B134" s="16">
        <f t="shared" si="17"/>
        <v>107146987909.95592</v>
      </c>
      <c r="C134" s="16">
        <f t="shared" si="18"/>
        <v>110198878762.95549</v>
      </c>
      <c r="D134" s="16">
        <f t="shared" si="19"/>
        <v>113250769615.95508</v>
      </c>
      <c r="E134" s="16">
        <f t="shared" si="19"/>
        <v>116302660468.95465</v>
      </c>
      <c r="F134" s="16">
        <f t="shared" si="19"/>
        <v>117683810747.87064</v>
      </c>
      <c r="G134" s="16">
        <f t="shared" si="19"/>
        <v>119064961026.78661</v>
      </c>
      <c r="H134" s="16">
        <f t="shared" si="19"/>
        <v>120446111305.70261</v>
      </c>
      <c r="I134" s="16">
        <f t="shared" si="19"/>
        <v>121827261584.61858</v>
      </c>
      <c r="J134" s="16">
        <f t="shared" si="19"/>
        <v>123208411863.53458</v>
      </c>
      <c r="K134" s="16">
        <f t="shared" si="19"/>
        <v>124589562142.45055</v>
      </c>
      <c r="L134" s="16">
        <f t="shared" si="19"/>
        <v>125970712421.36652</v>
      </c>
      <c r="M134" s="16">
        <f t="shared" si="19"/>
        <v>126027919829.36897</v>
      </c>
      <c r="N134" s="16">
        <f t="shared" si="19"/>
        <v>126085127237.37138</v>
      </c>
      <c r="O134" s="16">
        <f t="shared" si="19"/>
        <v>126142334645.37384</v>
      </c>
      <c r="P134" s="16">
        <f t="shared" si="19"/>
        <v>126199542053.37628</v>
      </c>
      <c r="Q134" s="16">
        <f t="shared" si="19"/>
        <v>126256749461.37871</v>
      </c>
      <c r="R134" s="16">
        <f t="shared" si="19"/>
        <v>126313956869.38116</v>
      </c>
      <c r="S134" s="16">
        <f t="shared" si="19"/>
        <v>126371164277.38359</v>
      </c>
      <c r="T134" s="16">
        <f t="shared" si="19"/>
        <v>126428371685.38603</v>
      </c>
      <c r="U134" s="16">
        <f t="shared" si="19"/>
        <v>126485579093.38846</v>
      </c>
      <c r="V134" s="16">
        <f t="shared" si="19"/>
        <v>126542786501.3909</v>
      </c>
      <c r="W134" s="16">
        <f t="shared" si="19"/>
        <v>125690396122.1546</v>
      </c>
      <c r="X134" s="16">
        <f t="shared" si="19"/>
        <v>124838005742.91826</v>
      </c>
      <c r="Y134" s="16">
        <f t="shared" si="19"/>
        <v>123985615363.68196</v>
      </c>
      <c r="Z134" s="16">
        <f t="shared" si="19"/>
        <v>123133224984.44565</v>
      </c>
      <c r="AA134" s="16">
        <f t="shared" si="19"/>
        <v>122280834605.20934</v>
      </c>
      <c r="AB134" s="16">
        <f t="shared" si="19"/>
        <v>121428444225.97304</v>
      </c>
      <c r="AC134" s="16">
        <f t="shared" si="19"/>
        <v>120576053846.73669</v>
      </c>
      <c r="AD134" s="16">
        <f t="shared" si="19"/>
        <v>119723663467.5004</v>
      </c>
      <c r="AE134" s="16">
        <f t="shared" si="19"/>
        <v>118871273088.26408</v>
      </c>
      <c r="AF134" s="16">
        <f t="shared" si="19"/>
        <v>118018882709.02776</v>
      </c>
    </row>
    <row r="135" spans="1:32">
      <c r="A135" t="s">
        <v>56</v>
      </c>
      <c r="B135" s="16">
        <f t="shared" si="17"/>
        <v>270029345672.33658</v>
      </c>
      <c r="C135" s="16">
        <f t="shared" si="18"/>
        <v>277720649984.04926</v>
      </c>
      <c r="D135" s="16">
        <f t="shared" si="19"/>
        <v>285411954295.7619</v>
      </c>
      <c r="E135" s="16">
        <f t="shared" si="19"/>
        <v>293103258607.47455</v>
      </c>
      <c r="F135" s="16">
        <f t="shared" si="19"/>
        <v>296584001401.70288</v>
      </c>
      <c r="G135" s="16">
        <f t="shared" si="19"/>
        <v>300064744195.93115</v>
      </c>
      <c r="H135" s="16">
        <f t="shared" si="19"/>
        <v>303545486990.15948</v>
      </c>
      <c r="I135" s="16">
        <f t="shared" si="19"/>
        <v>307026229784.38782</v>
      </c>
      <c r="J135" s="16">
        <f t="shared" si="19"/>
        <v>310506972578.61615</v>
      </c>
      <c r="K135" s="16">
        <f t="shared" si="19"/>
        <v>313987715372.84442</v>
      </c>
      <c r="L135" s="16">
        <f t="shared" si="19"/>
        <v>317468458167.07275</v>
      </c>
      <c r="M135" s="16">
        <f t="shared" si="19"/>
        <v>317612630945.53186</v>
      </c>
      <c r="N135" s="16">
        <f t="shared" si="19"/>
        <v>317756803723.99103</v>
      </c>
      <c r="O135" s="16">
        <f t="shared" si="19"/>
        <v>317900976502.4502</v>
      </c>
      <c r="P135" s="16">
        <f t="shared" si="19"/>
        <v>318045149280.90936</v>
      </c>
      <c r="Q135" s="16">
        <f t="shared" si="19"/>
        <v>318189322059.36853</v>
      </c>
      <c r="R135" s="16">
        <f t="shared" si="19"/>
        <v>318333494837.8277</v>
      </c>
      <c r="S135" s="16">
        <f t="shared" si="19"/>
        <v>318477667616.28687</v>
      </c>
      <c r="T135" s="16">
        <f t="shared" si="19"/>
        <v>318621840394.74603</v>
      </c>
      <c r="U135" s="16">
        <f t="shared" si="19"/>
        <v>318766013173.2052</v>
      </c>
      <c r="V135" s="16">
        <f t="shared" si="19"/>
        <v>318910185951.66437</v>
      </c>
      <c r="W135" s="16">
        <f t="shared" si="19"/>
        <v>316762011552.62286</v>
      </c>
      <c r="X135" s="16">
        <f t="shared" si="19"/>
        <v>314613837153.5813</v>
      </c>
      <c r="Y135" s="16">
        <f t="shared" si="19"/>
        <v>312465662754.53986</v>
      </c>
      <c r="Z135" s="16">
        <f t="shared" si="19"/>
        <v>310317488355.49835</v>
      </c>
      <c r="AA135" s="16">
        <f t="shared" si="19"/>
        <v>308169313956.45685</v>
      </c>
      <c r="AB135" s="16">
        <f t="shared" si="19"/>
        <v>306021139557.41534</v>
      </c>
      <c r="AC135" s="16">
        <f t="shared" si="19"/>
        <v>303872965158.3739</v>
      </c>
      <c r="AD135" s="16">
        <f t="shared" si="19"/>
        <v>301724790759.3324</v>
      </c>
      <c r="AE135" s="16">
        <f t="shared" si="19"/>
        <v>299576616360.29083</v>
      </c>
      <c r="AF135" s="16">
        <f t="shared" si="19"/>
        <v>297428441961.24933</v>
      </c>
    </row>
    <row r="136" spans="1:32">
      <c r="A136" t="s">
        <v>58</v>
      </c>
      <c r="B136" s="16">
        <f t="shared" si="17"/>
        <v>2474098560848.8721</v>
      </c>
      <c r="C136" s="16">
        <f t="shared" si="18"/>
        <v>2493547695253.5</v>
      </c>
      <c r="D136" s="16">
        <f t="shared" si="19"/>
        <v>2512996829658.1279</v>
      </c>
      <c r="E136" s="16">
        <f t="shared" si="19"/>
        <v>2532445964062.7554</v>
      </c>
      <c r="F136" s="16">
        <f t="shared" si="19"/>
        <v>2616785783832.8823</v>
      </c>
      <c r="G136" s="16">
        <f t="shared" si="19"/>
        <v>2701125603603.0093</v>
      </c>
      <c r="H136" s="16">
        <f t="shared" si="19"/>
        <v>2785465423373.1357</v>
      </c>
      <c r="I136" s="16">
        <f t="shared" si="19"/>
        <v>2869805243143.2627</v>
      </c>
      <c r="J136" s="16">
        <f t="shared" si="19"/>
        <v>2954145062913.3892</v>
      </c>
      <c r="K136" s="16">
        <f t="shared" si="19"/>
        <v>3038484882683.5156</v>
      </c>
      <c r="L136" s="16">
        <f t="shared" si="19"/>
        <v>3122824702453.6421</v>
      </c>
      <c r="M136" s="16">
        <f t="shared" si="19"/>
        <v>3125612938795.1187</v>
      </c>
      <c r="N136" s="16">
        <f t="shared" si="19"/>
        <v>3128401175136.5957</v>
      </c>
      <c r="O136" s="16">
        <f t="shared" si="19"/>
        <v>3131189411478.0718</v>
      </c>
      <c r="P136" s="16">
        <f t="shared" si="19"/>
        <v>3133977647819.5483</v>
      </c>
      <c r="Q136" s="16">
        <f t="shared" si="19"/>
        <v>3136765884161.0244</v>
      </c>
      <c r="R136" s="16">
        <f t="shared" si="19"/>
        <v>3139554120502.5015</v>
      </c>
      <c r="S136" s="16">
        <f t="shared" si="19"/>
        <v>3142342356843.9775</v>
      </c>
      <c r="T136" s="16">
        <f t="shared" si="19"/>
        <v>3145130593185.4551</v>
      </c>
      <c r="U136" s="16">
        <f t="shared" si="19"/>
        <v>3147918829526.9316</v>
      </c>
      <c r="V136" s="16">
        <f t="shared" si="19"/>
        <v>3150707065868.4077</v>
      </c>
      <c r="W136" s="16">
        <f t="shared" si="19"/>
        <v>3144524454850.3501</v>
      </c>
      <c r="X136" s="16">
        <f t="shared" si="19"/>
        <v>3138341843832.2939</v>
      </c>
      <c r="Y136" s="16">
        <f t="shared" si="19"/>
        <v>3132159232814.2378</v>
      </c>
      <c r="Z136" s="16">
        <f t="shared" si="19"/>
        <v>3125976621796.1807</v>
      </c>
      <c r="AA136" s="16">
        <f t="shared" si="19"/>
        <v>3119794010778.1245</v>
      </c>
      <c r="AB136" s="16">
        <f t="shared" si="19"/>
        <v>3113611399760.0679</v>
      </c>
      <c r="AC136" s="16">
        <f t="shared" si="19"/>
        <v>3107428788742.0117</v>
      </c>
      <c r="AD136" s="16">
        <f t="shared" si="19"/>
        <v>3101246177723.9546</v>
      </c>
      <c r="AE136" s="16">
        <f t="shared" si="19"/>
        <v>3095063566705.8984</v>
      </c>
      <c r="AF136" s="16">
        <f t="shared" si="19"/>
        <v>3088880955687.8423</v>
      </c>
    </row>
    <row r="137" spans="1:32">
      <c r="A137" t="s">
        <v>61</v>
      </c>
      <c r="B137" s="16">
        <f t="shared" si="17"/>
        <v>392307107257.76984</v>
      </c>
      <c r="C137" s="16">
        <f t="shared" si="18"/>
        <v>396088208673.42023</v>
      </c>
      <c r="D137" s="16">
        <f t="shared" si="19"/>
        <v>399869310089.07068</v>
      </c>
      <c r="E137" s="16">
        <f t="shared" si="19"/>
        <v>403650411504.72119</v>
      </c>
      <c r="F137" s="16">
        <f t="shared" si="19"/>
        <v>419238537152.26123</v>
      </c>
      <c r="G137" s="16">
        <f t="shared" si="19"/>
        <v>434826662799.80127</v>
      </c>
      <c r="H137" s="16">
        <f t="shared" si="19"/>
        <v>450414788447.34131</v>
      </c>
      <c r="I137" s="16">
        <f t="shared" si="19"/>
        <v>466002914094.88135</v>
      </c>
      <c r="J137" s="16">
        <f t="shared" si="19"/>
        <v>481591039742.42133</v>
      </c>
      <c r="K137" s="16">
        <f t="shared" si="19"/>
        <v>497179165389.96136</v>
      </c>
      <c r="L137" s="16">
        <f t="shared" si="19"/>
        <v>512767291037.50146</v>
      </c>
      <c r="M137" s="16">
        <f t="shared" si="19"/>
        <v>515105509884.63245</v>
      </c>
      <c r="N137" s="16">
        <f t="shared" si="19"/>
        <v>517443728731.76349</v>
      </c>
      <c r="O137" s="16">
        <f t="shared" si="19"/>
        <v>519781947578.89447</v>
      </c>
      <c r="P137" s="16">
        <f t="shared" si="19"/>
        <v>522120166426.02545</v>
      </c>
      <c r="Q137" s="16">
        <f t="shared" si="19"/>
        <v>524458385273.15649</v>
      </c>
      <c r="R137" s="16">
        <f t="shared" si="19"/>
        <v>526796604120.28754</v>
      </c>
      <c r="S137" s="16">
        <f t="shared" si="19"/>
        <v>529134822967.41858</v>
      </c>
      <c r="T137" s="16">
        <f t="shared" si="19"/>
        <v>531473041814.5495</v>
      </c>
      <c r="U137" s="16">
        <f t="shared" si="19"/>
        <v>533811260661.68054</v>
      </c>
      <c r="V137" s="16">
        <f t="shared" si="19"/>
        <v>536149479508.81158</v>
      </c>
      <c r="W137" s="16">
        <f t="shared" si="19"/>
        <v>533934324811.52954</v>
      </c>
      <c r="X137" s="16">
        <f t="shared" si="19"/>
        <v>531719170114.2475</v>
      </c>
      <c r="Y137" s="16">
        <f t="shared" si="19"/>
        <v>529504015416.96552</v>
      </c>
      <c r="Z137" s="16">
        <f t="shared" si="19"/>
        <v>527288860719.68347</v>
      </c>
      <c r="AA137" s="16">
        <f t="shared" si="19"/>
        <v>525073706022.40155</v>
      </c>
      <c r="AB137" s="16">
        <f t="shared" si="19"/>
        <v>522858551325.11951</v>
      </c>
      <c r="AC137" s="16">
        <f t="shared" si="19"/>
        <v>520643396627.83746</v>
      </c>
      <c r="AD137" s="16">
        <f t="shared" si="19"/>
        <v>518428241930.55554</v>
      </c>
      <c r="AE137" s="16">
        <f t="shared" si="19"/>
        <v>516213087233.2735</v>
      </c>
      <c r="AF137" s="16">
        <f t="shared" si="19"/>
        <v>513997932535.99139</v>
      </c>
    </row>
    <row r="138" spans="1:32">
      <c r="A138" t="s">
        <v>65</v>
      </c>
      <c r="B138" s="16">
        <f t="shared" si="17"/>
        <v>767051050910.78125</v>
      </c>
      <c r="C138" s="16">
        <f t="shared" si="18"/>
        <v>774443977933.56213</v>
      </c>
      <c r="D138" s="16">
        <f t="shared" si="19"/>
        <v>781836904956.34265</v>
      </c>
      <c r="E138" s="16">
        <f t="shared" si="19"/>
        <v>789229831979.12354</v>
      </c>
      <c r="F138" s="16">
        <f t="shared" si="19"/>
        <v>819708219799.45557</v>
      </c>
      <c r="G138" s="16">
        <f t="shared" si="19"/>
        <v>850186607619.78748</v>
      </c>
      <c r="H138" s="16">
        <f t="shared" si="19"/>
        <v>880664995440.11963</v>
      </c>
      <c r="I138" s="16">
        <f t="shared" si="19"/>
        <v>911143383260.45154</v>
      </c>
      <c r="J138" s="16">
        <f t="shared" si="19"/>
        <v>941621771080.78369</v>
      </c>
      <c r="K138" s="16">
        <f t="shared" si="19"/>
        <v>972100158901.11572</v>
      </c>
      <c r="L138" s="16">
        <f t="shared" si="19"/>
        <v>1002578546721.4476</v>
      </c>
      <c r="M138" s="16">
        <f t="shared" si="19"/>
        <v>1007150304894.4974</v>
      </c>
      <c r="N138" s="16">
        <f t="shared" si="19"/>
        <v>1011722063067.5471</v>
      </c>
      <c r="O138" s="16">
        <f t="shared" si="19"/>
        <v>1016293821240.5969</v>
      </c>
      <c r="P138" s="16">
        <f t="shared" si="19"/>
        <v>1020865579413.6467</v>
      </c>
      <c r="Q138" s="16">
        <f t="shared" si="19"/>
        <v>1025437337586.6967</v>
      </c>
      <c r="R138" s="16">
        <f t="shared" si="19"/>
        <v>1030009095759.7463</v>
      </c>
      <c r="S138" s="16">
        <f t="shared" si="19"/>
        <v>1034580853932.7961</v>
      </c>
      <c r="T138" s="16">
        <f t="shared" si="19"/>
        <v>1039152612105.8461</v>
      </c>
      <c r="U138" s="16">
        <f t="shared" si="19"/>
        <v>1043724370278.8958</v>
      </c>
      <c r="V138" s="16">
        <f t="shared" si="19"/>
        <v>1048296128451.9456</v>
      </c>
      <c r="W138" s="16">
        <f t="shared" si="19"/>
        <v>1043964989130.109</v>
      </c>
      <c r="X138" s="16">
        <f t="shared" si="19"/>
        <v>1039633849808.2722</v>
      </c>
      <c r="Y138" s="16">
        <f t="shared" si="19"/>
        <v>1035302710486.4357</v>
      </c>
      <c r="Z138" s="16">
        <f t="shared" si="19"/>
        <v>1030971571164.599</v>
      </c>
      <c r="AA138" s="16">
        <f t="shared" si="19"/>
        <v>1026640431842.7623</v>
      </c>
      <c r="AB138" s="16">
        <f t="shared" si="19"/>
        <v>1022309292520.9257</v>
      </c>
      <c r="AC138" s="16">
        <f t="shared" si="19"/>
        <v>1017978153199.0891</v>
      </c>
      <c r="AD138" s="16">
        <f t="shared" si="19"/>
        <v>1013647013877.2523</v>
      </c>
      <c r="AE138" s="16">
        <f t="shared" si="19"/>
        <v>1009315874555.4158</v>
      </c>
      <c r="AF138" s="16">
        <f t="shared" si="19"/>
        <v>1004984735233.5789</v>
      </c>
    </row>
    <row r="139" spans="1:32">
      <c r="A139" t="s">
        <v>67</v>
      </c>
      <c r="B139" s="16">
        <f t="shared" si="17"/>
        <v>4740459977544.8887</v>
      </c>
      <c r="C139" s="16">
        <f t="shared" si="18"/>
        <v>4909152232537.9238</v>
      </c>
      <c r="D139" s="16">
        <f t="shared" si="19"/>
        <v>5077844487531.0273</v>
      </c>
      <c r="E139" s="16">
        <f t="shared" si="19"/>
        <v>5246536742524.0967</v>
      </c>
      <c r="F139" s="16">
        <f t="shared" si="19"/>
        <v>5337522702111.1533</v>
      </c>
      <c r="G139" s="16">
        <f t="shared" si="19"/>
        <v>5428508661698.208</v>
      </c>
      <c r="H139" s="16">
        <f t="shared" si="19"/>
        <v>5519494621285.2627</v>
      </c>
      <c r="I139" s="16">
        <f t="shared" si="19"/>
        <v>5610480580872.3184</v>
      </c>
      <c r="J139" s="16">
        <f t="shared" si="19"/>
        <v>5701466540459.373</v>
      </c>
      <c r="K139" s="16">
        <f t="shared" si="19"/>
        <v>5792452500046.4277</v>
      </c>
      <c r="L139" s="16">
        <f t="shared" si="19"/>
        <v>5883438459633.4834</v>
      </c>
      <c r="M139" s="16">
        <f t="shared" si="19"/>
        <v>5918814415620.7627</v>
      </c>
      <c r="N139" s="16">
        <f t="shared" si="19"/>
        <v>5954190371608.043</v>
      </c>
      <c r="O139" s="16">
        <f t="shared" si="19"/>
        <v>5989566327595.3223</v>
      </c>
      <c r="P139" s="16">
        <f t="shared" si="19"/>
        <v>6024942283582.6006</v>
      </c>
      <c r="Q139" s="16">
        <f t="shared" si="19"/>
        <v>6060318239569.8809</v>
      </c>
      <c r="R139" s="16">
        <f t="shared" si="19"/>
        <v>6095694195557.1602</v>
      </c>
      <c r="S139" s="16">
        <f t="shared" si="19"/>
        <v>6131070151544.4404</v>
      </c>
      <c r="T139" s="16">
        <f t="shared" si="19"/>
        <v>6166446107531.7197</v>
      </c>
      <c r="U139" s="16">
        <f t="shared" si="19"/>
        <v>6201822063518.998</v>
      </c>
      <c r="V139" s="16">
        <f t="shared" si="19"/>
        <v>6237198019506.2773</v>
      </c>
      <c r="W139" s="16">
        <f t="shared" si="19"/>
        <v>6218702985482.5068</v>
      </c>
      <c r="X139" s="16">
        <f t="shared" si="19"/>
        <v>6200207951458.7383</v>
      </c>
      <c r="Y139" s="16">
        <f t="shared" si="19"/>
        <v>6181712917434.9707</v>
      </c>
      <c r="Z139" s="16">
        <f t="shared" si="19"/>
        <v>6163217883411.2031</v>
      </c>
      <c r="AA139" s="16">
        <f t="shared" si="19"/>
        <v>6144722849387.4346</v>
      </c>
      <c r="AB139" s="16">
        <f t="shared" si="19"/>
        <v>6126227815363.667</v>
      </c>
      <c r="AC139" s="16">
        <f t="shared" si="19"/>
        <v>6107732781339.8994</v>
      </c>
      <c r="AD139" s="16">
        <f t="shared" si="19"/>
        <v>6089237747316.1309</v>
      </c>
      <c r="AE139" s="16">
        <f t="shared" si="19"/>
        <v>6070742713292.3643</v>
      </c>
      <c r="AF139" s="16">
        <f t="shared" si="19"/>
        <v>6052247679268.6006</v>
      </c>
    </row>
    <row r="140" spans="1:32">
      <c r="A140" t="s">
        <v>71</v>
      </c>
      <c r="B140" s="16">
        <f t="shared" si="17"/>
        <v>825503328345.49878</v>
      </c>
      <c r="C140" s="16">
        <f t="shared" si="18"/>
        <v>854879384387.00134</v>
      </c>
      <c r="D140" s="16">
        <f t="shared" si="19"/>
        <v>884255440428.51563</v>
      </c>
      <c r="E140" s="16">
        <f t="shared" si="19"/>
        <v>913631496470.02417</v>
      </c>
      <c r="F140" s="16">
        <f t="shared" si="19"/>
        <v>929475784329.76941</v>
      </c>
      <c r="G140" s="16">
        <f t="shared" si="19"/>
        <v>945320072189.51465</v>
      </c>
      <c r="H140" s="16">
        <f t="shared" si="19"/>
        <v>961164360049.26013</v>
      </c>
      <c r="I140" s="16">
        <f t="shared" si="19"/>
        <v>977008647909.00549</v>
      </c>
      <c r="J140" s="16">
        <f t="shared" si="19"/>
        <v>992852935768.75073</v>
      </c>
      <c r="K140" s="16">
        <f t="shared" si="19"/>
        <v>1008697223628.496</v>
      </c>
      <c r="L140" s="16">
        <f t="shared" si="19"/>
        <v>1024541511488.2415</v>
      </c>
      <c r="M140" s="16">
        <f t="shared" si="19"/>
        <v>1030701877686.7189</v>
      </c>
      <c r="N140" s="16">
        <f t="shared" si="19"/>
        <v>1036862243885.1965</v>
      </c>
      <c r="O140" s="16">
        <f t="shared" si="19"/>
        <v>1043022610083.674</v>
      </c>
      <c r="P140" s="16">
        <f t="shared" si="19"/>
        <v>1049182976282.1516</v>
      </c>
      <c r="Q140" s="16">
        <f t="shared" si="19"/>
        <v>1055343342480.629</v>
      </c>
      <c r="R140" s="16">
        <f t="shared" si="19"/>
        <v>1061503708679.1067</v>
      </c>
      <c r="S140" s="16">
        <f t="shared" si="19"/>
        <v>1067664074877.5841</v>
      </c>
      <c r="T140" s="16">
        <f t="shared" si="19"/>
        <v>1073824441076.0616</v>
      </c>
      <c r="U140" s="16">
        <f t="shared" si="19"/>
        <v>1079984807274.5392</v>
      </c>
      <c r="V140" s="16">
        <f t="shared" si="19"/>
        <v>1086145173473.0166</v>
      </c>
      <c r="W140" s="16">
        <f t="shared" si="19"/>
        <v>1082924449700.0477</v>
      </c>
      <c r="X140" s="16">
        <f t="shared" si="19"/>
        <v>1079703725927.0795</v>
      </c>
      <c r="Y140" s="16">
        <f t="shared" si="19"/>
        <v>1076483002154.1112</v>
      </c>
      <c r="Z140" s="16">
        <f t="shared" si="19"/>
        <v>1073262278381.1428</v>
      </c>
      <c r="AA140" s="16">
        <f t="shared" si="19"/>
        <v>1070041554608.1746</v>
      </c>
      <c r="AB140" s="16">
        <f t="shared" si="19"/>
        <v>1066820830835.2063</v>
      </c>
      <c r="AC140" s="16">
        <f t="shared" si="19"/>
        <v>1063600107062.2379</v>
      </c>
      <c r="AD140" s="16">
        <f t="shared" si="19"/>
        <v>1060379383289.2697</v>
      </c>
      <c r="AE140" s="16">
        <f t="shared" si="19"/>
        <v>1057158659516.3014</v>
      </c>
      <c r="AF140" s="16">
        <f t="shared" si="19"/>
        <v>1053937935743.3339</v>
      </c>
    </row>
    <row r="141" spans="1:32">
      <c r="A141" t="s">
        <v>73</v>
      </c>
      <c r="B141" s="16">
        <f t="shared" si="17"/>
        <v>1288713363556.0732</v>
      </c>
      <c r="C141" s="16">
        <f t="shared" si="18"/>
        <v>1334573040542.6353</v>
      </c>
      <c r="D141" s="16">
        <f t="shared" si="19"/>
        <v>1380432717529.2156</v>
      </c>
      <c r="E141" s="16">
        <f t="shared" si="19"/>
        <v>1426292394515.7869</v>
      </c>
      <c r="F141" s="16">
        <f t="shared" si="19"/>
        <v>1451027298421.9978</v>
      </c>
      <c r="G141" s="16">
        <f t="shared" ref="D141:AF147" si="20">IFERROR($B141*G29/$B29,0)</f>
        <v>1475762202328.2083</v>
      </c>
      <c r="H141" s="16">
        <f t="shared" si="20"/>
        <v>1500497106234.4194</v>
      </c>
      <c r="I141" s="16">
        <f t="shared" si="20"/>
        <v>1525232010140.6299</v>
      </c>
      <c r="J141" s="16">
        <f t="shared" si="20"/>
        <v>1549966914046.8408</v>
      </c>
      <c r="K141" s="16">
        <f t="shared" si="20"/>
        <v>1574701817953.0515</v>
      </c>
      <c r="L141" s="16">
        <f t="shared" si="20"/>
        <v>1599436721859.262</v>
      </c>
      <c r="M141" s="16">
        <f t="shared" si="20"/>
        <v>1609053819661.0222</v>
      </c>
      <c r="N141" s="16">
        <f t="shared" si="20"/>
        <v>1618670917462.7822</v>
      </c>
      <c r="O141" s="16">
        <f t="shared" si="20"/>
        <v>1628288015264.5425</v>
      </c>
      <c r="P141" s="16">
        <f t="shared" si="20"/>
        <v>1637905113066.3025</v>
      </c>
      <c r="Q141" s="16">
        <f t="shared" si="20"/>
        <v>1647522210868.0625</v>
      </c>
      <c r="R141" s="16">
        <f t="shared" si="20"/>
        <v>1657139308669.8228</v>
      </c>
      <c r="S141" s="16">
        <f t="shared" si="20"/>
        <v>1666756406471.5828</v>
      </c>
      <c r="T141" s="16">
        <f t="shared" si="20"/>
        <v>1676373504273.3428</v>
      </c>
      <c r="U141" s="16">
        <f t="shared" si="20"/>
        <v>1685990602075.103</v>
      </c>
      <c r="V141" s="16">
        <f t="shared" si="20"/>
        <v>1695607699876.8628</v>
      </c>
      <c r="W141" s="16">
        <f t="shared" si="20"/>
        <v>1690579749505.2192</v>
      </c>
      <c r="X141" s="16">
        <f t="shared" si="20"/>
        <v>1685551799133.5764</v>
      </c>
      <c r="Y141" s="16">
        <f t="shared" si="20"/>
        <v>1680523848761.9338</v>
      </c>
      <c r="Z141" s="16">
        <f t="shared" si="20"/>
        <v>1675495898390.2913</v>
      </c>
      <c r="AA141" s="16">
        <f t="shared" si="20"/>
        <v>1670467948018.6487</v>
      </c>
      <c r="AB141" s="16">
        <f t="shared" si="20"/>
        <v>1665439997647.0061</v>
      </c>
      <c r="AC141" s="16">
        <f t="shared" si="20"/>
        <v>1660412047275.3635</v>
      </c>
      <c r="AD141" s="16">
        <f t="shared" si="20"/>
        <v>1655384096903.7207</v>
      </c>
      <c r="AE141" s="16">
        <f t="shared" si="20"/>
        <v>1650356146532.0781</v>
      </c>
      <c r="AF141" s="16">
        <f t="shared" si="20"/>
        <v>1645328196160.4368</v>
      </c>
    </row>
    <row r="142" spans="1:32">
      <c r="A142" t="s">
        <v>75</v>
      </c>
      <c r="B142" s="16">
        <f t="shared" si="17"/>
        <v>1345520076286.2925</v>
      </c>
      <c r="C142" s="16">
        <f t="shared" si="18"/>
        <v>1393401255936.0127</v>
      </c>
      <c r="D142" s="16">
        <f t="shared" si="20"/>
        <v>1441282435585.7522</v>
      </c>
      <c r="E142" s="16">
        <f t="shared" si="20"/>
        <v>1489163615235.4824</v>
      </c>
      <c r="F142" s="16">
        <f t="shared" si="20"/>
        <v>1514988838075.5579</v>
      </c>
      <c r="G142" s="16">
        <f t="shared" si="20"/>
        <v>1540814060915.6331</v>
      </c>
      <c r="H142" s="16">
        <f t="shared" si="20"/>
        <v>1566639283755.7085</v>
      </c>
      <c r="I142" s="16">
        <f t="shared" si="20"/>
        <v>1592464506595.7842</v>
      </c>
      <c r="J142" s="16">
        <f t="shared" si="20"/>
        <v>1618289729435.8596</v>
      </c>
      <c r="K142" s="16">
        <f t="shared" si="20"/>
        <v>1644114952275.9351</v>
      </c>
      <c r="L142" s="16">
        <f t="shared" si="20"/>
        <v>1669940175116.0105</v>
      </c>
      <c r="M142" s="16">
        <f t="shared" si="20"/>
        <v>1679981196287.833</v>
      </c>
      <c r="N142" s="16">
        <f t="shared" si="20"/>
        <v>1690022217459.6555</v>
      </c>
      <c r="O142" s="16">
        <f t="shared" si="20"/>
        <v>1700063238631.4778</v>
      </c>
      <c r="P142" s="16">
        <f t="shared" si="20"/>
        <v>1710104259803.3</v>
      </c>
      <c r="Q142" s="16">
        <f t="shared" si="20"/>
        <v>1720145280975.1223</v>
      </c>
      <c r="R142" s="16">
        <f t="shared" si="20"/>
        <v>1730186302146.9448</v>
      </c>
      <c r="S142" s="16">
        <f t="shared" si="20"/>
        <v>1740227323318.7671</v>
      </c>
      <c r="T142" s="16">
        <f t="shared" si="20"/>
        <v>1750268344490.5894</v>
      </c>
      <c r="U142" s="16">
        <f t="shared" si="20"/>
        <v>1760309365662.4119</v>
      </c>
      <c r="V142" s="16">
        <f t="shared" si="20"/>
        <v>1770350386834.2339</v>
      </c>
      <c r="W142" s="16">
        <f t="shared" si="20"/>
        <v>1765100803521.9688</v>
      </c>
      <c r="X142" s="16">
        <f t="shared" si="20"/>
        <v>1759851220209.7041</v>
      </c>
      <c r="Y142" s="16">
        <f t="shared" si="20"/>
        <v>1754601636897.4395</v>
      </c>
      <c r="Z142" s="16">
        <f t="shared" si="20"/>
        <v>1749352053585.1748</v>
      </c>
      <c r="AA142" s="16">
        <f t="shared" si="20"/>
        <v>1744102470272.9104</v>
      </c>
      <c r="AB142" s="16">
        <f t="shared" si="20"/>
        <v>1738852886960.6458</v>
      </c>
      <c r="AC142" s="16">
        <f t="shared" si="20"/>
        <v>1733603303648.3813</v>
      </c>
      <c r="AD142" s="16">
        <f t="shared" si="20"/>
        <v>1728353720336.1167</v>
      </c>
      <c r="AE142" s="16">
        <f t="shared" si="20"/>
        <v>1723104137023.8523</v>
      </c>
      <c r="AF142" s="16">
        <f t="shared" si="20"/>
        <v>1717854553711.5889</v>
      </c>
    </row>
    <row r="143" spans="1:32">
      <c r="A143" t="s">
        <v>78</v>
      </c>
      <c r="B143" s="16">
        <f t="shared" si="17"/>
        <v>344561718063.06427</v>
      </c>
      <c r="C143" s="16">
        <f t="shared" si="18"/>
        <v>356823163888.92609</v>
      </c>
      <c r="D143" s="16">
        <f t="shared" si="20"/>
        <v>369084609714.79291</v>
      </c>
      <c r="E143" s="16">
        <f t="shared" si="20"/>
        <v>381346055540.65723</v>
      </c>
      <c r="F143" s="16">
        <f t="shared" si="20"/>
        <v>387959396588.45331</v>
      </c>
      <c r="G143" s="16">
        <f t="shared" si="20"/>
        <v>394572737636.24939</v>
      </c>
      <c r="H143" s="16">
        <f t="shared" si="20"/>
        <v>401186078684.04559</v>
      </c>
      <c r="I143" s="16">
        <f t="shared" si="20"/>
        <v>407799419731.84167</v>
      </c>
      <c r="J143" s="16">
        <f t="shared" si="20"/>
        <v>414412760779.63782</v>
      </c>
      <c r="K143" s="16">
        <f t="shared" si="20"/>
        <v>421026101827.4339</v>
      </c>
      <c r="L143" s="16">
        <f t="shared" si="20"/>
        <v>427639442875.22998</v>
      </c>
      <c r="M143" s="16">
        <f t="shared" si="20"/>
        <v>430210754568.78705</v>
      </c>
      <c r="N143" s="16">
        <f t="shared" si="20"/>
        <v>432782066262.34412</v>
      </c>
      <c r="O143" s="16">
        <f t="shared" si="20"/>
        <v>435353377955.90118</v>
      </c>
      <c r="P143" s="16">
        <f t="shared" si="20"/>
        <v>437924689649.45825</v>
      </c>
      <c r="Q143" s="16">
        <f t="shared" si="20"/>
        <v>440496001343.01532</v>
      </c>
      <c r="R143" s="16">
        <f t="shared" si="20"/>
        <v>443067313036.57227</v>
      </c>
      <c r="S143" s="16">
        <f t="shared" si="20"/>
        <v>445638624730.12933</v>
      </c>
      <c r="T143" s="16">
        <f t="shared" si="20"/>
        <v>448209936423.6864</v>
      </c>
      <c r="U143" s="16">
        <f t="shared" si="20"/>
        <v>450781248117.24347</v>
      </c>
      <c r="V143" s="16">
        <f t="shared" si="20"/>
        <v>453352559810.80042</v>
      </c>
      <c r="W143" s="16">
        <f t="shared" si="20"/>
        <v>452008242860.74658</v>
      </c>
      <c r="X143" s="16">
        <f t="shared" si="20"/>
        <v>450663925910.69299</v>
      </c>
      <c r="Y143" s="16">
        <f t="shared" si="20"/>
        <v>449319608960.63947</v>
      </c>
      <c r="Z143" s="16">
        <f t="shared" si="20"/>
        <v>447975292010.58582</v>
      </c>
      <c r="AA143" s="16">
        <f t="shared" si="20"/>
        <v>446630975060.53223</v>
      </c>
      <c r="AB143" s="16">
        <f t="shared" si="20"/>
        <v>445286658110.4787</v>
      </c>
      <c r="AC143" s="16">
        <f t="shared" si="20"/>
        <v>443942341160.42511</v>
      </c>
      <c r="AD143" s="16">
        <f t="shared" si="20"/>
        <v>442598024210.37146</v>
      </c>
      <c r="AE143" s="16">
        <f t="shared" si="20"/>
        <v>441253707260.31787</v>
      </c>
      <c r="AF143" s="16">
        <f t="shared" si="20"/>
        <v>439909390310.26465</v>
      </c>
    </row>
    <row r="144" spans="1:32">
      <c r="A144" t="s">
        <v>80</v>
      </c>
      <c r="B144" s="16">
        <f t="shared" si="17"/>
        <v>140566990882.32339</v>
      </c>
      <c r="C144" s="16">
        <f t="shared" si="18"/>
        <v>144570790915.11536</v>
      </c>
      <c r="D144" s="16">
        <f t="shared" si="20"/>
        <v>148574590947.90726</v>
      </c>
      <c r="E144" s="16">
        <f t="shared" si="20"/>
        <v>152578390980.69922</v>
      </c>
      <c r="F144" s="16">
        <f t="shared" si="20"/>
        <v>154390333084.25751</v>
      </c>
      <c r="G144" s="16">
        <f t="shared" si="20"/>
        <v>156202275187.8158</v>
      </c>
      <c r="H144" s="16">
        <f t="shared" si="20"/>
        <v>158014217291.37408</v>
      </c>
      <c r="I144" s="16">
        <f t="shared" si="20"/>
        <v>159826159394.9324</v>
      </c>
      <c r="J144" s="16">
        <f t="shared" si="20"/>
        <v>161638101498.49072</v>
      </c>
      <c r="K144" s="16">
        <f t="shared" si="20"/>
        <v>163450043602.04901</v>
      </c>
      <c r="L144" s="16">
        <f t="shared" si="20"/>
        <v>165261985705.6073</v>
      </c>
      <c r="M144" s="16">
        <f t="shared" si="20"/>
        <v>165337036561.96771</v>
      </c>
      <c r="N144" s="16">
        <f t="shared" si="20"/>
        <v>165412087418.32809</v>
      </c>
      <c r="O144" s="16">
        <f t="shared" si="20"/>
        <v>165487138274.68851</v>
      </c>
      <c r="P144" s="16">
        <f t="shared" si="20"/>
        <v>165562189131.04892</v>
      </c>
      <c r="Q144" s="16">
        <f t="shared" si="20"/>
        <v>165637239987.40933</v>
      </c>
      <c r="R144" s="16">
        <f t="shared" si="20"/>
        <v>165712290843.76971</v>
      </c>
      <c r="S144" s="16">
        <f t="shared" si="20"/>
        <v>165787341700.13013</v>
      </c>
      <c r="T144" s="16">
        <f t="shared" si="20"/>
        <v>165862392556.49051</v>
      </c>
      <c r="U144" s="16">
        <f t="shared" si="20"/>
        <v>165937443412.85092</v>
      </c>
      <c r="V144" s="16">
        <f t="shared" si="20"/>
        <v>166012494269.21133</v>
      </c>
      <c r="W144" s="16">
        <f t="shared" si="20"/>
        <v>164894236509.44131</v>
      </c>
      <c r="X144" s="16">
        <f t="shared" si="20"/>
        <v>163775978749.67133</v>
      </c>
      <c r="Y144" s="16">
        <f t="shared" si="20"/>
        <v>162657720989.90131</v>
      </c>
      <c r="Z144" s="16">
        <f t="shared" si="20"/>
        <v>161539463230.13132</v>
      </c>
      <c r="AA144" s="16">
        <f t="shared" si="20"/>
        <v>160421205470.3613</v>
      </c>
      <c r="AB144" s="16">
        <f t="shared" si="20"/>
        <v>159302947710.59131</v>
      </c>
      <c r="AC144" s="16">
        <f t="shared" si="20"/>
        <v>158184689950.82129</v>
      </c>
      <c r="AD144" s="16">
        <f t="shared" si="20"/>
        <v>157066432191.0513</v>
      </c>
      <c r="AE144" s="16">
        <f t="shared" si="20"/>
        <v>155948174431.28128</v>
      </c>
      <c r="AF144" s="16">
        <f t="shared" si="20"/>
        <v>154829916671.51129</v>
      </c>
    </row>
    <row r="145" spans="1:32">
      <c r="A145" t="s">
        <v>82</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85</v>
      </c>
      <c r="B146" s="16">
        <f t="shared" si="17"/>
        <v>123927094618.4485</v>
      </c>
      <c r="C146" s="16">
        <f t="shared" si="18"/>
        <v>124051021713.06694</v>
      </c>
      <c r="D146" s="16">
        <f t="shared" si="20"/>
        <v>124175072734.77998</v>
      </c>
      <c r="E146" s="16">
        <f t="shared" si="20"/>
        <v>124299247807.51476</v>
      </c>
      <c r="F146" s="16">
        <f t="shared" si="20"/>
        <v>124423547055.32227</v>
      </c>
      <c r="G146" s="16">
        <f t="shared" si="20"/>
        <v>124547970602.37756</v>
      </c>
      <c r="H146" s="16">
        <f t="shared" si="20"/>
        <v>124672518572.97993</v>
      </c>
      <c r="I146" s="16">
        <f t="shared" si="20"/>
        <v>124797191091.5529</v>
      </c>
      <c r="J146" s="16">
        <f t="shared" si="20"/>
        <v>124921988282.64445</v>
      </c>
      <c r="K146" s="16">
        <f t="shared" si="20"/>
        <v>125046910270.92708</v>
      </c>
      <c r="L146" s="16">
        <f t="shared" si="20"/>
        <v>125171957181.198</v>
      </c>
      <c r="M146" s="16">
        <f t="shared" si="20"/>
        <v>125297129138.3792</v>
      </c>
      <c r="N146" s="16">
        <f t="shared" si="20"/>
        <v>125422426267.51755</v>
      </c>
      <c r="O146" s="16">
        <f t="shared" si="20"/>
        <v>125547848693.78505</v>
      </c>
      <c r="P146" s="16">
        <f t="shared" si="20"/>
        <v>125673396542.47881</v>
      </c>
      <c r="Q146" s="16">
        <f t="shared" si="20"/>
        <v>125799069939.02127</v>
      </c>
      <c r="R146" s="16">
        <f t="shared" si="20"/>
        <v>125924869008.96027</v>
      </c>
      <c r="S146" s="16">
        <f t="shared" si="20"/>
        <v>126050793877.96921</v>
      </c>
      <c r="T146" s="16">
        <f t="shared" si="20"/>
        <v>126176844671.84717</v>
      </c>
      <c r="U146" s="16">
        <f t="shared" si="20"/>
        <v>126303021516.51901</v>
      </c>
      <c r="V146" s="16">
        <f t="shared" si="20"/>
        <v>126429324538.03551</v>
      </c>
      <c r="W146" s="16">
        <f t="shared" si="20"/>
        <v>125797177915.34532</v>
      </c>
      <c r="X146" s="16">
        <f t="shared" si="20"/>
        <v>125168192025.7686</v>
      </c>
      <c r="Y146" s="16">
        <f t="shared" si="20"/>
        <v>124542351065.63974</v>
      </c>
      <c r="Z146" s="16">
        <f t="shared" si="20"/>
        <v>123919639310.31155</v>
      </c>
      <c r="AA146" s="16">
        <f t="shared" si="20"/>
        <v>123300041113.75999</v>
      </c>
      <c r="AB146" s="16">
        <f t="shared" si="20"/>
        <v>122683540908.19119</v>
      </c>
      <c r="AC146" s="16">
        <f t="shared" si="20"/>
        <v>122070123203.65024</v>
      </c>
      <c r="AD146" s="16">
        <f t="shared" si="20"/>
        <v>121459772587.63199</v>
      </c>
      <c r="AE146" s="16">
        <f t="shared" si="20"/>
        <v>120852473724.69382</v>
      </c>
      <c r="AF146" s="16">
        <f t="shared" si="20"/>
        <v>120248211356.07034</v>
      </c>
    </row>
    <row r="147" spans="1:32">
      <c r="A147" t="s">
        <v>89</v>
      </c>
      <c r="B147" s="16">
        <f t="shared" si="17"/>
        <v>312731871.37107229</v>
      </c>
      <c r="C147" s="16">
        <f t="shared" si="18"/>
        <v>321639480.96697521</v>
      </c>
      <c r="D147" s="16">
        <f t="shared" si="20"/>
        <v>330547090.56287813</v>
      </c>
      <c r="E147" s="16">
        <f t="shared" si="20"/>
        <v>339454700.15878105</v>
      </c>
      <c r="F147" s="16">
        <f t="shared" si="20"/>
        <v>343485888.71382523</v>
      </c>
      <c r="G147" s="16">
        <f t="shared" si="20"/>
        <v>347517077.2688694</v>
      </c>
      <c r="H147" s="16">
        <f t="shared" si="20"/>
        <v>351548265.82391363</v>
      </c>
      <c r="I147" s="16">
        <f t="shared" si="20"/>
        <v>355579454.37895781</v>
      </c>
      <c r="J147" s="16">
        <f t="shared" si="20"/>
        <v>359610642.93400204</v>
      </c>
      <c r="K147" s="16">
        <f t="shared" si="20"/>
        <v>363641831.48904622</v>
      </c>
      <c r="L147" s="16">
        <f t="shared" si="20"/>
        <v>367673020.04409039</v>
      </c>
      <c r="M147" s="16">
        <f t="shared" si="20"/>
        <v>367839992.35110408</v>
      </c>
      <c r="N147" s="16">
        <f t="shared" si="20"/>
        <v>368006964.65811777</v>
      </c>
      <c r="O147" s="16">
        <f t="shared" si="20"/>
        <v>368173936.9651314</v>
      </c>
      <c r="P147" s="16">
        <f t="shared" si="20"/>
        <v>368340909.27214509</v>
      </c>
      <c r="Q147" s="16">
        <f t="shared" si="20"/>
        <v>368507881.57915878</v>
      </c>
      <c r="R147" s="16">
        <f t="shared" si="20"/>
        <v>368674853.88617241</v>
      </c>
      <c r="S147" s="16">
        <f t="shared" si="20"/>
        <v>368841826.1931861</v>
      </c>
      <c r="T147" s="16">
        <f t="shared" si="20"/>
        <v>369008798.50019974</v>
      </c>
      <c r="U147" s="16">
        <f t="shared" si="20"/>
        <v>369175770.80721337</v>
      </c>
      <c r="V147" s="16">
        <f t="shared" si="20"/>
        <v>369342743.11422706</v>
      </c>
      <c r="W147" s="16">
        <f t="shared" si="20"/>
        <v>366854855.7397235</v>
      </c>
      <c r="X147" s="16">
        <f t="shared" si="20"/>
        <v>364366968.36521989</v>
      </c>
      <c r="Y147" s="16">
        <f t="shared" si="20"/>
        <v>361879080.99071628</v>
      </c>
      <c r="Z147" s="16">
        <f t="shared" si="20"/>
        <v>359391193.61621261</v>
      </c>
      <c r="AA147" s="16">
        <f t="shared" si="20"/>
        <v>356903306.24170899</v>
      </c>
      <c r="AB147" s="16">
        <f t="shared" si="20"/>
        <v>354415418.86720544</v>
      </c>
      <c r="AC147" s="16">
        <f t="shared" si="20"/>
        <v>351927531.49270183</v>
      </c>
      <c r="AD147" s="16">
        <f t="shared" si="20"/>
        <v>349439644.11819822</v>
      </c>
      <c r="AE147" s="16">
        <f t="shared" si="20"/>
        <v>346951756.7436946</v>
      </c>
      <c r="AF147" s="16">
        <f t="shared" si="20"/>
        <v>344463869.36919099</v>
      </c>
    </row>
  </sheetData>
  <phoneticPr fontId="35"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heetViews>
  <sheetFormatPr defaultColWidth="9.125" defaultRowHeight="16.5"/>
  <cols>
    <col min="1" max="1" width="47.125" customWidth="1"/>
    <col min="2" max="2" width="11.75" customWidth="1"/>
    <col min="3" max="33" width="11" customWidth="1"/>
    <col min="34" max="35" width="9.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449">
        <f>'KEEI BAU - Industry'!P38*'Others Split'!$F$6</f>
        <v>0</v>
      </c>
      <c r="C2" s="16">
        <f>'KEEI BAU - Industry'!Q38*'Others Split'!$F$6</f>
        <v>0</v>
      </c>
      <c r="D2" s="16">
        <f>'KEEI BAU - Industry'!R38*'Others Split'!$F$6</f>
        <v>0</v>
      </c>
      <c r="E2" s="16">
        <f>'KEEI BAU - Industry'!S38*'Others Split'!$F$6</f>
        <v>0</v>
      </c>
      <c r="F2" s="16">
        <f>'KEEI BAU - Industry'!T38*'Others Split'!$F$6</f>
        <v>0</v>
      </c>
      <c r="G2" s="16">
        <f>'KEEI BAU - Industry'!U38*'Others Split'!$F$6</f>
        <v>0</v>
      </c>
      <c r="H2" s="16">
        <f>'KEEI BAU - Industry'!V38*'Others Split'!$F$6</f>
        <v>0</v>
      </c>
      <c r="I2" s="16">
        <f>'KEEI BAU - Industry'!W38*'Others Split'!$F$6</f>
        <v>0</v>
      </c>
      <c r="J2" s="16">
        <f>'KEEI BAU - Industry'!X38*'Others Split'!$F$6</f>
        <v>0</v>
      </c>
      <c r="K2" s="16">
        <f>'KEEI BAU - Industry'!Y38*'Others Split'!$F$6</f>
        <v>0</v>
      </c>
      <c r="L2" s="16">
        <f>'KEEI BAU - Industry'!Z38*'Others Split'!$F$6</f>
        <v>0</v>
      </c>
      <c r="M2" s="16">
        <f>'KEEI BAU - Industry'!AA38*'Others Split'!$F$6</f>
        <v>0</v>
      </c>
      <c r="N2" s="16">
        <f>'KEEI BAU - Industry'!AB38*'Others Split'!$F$6</f>
        <v>0</v>
      </c>
      <c r="O2" s="16">
        <f>'KEEI BAU - Industry'!AC38*'Others Split'!$F$6</f>
        <v>0</v>
      </c>
      <c r="P2" s="16">
        <f>'KEEI BAU - Industry'!AD38*'Others Split'!$F$6</f>
        <v>0</v>
      </c>
      <c r="Q2" s="16">
        <f>'KEEI BAU - Industry'!AE38*'Others Split'!$F$6</f>
        <v>0</v>
      </c>
      <c r="R2" s="16">
        <f>'KEEI BAU - Industry'!AF38*'Others Split'!$F$6</f>
        <v>0</v>
      </c>
      <c r="S2" s="16">
        <f>'KEEI BAU - Industry'!AG38*'Others Split'!$F$6</f>
        <v>0</v>
      </c>
      <c r="T2" s="16">
        <f>'KEEI BAU - Industry'!AH38*'Others Split'!$F$6</f>
        <v>0</v>
      </c>
      <c r="U2" s="16">
        <f>'KEEI BAU - Industry'!AI38*'Others Split'!$F$6</f>
        <v>0</v>
      </c>
      <c r="V2" s="16">
        <f>'KEEI BAU - Industry'!AJ38*'Others Split'!$F$6</f>
        <v>0</v>
      </c>
      <c r="W2" s="16">
        <f>'KEEI BAU - Industry'!AK38*'Others Split'!$F$6</f>
        <v>0</v>
      </c>
      <c r="X2" s="16">
        <f>'KEEI BAU - Industry'!AL38*'Others Split'!$F$6</f>
        <v>0</v>
      </c>
      <c r="Y2" s="16">
        <f>'KEEI BAU - Industry'!AM38*'Others Split'!$F$6</f>
        <v>0</v>
      </c>
      <c r="Z2" s="16">
        <f>'KEEI BAU - Industry'!AN38*'Others Split'!$F$6</f>
        <v>0</v>
      </c>
      <c r="AA2" s="16">
        <f>'KEEI BAU - Industry'!AO38*'Others Split'!$F$6</f>
        <v>0</v>
      </c>
      <c r="AB2" s="16">
        <f>'KEEI BAU - Industry'!AP38*'Others Split'!$F$6</f>
        <v>0</v>
      </c>
      <c r="AC2" s="16">
        <f>'KEEI BAU - Industry'!AQ38*'Others Split'!$F$6</f>
        <v>0</v>
      </c>
      <c r="AD2" s="16">
        <f>'KEEI BAU - Industry'!AR38*'Others Split'!$F$6</f>
        <v>0</v>
      </c>
      <c r="AE2" s="16">
        <f>'KEEI BAU - Industry'!AS38*'Others Split'!$F$6</f>
        <v>0</v>
      </c>
      <c r="AF2" s="16">
        <f>'KEEI BAU - Industry'!AT38*'Others Split'!$F$6</f>
        <v>0</v>
      </c>
    </row>
    <row r="3" spans="1:35">
      <c r="A3" t="s">
        <v>28</v>
      </c>
      <c r="B3" s="449">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34</v>
      </c>
      <c r="B5" s="16">
        <f>'KEEI BAU - Industry'!P$38*'Others Split'!$F$7</f>
        <v>0</v>
      </c>
      <c r="C5" s="16">
        <f>'KEEI BAU - Industry'!Q$38*'Others Split'!$F$7</f>
        <v>0</v>
      </c>
      <c r="D5" s="16">
        <f>'KEEI BAU - Industry'!R$38*'Others Split'!$F$7</f>
        <v>0</v>
      </c>
      <c r="E5" s="16">
        <f>'KEEI BAU - Industry'!S$38*'Others Split'!$F$7</f>
        <v>0</v>
      </c>
      <c r="F5" s="16">
        <f>'KEEI BAU - Industry'!T$38*'Others Split'!$F$7</f>
        <v>0</v>
      </c>
      <c r="G5" s="16">
        <f>'KEEI BAU - Industry'!U$38*'Others Split'!$F$7</f>
        <v>0</v>
      </c>
      <c r="H5" s="16">
        <f>'KEEI BAU - Industry'!V$38*'Others Split'!$F$7</f>
        <v>0</v>
      </c>
      <c r="I5" s="16">
        <f>'KEEI BAU - Industry'!W$38*'Others Split'!$F$7</f>
        <v>0</v>
      </c>
      <c r="J5" s="16">
        <f>'KEEI BAU - Industry'!X$38*'Others Split'!$F$7</f>
        <v>0</v>
      </c>
      <c r="K5" s="16">
        <f>'KEEI BAU - Industry'!Y$38*'Others Split'!$F$7</f>
        <v>0</v>
      </c>
      <c r="L5" s="16">
        <f>'KEEI BAU - Industry'!Z$38*'Others Split'!$F$7</f>
        <v>0</v>
      </c>
      <c r="M5" s="16">
        <f>'KEEI BAU - Industry'!AA$38*'Others Split'!$F$7</f>
        <v>0</v>
      </c>
      <c r="N5" s="16">
        <f>'KEEI BAU - Industry'!AB$38*'Others Split'!$F$7</f>
        <v>0</v>
      </c>
      <c r="O5" s="16">
        <f>'KEEI BAU - Industry'!AC$38*'Others Split'!$F$7</f>
        <v>0</v>
      </c>
      <c r="P5" s="16">
        <f>'KEEI BAU - Industry'!AD$38*'Others Split'!$F$7</f>
        <v>0</v>
      </c>
      <c r="Q5" s="16">
        <f>'KEEI BAU - Industry'!AE$38*'Others Split'!$F$7</f>
        <v>0</v>
      </c>
      <c r="R5" s="16">
        <f>'KEEI BAU - Industry'!AF$38*'Others Split'!$F$7</f>
        <v>0</v>
      </c>
      <c r="S5" s="16">
        <f>'KEEI BAU - Industry'!AG$38*'Others Split'!$F$7</f>
        <v>0</v>
      </c>
      <c r="T5" s="16">
        <f>'KEEI BAU - Industry'!AH$38*'Others Split'!$F$7</f>
        <v>0</v>
      </c>
      <c r="U5" s="16">
        <f>'KEEI BAU - Industry'!AI$38*'Others Split'!$F$7</f>
        <v>0</v>
      </c>
      <c r="V5" s="16">
        <f>'KEEI BAU - Industry'!AJ$38*'Others Split'!$F$7</f>
        <v>0</v>
      </c>
      <c r="W5" s="16">
        <f>'KEEI BAU - Industry'!AK$38*'Others Split'!$F$7</f>
        <v>0</v>
      </c>
      <c r="X5" s="16">
        <f>'KEEI BAU - Industry'!AL$38*'Others Split'!$F$7</f>
        <v>0</v>
      </c>
      <c r="Y5" s="16">
        <f>'KEEI BAU - Industry'!AM$38*'Others Split'!$F$7</f>
        <v>0</v>
      </c>
      <c r="Z5" s="16">
        <f>'KEEI BAU - Industry'!AN$38*'Others Split'!$F$7</f>
        <v>0</v>
      </c>
      <c r="AA5" s="16">
        <f>'KEEI BAU - Industry'!AO$38*'Others Split'!$F$7</f>
        <v>0</v>
      </c>
      <c r="AB5" s="16">
        <f>'KEEI BAU - Industry'!AP$38*'Others Split'!$F$7</f>
        <v>0</v>
      </c>
      <c r="AC5" s="16">
        <f>'KEEI BAU - Industry'!AQ$38*'Others Split'!$F$7</f>
        <v>0</v>
      </c>
      <c r="AD5" s="16">
        <f>'KEEI BAU - Industry'!AR$38*'Others Split'!$F$7</f>
        <v>0</v>
      </c>
      <c r="AE5" s="16">
        <f>'KEEI BAU - Industry'!AS$38*'Others Split'!$F$7</f>
        <v>0</v>
      </c>
      <c r="AF5" s="16">
        <f>'KEEI BAU - Industry'!AT$38*'Others Split'!$F$7</f>
        <v>0</v>
      </c>
    </row>
    <row r="6" spans="1:35">
      <c r="A6" t="s">
        <v>36</v>
      </c>
      <c r="B6" s="16">
        <f>'KEEI BAU - Industry'!P$38*'Others Split'!$F$8</f>
        <v>0</v>
      </c>
      <c r="C6" s="16">
        <f>'KEEI BAU - Industry'!Q$38*'Others Split'!$F$8</f>
        <v>0</v>
      </c>
      <c r="D6" s="16">
        <f>'KEEI BAU - Industry'!R$38*'Others Split'!$F$8</f>
        <v>0</v>
      </c>
      <c r="E6" s="16">
        <f>'KEEI BAU - Industry'!S$38*'Others Split'!$F$8</f>
        <v>0</v>
      </c>
      <c r="F6" s="16">
        <f>'KEEI BAU - Industry'!T$38*'Others Split'!$F$8</f>
        <v>0</v>
      </c>
      <c r="G6" s="16">
        <f>'KEEI BAU - Industry'!U$38*'Others Split'!$F$8</f>
        <v>0</v>
      </c>
      <c r="H6" s="16">
        <f>'KEEI BAU - Industry'!V$38*'Others Split'!$F$8</f>
        <v>0</v>
      </c>
      <c r="I6" s="16">
        <f>'KEEI BAU - Industry'!W$38*'Others Split'!$F$8</f>
        <v>0</v>
      </c>
      <c r="J6" s="16">
        <f>'KEEI BAU - Industry'!X$38*'Others Split'!$F$8</f>
        <v>0</v>
      </c>
      <c r="K6" s="16">
        <f>'KEEI BAU - Industry'!Y$38*'Others Split'!$F$8</f>
        <v>0</v>
      </c>
      <c r="L6" s="16">
        <f>'KEEI BAU - Industry'!Z$38*'Others Split'!$F$8</f>
        <v>0</v>
      </c>
      <c r="M6" s="16">
        <f>'KEEI BAU - Industry'!AA$38*'Others Split'!$F$8</f>
        <v>0</v>
      </c>
      <c r="N6" s="16">
        <f>'KEEI BAU - Industry'!AB$38*'Others Split'!$F$8</f>
        <v>0</v>
      </c>
      <c r="O6" s="16">
        <f>'KEEI BAU - Industry'!AC$38*'Others Split'!$F$8</f>
        <v>0</v>
      </c>
      <c r="P6" s="16">
        <f>'KEEI BAU - Industry'!AD$38*'Others Split'!$F$8</f>
        <v>0</v>
      </c>
      <c r="Q6" s="16">
        <f>'KEEI BAU - Industry'!AE$38*'Others Split'!$F$8</f>
        <v>0</v>
      </c>
      <c r="R6" s="16">
        <f>'KEEI BAU - Industry'!AF$38*'Others Split'!$F$8</f>
        <v>0</v>
      </c>
      <c r="S6" s="16">
        <f>'KEEI BAU - Industry'!AG$38*'Others Split'!$F$8</f>
        <v>0</v>
      </c>
      <c r="T6" s="16">
        <f>'KEEI BAU - Industry'!AH$38*'Others Split'!$F$8</f>
        <v>0</v>
      </c>
      <c r="U6" s="16">
        <f>'KEEI BAU - Industry'!AI$38*'Others Split'!$F$8</f>
        <v>0</v>
      </c>
      <c r="V6" s="16">
        <f>'KEEI BAU - Industry'!AJ$38*'Others Split'!$F$8</f>
        <v>0</v>
      </c>
      <c r="W6" s="16">
        <f>'KEEI BAU - Industry'!AK$38*'Others Split'!$F$8</f>
        <v>0</v>
      </c>
      <c r="X6" s="16">
        <f>'KEEI BAU - Industry'!AL$38*'Others Split'!$F$8</f>
        <v>0</v>
      </c>
      <c r="Y6" s="16">
        <f>'KEEI BAU - Industry'!AM$38*'Others Split'!$F$8</f>
        <v>0</v>
      </c>
      <c r="Z6" s="16">
        <f>'KEEI BAU - Industry'!AN$38*'Others Split'!$F$8</f>
        <v>0</v>
      </c>
      <c r="AA6" s="16">
        <f>'KEEI BAU - Industry'!AO$38*'Others Split'!$F$8</f>
        <v>0</v>
      </c>
      <c r="AB6" s="16">
        <f>'KEEI BAU - Industry'!AP$38*'Others Split'!$F$8</f>
        <v>0</v>
      </c>
      <c r="AC6" s="16">
        <f>'KEEI BAU - Industry'!AQ$38*'Others Split'!$F$8</f>
        <v>0</v>
      </c>
      <c r="AD6" s="16">
        <f>'KEEI BAU - Industry'!AR$38*'Others Split'!$F$8</f>
        <v>0</v>
      </c>
      <c r="AE6" s="16">
        <f>'KEEI BAU - Industry'!AS$38*'Others Split'!$F$8</f>
        <v>0</v>
      </c>
      <c r="AF6" s="16">
        <f>'KEEI BAU - Industry'!AT$38*'Others Split'!$F$8</f>
        <v>0</v>
      </c>
    </row>
    <row r="7" spans="1:35">
      <c r="A7" t="s">
        <v>38</v>
      </c>
      <c r="B7" s="16">
        <f>'KEEI BAU - Industry'!P$38*'Others Split'!$F$9</f>
        <v>0</v>
      </c>
      <c r="C7" s="16">
        <f>'KEEI BAU - Industry'!Q$38*'Others Split'!$F$9</f>
        <v>0</v>
      </c>
      <c r="D7" s="16">
        <f>'KEEI BAU - Industry'!R$38*'Others Split'!$F$9</f>
        <v>0</v>
      </c>
      <c r="E7" s="16">
        <f>'KEEI BAU - Industry'!S$38*'Others Split'!$F$9</f>
        <v>0</v>
      </c>
      <c r="F7" s="16">
        <f>'KEEI BAU - Industry'!T$38*'Others Split'!$F$9</f>
        <v>0</v>
      </c>
      <c r="G7" s="16">
        <f>'KEEI BAU - Industry'!U$38*'Others Split'!$F$9</f>
        <v>0</v>
      </c>
      <c r="H7" s="16">
        <f>'KEEI BAU - Industry'!V$38*'Others Split'!$F$9</f>
        <v>0</v>
      </c>
      <c r="I7" s="16">
        <f>'KEEI BAU - Industry'!W$38*'Others Split'!$F$9</f>
        <v>0</v>
      </c>
      <c r="J7" s="16">
        <f>'KEEI BAU - Industry'!X$38*'Others Split'!$F$9</f>
        <v>0</v>
      </c>
      <c r="K7" s="16">
        <f>'KEEI BAU - Industry'!Y$38*'Others Split'!$F$9</f>
        <v>0</v>
      </c>
      <c r="L7" s="16">
        <f>'KEEI BAU - Industry'!Z$38*'Others Split'!$F$9</f>
        <v>0</v>
      </c>
      <c r="M7" s="16">
        <f>'KEEI BAU - Industry'!AA$38*'Others Split'!$F$9</f>
        <v>0</v>
      </c>
      <c r="N7" s="16">
        <f>'KEEI BAU - Industry'!AB$38*'Others Split'!$F$9</f>
        <v>0</v>
      </c>
      <c r="O7" s="16">
        <f>'KEEI BAU - Industry'!AC$38*'Others Split'!$F$9</f>
        <v>0</v>
      </c>
      <c r="P7" s="16">
        <f>'KEEI BAU - Industry'!AD$38*'Others Split'!$F$9</f>
        <v>0</v>
      </c>
      <c r="Q7" s="16">
        <f>'KEEI BAU - Industry'!AE$38*'Others Split'!$F$9</f>
        <v>0</v>
      </c>
      <c r="R7" s="16">
        <f>'KEEI BAU - Industry'!AF$38*'Others Split'!$F$9</f>
        <v>0</v>
      </c>
      <c r="S7" s="16">
        <f>'KEEI BAU - Industry'!AG$38*'Others Split'!$F$9</f>
        <v>0</v>
      </c>
      <c r="T7" s="16">
        <f>'KEEI BAU - Industry'!AH$38*'Others Split'!$F$9</f>
        <v>0</v>
      </c>
      <c r="U7" s="16">
        <f>'KEEI BAU - Industry'!AI$38*'Others Split'!$F$9</f>
        <v>0</v>
      </c>
      <c r="V7" s="16">
        <f>'KEEI BAU - Industry'!AJ$38*'Others Split'!$F$9</f>
        <v>0</v>
      </c>
      <c r="W7" s="16">
        <f>'KEEI BAU - Industry'!AK$38*'Others Split'!$F$9</f>
        <v>0</v>
      </c>
      <c r="X7" s="16">
        <f>'KEEI BAU - Industry'!AL$38*'Others Split'!$F$9</f>
        <v>0</v>
      </c>
      <c r="Y7" s="16">
        <f>'KEEI BAU - Industry'!AM$38*'Others Split'!$F$9</f>
        <v>0</v>
      </c>
      <c r="Z7" s="16">
        <f>'KEEI BAU - Industry'!AN$38*'Others Split'!$F$9</f>
        <v>0</v>
      </c>
      <c r="AA7" s="16">
        <f>'KEEI BAU - Industry'!AO$38*'Others Split'!$F$9</f>
        <v>0</v>
      </c>
      <c r="AB7" s="16">
        <f>'KEEI BAU - Industry'!AP$38*'Others Split'!$F$9</f>
        <v>0</v>
      </c>
      <c r="AC7" s="16">
        <f>'KEEI BAU - Industry'!AQ$38*'Others Split'!$F$9</f>
        <v>0</v>
      </c>
      <c r="AD7" s="16">
        <f>'KEEI BAU - Industry'!AR$38*'Others Split'!$F$9</f>
        <v>0</v>
      </c>
      <c r="AE7" s="16">
        <f>'KEEI BAU - Industry'!AS$38*'Others Split'!$F$9</f>
        <v>0</v>
      </c>
      <c r="AF7" s="16">
        <f>'KEEI BAU - Industry'!AT$38*'Others Split'!$F$9</f>
        <v>0</v>
      </c>
    </row>
    <row r="8" spans="1:35">
      <c r="A8" t="s">
        <v>40</v>
      </c>
      <c r="B8" s="16">
        <f>'KEEI BAU - Industry'!P$38*'Others Split'!$F$10</f>
        <v>0</v>
      </c>
      <c r="C8" s="16">
        <f>'KEEI BAU - Industry'!Q$38*'Others Split'!$F$10</f>
        <v>0</v>
      </c>
      <c r="D8" s="16">
        <f>'KEEI BAU - Industry'!R$38*'Others Split'!$F$10</f>
        <v>0</v>
      </c>
      <c r="E8" s="16">
        <f>'KEEI BAU - Industry'!S$38*'Others Split'!$F$10</f>
        <v>0</v>
      </c>
      <c r="F8" s="16">
        <f>'KEEI BAU - Industry'!T$38*'Others Split'!$F$10</f>
        <v>0</v>
      </c>
      <c r="G8" s="16">
        <f>'KEEI BAU - Industry'!U$38*'Others Split'!$F$10</f>
        <v>0</v>
      </c>
      <c r="H8" s="16">
        <f>'KEEI BAU - Industry'!V$38*'Others Split'!$F$10</f>
        <v>0</v>
      </c>
      <c r="I8" s="16">
        <f>'KEEI BAU - Industry'!W$38*'Others Split'!$F$10</f>
        <v>0</v>
      </c>
      <c r="J8" s="16">
        <f>'KEEI BAU - Industry'!X$38*'Others Split'!$F$10</f>
        <v>0</v>
      </c>
      <c r="K8" s="16">
        <f>'KEEI BAU - Industry'!Y$38*'Others Split'!$F$10</f>
        <v>0</v>
      </c>
      <c r="L8" s="16">
        <f>'KEEI BAU - Industry'!Z$38*'Others Split'!$F$10</f>
        <v>0</v>
      </c>
      <c r="M8" s="16">
        <f>'KEEI BAU - Industry'!AA$38*'Others Split'!$F$10</f>
        <v>0</v>
      </c>
      <c r="N8" s="16">
        <f>'KEEI BAU - Industry'!AB$38*'Others Split'!$F$10</f>
        <v>0</v>
      </c>
      <c r="O8" s="16">
        <f>'KEEI BAU - Industry'!AC$38*'Others Split'!$F$10</f>
        <v>0</v>
      </c>
      <c r="P8" s="16">
        <f>'KEEI BAU - Industry'!AD$38*'Others Split'!$F$10</f>
        <v>0</v>
      </c>
      <c r="Q8" s="16">
        <f>'KEEI BAU - Industry'!AE$38*'Others Split'!$F$10</f>
        <v>0</v>
      </c>
      <c r="R8" s="16">
        <f>'KEEI BAU - Industry'!AF$38*'Others Split'!$F$10</f>
        <v>0</v>
      </c>
      <c r="S8" s="16">
        <f>'KEEI BAU - Industry'!AG$38*'Others Split'!$F$10</f>
        <v>0</v>
      </c>
      <c r="T8" s="16">
        <f>'KEEI BAU - Industry'!AH$38*'Others Split'!$F$10</f>
        <v>0</v>
      </c>
      <c r="U8" s="16">
        <f>'KEEI BAU - Industry'!AI$38*'Others Split'!$F$10</f>
        <v>0</v>
      </c>
      <c r="V8" s="16">
        <f>'KEEI BAU - Industry'!AJ$38*'Others Split'!$F$10</f>
        <v>0</v>
      </c>
      <c r="W8" s="16">
        <f>'KEEI BAU - Industry'!AK$38*'Others Split'!$F$10</f>
        <v>0</v>
      </c>
      <c r="X8" s="16">
        <f>'KEEI BAU - Industry'!AL$38*'Others Split'!$F$10</f>
        <v>0</v>
      </c>
      <c r="Y8" s="16">
        <f>'KEEI BAU - Industry'!AM$38*'Others Split'!$F$10</f>
        <v>0</v>
      </c>
      <c r="Z8" s="16">
        <f>'KEEI BAU - Industry'!AN$38*'Others Split'!$F$10</f>
        <v>0</v>
      </c>
      <c r="AA8" s="16">
        <f>'KEEI BAU - Industry'!AO$38*'Others Split'!$F$10</f>
        <v>0</v>
      </c>
      <c r="AB8" s="16">
        <f>'KEEI BAU - Industry'!AP$38*'Others Split'!$F$10</f>
        <v>0</v>
      </c>
      <c r="AC8" s="16">
        <f>'KEEI BAU - Industry'!AQ$38*'Others Split'!$F$10</f>
        <v>0</v>
      </c>
      <c r="AD8" s="16">
        <f>'KEEI BAU - Industry'!AR$38*'Others Split'!$F$10</f>
        <v>0</v>
      </c>
      <c r="AE8" s="16">
        <f>'KEEI BAU - Industry'!AS$38*'Others Split'!$F$10</f>
        <v>0</v>
      </c>
      <c r="AF8" s="16">
        <f>'KEEI BAU - Industry'!AT$38*'Others Split'!$F$10</f>
        <v>0</v>
      </c>
    </row>
    <row r="9" spans="1:35">
      <c r="A9" t="s">
        <v>42</v>
      </c>
      <c r="B9" s="16">
        <f>'KEEI BAU - Industry'!P$38*'Others Split'!$F$11</f>
        <v>0</v>
      </c>
      <c r="C9" s="16">
        <f>'KEEI BAU - Industry'!Q$38*'Others Split'!$F$11</f>
        <v>0</v>
      </c>
      <c r="D9" s="16">
        <f>'KEEI BAU - Industry'!R$38*'Others Split'!$F$11</f>
        <v>0</v>
      </c>
      <c r="E9" s="16">
        <f>'KEEI BAU - Industry'!S$38*'Others Split'!$F$11</f>
        <v>0</v>
      </c>
      <c r="F9" s="16">
        <f>'KEEI BAU - Industry'!T$38*'Others Split'!$F$11</f>
        <v>0</v>
      </c>
      <c r="G9" s="16">
        <f>'KEEI BAU - Industry'!U$38*'Others Split'!$F$11</f>
        <v>0</v>
      </c>
      <c r="H9" s="16">
        <f>'KEEI BAU - Industry'!V$38*'Others Split'!$F$11</f>
        <v>0</v>
      </c>
      <c r="I9" s="16">
        <f>'KEEI BAU - Industry'!W$38*'Others Split'!$F$11</f>
        <v>0</v>
      </c>
      <c r="J9" s="16">
        <f>'KEEI BAU - Industry'!X$38*'Others Split'!$F$11</f>
        <v>0</v>
      </c>
      <c r="K9" s="16">
        <f>'KEEI BAU - Industry'!Y$38*'Others Split'!$F$11</f>
        <v>0</v>
      </c>
      <c r="L9" s="16">
        <f>'KEEI BAU - Industry'!Z$38*'Others Split'!$F$11</f>
        <v>0</v>
      </c>
      <c r="M9" s="16">
        <f>'KEEI BAU - Industry'!AA$38*'Others Split'!$F$11</f>
        <v>0</v>
      </c>
      <c r="N9" s="16">
        <f>'KEEI BAU - Industry'!AB$38*'Others Split'!$F$11</f>
        <v>0</v>
      </c>
      <c r="O9" s="16">
        <f>'KEEI BAU - Industry'!AC$38*'Others Split'!$F$11</f>
        <v>0</v>
      </c>
      <c r="P9" s="16">
        <f>'KEEI BAU - Industry'!AD$38*'Others Split'!$F$11</f>
        <v>0</v>
      </c>
      <c r="Q9" s="16">
        <f>'KEEI BAU - Industry'!AE$38*'Others Split'!$F$11</f>
        <v>0</v>
      </c>
      <c r="R9" s="16">
        <f>'KEEI BAU - Industry'!AF$38*'Others Split'!$F$11</f>
        <v>0</v>
      </c>
      <c r="S9" s="16">
        <f>'KEEI BAU - Industry'!AG$38*'Others Split'!$F$11</f>
        <v>0</v>
      </c>
      <c r="T9" s="16">
        <f>'KEEI BAU - Industry'!AH$38*'Others Split'!$F$11</f>
        <v>0</v>
      </c>
      <c r="U9" s="16">
        <f>'KEEI BAU - Industry'!AI$38*'Others Split'!$F$11</f>
        <v>0</v>
      </c>
      <c r="V9" s="16">
        <f>'KEEI BAU - Industry'!AJ$38*'Others Split'!$F$11</f>
        <v>0</v>
      </c>
      <c r="W9" s="16">
        <f>'KEEI BAU - Industry'!AK$38*'Others Split'!$F$11</f>
        <v>0</v>
      </c>
      <c r="X9" s="16">
        <f>'KEEI BAU - Industry'!AL$38*'Others Split'!$F$11</f>
        <v>0</v>
      </c>
      <c r="Y9" s="16">
        <f>'KEEI BAU - Industry'!AM$38*'Others Split'!$F$11</f>
        <v>0</v>
      </c>
      <c r="Z9" s="16">
        <f>'KEEI BAU - Industry'!AN$38*'Others Split'!$F$11</f>
        <v>0</v>
      </c>
      <c r="AA9" s="16">
        <f>'KEEI BAU - Industry'!AO$38*'Others Split'!$F$11</f>
        <v>0</v>
      </c>
      <c r="AB9" s="16">
        <f>'KEEI BAU - Industry'!AP$38*'Others Split'!$F$11</f>
        <v>0</v>
      </c>
      <c r="AC9" s="16">
        <f>'KEEI BAU - Industry'!AQ$38*'Others Split'!$F$11</f>
        <v>0</v>
      </c>
      <c r="AD9" s="16">
        <f>'KEEI BAU - Industry'!AR$38*'Others Split'!$F$11</f>
        <v>0</v>
      </c>
      <c r="AE9" s="16">
        <f>'KEEI BAU - Industry'!AS$38*'Others Split'!$F$11</f>
        <v>0</v>
      </c>
      <c r="AF9" s="16">
        <f>'KEEI BAU - Industry'!AT$38*'Others Split'!$F$11</f>
        <v>0</v>
      </c>
    </row>
    <row r="10" spans="1:35">
      <c r="A10" t="s">
        <v>44</v>
      </c>
      <c r="B10" s="16">
        <v>0</v>
      </c>
      <c r="C10" s="16">
        <v>0</v>
      </c>
      <c r="D10" s="16">
        <v>1</v>
      </c>
      <c r="E10" s="16">
        <v>2</v>
      </c>
      <c r="F10" s="16">
        <v>3</v>
      </c>
      <c r="G10" s="16">
        <v>4</v>
      </c>
      <c r="H10" s="16">
        <v>5</v>
      </c>
      <c r="I10" s="16">
        <v>6</v>
      </c>
      <c r="J10" s="16">
        <v>7</v>
      </c>
      <c r="K10" s="16">
        <v>8</v>
      </c>
      <c r="L10" s="16">
        <v>9</v>
      </c>
      <c r="M10" s="16">
        <v>10</v>
      </c>
      <c r="N10" s="16">
        <v>11</v>
      </c>
      <c r="O10" s="16">
        <v>12</v>
      </c>
      <c r="P10" s="16">
        <v>13</v>
      </c>
      <c r="Q10" s="16">
        <v>14</v>
      </c>
      <c r="R10" s="16">
        <v>15</v>
      </c>
      <c r="S10" s="16">
        <v>16</v>
      </c>
      <c r="T10" s="16">
        <v>17</v>
      </c>
      <c r="U10" s="16">
        <v>18</v>
      </c>
      <c r="V10" s="16">
        <v>19</v>
      </c>
      <c r="W10" s="16">
        <v>20</v>
      </c>
      <c r="X10" s="16">
        <v>21</v>
      </c>
      <c r="Y10" s="16">
        <v>22</v>
      </c>
      <c r="Z10" s="16">
        <v>23</v>
      </c>
      <c r="AA10" s="16">
        <v>24</v>
      </c>
      <c r="AB10" s="16">
        <v>25</v>
      </c>
      <c r="AC10" s="16">
        <v>26</v>
      </c>
      <c r="AD10" s="16">
        <v>0</v>
      </c>
      <c r="AE10" s="16">
        <v>0</v>
      </c>
      <c r="AF10" s="16">
        <v>0</v>
      </c>
    </row>
    <row r="11" spans="1:35">
      <c r="A11" t="s">
        <v>47</v>
      </c>
      <c r="B11" s="16">
        <f>'KEEI BAU - Industry'!P$10*'Petrochemicals Split'!$F$6</f>
        <v>52004600661378.563</v>
      </c>
      <c r="C11" s="16">
        <f>'KEEI BAU - Industry'!Q$10*'Petrochemicals Split'!$F$6</f>
        <v>53339427300621.234</v>
      </c>
      <c r="D11" s="16">
        <f>'KEEI BAU - Industry'!R$10*'Petrochemicals Split'!$F$6</f>
        <v>54674253939863.898</v>
      </c>
      <c r="E11" s="16">
        <f>'KEEI BAU - Industry'!S$10*'Petrochemicals Split'!$F$6</f>
        <v>56009080579106.57</v>
      </c>
      <c r="F11" s="16">
        <f>'KEEI BAU - Industry'!T$10*'Petrochemicals Split'!$F$6</f>
        <v>59093281051524.328</v>
      </c>
      <c r="G11" s="16">
        <f>'KEEI BAU - Industry'!U$10*'Petrochemicals Split'!$F$6</f>
        <v>62177481523942.094</v>
      </c>
      <c r="H11" s="16">
        <f>'KEEI BAU - Industry'!V$10*'Petrochemicals Split'!$F$6</f>
        <v>65261681996359.859</v>
      </c>
      <c r="I11" s="16">
        <f>'KEEI BAU - Industry'!W$10*'Petrochemicals Split'!$F$6</f>
        <v>68345882468777.617</v>
      </c>
      <c r="J11" s="16">
        <f>'KEEI BAU - Industry'!X$10*'Petrochemicals Split'!$F$6</f>
        <v>71430082941195.375</v>
      </c>
      <c r="K11" s="16">
        <f>'KEEI BAU - Industry'!Y$10*'Petrochemicals Split'!$F$6</f>
        <v>74514283413613.141</v>
      </c>
      <c r="L11" s="16">
        <f>'KEEI BAU - Industry'!Z$10*'Petrochemicals Split'!$F$6</f>
        <v>77598483886030.891</v>
      </c>
      <c r="M11" s="16">
        <f>'KEEI BAU - Industry'!AA$10*'Petrochemicals Split'!$F$6</f>
        <v>78546655231265.625</v>
      </c>
      <c r="N11" s="16">
        <f>'KEEI BAU - Industry'!AB$10*'Petrochemicals Split'!$F$6</f>
        <v>79494826576500.344</v>
      </c>
      <c r="O11" s="16">
        <f>'KEEI BAU - Industry'!AC$10*'Petrochemicals Split'!$F$6</f>
        <v>80442997921735.063</v>
      </c>
      <c r="P11" s="16">
        <f>'KEEI BAU - Industry'!AD$10*'Petrochemicals Split'!$F$6</f>
        <v>81391169266969.781</v>
      </c>
      <c r="Q11" s="16">
        <f>'KEEI BAU - Industry'!AE$10*'Petrochemicals Split'!$F$6</f>
        <v>82339340612204.5</v>
      </c>
      <c r="R11" s="16">
        <f>'KEEI BAU - Industry'!AF$10*'Petrochemicals Split'!$F$6</f>
        <v>83287511957439.219</v>
      </c>
      <c r="S11" s="16">
        <f>'KEEI BAU - Industry'!AG$10*'Petrochemicals Split'!$F$6</f>
        <v>84235683302673.938</v>
      </c>
      <c r="T11" s="16">
        <f>'KEEI BAU - Industry'!AH$10*'Petrochemicals Split'!$F$6</f>
        <v>85183854647908.656</v>
      </c>
      <c r="U11" s="16">
        <f>'KEEI BAU - Industry'!AI$10*'Petrochemicals Split'!$F$6</f>
        <v>86132025993143.375</v>
      </c>
      <c r="V11" s="16">
        <f>'KEEI BAU - Industry'!AJ$10*'Petrochemicals Split'!$F$6</f>
        <v>87080197338378.078</v>
      </c>
      <c r="W11" s="16">
        <f>'KEEI BAU - Industry'!AK$10*'Petrochemicals Split'!$F$6</f>
        <v>87483787000197.328</v>
      </c>
      <c r="X11" s="16">
        <f>'KEEI BAU - Industry'!AL$10*'Petrochemicals Split'!$F$6</f>
        <v>87887376662016.563</v>
      </c>
      <c r="Y11" s="16">
        <f>'KEEI BAU - Industry'!AM$10*'Petrochemicals Split'!$F$6</f>
        <v>88290966323835.797</v>
      </c>
      <c r="Z11" s="16">
        <f>'KEEI BAU - Industry'!AN$10*'Petrochemicals Split'!$F$6</f>
        <v>88694555985655.047</v>
      </c>
      <c r="AA11" s="16">
        <f>'KEEI BAU - Industry'!AO$10*'Petrochemicals Split'!$F$6</f>
        <v>89098145647474.281</v>
      </c>
      <c r="AB11" s="16">
        <f>'KEEI BAU - Industry'!AP$10*'Petrochemicals Split'!$F$6</f>
        <v>89501735309293.516</v>
      </c>
      <c r="AC11" s="16">
        <f>'KEEI BAU - Industry'!AQ$10*'Petrochemicals Split'!$F$6</f>
        <v>89905324971112.75</v>
      </c>
      <c r="AD11" s="16">
        <f>'KEEI BAU - Industry'!AR$10*'Petrochemicals Split'!$F$6</f>
        <v>90308914632932</v>
      </c>
      <c r="AE11" s="16">
        <f>'KEEI BAU - Industry'!AS$10*'Petrochemicals Split'!$F$6</f>
        <v>90712504294751.234</v>
      </c>
      <c r="AF11" s="16">
        <f>'KEEI BAU - Industry'!AT$10*'Petrochemicals Split'!$F$6</f>
        <v>91116093956570.469</v>
      </c>
    </row>
    <row r="12" spans="1:35">
      <c r="A12" t="s">
        <v>51</v>
      </c>
      <c r="B12" s="16">
        <f>'KEEI BAU - Industry'!P$10*'Petrochemicals Split'!$F$7</f>
        <v>65013606506581.438</v>
      </c>
      <c r="C12" s="16">
        <f>'KEEI BAU - Industry'!Q$10*'Petrochemicals Split'!$F$7</f>
        <v>66682341441078.766</v>
      </c>
      <c r="D12" s="16">
        <f>'KEEI BAU - Industry'!R$10*'Petrochemicals Split'!$F$7</f>
        <v>68351076375576.102</v>
      </c>
      <c r="E12" s="16">
        <f>'KEEI BAU - Industry'!S$10*'Petrochemicals Split'!$F$7</f>
        <v>70019811310073.43</v>
      </c>
      <c r="F12" s="16">
        <f>'KEEI BAU - Industry'!T$10*'Petrochemicals Split'!$F$7</f>
        <v>73875527791905.672</v>
      </c>
      <c r="G12" s="16">
        <f>'KEEI BAU - Industry'!U$10*'Petrochemicals Split'!$F$7</f>
        <v>77731244273737.906</v>
      </c>
      <c r="H12" s="16">
        <f>'KEEI BAU - Industry'!V$10*'Petrochemicals Split'!$F$7</f>
        <v>81586960755570.141</v>
      </c>
      <c r="I12" s="16">
        <f>'KEEI BAU - Industry'!W$10*'Petrochemicals Split'!$F$7</f>
        <v>85442677237402.375</v>
      </c>
      <c r="J12" s="16">
        <f>'KEEI BAU - Industry'!X$10*'Petrochemicals Split'!$F$7</f>
        <v>89298393719234.625</v>
      </c>
      <c r="K12" s="16">
        <f>'KEEI BAU - Industry'!Y$10*'Petrochemicals Split'!$F$7</f>
        <v>93154110201066.859</v>
      </c>
      <c r="L12" s="16">
        <f>'KEEI BAU - Industry'!Z$10*'Petrochemicals Split'!$F$7</f>
        <v>97009826682899.078</v>
      </c>
      <c r="M12" s="16">
        <f>'KEEI BAU - Industry'!AA$10*'Petrochemicals Split'!$F$7</f>
        <v>98195184092742.375</v>
      </c>
      <c r="N12" s="16">
        <f>'KEEI BAU - Industry'!AB$10*'Petrochemicals Split'!$F$7</f>
        <v>99380541502585.656</v>
      </c>
      <c r="O12" s="16">
        <f>'KEEI BAU - Industry'!AC$10*'Petrochemicals Split'!$F$7</f>
        <v>100565898912428.94</v>
      </c>
      <c r="P12" s="16">
        <f>'KEEI BAU - Industry'!AD$10*'Petrochemicals Split'!$F$7</f>
        <v>101751256322272.22</v>
      </c>
      <c r="Q12" s="16">
        <f>'KEEI BAU - Industry'!AE$10*'Petrochemicals Split'!$F$7</f>
        <v>102936613732115.5</v>
      </c>
      <c r="R12" s="16">
        <f>'KEEI BAU - Industry'!AF$10*'Petrochemicals Split'!$F$7</f>
        <v>104121971141958.78</v>
      </c>
      <c r="S12" s="16">
        <f>'KEEI BAU - Industry'!AG$10*'Petrochemicals Split'!$F$7</f>
        <v>105307328551802.06</v>
      </c>
      <c r="T12" s="16">
        <f>'KEEI BAU - Industry'!AH$10*'Petrochemicals Split'!$F$7</f>
        <v>106492685961645.34</v>
      </c>
      <c r="U12" s="16">
        <f>'KEEI BAU - Industry'!AI$10*'Petrochemicals Split'!$F$7</f>
        <v>107678043371488.63</v>
      </c>
      <c r="V12" s="16">
        <f>'KEEI BAU - Industry'!AJ$10*'Petrochemicals Split'!$F$7</f>
        <v>108863400781331.92</v>
      </c>
      <c r="W12" s="16">
        <f>'KEEI BAU - Industry'!AK$10*'Petrochemicals Split'!$F$7</f>
        <v>109367948823811.67</v>
      </c>
      <c r="X12" s="16">
        <f>'KEEI BAU - Industry'!AL$10*'Petrochemicals Split'!$F$7</f>
        <v>109872496866291.44</v>
      </c>
      <c r="Y12" s="16">
        <f>'KEEI BAU - Industry'!AM$10*'Petrochemicals Split'!$F$7</f>
        <v>110377044908771.2</v>
      </c>
      <c r="Z12" s="16">
        <f>'KEEI BAU - Industry'!AN$10*'Petrochemicals Split'!$F$7</f>
        <v>110881592951250.95</v>
      </c>
      <c r="AA12" s="16">
        <f>'KEEI BAU - Industry'!AO$10*'Petrochemicals Split'!$F$7</f>
        <v>111386140993730.72</v>
      </c>
      <c r="AB12" s="16">
        <f>'KEEI BAU - Industry'!AP$10*'Petrochemicals Split'!$F$7</f>
        <v>111890689036210.48</v>
      </c>
      <c r="AC12" s="16">
        <f>'KEEI BAU - Industry'!AQ$10*'Petrochemicals Split'!$F$7</f>
        <v>112395237078690.25</v>
      </c>
      <c r="AD12" s="16">
        <f>'KEEI BAU - Industry'!AR$10*'Petrochemicals Split'!$F$7</f>
        <v>112899785121170</v>
      </c>
      <c r="AE12" s="16">
        <f>'KEEI BAU - Industry'!AS$10*'Petrochemicals Split'!$F$7</f>
        <v>113404333163649.77</v>
      </c>
      <c r="AF12" s="16">
        <f>'KEEI BAU - Industry'!AT$10*'Petrochemicals Split'!$F$7</f>
        <v>113908881206129.53</v>
      </c>
    </row>
    <row r="13" spans="1:35">
      <c r="A13" t="s">
        <v>53</v>
      </c>
      <c r="B13" s="16">
        <f>'KEEI BAU - Industry'!P$38*'Others Split'!$F$12</f>
        <v>0</v>
      </c>
      <c r="C13" s="16">
        <f>'KEEI BAU - Industry'!Q$38*'Others Split'!$F$12</f>
        <v>0</v>
      </c>
      <c r="D13" s="16">
        <f>'KEEI BAU - Industry'!R$38*'Others Split'!$F$12</f>
        <v>0</v>
      </c>
      <c r="E13" s="16">
        <f>'KEEI BAU - Industry'!S$38*'Others Split'!$F$12</f>
        <v>0</v>
      </c>
      <c r="F13" s="16">
        <f>'KEEI BAU - Industry'!T$38*'Others Split'!$F$12</f>
        <v>0</v>
      </c>
      <c r="G13" s="16">
        <f>'KEEI BAU - Industry'!U$38*'Others Split'!$F$12</f>
        <v>0</v>
      </c>
      <c r="H13" s="16">
        <f>'KEEI BAU - Industry'!V$38*'Others Split'!$F$12</f>
        <v>0</v>
      </c>
      <c r="I13" s="16">
        <f>'KEEI BAU - Industry'!W$38*'Others Split'!$F$12</f>
        <v>0</v>
      </c>
      <c r="J13" s="16">
        <f>'KEEI BAU - Industry'!X$38*'Others Split'!$F$12</f>
        <v>0</v>
      </c>
      <c r="K13" s="16">
        <f>'KEEI BAU - Industry'!Y$38*'Others Split'!$F$12</f>
        <v>0</v>
      </c>
      <c r="L13" s="16">
        <f>'KEEI BAU - Industry'!Z$38*'Others Split'!$F$12</f>
        <v>0</v>
      </c>
      <c r="M13" s="16">
        <f>'KEEI BAU - Industry'!AA$38*'Others Split'!$F$12</f>
        <v>0</v>
      </c>
      <c r="N13" s="16">
        <f>'KEEI BAU - Industry'!AB$38*'Others Split'!$F$12</f>
        <v>0</v>
      </c>
      <c r="O13" s="16">
        <f>'KEEI BAU - Industry'!AC$38*'Others Split'!$F$12</f>
        <v>0</v>
      </c>
      <c r="P13" s="16">
        <f>'KEEI BAU - Industry'!AD$38*'Others Split'!$F$12</f>
        <v>0</v>
      </c>
      <c r="Q13" s="16">
        <f>'KEEI BAU - Industry'!AE$38*'Others Split'!$F$12</f>
        <v>0</v>
      </c>
      <c r="R13" s="16">
        <f>'KEEI BAU - Industry'!AF$38*'Others Split'!$F$12</f>
        <v>0</v>
      </c>
      <c r="S13" s="16">
        <f>'KEEI BAU - Industry'!AG$38*'Others Split'!$F$12</f>
        <v>0</v>
      </c>
      <c r="T13" s="16">
        <f>'KEEI BAU - Industry'!AH$38*'Others Split'!$F$12</f>
        <v>0</v>
      </c>
      <c r="U13" s="16">
        <f>'KEEI BAU - Industry'!AI$38*'Others Split'!$F$12</f>
        <v>0</v>
      </c>
      <c r="V13" s="16">
        <f>'KEEI BAU - Industry'!AJ$38*'Others Split'!$F$12</f>
        <v>0</v>
      </c>
      <c r="W13" s="16">
        <f>'KEEI BAU - Industry'!AK$38*'Others Split'!$F$12</f>
        <v>0</v>
      </c>
      <c r="X13" s="16">
        <f>'KEEI BAU - Industry'!AL$38*'Others Split'!$F$12</f>
        <v>0</v>
      </c>
      <c r="Y13" s="16">
        <f>'KEEI BAU - Industry'!AM$38*'Others Split'!$F$12</f>
        <v>0</v>
      </c>
      <c r="Z13" s="16">
        <f>'KEEI BAU - Industry'!AN$38*'Others Split'!$F$12</f>
        <v>0</v>
      </c>
      <c r="AA13" s="16">
        <f>'KEEI BAU - Industry'!AO$38*'Others Split'!$F$12</f>
        <v>0</v>
      </c>
      <c r="AB13" s="16">
        <f>'KEEI BAU - Industry'!AP$38*'Others Split'!$F$12</f>
        <v>0</v>
      </c>
      <c r="AC13" s="16">
        <f>'KEEI BAU - Industry'!AQ$38*'Others Split'!$F$12</f>
        <v>0</v>
      </c>
      <c r="AD13" s="16">
        <f>'KEEI BAU - Industry'!AR$38*'Others Split'!$F$12</f>
        <v>0</v>
      </c>
      <c r="AE13" s="16">
        <f>'KEEI BAU - Industry'!AS$38*'Others Split'!$F$12</f>
        <v>0</v>
      </c>
      <c r="AF13" s="16">
        <f>'KEEI BAU - Industry'!AT$38*'Others Split'!$F$12</f>
        <v>0</v>
      </c>
    </row>
    <row r="14" spans="1:35">
      <c r="A14" t="s">
        <v>56</v>
      </c>
      <c r="B14" s="16">
        <f>'KEEI BAU - Industry'!P$38*'Others Split'!$F$13</f>
        <v>0</v>
      </c>
      <c r="C14" s="16">
        <f>'KEEI BAU - Industry'!Q$38*'Others Split'!$F$13</f>
        <v>0</v>
      </c>
      <c r="D14" s="16">
        <f>'KEEI BAU - Industry'!R$38*'Others Split'!$F$13</f>
        <v>0</v>
      </c>
      <c r="E14" s="16">
        <f>'KEEI BAU - Industry'!S$38*'Others Split'!$F$13</f>
        <v>0</v>
      </c>
      <c r="F14" s="16">
        <f>'KEEI BAU - Industry'!T$38*'Others Split'!$F$13</f>
        <v>0</v>
      </c>
      <c r="G14" s="16">
        <f>'KEEI BAU - Industry'!U$38*'Others Split'!$F$13</f>
        <v>0</v>
      </c>
      <c r="H14" s="16">
        <f>'KEEI BAU - Industry'!V$38*'Others Split'!$F$13</f>
        <v>0</v>
      </c>
      <c r="I14" s="16">
        <f>'KEEI BAU - Industry'!W$38*'Others Split'!$F$13</f>
        <v>0</v>
      </c>
      <c r="J14" s="16">
        <f>'KEEI BAU - Industry'!X$38*'Others Split'!$F$13</f>
        <v>0</v>
      </c>
      <c r="K14" s="16">
        <f>'KEEI BAU - Industry'!Y$38*'Others Split'!$F$13</f>
        <v>0</v>
      </c>
      <c r="L14" s="16">
        <f>'KEEI BAU - Industry'!Z$38*'Others Split'!$F$13</f>
        <v>0</v>
      </c>
      <c r="M14" s="16">
        <f>'KEEI BAU - Industry'!AA$38*'Others Split'!$F$13</f>
        <v>0</v>
      </c>
      <c r="N14" s="16">
        <f>'KEEI BAU - Industry'!AB$38*'Others Split'!$F$13</f>
        <v>0</v>
      </c>
      <c r="O14" s="16">
        <f>'KEEI BAU - Industry'!AC$38*'Others Split'!$F$13</f>
        <v>0</v>
      </c>
      <c r="P14" s="16">
        <f>'KEEI BAU - Industry'!AD$38*'Others Split'!$F$13</f>
        <v>0</v>
      </c>
      <c r="Q14" s="16">
        <f>'KEEI BAU - Industry'!AE$38*'Others Split'!$F$13</f>
        <v>0</v>
      </c>
      <c r="R14" s="16">
        <f>'KEEI BAU - Industry'!AF$38*'Others Split'!$F$13</f>
        <v>0</v>
      </c>
      <c r="S14" s="16">
        <f>'KEEI BAU - Industry'!AG$38*'Others Split'!$F$13</f>
        <v>0</v>
      </c>
      <c r="T14" s="16">
        <f>'KEEI BAU - Industry'!AH$38*'Others Split'!$F$13</f>
        <v>0</v>
      </c>
      <c r="U14" s="16">
        <f>'KEEI BAU - Industry'!AI$38*'Others Split'!$F$13</f>
        <v>0</v>
      </c>
      <c r="V14" s="16">
        <f>'KEEI BAU - Industry'!AJ$38*'Others Split'!$F$13</f>
        <v>0</v>
      </c>
      <c r="W14" s="16">
        <f>'KEEI BAU - Industry'!AK$38*'Others Split'!$F$13</f>
        <v>0</v>
      </c>
      <c r="X14" s="16">
        <f>'KEEI BAU - Industry'!AL$38*'Others Split'!$F$13</f>
        <v>0</v>
      </c>
      <c r="Y14" s="16">
        <f>'KEEI BAU - Industry'!AM$38*'Others Split'!$F$13</f>
        <v>0</v>
      </c>
      <c r="Z14" s="16">
        <f>'KEEI BAU - Industry'!AN$38*'Others Split'!$F$13</f>
        <v>0</v>
      </c>
      <c r="AA14" s="16">
        <f>'KEEI BAU - Industry'!AO$38*'Others Split'!$F$13</f>
        <v>0</v>
      </c>
      <c r="AB14" s="16">
        <f>'KEEI BAU - Industry'!AP$38*'Others Split'!$F$13</f>
        <v>0</v>
      </c>
      <c r="AC14" s="16">
        <f>'KEEI BAU - Industry'!AQ$38*'Others Split'!$F$13</f>
        <v>0</v>
      </c>
      <c r="AD14" s="16">
        <f>'KEEI BAU - Industry'!AR$38*'Others Split'!$F$13</f>
        <v>0</v>
      </c>
      <c r="AE14" s="16">
        <f>'KEEI BAU - Industry'!AS$38*'Others Split'!$F$13</f>
        <v>0</v>
      </c>
      <c r="AF14" s="16">
        <f>'KEEI BAU - Industry'!AT$38*'Others Split'!$F$13</f>
        <v>0</v>
      </c>
    </row>
    <row r="15" spans="1:35">
      <c r="A15" s="390" t="s">
        <v>58</v>
      </c>
      <c r="B15" s="16">
        <f>'KEEI BAU - Industry'!P24</f>
        <v>843050766384472</v>
      </c>
      <c r="C15" s="16">
        <f>'KEEI BAU - Industry'!Q24</f>
        <v>858242718753144</v>
      </c>
      <c r="D15" s="16">
        <f>'KEEI BAU - Industry'!R24</f>
        <v>873434671121812</v>
      </c>
      <c r="E15" s="16">
        <f>'KEEI BAU - Industry'!S24</f>
        <v>888626623490480</v>
      </c>
      <c r="F15" s="16">
        <f>'KEEI BAU - Industry'!T24</f>
        <v>902325169772424</v>
      </c>
      <c r="G15" s="16">
        <f>'KEEI BAU - Industry'!U24</f>
        <v>916023716054364</v>
      </c>
      <c r="H15" s="16">
        <f>'KEEI BAU - Industry'!V24</f>
        <v>929722262336304</v>
      </c>
      <c r="I15" s="16">
        <f>'KEEI BAU - Industry'!W24</f>
        <v>943420808618244</v>
      </c>
      <c r="J15" s="16">
        <f>'KEEI BAU - Industry'!X24</f>
        <v>957119354900184</v>
      </c>
      <c r="K15" s="16">
        <f>'KEEI BAU - Industry'!Y24</f>
        <v>970817901182124</v>
      </c>
      <c r="L15" s="16">
        <f>'KEEI BAU - Industry'!Z24</f>
        <v>984516447464060</v>
      </c>
      <c r="M15" s="16">
        <f>'KEEI BAU - Industry'!AA24</f>
        <v>978567947217560</v>
      </c>
      <c r="N15" s="16">
        <f>'KEEI BAU - Industry'!AB24</f>
        <v>972619446971060</v>
      </c>
      <c r="O15" s="16">
        <f>'KEEI BAU - Industry'!AC24</f>
        <v>966670946724560</v>
      </c>
      <c r="P15" s="16">
        <f>'KEEI BAU - Industry'!AD24</f>
        <v>960722446478060</v>
      </c>
      <c r="Q15" s="16">
        <f>'KEEI BAU - Industry'!AE24</f>
        <v>954773946231560</v>
      </c>
      <c r="R15" s="16">
        <f>'KEEI BAU - Industry'!AF24</f>
        <v>948825445985060</v>
      </c>
      <c r="S15" s="16">
        <f>'KEEI BAU - Industry'!AG24</f>
        <v>942876945738560</v>
      </c>
      <c r="T15" s="16">
        <f>'KEEI BAU - Industry'!AH24</f>
        <v>936928445492060</v>
      </c>
      <c r="U15" s="16">
        <f>'KEEI BAU - Industry'!AI24</f>
        <v>930979945245560</v>
      </c>
      <c r="V15" s="16">
        <f>'KEEI BAU - Industry'!AJ24</f>
        <v>925031444999060</v>
      </c>
      <c r="W15" s="16">
        <f>'KEEI BAU - Industry'!AK24</f>
        <v>914018788209372</v>
      </c>
      <c r="X15" s="16">
        <f>'KEEI BAU - Industry'!AL24</f>
        <v>903006131419684</v>
      </c>
      <c r="Y15" s="16">
        <f>'KEEI BAU - Industry'!AM24</f>
        <v>891993474630000</v>
      </c>
      <c r="Z15" s="16">
        <f>'KEEI BAU - Industry'!AN24</f>
        <v>880980817840312</v>
      </c>
      <c r="AA15" s="16">
        <f>'KEEI BAU - Industry'!AO24</f>
        <v>869968161050624</v>
      </c>
      <c r="AB15" s="16">
        <f>'KEEI BAU - Industry'!AP24</f>
        <v>858955504260940</v>
      </c>
      <c r="AC15" s="16">
        <f>'KEEI BAU - Industry'!AQ24</f>
        <v>847942847471252</v>
      </c>
      <c r="AD15" s="16">
        <f>'KEEI BAU - Industry'!AR24</f>
        <v>836930190681564</v>
      </c>
      <c r="AE15" s="16">
        <f>'KEEI BAU - Industry'!AS24</f>
        <v>825917533891876</v>
      </c>
      <c r="AF15" s="16">
        <f>'KEEI BAU - Industry'!AT24</f>
        <v>814904877102190</v>
      </c>
    </row>
    <row r="16" spans="1:35">
      <c r="A16" t="s">
        <v>61</v>
      </c>
      <c r="B16" s="16">
        <f>'KEEI BAU - Industry'!P$17*'Non-ferrous Metals Split'!$F$6</f>
        <v>85805933867092.469</v>
      </c>
      <c r="C16" s="16">
        <f>'KEEI BAU - Industry'!Q$17*'Non-ferrous Metals Split'!$F$6</f>
        <v>83356677941232.656</v>
      </c>
      <c r="D16" s="16">
        <f>'KEEI BAU - Industry'!R$17*'Non-ferrous Metals Split'!$F$6</f>
        <v>80907422015372.859</v>
      </c>
      <c r="E16" s="16">
        <f>'KEEI BAU - Industry'!S$17*'Non-ferrous Metals Split'!$F$6</f>
        <v>78458166089513.063</v>
      </c>
      <c r="F16" s="16">
        <f>'KEEI BAU - Industry'!T$17*'Non-ferrous Metals Split'!$F$6</f>
        <v>77875487913552.266</v>
      </c>
      <c r="G16" s="16">
        <f>'KEEI BAU - Industry'!U$17*'Non-ferrous Metals Split'!$F$6</f>
        <v>77292809737591.469</v>
      </c>
      <c r="H16" s="16">
        <f>'KEEI BAU - Industry'!V$17*'Non-ferrous Metals Split'!$F$6</f>
        <v>76710131561630.688</v>
      </c>
      <c r="I16" s="16">
        <f>'KEEI BAU - Industry'!W$17*'Non-ferrous Metals Split'!$F$6</f>
        <v>76127453385669.891</v>
      </c>
      <c r="J16" s="16">
        <f>'KEEI BAU - Industry'!X$17*'Non-ferrous Metals Split'!$F$6</f>
        <v>75544775209709.094</v>
      </c>
      <c r="K16" s="16">
        <f>'KEEI BAU - Industry'!Y$17*'Non-ferrous Metals Split'!$F$6</f>
        <v>74962097033748.313</v>
      </c>
      <c r="L16" s="16">
        <f>'KEEI BAU - Industry'!Z$17*'Non-ferrous Metals Split'!$F$6</f>
        <v>74379418857787.516</v>
      </c>
      <c r="M16" s="16">
        <f>'KEEI BAU - Industry'!AA$17*'Non-ferrous Metals Split'!$F$6</f>
        <v>73782998272016.328</v>
      </c>
      <c r="N16" s="16">
        <f>'KEEI BAU - Industry'!AB$17*'Non-ferrous Metals Split'!$F$6</f>
        <v>73186577686245.141</v>
      </c>
      <c r="O16" s="16">
        <f>'KEEI BAU - Industry'!AC$17*'Non-ferrous Metals Split'!$F$6</f>
        <v>72590157100473.953</v>
      </c>
      <c r="P16" s="16">
        <f>'KEEI BAU - Industry'!AD$17*'Non-ferrous Metals Split'!$F$6</f>
        <v>71993736514702.766</v>
      </c>
      <c r="Q16" s="16">
        <f>'KEEI BAU - Industry'!AE$17*'Non-ferrous Metals Split'!$F$6</f>
        <v>71397315928931.578</v>
      </c>
      <c r="R16" s="16">
        <f>'KEEI BAU - Industry'!AF$17*'Non-ferrous Metals Split'!$F$6</f>
        <v>70800895343160.391</v>
      </c>
      <c r="S16" s="16">
        <f>'KEEI BAU - Industry'!AG$17*'Non-ferrous Metals Split'!$F$6</f>
        <v>70204474757389.195</v>
      </c>
      <c r="T16" s="16">
        <f>'KEEI BAU - Industry'!AH$17*'Non-ferrous Metals Split'!$F$6</f>
        <v>69608054171618.008</v>
      </c>
      <c r="U16" s="16">
        <f>'KEEI BAU - Industry'!AI$17*'Non-ferrous Metals Split'!$F$6</f>
        <v>69011633585846.82</v>
      </c>
      <c r="V16" s="16">
        <f>'KEEI BAU - Industry'!AJ$17*'Non-ferrous Metals Split'!$F$6</f>
        <v>68415213000075.633</v>
      </c>
      <c r="W16" s="16">
        <f>'KEEI BAU - Industry'!AK$17*'Non-ferrous Metals Split'!$F$6</f>
        <v>67337808070940.586</v>
      </c>
      <c r="X16" s="16">
        <f>'KEEI BAU - Industry'!AL$17*'Non-ferrous Metals Split'!$F$6</f>
        <v>66260403141805.539</v>
      </c>
      <c r="Y16" s="16">
        <f>'KEEI BAU - Industry'!AM$17*'Non-ferrous Metals Split'!$F$6</f>
        <v>65182998212670.484</v>
      </c>
      <c r="Z16" s="16">
        <f>'KEEI BAU - Industry'!AN$17*'Non-ferrous Metals Split'!$F$6</f>
        <v>64105593283535.438</v>
      </c>
      <c r="AA16" s="16">
        <f>'KEEI BAU - Industry'!AO$17*'Non-ferrous Metals Split'!$F$6</f>
        <v>63028188354400.391</v>
      </c>
      <c r="AB16" s="16">
        <f>'KEEI BAU - Industry'!AP$17*'Non-ferrous Metals Split'!$F$6</f>
        <v>61950783425265.336</v>
      </c>
      <c r="AC16" s="16">
        <f>'KEEI BAU - Industry'!AQ$17*'Non-ferrous Metals Split'!$F$6</f>
        <v>60873378496130.289</v>
      </c>
      <c r="AD16" s="16">
        <f>'KEEI BAU - Industry'!AR$17*'Non-ferrous Metals Split'!$F$6</f>
        <v>59795973566995.242</v>
      </c>
      <c r="AE16" s="16">
        <f>'KEEI BAU - Industry'!AS$17*'Non-ferrous Metals Split'!$F$6</f>
        <v>58718568637860.188</v>
      </c>
      <c r="AF16" s="16">
        <f>'KEEI BAU - Industry'!AT$17*'Non-ferrous Metals Split'!$F$6</f>
        <v>57641163708725.141</v>
      </c>
    </row>
    <row r="17" spans="1:32">
      <c r="A17" t="s">
        <v>65</v>
      </c>
      <c r="B17" s="16">
        <f>'KEEI BAU - Industry'!P$17*'Non-ferrous Metals Split'!$F$7</f>
        <v>2626712261237.5371</v>
      </c>
      <c r="C17" s="16">
        <f>'KEEI BAU - Industry'!Q$17*'Non-ferrous Metals Split'!$F$7</f>
        <v>2551735039017.3384</v>
      </c>
      <c r="D17" s="16">
        <f>'KEEI BAU - Industry'!R$17*'Non-ferrous Metals Split'!$F$7</f>
        <v>2476757816797.1401</v>
      </c>
      <c r="E17" s="16">
        <f>'KEEI BAU - Industry'!S$17*'Non-ferrous Metals Split'!$F$7</f>
        <v>2401780594576.9419</v>
      </c>
      <c r="F17" s="16">
        <f>'KEEI BAU - Industry'!T$17*'Non-ferrous Metals Split'!$F$7</f>
        <v>2383943507557.7339</v>
      </c>
      <c r="G17" s="16">
        <f>'KEEI BAU - Industry'!U$17*'Non-ferrous Metals Split'!$F$7</f>
        <v>2366106420538.5259</v>
      </c>
      <c r="H17" s="16">
        <f>'KEEI BAU - Industry'!V$17*'Non-ferrous Metals Split'!$F$7</f>
        <v>2348269333519.3179</v>
      </c>
      <c r="I17" s="16">
        <f>'KEEI BAU - Industry'!W$17*'Non-ferrous Metals Split'!$F$7</f>
        <v>2330432246500.1099</v>
      </c>
      <c r="J17" s="16">
        <f>'KEEI BAU - Industry'!X$17*'Non-ferrous Metals Split'!$F$7</f>
        <v>2312595159480.9019</v>
      </c>
      <c r="K17" s="16">
        <f>'KEEI BAU - Industry'!Y$17*'Non-ferrous Metals Split'!$F$7</f>
        <v>2294758072461.6938</v>
      </c>
      <c r="L17" s="16">
        <f>'KEEI BAU - Industry'!Z$17*'Non-ferrous Metals Split'!$F$7</f>
        <v>2276920985442.4858</v>
      </c>
      <c r="M17" s="16">
        <f>'KEEI BAU - Industry'!AA$17*'Non-ferrous Metals Split'!$F$7</f>
        <v>2258663212408.6738</v>
      </c>
      <c r="N17" s="16">
        <f>'KEEI BAU - Industry'!AB$17*'Non-ferrous Metals Split'!$F$7</f>
        <v>2240405439374.8618</v>
      </c>
      <c r="O17" s="16">
        <f>'KEEI BAU - Industry'!AC$17*'Non-ferrous Metals Split'!$F$7</f>
        <v>2222147666341.0498</v>
      </c>
      <c r="P17" s="16">
        <f>'KEEI BAU - Industry'!AD$17*'Non-ferrous Metals Split'!$F$7</f>
        <v>2203889893307.2378</v>
      </c>
      <c r="Q17" s="16">
        <f>'KEEI BAU - Industry'!AE$17*'Non-ferrous Metals Split'!$F$7</f>
        <v>2185632120273.426</v>
      </c>
      <c r="R17" s="16">
        <f>'KEEI BAU - Industry'!AF$17*'Non-ferrous Metals Split'!$F$7</f>
        <v>2167374347239.614</v>
      </c>
      <c r="S17" s="16">
        <f>'KEEI BAU - Industry'!AG$17*'Non-ferrous Metals Split'!$F$7</f>
        <v>2149116574205.802</v>
      </c>
      <c r="T17" s="16">
        <f>'KEEI BAU - Industry'!AH$17*'Non-ferrous Metals Split'!$F$7</f>
        <v>2130858801171.99</v>
      </c>
      <c r="U17" s="16">
        <f>'KEEI BAU - Industry'!AI$17*'Non-ferrous Metals Split'!$F$7</f>
        <v>2112601028138.178</v>
      </c>
      <c r="V17" s="16">
        <f>'KEEI BAU - Industry'!AJ$17*'Non-ferrous Metals Split'!$F$7</f>
        <v>2094343255104.3662</v>
      </c>
      <c r="W17" s="16">
        <f>'KEEI BAU - Industry'!AK$17*'Non-ferrous Metals Split'!$F$7</f>
        <v>2061361471559.4155</v>
      </c>
      <c r="X17" s="16">
        <f>'KEEI BAU - Industry'!AL$17*'Non-ferrous Metals Split'!$F$7</f>
        <v>2028379688014.4648</v>
      </c>
      <c r="Y17" s="16">
        <f>'KEEI BAU - Industry'!AM$17*'Non-ferrous Metals Split'!$F$7</f>
        <v>1995397904469.5142</v>
      </c>
      <c r="Z17" s="16">
        <f>'KEEI BAU - Industry'!AN$17*'Non-ferrous Metals Split'!$F$7</f>
        <v>1962416120924.5635</v>
      </c>
      <c r="AA17" s="16">
        <f>'KEEI BAU - Industry'!AO$17*'Non-ferrous Metals Split'!$F$7</f>
        <v>1929434337379.6128</v>
      </c>
      <c r="AB17" s="16">
        <f>'KEEI BAU - Industry'!AP$17*'Non-ferrous Metals Split'!$F$7</f>
        <v>1896452553834.6624</v>
      </c>
      <c r="AC17" s="16">
        <f>'KEEI BAU - Industry'!AQ$17*'Non-ferrous Metals Split'!$F$7</f>
        <v>1863470770289.7117</v>
      </c>
      <c r="AD17" s="16">
        <f>'KEEI BAU - Industry'!AR$17*'Non-ferrous Metals Split'!$F$7</f>
        <v>1830488986744.761</v>
      </c>
      <c r="AE17" s="16">
        <f>'KEEI BAU - Industry'!AS$17*'Non-ferrous Metals Split'!$F$7</f>
        <v>1797507203199.8103</v>
      </c>
      <c r="AF17" s="16">
        <f>'KEEI BAU - Industry'!AT$17*'Non-ferrous Metals Split'!$F$7</f>
        <v>1764525419654.8596</v>
      </c>
    </row>
    <row r="18" spans="1:32">
      <c r="A18" t="s">
        <v>67</v>
      </c>
      <c r="B18" s="16">
        <f>'KEEI BAU - Industry'!P$31*'Machinery Split'!$E6</f>
        <v>3328804777880.999</v>
      </c>
      <c r="C18" s="16">
        <f>'KEEI BAU - Industry'!Q$31*'Machinery Split'!$E6</f>
        <v>3495245016775.0488</v>
      </c>
      <c r="D18" s="16">
        <f>'KEEI BAU - Industry'!R$31*'Machinery Split'!$E6</f>
        <v>3661685255669.0986</v>
      </c>
      <c r="E18" s="16">
        <f>'KEEI BAU - Industry'!S$31*'Machinery Split'!$E6</f>
        <v>3828125494563.1484</v>
      </c>
      <c r="F18" s="16">
        <f>'KEEI BAU - Industry'!T$31*'Machinery Split'!$E6</f>
        <v>3853269175972.4302</v>
      </c>
      <c r="G18" s="16">
        <f>'KEEI BAU - Industry'!U$31*'Machinery Split'!$E6</f>
        <v>3878412857381.7119</v>
      </c>
      <c r="H18" s="16">
        <f>'KEEI BAU - Industry'!V$31*'Machinery Split'!$E6</f>
        <v>3903556538790.9941</v>
      </c>
      <c r="I18" s="16">
        <f>'KEEI BAU - Industry'!W$31*'Machinery Split'!$E6</f>
        <v>3928700220200.2759</v>
      </c>
      <c r="J18" s="16">
        <f>'KEEI BAU - Industry'!X$31*'Machinery Split'!$E6</f>
        <v>3953843901609.5576</v>
      </c>
      <c r="K18" s="16">
        <f>'KEEI BAU - Industry'!Y$31*'Machinery Split'!$E6</f>
        <v>3978987583018.8394</v>
      </c>
      <c r="L18" s="16">
        <f>'KEEI BAU - Industry'!Z$31*'Machinery Split'!$E6</f>
        <v>4004131264428.1211</v>
      </c>
      <c r="M18" s="16">
        <f>'KEEI BAU - Industry'!AA$31*'Machinery Split'!$E6</f>
        <v>4010731480798.0576</v>
      </c>
      <c r="N18" s="16">
        <f>'KEEI BAU - Industry'!AB$31*'Machinery Split'!$E6</f>
        <v>4017331697167.9937</v>
      </c>
      <c r="O18" s="16">
        <f>'KEEI BAU - Industry'!AC$31*'Machinery Split'!$E6</f>
        <v>4023931913537.9302</v>
      </c>
      <c r="P18" s="16">
        <f>'KEEI BAU - Industry'!AD$31*'Machinery Split'!$E6</f>
        <v>4030532129907.8667</v>
      </c>
      <c r="Q18" s="16">
        <f>'KEEI BAU - Industry'!AE$31*'Machinery Split'!$E6</f>
        <v>4037132346277.8032</v>
      </c>
      <c r="R18" s="16">
        <f>'KEEI BAU - Industry'!AF$31*'Machinery Split'!$E6</f>
        <v>4043732562647.7397</v>
      </c>
      <c r="S18" s="16">
        <f>'KEEI BAU - Industry'!AG$31*'Machinery Split'!$E6</f>
        <v>4050332779017.6763</v>
      </c>
      <c r="T18" s="16">
        <f>'KEEI BAU - Industry'!AH$31*'Machinery Split'!$E6</f>
        <v>4056932995387.6128</v>
      </c>
      <c r="U18" s="16">
        <f>'KEEI BAU - Industry'!AI$31*'Machinery Split'!$E6</f>
        <v>4063533211757.5493</v>
      </c>
      <c r="V18" s="16">
        <f>'KEEI BAU - Industry'!AJ$31*'Machinery Split'!$E6</f>
        <v>4070133428127.4854</v>
      </c>
      <c r="W18" s="16">
        <f>'KEEI BAU - Industry'!AK$31*'Machinery Split'!$E6</f>
        <v>4048132706894.3643</v>
      </c>
      <c r="X18" s="16">
        <f>'KEEI BAU - Industry'!AL$31*'Machinery Split'!$E6</f>
        <v>4026131985661.2427</v>
      </c>
      <c r="Y18" s="16">
        <f>'KEEI BAU - Industry'!AM$31*'Machinery Split'!$E6</f>
        <v>4004131264428.1211</v>
      </c>
      <c r="Z18" s="16">
        <f>'KEEI BAU - Industry'!AN$31*'Machinery Split'!$E6</f>
        <v>3982130543194.9995</v>
      </c>
      <c r="AA18" s="16">
        <f>'KEEI BAU - Industry'!AO$31*'Machinery Split'!$E6</f>
        <v>3960129821961.8779</v>
      </c>
      <c r="AB18" s="16">
        <f>'KEEI BAU - Industry'!AP$31*'Machinery Split'!$E6</f>
        <v>3938129100728.7563</v>
      </c>
      <c r="AC18" s="16">
        <f>'KEEI BAU - Industry'!AQ$31*'Machinery Split'!$E6</f>
        <v>3916128379495.6348</v>
      </c>
      <c r="AD18" s="16">
        <f>'KEEI BAU - Industry'!AR$31*'Machinery Split'!$E6</f>
        <v>3894127658262.5132</v>
      </c>
      <c r="AE18" s="16">
        <f>'KEEI BAU - Industry'!AS$31*'Machinery Split'!$E6</f>
        <v>3872126937029.3916</v>
      </c>
      <c r="AF18" s="16">
        <f>'KEEI BAU - Industry'!AT$31*'Machinery Split'!$E6</f>
        <v>3850126215796.27</v>
      </c>
    </row>
    <row r="19" spans="1:32">
      <c r="A19" t="s">
        <v>71</v>
      </c>
      <c r="B19" s="16">
        <f>'KEEI BAU - Industry'!P$31*'Machinery Split'!$E7</f>
        <v>579677802696.34021</v>
      </c>
      <c r="C19" s="16">
        <f>'KEEI BAU - Industry'!Q$31*'Machinery Split'!$E7</f>
        <v>608661692831.15723</v>
      </c>
      <c r="D19" s="16">
        <f>'KEEI BAU - Industry'!R$31*'Machinery Split'!$E7</f>
        <v>637645582965.97424</v>
      </c>
      <c r="E19" s="16">
        <f>'KEEI BAU - Industry'!S$31*'Machinery Split'!$E7</f>
        <v>666629473100.79126</v>
      </c>
      <c r="F19" s="16">
        <f>'KEEI BAU - Industry'!T$31*'Machinery Split'!$E7</f>
        <v>671007991807.52881</v>
      </c>
      <c r="G19" s="16">
        <f>'KEEI BAU - Industry'!U$31*'Machinery Split'!$E7</f>
        <v>675386510514.26636</v>
      </c>
      <c r="H19" s="16">
        <f>'KEEI BAU - Industry'!V$31*'Machinery Split'!$E7</f>
        <v>679765029221.00391</v>
      </c>
      <c r="I19" s="16">
        <f>'KEEI BAU - Industry'!W$31*'Machinery Split'!$E7</f>
        <v>684143547927.74146</v>
      </c>
      <c r="J19" s="16">
        <f>'KEEI BAU - Industry'!X$31*'Machinery Split'!$E7</f>
        <v>688522066634.479</v>
      </c>
      <c r="K19" s="16">
        <f>'KEEI BAU - Industry'!Y$31*'Machinery Split'!$E7</f>
        <v>692900585341.21655</v>
      </c>
      <c r="L19" s="16">
        <f>'KEEI BAU - Industry'!Z$31*'Machinery Split'!$E7</f>
        <v>697279104047.9541</v>
      </c>
      <c r="M19" s="16">
        <f>'KEEI BAU - Industry'!AA$31*'Machinery Split'!$E7</f>
        <v>698428465208.47278</v>
      </c>
      <c r="N19" s="16">
        <f>'KEEI BAU - Industry'!AB$31*'Machinery Split'!$E7</f>
        <v>699577826368.99133</v>
      </c>
      <c r="O19" s="16">
        <f>'KEEI BAU - Industry'!AC$31*'Machinery Split'!$E7</f>
        <v>700727187529.50989</v>
      </c>
      <c r="P19" s="16">
        <f>'KEEI BAU - Industry'!AD$31*'Machinery Split'!$E7</f>
        <v>701876548690.02856</v>
      </c>
      <c r="Q19" s="16">
        <f>'KEEI BAU - Industry'!AE$31*'Machinery Split'!$E7</f>
        <v>703025909850.54712</v>
      </c>
      <c r="R19" s="16">
        <f>'KEEI BAU - Industry'!AF$31*'Machinery Split'!$E7</f>
        <v>704175271011.0658</v>
      </c>
      <c r="S19" s="16">
        <f>'KEEI BAU - Industry'!AG$31*'Machinery Split'!$E7</f>
        <v>705324632171.58435</v>
      </c>
      <c r="T19" s="16">
        <f>'KEEI BAU - Industry'!AH$31*'Machinery Split'!$E7</f>
        <v>706473993332.10303</v>
      </c>
      <c r="U19" s="16">
        <f>'KEEI BAU - Industry'!AI$31*'Machinery Split'!$E7</f>
        <v>707623354492.62158</v>
      </c>
      <c r="V19" s="16">
        <f>'KEEI BAU - Industry'!AJ$31*'Machinery Split'!$E7</f>
        <v>708772715653.14014</v>
      </c>
      <c r="W19" s="16">
        <f>'KEEI BAU - Industry'!AK$31*'Machinery Split'!$E7</f>
        <v>704941511784.74487</v>
      </c>
      <c r="X19" s="16">
        <f>'KEEI BAU - Industry'!AL$31*'Machinery Split'!$E7</f>
        <v>701110307916.34949</v>
      </c>
      <c r="Y19" s="16">
        <f>'KEEI BAU - Industry'!AM$31*'Machinery Split'!$E7</f>
        <v>697279104047.9541</v>
      </c>
      <c r="Z19" s="16">
        <f>'KEEI BAU - Industry'!AN$31*'Machinery Split'!$E7</f>
        <v>693447900179.55884</v>
      </c>
      <c r="AA19" s="16">
        <f>'KEEI BAU - Industry'!AO$31*'Machinery Split'!$E7</f>
        <v>689616696311.16345</v>
      </c>
      <c r="AB19" s="16">
        <f>'KEEI BAU - Industry'!AP$31*'Machinery Split'!$E7</f>
        <v>685785492442.76807</v>
      </c>
      <c r="AC19" s="16">
        <f>'KEEI BAU - Industry'!AQ$31*'Machinery Split'!$E7</f>
        <v>681954288574.37268</v>
      </c>
      <c r="AD19" s="16">
        <f>'KEEI BAU - Industry'!AR$31*'Machinery Split'!$E7</f>
        <v>678123084705.97742</v>
      </c>
      <c r="AE19" s="16">
        <f>'KEEI BAU - Industry'!AS$31*'Machinery Split'!$E7</f>
        <v>674291880837.58203</v>
      </c>
      <c r="AF19" s="16">
        <f>'KEEI BAU - Industry'!AT$31*'Machinery Split'!$E7</f>
        <v>670460676969.18665</v>
      </c>
    </row>
    <row r="20" spans="1:32">
      <c r="A20" t="s">
        <v>73</v>
      </c>
      <c r="B20" s="16">
        <f>'KEEI BAU - Industry'!P$31*'Machinery Split'!$E8</f>
        <v>904949144649.52417</v>
      </c>
      <c r="C20" s="16">
        <f>'KEEI BAU - Industry'!Q$31*'Machinery Split'!$E8</f>
        <v>950196601882.00037</v>
      </c>
      <c r="D20" s="16">
        <f>'KEEI BAU - Industry'!R$31*'Machinery Split'!$E8</f>
        <v>995444059114.47656</v>
      </c>
      <c r="E20" s="16">
        <f>'KEEI BAU - Industry'!S$31*'Machinery Split'!$E8</f>
        <v>1040691516346.9528</v>
      </c>
      <c r="F20" s="16">
        <f>'KEEI BAU - Industry'!T$31*'Machinery Split'!$E8</f>
        <v>1047526928605.3893</v>
      </c>
      <c r="G20" s="16">
        <f>'KEEI BAU - Industry'!U$31*'Machinery Split'!$E8</f>
        <v>1054362340863.8257</v>
      </c>
      <c r="H20" s="16">
        <f>'KEEI BAU - Industry'!V$31*'Machinery Split'!$E8</f>
        <v>1061197753122.2622</v>
      </c>
      <c r="I20" s="16">
        <f>'KEEI BAU - Industry'!W$31*'Machinery Split'!$E8</f>
        <v>1068033165380.6987</v>
      </c>
      <c r="J20" s="16">
        <f>'KEEI BAU - Industry'!X$31*'Machinery Split'!$E8</f>
        <v>1074868577639.1351</v>
      </c>
      <c r="K20" s="16">
        <f>'KEEI BAU - Industry'!Y$31*'Machinery Split'!$E8</f>
        <v>1081703989897.5717</v>
      </c>
      <c r="L20" s="16">
        <f>'KEEI BAU - Industry'!Z$31*'Machinery Split'!$E8</f>
        <v>1088539402156.0081</v>
      </c>
      <c r="M20" s="16">
        <f>'KEEI BAU - Industry'!AA$31*'Machinery Split'!$E8</f>
        <v>1090333697873.8477</v>
      </c>
      <c r="N20" s="16">
        <f>'KEEI BAU - Industry'!AB$31*'Machinery Split'!$E8</f>
        <v>1092127993591.6873</v>
      </c>
      <c r="O20" s="16">
        <f>'KEEI BAU - Industry'!AC$31*'Machinery Split'!$E8</f>
        <v>1093922289309.5269</v>
      </c>
      <c r="P20" s="16">
        <f>'KEEI BAU - Industry'!AD$31*'Machinery Split'!$E8</f>
        <v>1095716585027.3663</v>
      </c>
      <c r="Q20" s="16">
        <f>'KEEI BAU - Industry'!AE$31*'Machinery Split'!$E8</f>
        <v>1097510880745.2059</v>
      </c>
      <c r="R20" s="16">
        <f>'KEEI BAU - Industry'!AF$31*'Machinery Split'!$E8</f>
        <v>1099305176463.0455</v>
      </c>
      <c r="S20" s="16">
        <f>'KEEI BAU - Industry'!AG$31*'Machinery Split'!$E8</f>
        <v>1101099472180.885</v>
      </c>
      <c r="T20" s="16">
        <f>'KEEI BAU - Industry'!AH$31*'Machinery Split'!$E8</f>
        <v>1102893767898.7246</v>
      </c>
      <c r="U20" s="16">
        <f>'KEEI BAU - Industry'!AI$31*'Machinery Split'!$E8</f>
        <v>1104688063616.5642</v>
      </c>
      <c r="V20" s="16">
        <f>'KEEI BAU - Industry'!AJ$31*'Machinery Split'!$E8</f>
        <v>1106482359334.4038</v>
      </c>
      <c r="W20" s="16">
        <f>'KEEI BAU - Industry'!AK$31*'Machinery Split'!$E8</f>
        <v>1100501373608.272</v>
      </c>
      <c r="X20" s="16">
        <f>'KEEI BAU - Industry'!AL$31*'Machinery Split'!$E8</f>
        <v>1094520387882.14</v>
      </c>
      <c r="Y20" s="16">
        <f>'KEEI BAU - Industry'!AM$31*'Machinery Split'!$E8</f>
        <v>1088539402156.0081</v>
      </c>
      <c r="Z20" s="16">
        <f>'KEEI BAU - Industry'!AN$31*'Machinery Split'!$E8</f>
        <v>1082558416429.8762</v>
      </c>
      <c r="AA20" s="16">
        <f>'KEEI BAU - Industry'!AO$31*'Machinery Split'!$E8</f>
        <v>1076577430703.7443</v>
      </c>
      <c r="AB20" s="16">
        <f>'KEEI BAU - Industry'!AP$31*'Machinery Split'!$E8</f>
        <v>1070596444977.6123</v>
      </c>
      <c r="AC20" s="16">
        <f>'KEEI BAU - Industry'!AQ$31*'Machinery Split'!$E8</f>
        <v>1064615459251.4805</v>
      </c>
      <c r="AD20" s="16">
        <f>'KEEI BAU - Industry'!AR$31*'Machinery Split'!$E8</f>
        <v>1058634473525.3485</v>
      </c>
      <c r="AE20" s="16">
        <f>'KEEI BAU - Industry'!AS$31*'Machinery Split'!$E8</f>
        <v>1052653487799.2167</v>
      </c>
      <c r="AF20" s="16">
        <f>'KEEI BAU - Industry'!AT$31*'Machinery Split'!$E8</f>
        <v>1046672502073.0847</v>
      </c>
    </row>
    <row r="21" spans="1:32">
      <c r="A21" t="s">
        <v>75</v>
      </c>
      <c r="B21" s="16">
        <f>'KEEI BAU - Industry'!P$31*'Machinery Split'!$E9</f>
        <v>944839462814.38745</v>
      </c>
      <c r="C21" s="16">
        <f>'KEEI BAU - Industry'!Q$31*'Machinery Split'!$E9</f>
        <v>992081435955.10681</v>
      </c>
      <c r="D21" s="16">
        <f>'KEEI BAU - Industry'!R$31*'Machinery Split'!$E9</f>
        <v>1039323409095.8262</v>
      </c>
      <c r="E21" s="16">
        <f>'KEEI BAU - Industry'!S$31*'Machinery Split'!$E9</f>
        <v>1086565382236.5457</v>
      </c>
      <c r="F21" s="16">
        <f>'KEEI BAU - Industry'!T$31*'Machinery Split'!$E9</f>
        <v>1093702100674.8809</v>
      </c>
      <c r="G21" s="16">
        <f>'KEEI BAU - Industry'!U$31*'Machinery Split'!$E9</f>
        <v>1100838819113.2161</v>
      </c>
      <c r="H21" s="16">
        <f>'KEEI BAU - Industry'!V$31*'Machinery Split'!$E9</f>
        <v>1107975537551.5515</v>
      </c>
      <c r="I21" s="16">
        <f>'KEEI BAU - Industry'!W$31*'Machinery Split'!$E9</f>
        <v>1115112255989.8867</v>
      </c>
      <c r="J21" s="16">
        <f>'KEEI BAU - Industry'!X$31*'Machinery Split'!$E9</f>
        <v>1122248974428.2219</v>
      </c>
      <c r="K21" s="16">
        <f>'KEEI BAU - Industry'!Y$31*'Machinery Split'!$E9</f>
        <v>1129385692866.5571</v>
      </c>
      <c r="L21" s="16">
        <f>'KEEI BAU - Industry'!Z$31*'Machinery Split'!$E9</f>
        <v>1136522411304.8926</v>
      </c>
      <c r="M21" s="16">
        <f>'KEEI BAU - Industry'!AA$31*'Machinery Split'!$E9</f>
        <v>1138395799894.9556</v>
      </c>
      <c r="N21" s="16">
        <f>'KEEI BAU - Industry'!AB$31*'Machinery Split'!$E9</f>
        <v>1140269188485.0186</v>
      </c>
      <c r="O21" s="16">
        <f>'KEEI BAU - Industry'!AC$31*'Machinery Split'!$E9</f>
        <v>1142142577075.0815</v>
      </c>
      <c r="P21" s="16">
        <f>'KEEI BAU - Industry'!AD$31*'Machinery Split'!$E9</f>
        <v>1144015965665.1445</v>
      </c>
      <c r="Q21" s="16">
        <f>'KEEI BAU - Industry'!AE$31*'Machinery Split'!$E9</f>
        <v>1145889354255.2075</v>
      </c>
      <c r="R21" s="16">
        <f>'KEEI BAU - Industry'!AF$31*'Machinery Split'!$E9</f>
        <v>1147762742845.2705</v>
      </c>
      <c r="S21" s="16">
        <f>'KEEI BAU - Industry'!AG$31*'Machinery Split'!$E9</f>
        <v>1149636131435.3335</v>
      </c>
      <c r="T21" s="16">
        <f>'KEEI BAU - Industry'!AH$31*'Machinery Split'!$E9</f>
        <v>1151509520025.3965</v>
      </c>
      <c r="U21" s="16">
        <f>'KEEI BAU - Industry'!AI$31*'Machinery Split'!$E9</f>
        <v>1153382908615.4597</v>
      </c>
      <c r="V21" s="16">
        <f>'KEEI BAU - Industry'!AJ$31*'Machinery Split'!$E9</f>
        <v>1155256297205.5227</v>
      </c>
      <c r="W21" s="16">
        <f>'KEEI BAU - Industry'!AK$31*'Machinery Split'!$E9</f>
        <v>1149011668571.9792</v>
      </c>
      <c r="X21" s="16">
        <f>'KEEI BAU - Industry'!AL$31*'Machinery Split'!$E9</f>
        <v>1142767039938.4358</v>
      </c>
      <c r="Y21" s="16">
        <f>'KEEI BAU - Industry'!AM$31*'Machinery Split'!$E9</f>
        <v>1136522411304.8926</v>
      </c>
      <c r="Z21" s="16">
        <f>'KEEI BAU - Industry'!AN$31*'Machinery Split'!$E9</f>
        <v>1130277782671.3491</v>
      </c>
      <c r="AA21" s="16">
        <f>'KEEI BAU - Industry'!AO$31*'Machinery Split'!$E9</f>
        <v>1124033154037.8059</v>
      </c>
      <c r="AB21" s="16">
        <f>'KEEI BAU - Industry'!AP$31*'Machinery Split'!$E9</f>
        <v>1117788525404.2625</v>
      </c>
      <c r="AC21" s="16">
        <f>'KEEI BAU - Industry'!AQ$31*'Machinery Split'!$E9</f>
        <v>1111543896770.719</v>
      </c>
      <c r="AD21" s="16">
        <f>'KEEI BAU - Industry'!AR$31*'Machinery Split'!$E9</f>
        <v>1105299268137.1758</v>
      </c>
      <c r="AE21" s="16">
        <f>'KEEI BAU - Industry'!AS$31*'Machinery Split'!$E9</f>
        <v>1099054639503.6323</v>
      </c>
      <c r="AF21" s="16">
        <f>'KEEI BAU - Industry'!AT$31*'Machinery Split'!$E9</f>
        <v>1092810010870.089</v>
      </c>
    </row>
    <row r="22" spans="1:32">
      <c r="A22" t="s">
        <v>78</v>
      </c>
      <c r="B22" s="16">
        <f>'KEEI BAU - Industry'!P$31*'Machinery Split'!$E10</f>
        <v>241955147558.74826</v>
      </c>
      <c r="C22" s="16">
        <f>'KEEI BAU - Industry'!Q$31*'Machinery Split'!$E10</f>
        <v>254052904936.68567</v>
      </c>
      <c r="D22" s="16">
        <f>'KEEI BAU - Industry'!R$31*'Machinery Split'!$E10</f>
        <v>266150662314.62308</v>
      </c>
      <c r="E22" s="16">
        <f>'KEEI BAU - Industry'!S$31*'Machinery Split'!$E10</f>
        <v>278248419692.56049</v>
      </c>
      <c r="F22" s="16">
        <f>'KEEI BAU - Industry'!T$31*'Machinery Split'!$E10</f>
        <v>280075995519.76941</v>
      </c>
      <c r="G22" s="16">
        <f>'KEEI BAU - Industry'!U$31*'Machinery Split'!$E10</f>
        <v>281903571346.97833</v>
      </c>
      <c r="H22" s="16">
        <f>'KEEI BAU - Industry'!V$31*'Machinery Split'!$E10</f>
        <v>283731147174.18732</v>
      </c>
      <c r="I22" s="16">
        <f>'KEEI BAU - Industry'!W$31*'Machinery Split'!$E10</f>
        <v>285558723001.39624</v>
      </c>
      <c r="J22" s="16">
        <f>'KEEI BAU - Industry'!X$31*'Machinery Split'!$E10</f>
        <v>287386298828.60516</v>
      </c>
      <c r="K22" s="16">
        <f>'KEEI BAU - Industry'!Y$31*'Machinery Split'!$E10</f>
        <v>289213874655.81409</v>
      </c>
      <c r="L22" s="16">
        <f>'KEEI BAU - Industry'!Z$31*'Machinery Split'!$E10</f>
        <v>291041450483.02301</v>
      </c>
      <c r="M22" s="16">
        <f>'KEEI BAU - Industry'!AA$31*'Machinery Split'!$E10</f>
        <v>291521189137.66541</v>
      </c>
      <c r="N22" s="16">
        <f>'KEEI BAU - Industry'!AB$31*'Machinery Split'!$E10</f>
        <v>292000927792.30774</v>
      </c>
      <c r="O22" s="16">
        <f>'KEEI BAU - Industry'!AC$31*'Machinery Split'!$E10</f>
        <v>292480666446.95007</v>
      </c>
      <c r="P22" s="16">
        <f>'KEEI BAU - Industry'!AD$31*'Machinery Split'!$E10</f>
        <v>292960405101.59241</v>
      </c>
      <c r="Q22" s="16">
        <f>'KEEI BAU - Industry'!AE$31*'Machinery Split'!$E10</f>
        <v>293440143756.23474</v>
      </c>
      <c r="R22" s="16">
        <f>'KEEI BAU - Industry'!AF$31*'Machinery Split'!$E10</f>
        <v>293919882410.87714</v>
      </c>
      <c r="S22" s="16">
        <f>'KEEI BAU - Industry'!AG$31*'Machinery Split'!$E10</f>
        <v>294399621065.51947</v>
      </c>
      <c r="T22" s="16">
        <f>'KEEI BAU - Industry'!AH$31*'Machinery Split'!$E10</f>
        <v>294879359720.1618</v>
      </c>
      <c r="U22" s="16">
        <f>'KEEI BAU - Industry'!AI$31*'Machinery Split'!$E10</f>
        <v>295359098374.80414</v>
      </c>
      <c r="V22" s="16">
        <f>'KEEI BAU - Industry'!AJ$31*'Machinery Split'!$E10</f>
        <v>295838837029.44647</v>
      </c>
      <c r="W22" s="16">
        <f>'KEEI BAU - Industry'!AK$31*'Machinery Split'!$E10</f>
        <v>294239708180.63867</v>
      </c>
      <c r="X22" s="16">
        <f>'KEEI BAU - Industry'!AL$31*'Machinery Split'!$E10</f>
        <v>292640579331.83087</v>
      </c>
      <c r="Y22" s="16">
        <f>'KEEI BAU - Industry'!AM$31*'Machinery Split'!$E10</f>
        <v>291041450483.02301</v>
      </c>
      <c r="Z22" s="16">
        <f>'KEEI BAU - Industry'!AN$31*'Machinery Split'!$E10</f>
        <v>289442321634.21521</v>
      </c>
      <c r="AA22" s="16">
        <f>'KEEI BAU - Industry'!AO$31*'Machinery Split'!$E10</f>
        <v>287843192785.40741</v>
      </c>
      <c r="AB22" s="16">
        <f>'KEEI BAU - Industry'!AP$31*'Machinery Split'!$E10</f>
        <v>286244063936.59961</v>
      </c>
      <c r="AC22" s="16">
        <f>'KEEI BAU - Industry'!AQ$31*'Machinery Split'!$E10</f>
        <v>284644935087.79175</v>
      </c>
      <c r="AD22" s="16">
        <f>'KEEI BAU - Industry'!AR$31*'Machinery Split'!$E10</f>
        <v>283045806238.98395</v>
      </c>
      <c r="AE22" s="16">
        <f>'KEEI BAU - Industry'!AS$31*'Machinery Split'!$E10</f>
        <v>281446677390.17615</v>
      </c>
      <c r="AF22" s="16">
        <f>'KEEI BAU - Industry'!AT$31*'Machinery Split'!$E10</f>
        <v>279847548541.36829</v>
      </c>
    </row>
    <row r="23" spans="1:32">
      <c r="A23" t="s">
        <v>80</v>
      </c>
      <c r="B23" s="16">
        <f>'KEEI BAU - Industry'!P$38*'Others Split'!$F$14</f>
        <v>0</v>
      </c>
      <c r="C23" s="16">
        <f>'KEEI BAU - Industry'!Q$38*'Others Split'!$F$14</f>
        <v>0</v>
      </c>
      <c r="D23" s="16">
        <f>'KEEI BAU - Industry'!R$38*'Others Split'!$F$14</f>
        <v>0</v>
      </c>
      <c r="E23" s="16">
        <f>'KEEI BAU - Industry'!S$38*'Others Split'!$F$14</f>
        <v>0</v>
      </c>
      <c r="F23" s="16">
        <f>'KEEI BAU - Industry'!T$38*'Others Split'!$F$14</f>
        <v>0</v>
      </c>
      <c r="G23" s="16">
        <f>'KEEI BAU - Industry'!U$38*'Others Split'!$F$14</f>
        <v>0</v>
      </c>
      <c r="H23" s="16">
        <f>'KEEI BAU - Industry'!V$38*'Others Split'!$F$14</f>
        <v>0</v>
      </c>
      <c r="I23" s="16">
        <f>'KEEI BAU - Industry'!W$38*'Others Split'!$F$14</f>
        <v>0</v>
      </c>
      <c r="J23" s="16">
        <f>'KEEI BAU - Industry'!X$38*'Others Split'!$F$14</f>
        <v>0</v>
      </c>
      <c r="K23" s="16">
        <f>'KEEI BAU - Industry'!Y$38*'Others Split'!$F$14</f>
        <v>0</v>
      </c>
      <c r="L23" s="16">
        <f>'KEEI BAU - Industry'!Z$38*'Others Split'!$F$14</f>
        <v>0</v>
      </c>
      <c r="M23" s="16">
        <f>'KEEI BAU - Industry'!AA$38*'Others Split'!$F$14</f>
        <v>0</v>
      </c>
      <c r="N23" s="16">
        <f>'KEEI BAU - Industry'!AB$38*'Others Split'!$F$14</f>
        <v>0</v>
      </c>
      <c r="O23" s="16">
        <f>'KEEI BAU - Industry'!AC$38*'Others Split'!$F$14</f>
        <v>0</v>
      </c>
      <c r="P23" s="16">
        <f>'KEEI BAU - Industry'!AD$38*'Others Split'!$F$14</f>
        <v>0</v>
      </c>
      <c r="Q23" s="16">
        <f>'KEEI BAU - Industry'!AE$38*'Others Split'!$F$14</f>
        <v>0</v>
      </c>
      <c r="R23" s="16">
        <f>'KEEI BAU - Industry'!AF$38*'Others Split'!$F$14</f>
        <v>0</v>
      </c>
      <c r="S23" s="16">
        <f>'KEEI BAU - Industry'!AG$38*'Others Split'!$F$14</f>
        <v>0</v>
      </c>
      <c r="T23" s="16">
        <f>'KEEI BAU - Industry'!AH$38*'Others Split'!$F$14</f>
        <v>0</v>
      </c>
      <c r="U23" s="16">
        <f>'KEEI BAU - Industry'!AI$38*'Others Split'!$F$14</f>
        <v>0</v>
      </c>
      <c r="V23" s="16">
        <f>'KEEI BAU - Industry'!AJ$38*'Others Split'!$F$14</f>
        <v>0</v>
      </c>
      <c r="W23" s="16">
        <f>'KEEI BAU - Industry'!AK$38*'Others Split'!$F$14</f>
        <v>0</v>
      </c>
      <c r="X23" s="16">
        <f>'KEEI BAU - Industry'!AL$38*'Others Split'!$F$14</f>
        <v>0</v>
      </c>
      <c r="Y23" s="16">
        <f>'KEEI BAU - Industry'!AM$38*'Others Split'!$F$14</f>
        <v>0</v>
      </c>
      <c r="Z23" s="16">
        <f>'KEEI BAU - Industry'!AN$38*'Others Split'!$F$14</f>
        <v>0</v>
      </c>
      <c r="AA23" s="16">
        <f>'KEEI BAU - Industry'!AO$38*'Others Split'!$F$14</f>
        <v>0</v>
      </c>
      <c r="AB23" s="16">
        <f>'KEEI BAU - Industry'!AP$38*'Others Split'!$F$14</f>
        <v>0</v>
      </c>
      <c r="AC23" s="16">
        <f>'KEEI BAU - Industry'!AQ$38*'Others Split'!$F$14</f>
        <v>0</v>
      </c>
      <c r="AD23" s="16">
        <f>'KEEI BAU - Industry'!AR$38*'Others Split'!$F$14</f>
        <v>0</v>
      </c>
      <c r="AE23" s="16">
        <f>'KEEI BAU - Industry'!AS$38*'Others Split'!$F$14</f>
        <v>0</v>
      </c>
      <c r="AF23" s="16">
        <f>'KEEI BAU - Industry'!AT$38*'Others Split'!$F$14</f>
        <v>0</v>
      </c>
    </row>
    <row r="24" spans="1:32">
      <c r="A24" t="s">
        <v>82</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89</v>
      </c>
      <c r="B26" s="16">
        <f>'KEEI BAU - Industry'!P$38*'Others Split'!$F$15</f>
        <v>0</v>
      </c>
      <c r="C26" s="16">
        <f>'KEEI BAU - Industry'!Q$38*'Others Split'!$F$15</f>
        <v>0</v>
      </c>
      <c r="D26" s="16">
        <f>'KEEI BAU - Industry'!R$38*'Others Split'!$F$15</f>
        <v>0</v>
      </c>
      <c r="E26" s="16">
        <f>'KEEI BAU - Industry'!S$38*'Others Split'!$F$15</f>
        <v>0</v>
      </c>
      <c r="F26" s="16">
        <f>'KEEI BAU - Industry'!T$38*'Others Split'!$F$15</f>
        <v>0</v>
      </c>
      <c r="G26" s="16">
        <f>'KEEI BAU - Industry'!U$38*'Others Split'!$F$15</f>
        <v>0</v>
      </c>
      <c r="H26" s="16">
        <f>'KEEI BAU - Industry'!V$38*'Others Split'!$F$15</f>
        <v>0</v>
      </c>
      <c r="I26" s="16">
        <f>'KEEI BAU - Industry'!W$38*'Others Split'!$F$15</f>
        <v>0</v>
      </c>
      <c r="J26" s="16">
        <f>'KEEI BAU - Industry'!X$38*'Others Split'!$F$15</f>
        <v>0</v>
      </c>
      <c r="K26" s="16">
        <f>'KEEI BAU - Industry'!Y$38*'Others Split'!$F$15</f>
        <v>0</v>
      </c>
      <c r="L26" s="16">
        <f>'KEEI BAU - Industry'!Z$38*'Others Split'!$F$15</f>
        <v>0</v>
      </c>
      <c r="M26" s="16">
        <f>'KEEI BAU - Industry'!AA$38*'Others Split'!$F$15</f>
        <v>0</v>
      </c>
      <c r="N26" s="16">
        <f>'KEEI BAU - Industry'!AB$38*'Others Split'!$F$15</f>
        <v>0</v>
      </c>
      <c r="O26" s="16">
        <f>'KEEI BAU - Industry'!AC$38*'Others Split'!$F$15</f>
        <v>0</v>
      </c>
      <c r="P26" s="16">
        <f>'KEEI BAU - Industry'!AD$38*'Others Split'!$F$15</f>
        <v>0</v>
      </c>
      <c r="Q26" s="16">
        <f>'KEEI BAU - Industry'!AE$38*'Others Split'!$F$15</f>
        <v>0</v>
      </c>
      <c r="R26" s="16">
        <f>'KEEI BAU - Industry'!AF$38*'Others Split'!$F$15</f>
        <v>0</v>
      </c>
      <c r="S26" s="16">
        <f>'KEEI BAU - Industry'!AG$38*'Others Split'!$F$15</f>
        <v>0</v>
      </c>
      <c r="T26" s="16">
        <f>'KEEI BAU - Industry'!AH$38*'Others Split'!$F$15</f>
        <v>0</v>
      </c>
      <c r="U26" s="16">
        <f>'KEEI BAU - Industry'!AI$38*'Others Split'!$F$15</f>
        <v>0</v>
      </c>
      <c r="V26" s="16">
        <f>'KEEI BAU - Industry'!AJ$38*'Others Split'!$F$15</f>
        <v>0</v>
      </c>
      <c r="W26" s="16">
        <f>'KEEI BAU - Industry'!AK$38*'Others Split'!$F$15</f>
        <v>0</v>
      </c>
      <c r="X26" s="16">
        <f>'KEEI BAU - Industry'!AL$38*'Others Split'!$F$15</f>
        <v>0</v>
      </c>
      <c r="Y26" s="16">
        <f>'KEEI BAU - Industry'!AM$38*'Others Split'!$F$15</f>
        <v>0</v>
      </c>
      <c r="Z26" s="16">
        <f>'KEEI BAU - Industry'!AN$38*'Others Split'!$F$15</f>
        <v>0</v>
      </c>
      <c r="AA26" s="16">
        <f>'KEEI BAU - Industry'!AO$38*'Others Split'!$F$15</f>
        <v>0</v>
      </c>
      <c r="AB26" s="16">
        <f>'KEEI BAU - Industry'!AP$38*'Others Split'!$F$15</f>
        <v>0</v>
      </c>
      <c r="AC26" s="16">
        <f>'KEEI BAU - Industry'!AQ$38*'Others Split'!$F$15</f>
        <v>0</v>
      </c>
      <c r="AD26" s="16">
        <f>'KEEI BAU - Industry'!AR$38*'Others Split'!$F$15</f>
        <v>0</v>
      </c>
      <c r="AE26" s="16">
        <f>'KEEI BAU - Industry'!AS$38*'Others Split'!$F$15</f>
        <v>0</v>
      </c>
      <c r="AF26" s="16">
        <f>'KEEI BAU - Industry'!AT$38*'Others Split'!$F$15</f>
        <v>0</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5" type="noConversion"/>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heetViews>
  <sheetFormatPr defaultColWidth="9.125" defaultRowHeight="16.5"/>
  <cols>
    <col min="1" max="1" width="39.625" customWidth="1"/>
    <col min="2" max="2" width="13.375" customWidth="1"/>
    <col min="3" max="33" width="10.5" customWidth="1"/>
    <col min="34" max="35" width="9.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cm="1">
        <f t="array" ref="B2">TREND($G2:$L2,$G$1:$L$1,B$1)</f>
        <v>482866778.76106262</v>
      </c>
      <c r="C2" s="16" cm="1">
        <f t="array" ref="C2">TREND($G2:$L2,$G$1:$L$1,C$1)</f>
        <v>478757274.26096916</v>
      </c>
      <c r="D2" s="16" cm="1">
        <f t="array" ref="D2">TREND($G2:$L2,$G$1:$L$1,D$1)</f>
        <v>474647769.76087475</v>
      </c>
      <c r="E2" s="16" cm="1">
        <f t="array" ref="E2">TREND($G2:$L2,$G$1:$L$1,E$1)</f>
        <v>470538265.26078033</v>
      </c>
      <c r="F2" s="16" cm="1">
        <f t="array" ref="F2">TREND($G2:$L2,$G$1:$L$1,F$1)</f>
        <v>466428760.76068592</v>
      </c>
      <c r="G2" s="16">
        <f>'KEEI BAU - Industry'!U40*'Others Split'!$G$6</f>
        <v>462319256.26059175</v>
      </c>
      <c r="H2" s="16">
        <f>'KEEI BAU - Industry'!V40*'Others Split'!$G$6</f>
        <v>458209751.76049763</v>
      </c>
      <c r="I2" s="16">
        <f>'KEEI BAU - Industry'!W40*'Others Split'!$G$6</f>
        <v>454100247.26040345</v>
      </c>
      <c r="J2" s="16">
        <f>'KEEI BAU - Industry'!X40*'Others Split'!$G$6</f>
        <v>449990742.76030934</v>
      </c>
      <c r="K2" s="16">
        <f>'KEEI BAU - Industry'!Y40*'Others Split'!$G$6</f>
        <v>445881238.26021516</v>
      </c>
      <c r="L2" s="16">
        <f>'KEEI BAU - Industry'!Z40*'Others Split'!$G$6</f>
        <v>441771733.76012099</v>
      </c>
      <c r="M2" s="16">
        <f>'KEEI BAU - Industry'!AA40*'Others Split'!$G$6</f>
        <v>442114192.46846217</v>
      </c>
      <c r="N2" s="16">
        <f>'KEEI BAU - Industry'!AB40*'Others Split'!$G$6</f>
        <v>442456651.17680335</v>
      </c>
      <c r="O2" s="16">
        <f>'KEEI BAU - Industry'!AC40*'Others Split'!$G$6</f>
        <v>442799109.88514453</v>
      </c>
      <c r="P2" s="16">
        <f>'KEEI BAU - Industry'!AD40*'Others Split'!$G$6</f>
        <v>443141568.59348571</v>
      </c>
      <c r="Q2" s="16">
        <f>'KEEI BAU - Industry'!AE40*'Others Split'!$G$6</f>
        <v>443484027.30182689</v>
      </c>
      <c r="R2" s="16">
        <f>'KEEI BAU - Industry'!AF40*'Others Split'!$G$6</f>
        <v>443826486.01016808</v>
      </c>
      <c r="S2" s="16">
        <f>'KEEI BAU - Industry'!AG40*'Others Split'!$G$6</f>
        <v>444168944.71850926</v>
      </c>
      <c r="T2" s="16">
        <f>'KEEI BAU - Industry'!AH40*'Others Split'!$G$6</f>
        <v>444511403.42685044</v>
      </c>
      <c r="U2" s="16">
        <f>'KEEI BAU - Industry'!AI40*'Others Split'!$G$6</f>
        <v>444853862.13519162</v>
      </c>
      <c r="V2" s="16">
        <f>'KEEI BAU - Industry'!AJ40*'Others Split'!$G$6</f>
        <v>445196320.8435328</v>
      </c>
      <c r="W2" s="16">
        <f>'KEEI BAU - Industry'!AK40*'Others Split'!$G$6</f>
        <v>441703242.01845276</v>
      </c>
      <c r="X2" s="16">
        <f>'KEEI BAU - Industry'!AL40*'Others Split'!$G$6</f>
        <v>438210163.19337273</v>
      </c>
      <c r="Y2" s="16">
        <f>'KEEI BAU - Industry'!AM40*'Others Split'!$G$6</f>
        <v>434717084.36829275</v>
      </c>
      <c r="Z2" s="16">
        <f>'KEEI BAU - Industry'!AN40*'Others Split'!$G$6</f>
        <v>431224005.54321271</v>
      </c>
      <c r="AA2" s="16">
        <f>'KEEI BAU - Industry'!AO40*'Others Split'!$G$6</f>
        <v>427730926.71813267</v>
      </c>
      <c r="AB2" s="16">
        <f>'KEEI BAU - Industry'!AP40*'Others Split'!$G$6</f>
        <v>424237847.89305264</v>
      </c>
      <c r="AC2" s="16">
        <f>'KEEI BAU - Industry'!AQ40*'Others Split'!$G$6</f>
        <v>420744769.0679726</v>
      </c>
      <c r="AD2" s="16">
        <f>'KEEI BAU - Industry'!AR40*'Others Split'!$G$6</f>
        <v>417251690.24289256</v>
      </c>
      <c r="AE2" s="16">
        <f>'KEEI BAU - Industry'!AS40*'Others Split'!$G$6</f>
        <v>413758611.41781259</v>
      </c>
      <c r="AF2" s="16">
        <f>'KEEI BAU - Industry'!AT40*'Others Split'!$G$6</f>
        <v>410265532.59273255</v>
      </c>
    </row>
    <row r="3" spans="1:35">
      <c r="A3" t="s">
        <v>28</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34</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Industry'!U$40*'Others Split'!$G$7</f>
        <v>0</v>
      </c>
      <c r="H5" s="16">
        <f>'KEEI BAU - Industry'!V$40*'Others Split'!$G$7</f>
        <v>0</v>
      </c>
      <c r="I5" s="16">
        <f>'KEEI BAU - Industry'!W$40*'Others Split'!$G$7</f>
        <v>0</v>
      </c>
      <c r="J5" s="16">
        <f>'KEEI BAU - Industry'!X$40*'Others Split'!$G$7</f>
        <v>0</v>
      </c>
      <c r="K5" s="16">
        <f>'KEEI BAU - Industry'!Y$40*'Others Split'!$G$7</f>
        <v>0</v>
      </c>
      <c r="L5" s="16">
        <f>'KEEI BAU - Industry'!Z$40*'Others Split'!$G$7</f>
        <v>0</v>
      </c>
      <c r="M5" s="16">
        <f>'KEEI BAU - Industry'!AA$40*'Others Split'!$G$7</f>
        <v>0</v>
      </c>
      <c r="N5" s="16">
        <f>'KEEI BAU - Industry'!AB$40*'Others Split'!$G$7</f>
        <v>0</v>
      </c>
      <c r="O5" s="16">
        <f>'KEEI BAU - Industry'!AC$40*'Others Split'!$G$7</f>
        <v>0</v>
      </c>
      <c r="P5" s="16">
        <f>'KEEI BAU - Industry'!AD$40*'Others Split'!$G$7</f>
        <v>0</v>
      </c>
      <c r="Q5" s="16">
        <f>'KEEI BAU - Industry'!AE$40*'Others Split'!$G$7</f>
        <v>0</v>
      </c>
      <c r="R5" s="16">
        <f>'KEEI BAU - Industry'!AF$40*'Others Split'!$G$7</f>
        <v>0</v>
      </c>
      <c r="S5" s="16">
        <f>'KEEI BAU - Industry'!AG$40*'Others Split'!$G$7</f>
        <v>0</v>
      </c>
      <c r="T5" s="16">
        <f>'KEEI BAU - Industry'!AH$40*'Others Split'!$G$7</f>
        <v>0</v>
      </c>
      <c r="U5" s="16">
        <f>'KEEI BAU - Industry'!AI$40*'Others Split'!$G$7</f>
        <v>0</v>
      </c>
      <c r="V5" s="16">
        <f>'KEEI BAU - Industry'!AJ$40*'Others Split'!$G$7</f>
        <v>0</v>
      </c>
      <c r="W5" s="16">
        <f>'KEEI BAU - Industry'!AK$40*'Others Split'!$G$7</f>
        <v>0</v>
      </c>
      <c r="X5" s="16">
        <f>'KEEI BAU - Industry'!AL$40*'Others Split'!$G$7</f>
        <v>0</v>
      </c>
      <c r="Y5" s="16">
        <f>'KEEI BAU - Industry'!AM$40*'Others Split'!$G$7</f>
        <v>0</v>
      </c>
      <c r="Z5" s="16">
        <f>'KEEI BAU - Industry'!AN$40*'Others Split'!$G$7</f>
        <v>0</v>
      </c>
      <c r="AA5" s="16">
        <f>'KEEI BAU - Industry'!AO$40*'Others Split'!$G$7</f>
        <v>0</v>
      </c>
      <c r="AB5" s="16">
        <f>'KEEI BAU - Industry'!AP$40*'Others Split'!$G$7</f>
        <v>0</v>
      </c>
      <c r="AC5" s="16">
        <f>'KEEI BAU - Industry'!AQ$40*'Others Split'!$G$7</f>
        <v>0</v>
      </c>
      <c r="AD5" s="16">
        <f>'KEEI BAU - Industry'!AR$40*'Others Split'!$G$7</f>
        <v>0</v>
      </c>
      <c r="AE5" s="16">
        <f>'KEEI BAU - Industry'!AS$40*'Others Split'!$G$7</f>
        <v>0</v>
      </c>
      <c r="AF5" s="16">
        <f>'KEEI BAU - Industry'!AT$40*'Others Split'!$G$7</f>
        <v>0</v>
      </c>
    </row>
    <row r="6" spans="1:35">
      <c r="A6" t="s">
        <v>36</v>
      </c>
      <c r="B6" s="16" cm="1">
        <f t="array" ref="B6">TREND($G6:$L6,$G$1:$L$1,B$1)</f>
        <v>9568311429351.625</v>
      </c>
      <c r="C6" s="16" cm="1">
        <f t="array" ref="C6">TREND($G6:$L6,$G$1:$L$1,C$1)</f>
        <v>9486878991655.0313</v>
      </c>
      <c r="D6" s="16" cm="1">
        <f t="array" ref="D6">TREND($G6:$L6,$G$1:$L$1,D$1)</f>
        <v>9405446553958.4063</v>
      </c>
      <c r="E6" s="16" cm="1">
        <f t="array" ref="E6">TREND($G6:$L6,$G$1:$L$1,E$1)</f>
        <v>9324014116261.8125</v>
      </c>
      <c r="F6" s="16" cm="1">
        <f t="array" ref="F6">TREND($G6:$L6,$G$1:$L$1,F$1)</f>
        <v>9242581678565.1875</v>
      </c>
      <c r="G6" s="16">
        <f>'KEEI BAU - Industry'!U$40*'Others Split'!$G$8</f>
        <v>9161149240868.5723</v>
      </c>
      <c r="H6" s="16">
        <f>'KEEI BAU - Industry'!V$40*'Others Split'!$G$8</f>
        <v>9079716803171.9629</v>
      </c>
      <c r="I6" s="16">
        <f>'KEEI BAU - Industry'!W$40*'Others Split'!$G$8</f>
        <v>8998284365475.3535</v>
      </c>
      <c r="J6" s="16">
        <f>'KEEI BAU - Industry'!X$40*'Others Split'!$G$8</f>
        <v>8916851927778.7441</v>
      </c>
      <c r="K6" s="16">
        <f>'KEEI BAU - Industry'!Y$40*'Others Split'!$G$8</f>
        <v>8835419490082.1348</v>
      </c>
      <c r="L6" s="16">
        <f>'KEEI BAU - Industry'!Z$40*'Others Split'!$G$8</f>
        <v>8753987052385.5244</v>
      </c>
      <c r="M6" s="16">
        <f>'KEEI BAU - Industry'!AA$40*'Others Split'!$G$8</f>
        <v>8760773088860.2422</v>
      </c>
      <c r="N6" s="16">
        <f>'KEEI BAU - Industry'!AB$40*'Others Split'!$G$8</f>
        <v>8767559125334.96</v>
      </c>
      <c r="O6" s="16">
        <f>'KEEI BAU - Industry'!AC$40*'Others Split'!$G$8</f>
        <v>8774345161809.6768</v>
      </c>
      <c r="P6" s="16">
        <f>'KEEI BAU - Industry'!AD$40*'Others Split'!$G$8</f>
        <v>8781131198284.3945</v>
      </c>
      <c r="Q6" s="16">
        <f>'KEEI BAU - Industry'!AE$40*'Others Split'!$G$8</f>
        <v>8787917234759.1123</v>
      </c>
      <c r="R6" s="16">
        <f>'KEEI BAU - Industry'!AF$40*'Others Split'!$G$8</f>
        <v>8794703271233.8291</v>
      </c>
      <c r="S6" s="16">
        <f>'KEEI BAU - Industry'!AG$40*'Others Split'!$G$8</f>
        <v>8801489307708.5469</v>
      </c>
      <c r="T6" s="16">
        <f>'KEEI BAU - Industry'!AH$40*'Others Split'!$G$8</f>
        <v>8808275344183.2637</v>
      </c>
      <c r="U6" s="16">
        <f>'KEEI BAU - Industry'!AI$40*'Others Split'!$G$8</f>
        <v>8815061380657.9824</v>
      </c>
      <c r="V6" s="16">
        <f>'KEEI BAU - Industry'!AJ$40*'Others Split'!$G$8</f>
        <v>8821847417132.6992</v>
      </c>
      <c r="W6" s="16">
        <f>'KEEI BAU - Industry'!AK$40*'Others Split'!$G$8</f>
        <v>8752629845090.5811</v>
      </c>
      <c r="X6" s="16">
        <f>'KEEI BAU - Industry'!AL$40*'Others Split'!$G$8</f>
        <v>8683412273048.4629</v>
      </c>
      <c r="Y6" s="16">
        <f>'KEEI BAU - Industry'!AM$40*'Others Split'!$G$8</f>
        <v>8614194701006.3447</v>
      </c>
      <c r="Z6" s="16">
        <f>'KEEI BAU - Industry'!AN$40*'Others Split'!$G$8</f>
        <v>8544977128964.2266</v>
      </c>
      <c r="AA6" s="16">
        <f>'KEEI BAU - Industry'!AO$40*'Others Split'!$G$8</f>
        <v>8475759556922.1084</v>
      </c>
      <c r="AB6" s="16">
        <f>'KEEI BAU - Industry'!AP$40*'Others Split'!$G$8</f>
        <v>8406541984879.9902</v>
      </c>
      <c r="AC6" s="16">
        <f>'KEEI BAU - Industry'!AQ$40*'Others Split'!$G$8</f>
        <v>8337324412837.873</v>
      </c>
      <c r="AD6" s="16">
        <f>'KEEI BAU - Industry'!AR$40*'Others Split'!$G$8</f>
        <v>8268106840795.7549</v>
      </c>
      <c r="AE6" s="16">
        <f>'KEEI BAU - Industry'!AS$40*'Others Split'!$G$8</f>
        <v>8198889268753.6367</v>
      </c>
      <c r="AF6" s="16">
        <f>'KEEI BAU - Industry'!AT$40*'Others Split'!$G$8</f>
        <v>8129671696711.5186</v>
      </c>
    </row>
    <row r="7" spans="1:35">
      <c r="A7" t="s">
        <v>38</v>
      </c>
      <c r="B7" s="16" cm="1">
        <f t="array" ref="B7">TREND($G7:$L7,$G$1:$L$1,B$1)</f>
        <v>3073482378529.6875</v>
      </c>
      <c r="C7" s="16" cm="1">
        <f t="array" ref="C7">TREND($G7:$L7,$G$1:$L$1,C$1)</f>
        <v>3047325081691.1328</v>
      </c>
      <c r="D7" s="16" cm="1">
        <f t="array" ref="D7">TREND($G7:$L7,$G$1:$L$1,D$1)</f>
        <v>3021167784852.5859</v>
      </c>
      <c r="E7" s="16" cm="1">
        <f t="array" ref="E7">TREND($G7:$L7,$G$1:$L$1,E$1)</f>
        <v>2995010488014.0391</v>
      </c>
      <c r="F7" s="16" cm="1">
        <f t="array" ref="F7">TREND($G7:$L7,$G$1:$L$1,F$1)</f>
        <v>2968853191175.4844</v>
      </c>
      <c r="G7" s="16">
        <f>'KEEI BAU - Industry'!U$40*'Others Split'!$G$9</f>
        <v>2942695894336.9297</v>
      </c>
      <c r="H7" s="16">
        <f>'KEEI BAU - Industry'!V$40*'Others Split'!$G$9</f>
        <v>2916538597498.3794</v>
      </c>
      <c r="I7" s="16">
        <f>'KEEI BAU - Industry'!W$40*'Others Split'!$G$9</f>
        <v>2890381300659.8291</v>
      </c>
      <c r="J7" s="16">
        <f>'KEEI BAU - Industry'!X$40*'Others Split'!$G$9</f>
        <v>2864224003821.2783</v>
      </c>
      <c r="K7" s="16">
        <f>'KEEI BAU - Industry'!Y$40*'Others Split'!$G$9</f>
        <v>2838066706982.728</v>
      </c>
      <c r="L7" s="16">
        <f>'KEEI BAU - Industry'!Z$40*'Others Split'!$G$9</f>
        <v>2811909410144.1772</v>
      </c>
      <c r="M7" s="16">
        <f>'KEEI BAU - Industry'!AA$40*'Others Split'!$G$9</f>
        <v>2814089184880.7231</v>
      </c>
      <c r="N7" s="16">
        <f>'KEEI BAU - Industry'!AB$40*'Others Split'!$G$9</f>
        <v>2816268959617.269</v>
      </c>
      <c r="O7" s="16">
        <f>'KEEI BAU - Industry'!AC$40*'Others Split'!$G$9</f>
        <v>2818448734353.8149</v>
      </c>
      <c r="P7" s="16">
        <f>'KEEI BAU - Industry'!AD$40*'Others Split'!$G$9</f>
        <v>2820628509090.3608</v>
      </c>
      <c r="Q7" s="16">
        <f>'KEEI BAU - Industry'!AE$40*'Others Split'!$G$9</f>
        <v>2822808283826.9067</v>
      </c>
      <c r="R7" s="16">
        <f>'KEEI BAU - Industry'!AF$40*'Others Split'!$G$9</f>
        <v>2824988058563.4526</v>
      </c>
      <c r="S7" s="16">
        <f>'KEEI BAU - Industry'!AG$40*'Others Split'!$G$9</f>
        <v>2827167833299.9985</v>
      </c>
      <c r="T7" s="16">
        <f>'KEEI BAU - Industry'!AH$40*'Others Split'!$G$9</f>
        <v>2829347608036.5444</v>
      </c>
      <c r="U7" s="16">
        <f>'KEEI BAU - Industry'!AI$40*'Others Split'!$G$9</f>
        <v>2831527382773.0903</v>
      </c>
      <c r="V7" s="16">
        <f>'KEEI BAU - Industry'!AJ$40*'Others Split'!$G$9</f>
        <v>2833707157509.6362</v>
      </c>
      <c r="W7" s="16">
        <f>'KEEI BAU - Industry'!AK$40*'Others Split'!$G$9</f>
        <v>2811473455196.8682</v>
      </c>
      <c r="X7" s="16">
        <f>'KEEI BAU - Industry'!AL$40*'Others Split'!$G$9</f>
        <v>2789239752884.1006</v>
      </c>
      <c r="Y7" s="16">
        <f>'KEEI BAU - Industry'!AM$40*'Others Split'!$G$9</f>
        <v>2767006050571.3325</v>
      </c>
      <c r="Z7" s="16">
        <f>'KEEI BAU - Industry'!AN$40*'Others Split'!$G$9</f>
        <v>2744772348258.5645</v>
      </c>
      <c r="AA7" s="16">
        <f>'KEEI BAU - Industry'!AO$40*'Others Split'!$G$9</f>
        <v>2722538645945.7964</v>
      </c>
      <c r="AB7" s="16">
        <f>'KEEI BAU - Industry'!AP$40*'Others Split'!$G$9</f>
        <v>2700304943633.0288</v>
      </c>
      <c r="AC7" s="16">
        <f>'KEEI BAU - Industry'!AQ$40*'Others Split'!$G$9</f>
        <v>2678071241320.2607</v>
      </c>
      <c r="AD7" s="16">
        <f>'KEEI BAU - Industry'!AR$40*'Others Split'!$G$9</f>
        <v>2655837539007.4927</v>
      </c>
      <c r="AE7" s="16">
        <f>'KEEI BAU - Industry'!AS$40*'Others Split'!$G$9</f>
        <v>2633603836694.7251</v>
      </c>
      <c r="AF7" s="16">
        <f>'KEEI BAU - Industry'!AT$40*'Others Split'!$G$9</f>
        <v>2611370134381.957</v>
      </c>
    </row>
    <row r="8" spans="1:35">
      <c r="A8" t="s">
        <v>40</v>
      </c>
      <c r="B8" s="16" cm="1">
        <f t="array" ref="B8">TREND($G8:$L8,$G$1:$L$1,B$1)</f>
        <v>317985439671.91992</v>
      </c>
      <c r="C8" s="16" cm="1">
        <f t="array" ref="C8">TREND($G8:$L8,$G$1:$L$1,C$1)</f>
        <v>315279180610.88281</v>
      </c>
      <c r="D8" s="16" cm="1">
        <f t="array" ref="D8">TREND($G8:$L8,$G$1:$L$1,D$1)</f>
        <v>312572921549.84473</v>
      </c>
      <c r="E8" s="16" cm="1">
        <f t="array" ref="E8">TREND($G8:$L8,$G$1:$L$1,E$1)</f>
        <v>309866662488.80762</v>
      </c>
      <c r="F8" s="16" cm="1">
        <f t="array" ref="F8">TREND($G8:$L8,$G$1:$L$1,F$1)</f>
        <v>307160403427.76953</v>
      </c>
      <c r="G8" s="16">
        <f>'KEEI BAU - Industry'!U$40*'Others Split'!$G$10</f>
        <v>304454144366.7312</v>
      </c>
      <c r="H8" s="16">
        <f>'KEEI BAU - Industry'!V$40*'Others Split'!$G$10</f>
        <v>301747885305.69354</v>
      </c>
      <c r="I8" s="16">
        <f>'KEEI BAU - Industry'!W$40*'Others Split'!$G$10</f>
        <v>299041626244.65594</v>
      </c>
      <c r="J8" s="16">
        <f>'KEEI BAU - Industry'!X$40*'Others Split'!$G$10</f>
        <v>296335367183.61835</v>
      </c>
      <c r="K8" s="16">
        <f>'KEEI BAU - Industry'!Y$40*'Others Split'!$G$10</f>
        <v>293629108122.58075</v>
      </c>
      <c r="L8" s="16">
        <f>'KEEI BAU - Industry'!Z$40*'Others Split'!$G$10</f>
        <v>290922849061.54315</v>
      </c>
      <c r="M8" s="16">
        <f>'KEEI BAU - Industry'!AA$40*'Others Split'!$G$10</f>
        <v>291148370649.96295</v>
      </c>
      <c r="N8" s="16">
        <f>'KEEI BAU - Industry'!AB$40*'Others Split'!$G$10</f>
        <v>291373892238.38275</v>
      </c>
      <c r="O8" s="16">
        <f>'KEEI BAU - Industry'!AC$40*'Others Split'!$G$10</f>
        <v>291599413826.80255</v>
      </c>
      <c r="P8" s="16">
        <f>'KEEI BAU - Industry'!AD$40*'Others Split'!$G$10</f>
        <v>291824935415.22235</v>
      </c>
      <c r="Q8" s="16">
        <f>'KEEI BAU - Industry'!AE$40*'Others Split'!$G$10</f>
        <v>292050457003.64215</v>
      </c>
      <c r="R8" s="16">
        <f>'KEEI BAU - Industry'!AF$40*'Others Split'!$G$10</f>
        <v>292275978592.06195</v>
      </c>
      <c r="S8" s="16">
        <f>'KEEI BAU - Industry'!AG$40*'Others Split'!$G$10</f>
        <v>292501500180.48175</v>
      </c>
      <c r="T8" s="16">
        <f>'KEEI BAU - Industry'!AH$40*'Others Split'!$G$10</f>
        <v>292727021768.90155</v>
      </c>
      <c r="U8" s="16">
        <f>'KEEI BAU - Industry'!AI$40*'Others Split'!$G$10</f>
        <v>292952543357.32135</v>
      </c>
      <c r="V8" s="16">
        <f>'KEEI BAU - Industry'!AJ$40*'Others Split'!$G$10</f>
        <v>293178064945.74115</v>
      </c>
      <c r="W8" s="16">
        <f>'KEEI BAU - Industry'!AK$40*'Others Split'!$G$10</f>
        <v>290877744743.85919</v>
      </c>
      <c r="X8" s="16">
        <f>'KEEI BAU - Industry'!AL$40*'Others Split'!$G$10</f>
        <v>288577424541.97717</v>
      </c>
      <c r="Y8" s="16">
        <f>'KEEI BAU - Industry'!AM$40*'Others Split'!$G$10</f>
        <v>286277104340.09521</v>
      </c>
      <c r="Z8" s="16">
        <f>'KEEI BAU - Industry'!AN$40*'Others Split'!$G$10</f>
        <v>283976784138.21326</v>
      </c>
      <c r="AA8" s="16">
        <f>'KEEI BAU - Industry'!AO$40*'Others Split'!$G$10</f>
        <v>281676463936.3313</v>
      </c>
      <c r="AB8" s="16">
        <f>'KEEI BAU - Industry'!AP$40*'Others Split'!$G$10</f>
        <v>279376143734.44934</v>
      </c>
      <c r="AC8" s="16">
        <f>'KEEI BAU - Industry'!AQ$40*'Others Split'!$G$10</f>
        <v>277075823532.56732</v>
      </c>
      <c r="AD8" s="16">
        <f>'KEEI BAU - Industry'!AR$40*'Others Split'!$G$10</f>
        <v>274775503330.68539</v>
      </c>
      <c r="AE8" s="16">
        <f>'KEEI BAU - Industry'!AS$40*'Others Split'!$G$10</f>
        <v>272475183128.80341</v>
      </c>
      <c r="AF8" s="16">
        <f>'KEEI BAU - Industry'!AT$40*'Others Split'!$G$10</f>
        <v>270174862926.92145</v>
      </c>
    </row>
    <row r="9" spans="1:35">
      <c r="A9" t="s">
        <v>42</v>
      </c>
      <c r="B9" s="16" cm="1">
        <f t="array" ref="B9">TREND($G9:$L9,$G$1:$L$1,B$1)</f>
        <v>3446644180603.9297</v>
      </c>
      <c r="C9" s="16" cm="1">
        <f t="array" ref="C9">TREND($G9:$L9,$G$1:$L$1,C$1)</f>
        <v>3417311038641.3438</v>
      </c>
      <c r="D9" s="16" cm="1">
        <f t="array" ref="D9">TREND($G9:$L9,$G$1:$L$1,D$1)</f>
        <v>3387977896678.7578</v>
      </c>
      <c r="E9" s="16" cm="1">
        <f t="array" ref="E9">TREND($G9:$L9,$G$1:$L$1,E$1)</f>
        <v>3358644754716.1719</v>
      </c>
      <c r="F9" s="16" cm="1">
        <f t="array" ref="F9">TREND($G9:$L9,$G$1:$L$1,F$1)</f>
        <v>3329311612753.5859</v>
      </c>
      <c r="G9" s="16">
        <f>'KEEI BAU - Industry'!U$40*'Others Split'!$G$11</f>
        <v>3299978470790.9995</v>
      </c>
      <c r="H9" s="16">
        <f>'KEEI BAU - Industry'!V$40*'Others Split'!$G$11</f>
        <v>3270645328828.4126</v>
      </c>
      <c r="I9" s="16">
        <f>'KEEI BAU - Industry'!W$40*'Others Split'!$G$11</f>
        <v>3241312186865.8262</v>
      </c>
      <c r="J9" s="16">
        <f>'KEEI BAU - Industry'!X$40*'Others Split'!$G$11</f>
        <v>3211979044903.2397</v>
      </c>
      <c r="K9" s="16">
        <f>'KEEI BAU - Industry'!Y$40*'Others Split'!$G$11</f>
        <v>3182645902940.6528</v>
      </c>
      <c r="L9" s="16">
        <f>'KEEI BAU - Industry'!Z$40*'Others Split'!$G$11</f>
        <v>3153312760978.0664</v>
      </c>
      <c r="M9" s="16">
        <f>'KEEI BAU - Industry'!AA$40*'Others Split'!$G$11</f>
        <v>3155757189474.9482</v>
      </c>
      <c r="N9" s="16">
        <f>'KEEI BAU - Industry'!AB$40*'Others Split'!$G$11</f>
        <v>3158201617971.8306</v>
      </c>
      <c r="O9" s="16">
        <f>'KEEI BAU - Industry'!AC$40*'Others Split'!$G$11</f>
        <v>3160646046468.7129</v>
      </c>
      <c r="P9" s="16">
        <f>'KEEI BAU - Industry'!AD$40*'Others Split'!$G$11</f>
        <v>3163090474965.5952</v>
      </c>
      <c r="Q9" s="16">
        <f>'KEEI BAU - Industry'!AE$40*'Others Split'!$G$11</f>
        <v>3165534903462.4775</v>
      </c>
      <c r="R9" s="16">
        <f>'KEEI BAU - Industry'!AF$40*'Others Split'!$G$11</f>
        <v>3167979331959.3594</v>
      </c>
      <c r="S9" s="16">
        <f>'KEEI BAU - Industry'!AG$40*'Others Split'!$G$11</f>
        <v>3170423760456.2417</v>
      </c>
      <c r="T9" s="16">
        <f>'KEEI BAU - Industry'!AH$40*'Others Split'!$G$11</f>
        <v>3172868188953.124</v>
      </c>
      <c r="U9" s="16">
        <f>'KEEI BAU - Industry'!AI$40*'Others Split'!$G$11</f>
        <v>3175312617450.0063</v>
      </c>
      <c r="V9" s="16">
        <f>'KEEI BAU - Industry'!AJ$40*'Others Split'!$G$11</f>
        <v>3177757045946.8882</v>
      </c>
      <c r="W9" s="16">
        <f>'KEEI BAU - Industry'!AK$40*'Others Split'!$G$11</f>
        <v>3152823875278.6899</v>
      </c>
      <c r="X9" s="16">
        <f>'KEEI BAU - Industry'!AL$40*'Others Split'!$G$11</f>
        <v>3127890704610.4912</v>
      </c>
      <c r="Y9" s="16">
        <f>'KEEI BAU - Industry'!AM$40*'Others Split'!$G$11</f>
        <v>3102957533942.2925</v>
      </c>
      <c r="Z9" s="16">
        <f>'KEEI BAU - Industry'!AN$40*'Others Split'!$G$11</f>
        <v>3078024363274.0938</v>
      </c>
      <c r="AA9" s="16">
        <f>'KEEI BAU - Industry'!AO$40*'Others Split'!$G$11</f>
        <v>3053091192605.895</v>
      </c>
      <c r="AB9" s="16">
        <f>'KEEI BAU - Industry'!AP$40*'Others Split'!$G$11</f>
        <v>3028158021937.6963</v>
      </c>
      <c r="AC9" s="16">
        <f>'KEEI BAU - Industry'!AQ$40*'Others Split'!$G$11</f>
        <v>3003224851269.4976</v>
      </c>
      <c r="AD9" s="16">
        <f>'KEEI BAU - Industry'!AR$40*'Others Split'!$G$11</f>
        <v>2978291680601.2993</v>
      </c>
      <c r="AE9" s="16">
        <f>'KEEI BAU - Industry'!AS$40*'Others Split'!$G$11</f>
        <v>2953358509933.1006</v>
      </c>
      <c r="AF9" s="16">
        <f>'KEEI BAU - Industry'!AT$40*'Others Split'!$G$11</f>
        <v>2928425339264.9019</v>
      </c>
    </row>
    <row r="10" spans="1:35">
      <c r="A10" t="s">
        <v>44</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47</v>
      </c>
      <c r="B11" s="16" cm="1">
        <f t="array" ref="B11">TREND($G11:$L11,$G$1:$L$1,B$1)</f>
        <v>24035159141964</v>
      </c>
      <c r="C11" s="16" cm="1">
        <f t="array" ref="C11">TREND($G11:$L11,$G$1:$L$1,C$1)</f>
        <v>27508958402639</v>
      </c>
      <c r="D11" s="16" cm="1">
        <f t="array" ref="D11">TREND($G11:$L11,$G$1:$L$1,D$1)</f>
        <v>30982757663313</v>
      </c>
      <c r="E11" s="16" cm="1">
        <f t="array" ref="E11">TREND($G11:$L11,$G$1:$L$1,E$1)</f>
        <v>34456556923987</v>
      </c>
      <c r="F11" s="16" cm="1">
        <f t="array" ref="F11">TREND($G11:$L11,$G$1:$L$1,F$1)</f>
        <v>37930356184661</v>
      </c>
      <c r="G11" s="16">
        <f>'KEEI BAU - Industry'!U$12*'Petrochemicals Split'!$G$6</f>
        <v>41404155445336.57</v>
      </c>
      <c r="H11" s="16">
        <f>'KEEI BAU - Industry'!V$12*'Petrochemicals Split'!$G$6</f>
        <v>44877954706010.883</v>
      </c>
      <c r="I11" s="16">
        <f>'KEEI BAU - Industry'!W$12*'Petrochemicals Split'!$G$6</f>
        <v>48351753966685.195</v>
      </c>
      <c r="J11" s="16">
        <f>'KEEI BAU - Industry'!X$12*'Petrochemicals Split'!$G$6</f>
        <v>51825553227359.508</v>
      </c>
      <c r="K11" s="16">
        <f>'KEEI BAU - Industry'!Y$12*'Petrochemicals Split'!$G$6</f>
        <v>55299352488033.82</v>
      </c>
      <c r="L11" s="16">
        <f>'KEEI BAU - Industry'!Z$12*'Petrochemicals Split'!$G$6</f>
        <v>58773151748708.133</v>
      </c>
      <c r="M11" s="16">
        <f>'KEEI BAU - Industry'!AA$12*'Petrochemicals Split'!$G$6</f>
        <v>59738862424828.875</v>
      </c>
      <c r="N11" s="16">
        <f>'KEEI BAU - Industry'!AB$12*'Petrochemicals Split'!$G$6</f>
        <v>60704573100949.609</v>
      </c>
      <c r="O11" s="16">
        <f>'KEEI BAU - Industry'!AC$12*'Petrochemicals Split'!$G$6</f>
        <v>61670283777070.352</v>
      </c>
      <c r="P11" s="16">
        <f>'KEEI BAU - Industry'!AD$12*'Petrochemicals Split'!$G$6</f>
        <v>62635994453191.086</v>
      </c>
      <c r="Q11" s="16">
        <f>'KEEI BAU - Industry'!AE$12*'Petrochemicals Split'!$G$6</f>
        <v>63601705129311.828</v>
      </c>
      <c r="R11" s="16">
        <f>'KEEI BAU - Industry'!AF$12*'Petrochemicals Split'!$G$6</f>
        <v>64567415805432.563</v>
      </c>
      <c r="S11" s="16">
        <f>'KEEI BAU - Industry'!AG$12*'Petrochemicals Split'!$G$6</f>
        <v>65533126481553.305</v>
      </c>
      <c r="T11" s="16">
        <f>'KEEI BAU - Industry'!AH$12*'Petrochemicals Split'!$G$6</f>
        <v>66498837157674.039</v>
      </c>
      <c r="U11" s="16">
        <f>'KEEI BAU - Industry'!AI$12*'Petrochemicals Split'!$G$6</f>
        <v>67464547833794.781</v>
      </c>
      <c r="V11" s="16">
        <f>'KEEI BAU - Industry'!AJ$12*'Petrochemicals Split'!$G$6</f>
        <v>68430258509915.516</v>
      </c>
      <c r="W11" s="16">
        <f>'KEEI BAU - Industry'!AK$12*'Petrochemicals Split'!$G$6</f>
        <v>69077284662916.414</v>
      </c>
      <c r="X11" s="16">
        <f>'KEEI BAU - Industry'!AL$12*'Petrochemicals Split'!$G$6</f>
        <v>69724310815917.305</v>
      </c>
      <c r="Y11" s="16">
        <f>'KEEI BAU - Industry'!AM$12*'Petrochemicals Split'!$G$6</f>
        <v>70371336968918.203</v>
      </c>
      <c r="Z11" s="16">
        <f>'KEEI BAU - Industry'!AN$12*'Petrochemicals Split'!$G$6</f>
        <v>71018363121919.094</v>
      </c>
      <c r="AA11" s="16">
        <f>'KEEI BAU - Industry'!AO$12*'Petrochemicals Split'!$G$6</f>
        <v>71665389274919.984</v>
      </c>
      <c r="AB11" s="16">
        <f>'KEEI BAU - Industry'!AP$12*'Petrochemicals Split'!$G$6</f>
        <v>72312415427920.891</v>
      </c>
      <c r="AC11" s="16">
        <f>'KEEI BAU - Industry'!AQ$12*'Petrochemicals Split'!$G$6</f>
        <v>72959441580921.781</v>
      </c>
      <c r="AD11" s="16">
        <f>'KEEI BAU - Industry'!AR$12*'Petrochemicals Split'!$G$6</f>
        <v>73606467733922.672</v>
      </c>
      <c r="AE11" s="16">
        <f>'KEEI BAU - Industry'!AS$12*'Petrochemicals Split'!$G$6</f>
        <v>74253493886923.563</v>
      </c>
      <c r="AF11" s="16">
        <f>'KEEI BAU - Industry'!AT$12*'Petrochemicals Split'!$G$6</f>
        <v>74900520039924.469</v>
      </c>
    </row>
    <row r="12" spans="1:35">
      <c r="A12" t="s">
        <v>51</v>
      </c>
      <c r="B12" s="16" cm="1">
        <f t="array" ref="B12">TREND($G12:$L12,$G$1:$L$1,B$1)</f>
        <v>25314731950666</v>
      </c>
      <c r="C12" s="16" cm="1">
        <f t="array" ref="C12">TREND($G12:$L12,$G$1:$L$1,C$1)</f>
        <v>28973467747461</v>
      </c>
      <c r="D12" s="16" cm="1">
        <f t="array" ref="D12">TREND($G12:$L12,$G$1:$L$1,D$1)</f>
        <v>32632203544257</v>
      </c>
      <c r="E12" s="16" cm="1">
        <f t="array" ref="E12">TREND($G12:$L12,$G$1:$L$1,E$1)</f>
        <v>36290939341053</v>
      </c>
      <c r="F12" s="16" cm="1">
        <f t="array" ref="F12">TREND($G12:$L12,$G$1:$L$1,F$1)</f>
        <v>39949675137849</v>
      </c>
      <c r="G12" s="16">
        <f>'KEEI BAU - Industry'!U$12*'Petrochemicals Split'!$G$7</f>
        <v>43608410934643.43</v>
      </c>
      <c r="H12" s="16">
        <f>'KEEI BAU - Industry'!V$12*'Petrochemicals Split'!$G$7</f>
        <v>47267146731439.117</v>
      </c>
      <c r="I12" s="16">
        <f>'KEEI BAU - Industry'!W$12*'Petrochemicals Split'!$G$7</f>
        <v>50925882528234.805</v>
      </c>
      <c r="J12" s="16">
        <f>'KEEI BAU - Industry'!X$12*'Petrochemicals Split'!$G$7</f>
        <v>54584618325030.492</v>
      </c>
      <c r="K12" s="16">
        <f>'KEEI BAU - Industry'!Y$12*'Petrochemicals Split'!$G$7</f>
        <v>58243354121826.18</v>
      </c>
      <c r="L12" s="16">
        <f>'KEEI BAU - Industry'!Z$12*'Petrochemicals Split'!$G$7</f>
        <v>61902089918621.867</v>
      </c>
      <c r="M12" s="16">
        <f>'KEEI BAU - Industry'!AA$12*'Petrochemicals Split'!$G$7</f>
        <v>62919212658001.125</v>
      </c>
      <c r="N12" s="16">
        <f>'KEEI BAU - Industry'!AB$12*'Petrochemicals Split'!$G$7</f>
        <v>63936335397380.391</v>
      </c>
      <c r="O12" s="16">
        <f>'KEEI BAU - Industry'!AC$12*'Petrochemicals Split'!$G$7</f>
        <v>64953458136759.648</v>
      </c>
      <c r="P12" s="16">
        <f>'KEEI BAU - Industry'!AD$12*'Petrochemicals Split'!$G$7</f>
        <v>65970580876138.914</v>
      </c>
      <c r="Q12" s="16">
        <f>'KEEI BAU - Industry'!AE$12*'Petrochemicals Split'!$G$7</f>
        <v>66987703615518.172</v>
      </c>
      <c r="R12" s="16">
        <f>'KEEI BAU - Industry'!AF$12*'Petrochemicals Split'!$G$7</f>
        <v>68004826354897.438</v>
      </c>
      <c r="S12" s="16">
        <f>'KEEI BAU - Industry'!AG$12*'Petrochemicals Split'!$G$7</f>
        <v>69021949094276.695</v>
      </c>
      <c r="T12" s="16">
        <f>'KEEI BAU - Industry'!AH$12*'Petrochemicals Split'!$G$7</f>
        <v>70039071833655.961</v>
      </c>
      <c r="U12" s="16">
        <f>'KEEI BAU - Industry'!AI$12*'Petrochemicals Split'!$G$7</f>
        <v>71056194573035.219</v>
      </c>
      <c r="V12" s="16">
        <f>'KEEI BAU - Industry'!AJ$12*'Petrochemicals Split'!$G$7</f>
        <v>72073317312414.484</v>
      </c>
      <c r="W12" s="16">
        <f>'KEEI BAU - Industry'!AK$12*'Petrochemicals Split'!$G$7</f>
        <v>72754789547798.594</v>
      </c>
      <c r="X12" s="16">
        <f>'KEEI BAU - Industry'!AL$12*'Petrochemicals Split'!$G$7</f>
        <v>73436261783182.688</v>
      </c>
      <c r="Y12" s="16">
        <f>'KEEI BAU - Industry'!AM$12*'Petrochemicals Split'!$G$7</f>
        <v>74117734018566.797</v>
      </c>
      <c r="Z12" s="16">
        <f>'KEEI BAU - Industry'!AN$12*'Petrochemicals Split'!$G$7</f>
        <v>74799206253950.906</v>
      </c>
      <c r="AA12" s="16">
        <f>'KEEI BAU - Industry'!AO$12*'Petrochemicals Split'!$G$7</f>
        <v>75480678489335.016</v>
      </c>
      <c r="AB12" s="16">
        <f>'KEEI BAU - Industry'!AP$12*'Petrochemicals Split'!$G$7</f>
        <v>76162150724719.109</v>
      </c>
      <c r="AC12" s="16">
        <f>'KEEI BAU - Industry'!AQ$12*'Petrochemicals Split'!$G$7</f>
        <v>76843622960103.219</v>
      </c>
      <c r="AD12" s="16">
        <f>'KEEI BAU - Industry'!AR$12*'Petrochemicals Split'!$G$7</f>
        <v>77525095195487.328</v>
      </c>
      <c r="AE12" s="16">
        <f>'KEEI BAU - Industry'!AS$12*'Petrochemicals Split'!$G$7</f>
        <v>78206567430871.438</v>
      </c>
      <c r="AF12" s="16">
        <f>'KEEI BAU - Industry'!AT$12*'Petrochemicals Split'!$G$7</f>
        <v>78888039666255.531</v>
      </c>
    </row>
    <row r="13" spans="1:35">
      <c r="A13" t="s">
        <v>53</v>
      </c>
      <c r="B13" s="16" cm="1">
        <f t="array" ref="B13">TREND($G13:$L13,$G$1:$L$1,B$1)</f>
        <v>2759434661805.75</v>
      </c>
      <c r="C13" s="16" cm="1">
        <f t="array" ref="C13">TREND($G13:$L13,$G$1:$L$1,C$1)</f>
        <v>2735950111492.5078</v>
      </c>
      <c r="D13" s="16" cm="1">
        <f t="array" ref="D13">TREND($G13:$L13,$G$1:$L$1,D$1)</f>
        <v>2712465561179.2656</v>
      </c>
      <c r="E13" s="16" cm="1">
        <f t="array" ref="E13">TREND($G13:$L13,$G$1:$L$1,E$1)</f>
        <v>2688981010866.0234</v>
      </c>
      <c r="F13" s="16" cm="1">
        <f t="array" ref="F13">TREND($G13:$L13,$G$1:$L$1,F$1)</f>
        <v>2665496460552.7891</v>
      </c>
      <c r="G13" s="16">
        <f>'KEEI BAU - Industry'!U$40*'Others Split'!$G$12</f>
        <v>2642011910239.5454</v>
      </c>
      <c r="H13" s="16">
        <f>'KEEI BAU - Industry'!V$40*'Others Split'!$G$12</f>
        <v>2618527359926.3052</v>
      </c>
      <c r="I13" s="16">
        <f>'KEEI BAU - Industry'!W$40*'Others Split'!$G$12</f>
        <v>2595042809613.0645</v>
      </c>
      <c r="J13" s="16">
        <f>'KEEI BAU - Industry'!X$40*'Others Split'!$G$12</f>
        <v>2571558259299.8242</v>
      </c>
      <c r="K13" s="16">
        <f>'KEEI BAU - Industry'!Y$40*'Others Split'!$G$12</f>
        <v>2548073708986.584</v>
      </c>
      <c r="L13" s="16">
        <f>'KEEI BAU - Industry'!Z$40*'Others Split'!$G$12</f>
        <v>2524589158673.3433</v>
      </c>
      <c r="M13" s="16">
        <f>'KEEI BAU - Industry'!AA$40*'Others Split'!$G$12</f>
        <v>2526546204532.7803</v>
      </c>
      <c r="N13" s="16">
        <f>'KEEI BAU - Industry'!AB$40*'Others Split'!$G$12</f>
        <v>2528503250392.2168</v>
      </c>
      <c r="O13" s="16">
        <f>'KEEI BAU - Industry'!AC$40*'Others Split'!$G$12</f>
        <v>2530460296251.6533</v>
      </c>
      <c r="P13" s="16">
        <f>'KEEI BAU - Industry'!AD$40*'Others Split'!$G$12</f>
        <v>2532417342111.0903</v>
      </c>
      <c r="Q13" s="16">
        <f>'KEEI BAU - Industry'!AE$40*'Others Split'!$G$12</f>
        <v>2534374387970.5269</v>
      </c>
      <c r="R13" s="16">
        <f>'KEEI BAU - Industry'!AF$40*'Others Split'!$G$12</f>
        <v>2536331433829.9634</v>
      </c>
      <c r="S13" s="16">
        <f>'KEEI BAU - Industry'!AG$40*'Others Split'!$G$12</f>
        <v>2538288479689.4004</v>
      </c>
      <c r="T13" s="16">
        <f>'KEEI BAU - Industry'!AH$40*'Others Split'!$G$12</f>
        <v>2540245525548.8369</v>
      </c>
      <c r="U13" s="16">
        <f>'KEEI BAU - Industry'!AI$40*'Others Split'!$G$12</f>
        <v>2542202571408.2734</v>
      </c>
      <c r="V13" s="16">
        <f>'KEEI BAU - Industry'!AJ$40*'Others Split'!$G$12</f>
        <v>2544159617267.7104</v>
      </c>
      <c r="W13" s="16">
        <f>'KEEI BAU - Industry'!AK$40*'Others Split'!$G$12</f>
        <v>2524197749501.4561</v>
      </c>
      <c r="X13" s="16">
        <f>'KEEI BAU - Industry'!AL$40*'Others Split'!$G$12</f>
        <v>2504235881735.2017</v>
      </c>
      <c r="Y13" s="16">
        <f>'KEEI BAU - Industry'!AM$40*'Others Split'!$G$12</f>
        <v>2484274013968.9473</v>
      </c>
      <c r="Z13" s="16">
        <f>'KEEI BAU - Industry'!AN$40*'Others Split'!$G$12</f>
        <v>2464312146202.6929</v>
      </c>
      <c r="AA13" s="16">
        <f>'KEEI BAU - Industry'!AO$40*'Others Split'!$G$12</f>
        <v>2444350278436.4385</v>
      </c>
      <c r="AB13" s="16">
        <f>'KEEI BAU - Industry'!AP$40*'Others Split'!$G$12</f>
        <v>2424388410670.1841</v>
      </c>
      <c r="AC13" s="16">
        <f>'KEEI BAU - Industry'!AQ$40*'Others Split'!$G$12</f>
        <v>2404426542903.9302</v>
      </c>
      <c r="AD13" s="16">
        <f>'KEEI BAU - Industry'!AR$40*'Others Split'!$G$12</f>
        <v>2384464675137.6758</v>
      </c>
      <c r="AE13" s="16">
        <f>'KEEI BAU - Industry'!AS$40*'Others Split'!$G$12</f>
        <v>2364502807371.4214</v>
      </c>
      <c r="AF13" s="16">
        <f>'KEEI BAU - Industry'!AT$40*'Others Split'!$G$12</f>
        <v>2344540939605.167</v>
      </c>
    </row>
    <row r="14" spans="1:35">
      <c r="A14" t="s">
        <v>56</v>
      </c>
      <c r="B14" s="16" cm="1">
        <f t="array" ref="B14">TREND($G14:$L14,$G$1:$L$1,B$1)</f>
        <v>4286522042160.1563</v>
      </c>
      <c r="C14" s="16" cm="1">
        <f t="array" ref="C14">TREND($G14:$L14,$G$1:$L$1,C$1)</f>
        <v>4250041003503.4844</v>
      </c>
      <c r="D14" s="16" cm="1">
        <f t="array" ref="D14">TREND($G14:$L14,$G$1:$L$1,D$1)</f>
        <v>4213559964846.7969</v>
      </c>
      <c r="E14" s="16" cm="1">
        <f t="array" ref="E14">TREND($G14:$L14,$G$1:$L$1,E$1)</f>
        <v>4177078926190.1094</v>
      </c>
      <c r="F14" s="16" cm="1">
        <f t="array" ref="F14">TREND($G14:$L14,$G$1:$L$1,F$1)</f>
        <v>4140597887533.4375</v>
      </c>
      <c r="G14" s="16">
        <f>'KEEI BAU - Industry'!U$40*'Others Split'!$G$13</f>
        <v>4104116848876.7461</v>
      </c>
      <c r="H14" s="16">
        <f>'KEEI BAU - Industry'!V$40*'Others Split'!$G$13</f>
        <v>4067635810220.064</v>
      </c>
      <c r="I14" s="16">
        <f>'KEEI BAU - Industry'!W$40*'Others Split'!$G$13</f>
        <v>4031154771563.3818</v>
      </c>
      <c r="J14" s="16">
        <f>'KEEI BAU - Industry'!X$40*'Others Split'!$G$13</f>
        <v>3994673732906.6997</v>
      </c>
      <c r="K14" s="16">
        <f>'KEEI BAU - Industry'!Y$40*'Others Split'!$G$13</f>
        <v>3958192694250.0176</v>
      </c>
      <c r="L14" s="16">
        <f>'KEEI BAU - Industry'!Z$40*'Others Split'!$G$13</f>
        <v>3921711655593.3354</v>
      </c>
      <c r="M14" s="16">
        <f>'KEEI BAU - Industry'!AA$40*'Others Split'!$G$13</f>
        <v>3924751742148.0591</v>
      </c>
      <c r="N14" s="16">
        <f>'KEEI BAU - Industry'!AB$40*'Others Split'!$G$13</f>
        <v>3927791828702.7822</v>
      </c>
      <c r="O14" s="16">
        <f>'KEEI BAU - Industry'!AC$40*'Others Split'!$G$13</f>
        <v>3930831915257.5059</v>
      </c>
      <c r="P14" s="16">
        <f>'KEEI BAU - Industry'!AD$40*'Others Split'!$G$13</f>
        <v>3933872001812.2295</v>
      </c>
      <c r="Q14" s="16">
        <f>'KEEI BAU - Industry'!AE$40*'Others Split'!$G$13</f>
        <v>3936912088366.9531</v>
      </c>
      <c r="R14" s="16">
        <f>'KEEI BAU - Industry'!AF$40*'Others Split'!$G$13</f>
        <v>3939952174921.6763</v>
      </c>
      <c r="S14" s="16">
        <f>'KEEI BAU - Industry'!AG$40*'Others Split'!$G$13</f>
        <v>3942992261476.3999</v>
      </c>
      <c r="T14" s="16">
        <f>'KEEI BAU - Industry'!AH$40*'Others Split'!$G$13</f>
        <v>3946032348031.1235</v>
      </c>
      <c r="U14" s="16">
        <f>'KEEI BAU - Industry'!AI$40*'Others Split'!$G$13</f>
        <v>3949072434585.8472</v>
      </c>
      <c r="V14" s="16">
        <f>'KEEI BAU - Industry'!AJ$40*'Others Split'!$G$13</f>
        <v>3952112521140.5703</v>
      </c>
      <c r="W14" s="16">
        <f>'KEEI BAU - Industry'!AK$40*'Others Split'!$G$13</f>
        <v>3921103638282.3906</v>
      </c>
      <c r="X14" s="16">
        <f>'KEEI BAU - Industry'!AL$40*'Others Split'!$G$13</f>
        <v>3890094755424.2109</v>
      </c>
      <c r="Y14" s="16">
        <f>'KEEI BAU - Industry'!AM$40*'Others Split'!$G$13</f>
        <v>3859085872566.0308</v>
      </c>
      <c r="Z14" s="16">
        <f>'KEEI BAU - Industry'!AN$40*'Others Split'!$G$13</f>
        <v>3828076989707.8511</v>
      </c>
      <c r="AA14" s="16">
        <f>'KEEI BAU - Industry'!AO$40*'Others Split'!$G$13</f>
        <v>3797068106849.6714</v>
      </c>
      <c r="AB14" s="16">
        <f>'KEEI BAU - Industry'!AP$40*'Others Split'!$G$13</f>
        <v>3766059223991.4912</v>
      </c>
      <c r="AC14" s="16">
        <f>'KEEI BAU - Industry'!AQ$40*'Others Split'!$G$13</f>
        <v>3735050341133.3115</v>
      </c>
      <c r="AD14" s="16">
        <f>'KEEI BAU - Industry'!AR$40*'Others Split'!$G$13</f>
        <v>3704041458275.1318</v>
      </c>
      <c r="AE14" s="16">
        <f>'KEEI BAU - Industry'!AS$40*'Others Split'!$G$13</f>
        <v>3673032575416.9517</v>
      </c>
      <c r="AF14" s="16">
        <f>'KEEI BAU - Industry'!AT$40*'Others Split'!$G$13</f>
        <v>3642023692558.772</v>
      </c>
    </row>
    <row r="15" spans="1:35">
      <c r="A15" t="s">
        <v>58</v>
      </c>
      <c r="B15" s="16" cm="1">
        <f t="array" ref="B15">TREND($G15:$L15,$G$1:$L$1,B$1)</f>
        <v>83805870615690</v>
      </c>
      <c r="C15" s="16" cm="1">
        <f t="array" ref="C15">TREND($G15:$L15,$G$1:$L$1,C$1)</f>
        <v>84225098252110</v>
      </c>
      <c r="D15" s="16" cm="1">
        <f t="array" ref="D15">TREND($G15:$L15,$G$1:$L$1,D$1)</f>
        <v>84644325888530</v>
      </c>
      <c r="E15" s="16" cm="1">
        <f t="array" ref="E15">TREND($G15:$L15,$G$1:$L$1,E$1)</f>
        <v>85063553524950</v>
      </c>
      <c r="F15" s="16" cm="1">
        <f t="array" ref="F15">TREND($G15:$L15,$G$1:$L$1,F$1)</f>
        <v>85482781161370</v>
      </c>
      <c r="G15" s="16">
        <f>'KEEI BAU - Industry'!U26</f>
        <v>85902008797790</v>
      </c>
      <c r="H15" s="16">
        <f>'KEEI BAU - Industry'!V26</f>
        <v>86321236434210</v>
      </c>
      <c r="I15" s="16">
        <f>'KEEI BAU - Industry'!W26</f>
        <v>86740464070630</v>
      </c>
      <c r="J15" s="16">
        <f>'KEEI BAU - Industry'!X26</f>
        <v>87159691707050</v>
      </c>
      <c r="K15" s="16">
        <f>'KEEI BAU - Industry'!Y26</f>
        <v>87578919343470</v>
      </c>
      <c r="L15" s="16">
        <f>'KEEI BAU - Industry'!Z26</f>
        <v>87998146979890</v>
      </c>
      <c r="M15" s="16">
        <f>'KEEI BAU - Industry'!AA26</f>
        <v>87891073975453</v>
      </c>
      <c r="N15" s="16">
        <f>'KEEI BAU - Industry'!AB26</f>
        <v>87784000971016</v>
      </c>
      <c r="O15" s="16">
        <f>'KEEI BAU - Industry'!AC26</f>
        <v>87676927966579</v>
      </c>
      <c r="P15" s="16">
        <f>'KEEI BAU - Industry'!AD26</f>
        <v>87569854962142</v>
      </c>
      <c r="Q15" s="16">
        <f>'KEEI BAU - Industry'!AE26</f>
        <v>87462781957705</v>
      </c>
      <c r="R15" s="16">
        <f>'KEEI BAU - Industry'!AF26</f>
        <v>87355708953268</v>
      </c>
      <c r="S15" s="16">
        <f>'KEEI BAU - Industry'!AG26</f>
        <v>87248635948831</v>
      </c>
      <c r="T15" s="16">
        <f>'KEEI BAU - Industry'!AH26</f>
        <v>87141562944394</v>
      </c>
      <c r="U15" s="16">
        <f>'KEEI BAU - Industry'!AI26</f>
        <v>87034489939957</v>
      </c>
      <c r="V15" s="16">
        <f>'KEEI BAU - Industry'!AJ26</f>
        <v>86927416935520</v>
      </c>
      <c r="W15" s="16">
        <f>'KEEI BAU - Industry'!AK26</f>
        <v>86277047575236</v>
      </c>
      <c r="X15" s="16">
        <f>'KEEI BAU - Industry'!AL26</f>
        <v>85626678214952</v>
      </c>
      <c r="Y15" s="16">
        <f>'KEEI BAU - Industry'!AM26</f>
        <v>84976308854668</v>
      </c>
      <c r="Z15" s="16">
        <f>'KEEI BAU - Industry'!AN26</f>
        <v>84325939494384</v>
      </c>
      <c r="AA15" s="16">
        <f>'KEEI BAU - Industry'!AO26</f>
        <v>83675570134100</v>
      </c>
      <c r="AB15" s="16">
        <f>'KEEI BAU - Industry'!AP26</f>
        <v>83025200773816</v>
      </c>
      <c r="AC15" s="16">
        <f>'KEEI BAU - Industry'!AQ26</f>
        <v>82374831413532</v>
      </c>
      <c r="AD15" s="16">
        <f>'KEEI BAU - Industry'!AR26</f>
        <v>81724462053248</v>
      </c>
      <c r="AE15" s="16">
        <f>'KEEI BAU - Industry'!AS26</f>
        <v>81074092692964</v>
      </c>
      <c r="AF15" s="16">
        <f>'KEEI BAU - Industry'!AT26</f>
        <v>80423723332680</v>
      </c>
    </row>
    <row r="16" spans="1:35">
      <c r="A16" t="s">
        <v>61</v>
      </c>
      <c r="B16" s="16" cm="1">
        <f t="array" ref="B16">TREND($G16:$L16,$G$1:$L$1,B$1)</f>
        <v>6355679785363.875</v>
      </c>
      <c r="C16" s="16" cm="1">
        <f t="array" ref="C16">TREND($G16:$L16,$G$1:$L$1,C$1)</f>
        <v>6893628603388.125</v>
      </c>
      <c r="D16" s="16" cm="1">
        <f t="array" ref="D16">TREND($G16:$L16,$G$1:$L$1,D$1)</f>
        <v>7431577421412.375</v>
      </c>
      <c r="E16" s="16" cm="1">
        <f t="array" ref="E16">TREND($G16:$L16,$G$1:$L$1,E$1)</f>
        <v>7969526239436.625</v>
      </c>
      <c r="F16" s="16" cm="1">
        <f t="array" ref="F16">TREND($G16:$L16,$G$1:$L$1,F$1)</f>
        <v>8507475057460.875</v>
      </c>
      <c r="G16" s="16">
        <f>'KEEI BAU - Industry'!U$19*'Non-ferrous Metals Split'!$G$6</f>
        <v>9045423875485.1621</v>
      </c>
      <c r="H16" s="16">
        <f>'KEEI BAU - Industry'!V$19*'Non-ferrous Metals Split'!$G$6</f>
        <v>9583372693509.4023</v>
      </c>
      <c r="I16" s="16">
        <f>'KEEI BAU - Industry'!W$19*'Non-ferrous Metals Split'!$G$6</f>
        <v>10121321511533.641</v>
      </c>
      <c r="J16" s="16">
        <f>'KEEI BAU - Industry'!X$19*'Non-ferrous Metals Split'!$G$6</f>
        <v>10659270329557.881</v>
      </c>
      <c r="K16" s="16">
        <f>'KEEI BAU - Industry'!Y$19*'Non-ferrous Metals Split'!$G$6</f>
        <v>11197219147582.119</v>
      </c>
      <c r="L16" s="16">
        <f>'KEEI BAU - Industry'!Z$19*'Non-ferrous Metals Split'!$G$6</f>
        <v>11735167965606.359</v>
      </c>
      <c r="M16" s="16">
        <f>'KEEI BAU - Industry'!AA$19*'Non-ferrous Metals Split'!$G$6</f>
        <v>11767630394280.234</v>
      </c>
      <c r="N16" s="16">
        <f>'KEEI BAU - Industry'!AB$19*'Non-ferrous Metals Split'!$G$6</f>
        <v>11800092822954.111</v>
      </c>
      <c r="O16" s="16">
        <f>'KEEI BAU - Industry'!AC$19*'Non-ferrous Metals Split'!$G$6</f>
        <v>11832555251627.988</v>
      </c>
      <c r="P16" s="16">
        <f>'KEEI BAU - Industry'!AD$19*'Non-ferrous Metals Split'!$G$6</f>
        <v>11865017680301.865</v>
      </c>
      <c r="Q16" s="16">
        <f>'KEEI BAU - Industry'!AE$19*'Non-ferrous Metals Split'!$G$6</f>
        <v>11897480108975.742</v>
      </c>
      <c r="R16" s="16">
        <f>'KEEI BAU - Industry'!AF$19*'Non-ferrous Metals Split'!$G$6</f>
        <v>11929942537649.617</v>
      </c>
      <c r="S16" s="16">
        <f>'KEEI BAU - Industry'!AG$19*'Non-ferrous Metals Split'!$G$6</f>
        <v>11962404966323.494</v>
      </c>
      <c r="T16" s="16">
        <f>'KEEI BAU - Industry'!AH$19*'Non-ferrous Metals Split'!$G$6</f>
        <v>11994867394997.371</v>
      </c>
      <c r="U16" s="16">
        <f>'KEEI BAU - Industry'!AI$19*'Non-ferrous Metals Split'!$G$6</f>
        <v>12027329823671.248</v>
      </c>
      <c r="V16" s="16">
        <f>'KEEI BAU - Industry'!AJ$19*'Non-ferrous Metals Split'!$G$6</f>
        <v>12059792252345.123</v>
      </c>
      <c r="W16" s="16">
        <f>'KEEI BAU - Industry'!AK$19*'Non-ferrous Metals Split'!$G$6</f>
        <v>11926696294782.23</v>
      </c>
      <c r="X16" s="16">
        <f>'KEEI BAU - Industry'!AL$19*'Non-ferrous Metals Split'!$G$6</f>
        <v>11793600337219.336</v>
      </c>
      <c r="Y16" s="16">
        <f>'KEEI BAU - Industry'!AM$19*'Non-ferrous Metals Split'!$G$6</f>
        <v>11660504379656.443</v>
      </c>
      <c r="Z16" s="16">
        <f>'KEEI BAU - Industry'!AN$19*'Non-ferrous Metals Split'!$G$6</f>
        <v>11527408422093.549</v>
      </c>
      <c r="AA16" s="16">
        <f>'KEEI BAU - Industry'!AO$19*'Non-ferrous Metals Split'!$G$6</f>
        <v>11394312464530.656</v>
      </c>
      <c r="AB16" s="16">
        <f>'KEEI BAU - Industry'!AP$19*'Non-ferrous Metals Split'!$G$6</f>
        <v>11261216506967.762</v>
      </c>
      <c r="AC16" s="16">
        <f>'KEEI BAU - Industry'!AQ$19*'Non-ferrous Metals Split'!$G$6</f>
        <v>11128120549404.867</v>
      </c>
      <c r="AD16" s="16">
        <f>'KEEI BAU - Industry'!AR$19*'Non-ferrous Metals Split'!$G$6</f>
        <v>10995024591841.975</v>
      </c>
      <c r="AE16" s="16">
        <f>'KEEI BAU - Industry'!AS$19*'Non-ferrous Metals Split'!$G$6</f>
        <v>10861928634279.08</v>
      </c>
      <c r="AF16" s="16">
        <f>'KEEI BAU - Industry'!AT$19*'Non-ferrous Metals Split'!$G$6</f>
        <v>10728832676716.188</v>
      </c>
    </row>
    <row r="17" spans="1:33">
      <c r="A17" t="s">
        <v>65</v>
      </c>
      <c r="B17" s="16" cm="1">
        <f t="array" ref="B17">TREND($G17:$L17,$G$1:$L$1,B$1)</f>
        <v>9172738477166</v>
      </c>
      <c r="C17" s="16" cm="1">
        <f t="array" ref="C17">TREND($G17:$L17,$G$1:$L$1,C$1)</f>
        <v>9949124951701.75</v>
      </c>
      <c r="D17" s="16" cm="1">
        <f t="array" ref="D17">TREND($G17:$L17,$G$1:$L$1,D$1)</f>
        <v>10725511426237.5</v>
      </c>
      <c r="E17" s="16" cm="1">
        <f t="array" ref="E17">TREND($G17:$L17,$G$1:$L$1,E$1)</f>
        <v>11501897900773.25</v>
      </c>
      <c r="F17" s="16" cm="1">
        <f t="array" ref="F17">TREND($G17:$L17,$G$1:$L$1,F$1)</f>
        <v>12278284375309</v>
      </c>
      <c r="G17" s="16">
        <f>'KEEI BAU - Industry'!U$19*'Non-ferrous Metals Split'!$G$7</f>
        <v>13054670849844.838</v>
      </c>
      <c r="H17" s="16">
        <f>'KEEI BAU - Industry'!V$19*'Non-ferrous Metals Split'!$G$7</f>
        <v>13831057324380.598</v>
      </c>
      <c r="I17" s="16">
        <f>'KEEI BAU - Industry'!W$19*'Non-ferrous Metals Split'!$G$7</f>
        <v>14607443798916.359</v>
      </c>
      <c r="J17" s="16">
        <f>'KEEI BAU - Industry'!X$19*'Non-ferrous Metals Split'!$G$7</f>
        <v>15383830273452.119</v>
      </c>
      <c r="K17" s="16">
        <f>'KEEI BAU - Industry'!Y$19*'Non-ferrous Metals Split'!$G$7</f>
        <v>16160216747987.881</v>
      </c>
      <c r="L17" s="16">
        <f>'KEEI BAU - Industry'!Z$19*'Non-ferrous Metals Split'!$G$7</f>
        <v>16936603222523.641</v>
      </c>
      <c r="M17" s="16">
        <f>'KEEI BAU - Industry'!AA$19*'Non-ferrous Metals Split'!$G$7</f>
        <v>16983454130469.766</v>
      </c>
      <c r="N17" s="16">
        <f>'KEEI BAU - Industry'!AB$19*'Non-ferrous Metals Split'!$G$7</f>
        <v>17030305038415.889</v>
      </c>
      <c r="O17" s="16">
        <f>'KEEI BAU - Industry'!AC$19*'Non-ferrous Metals Split'!$G$7</f>
        <v>17077155946362.012</v>
      </c>
      <c r="P17" s="16">
        <f>'KEEI BAU - Industry'!AD$19*'Non-ferrous Metals Split'!$G$7</f>
        <v>17124006854308.135</v>
      </c>
      <c r="Q17" s="16">
        <f>'KEEI BAU - Industry'!AE$19*'Non-ferrous Metals Split'!$G$7</f>
        <v>17170857762254.258</v>
      </c>
      <c r="R17" s="16">
        <f>'KEEI BAU - Industry'!AF$19*'Non-ferrous Metals Split'!$G$7</f>
        <v>17217708670200.383</v>
      </c>
      <c r="S17" s="16">
        <f>'KEEI BAU - Industry'!AG$19*'Non-ferrous Metals Split'!$G$7</f>
        <v>17264559578146.506</v>
      </c>
      <c r="T17" s="16">
        <f>'KEEI BAU - Industry'!AH$19*'Non-ferrous Metals Split'!$G$7</f>
        <v>17311410486092.629</v>
      </c>
      <c r="U17" s="16">
        <f>'KEEI BAU - Industry'!AI$19*'Non-ferrous Metals Split'!$G$7</f>
        <v>17358261394038.752</v>
      </c>
      <c r="V17" s="16">
        <f>'KEEI BAU - Industry'!AJ$19*'Non-ferrous Metals Split'!$G$7</f>
        <v>17405112301984.877</v>
      </c>
      <c r="W17" s="16">
        <f>'KEEI BAU - Industry'!AK$19*'Non-ferrous Metals Split'!$G$7</f>
        <v>17213023579405.77</v>
      </c>
      <c r="X17" s="16">
        <f>'KEEI BAU - Industry'!AL$19*'Non-ferrous Metals Split'!$G$7</f>
        <v>17020934856826.664</v>
      </c>
      <c r="Y17" s="16">
        <f>'KEEI BAU - Industry'!AM$19*'Non-ferrous Metals Split'!$G$7</f>
        <v>16828846134247.557</v>
      </c>
      <c r="Z17" s="16">
        <f>'KEEI BAU - Industry'!AN$19*'Non-ferrous Metals Split'!$G$7</f>
        <v>16636757411668.451</v>
      </c>
      <c r="AA17" s="16">
        <f>'KEEI BAU - Industry'!AO$19*'Non-ferrous Metals Split'!$G$7</f>
        <v>16444668689089.344</v>
      </c>
      <c r="AB17" s="16">
        <f>'KEEI BAU - Industry'!AP$19*'Non-ferrous Metals Split'!$G$7</f>
        <v>16252579966510.238</v>
      </c>
      <c r="AC17" s="16">
        <f>'KEEI BAU - Industry'!AQ$19*'Non-ferrous Metals Split'!$G$7</f>
        <v>16060491243931.133</v>
      </c>
      <c r="AD17" s="16">
        <f>'KEEI BAU - Industry'!AR$19*'Non-ferrous Metals Split'!$G$7</f>
        <v>15868402521352.025</v>
      </c>
      <c r="AE17" s="16">
        <f>'KEEI BAU - Industry'!AS$19*'Non-ferrous Metals Split'!$G$7</f>
        <v>15676313798772.92</v>
      </c>
      <c r="AF17" s="16">
        <f>'KEEI BAU - Industry'!AT$19*'Non-ferrous Metals Split'!$G$7</f>
        <v>15484225076193.813</v>
      </c>
    </row>
    <row r="18" spans="1:33">
      <c r="A18" t="s">
        <v>67</v>
      </c>
      <c r="B18" s="16" cm="1">
        <f t="array" ref="B18">TREND($G18:$L18,$G$1:$L$1,B$1)</f>
        <v>36265845217554.125</v>
      </c>
      <c r="C18" s="16" cm="1">
        <f t="array" ref="C18">TREND($G18:$L18,$G$1:$L$1,C$1)</f>
        <v>36460822880014.063</v>
      </c>
      <c r="D18" s="16" cm="1">
        <f t="array" ref="D18">TREND($G18:$L18,$G$1:$L$1,D$1)</f>
        <v>36655800542474.063</v>
      </c>
      <c r="E18" s="16" cm="1">
        <f t="array" ref="E18">TREND($G18:$L18,$G$1:$L$1,E$1)</f>
        <v>36850778204934</v>
      </c>
      <c r="F18" s="16" cm="1">
        <f t="array" ref="F18">TREND($G18:$L18,$G$1:$L$1,F$1)</f>
        <v>37045755867394</v>
      </c>
      <c r="G18" s="16">
        <f>'KEEI BAU - Industry'!U$33*'Machinery Split'!$G6</f>
        <v>37240733529853.93</v>
      </c>
      <c r="H18" s="16">
        <f>'KEEI BAU - Industry'!V$33*'Machinery Split'!$G6</f>
        <v>37435711192313.898</v>
      </c>
      <c r="I18" s="16">
        <f>'KEEI BAU - Industry'!W$33*'Machinery Split'!$G6</f>
        <v>37630688854773.867</v>
      </c>
      <c r="J18" s="16">
        <f>'KEEI BAU - Industry'!X$33*'Machinery Split'!$G6</f>
        <v>37825666517233.828</v>
      </c>
      <c r="K18" s="16">
        <f>'KEEI BAU - Industry'!Y$33*'Machinery Split'!$G6</f>
        <v>38020644179693.797</v>
      </c>
      <c r="L18" s="16">
        <f>'KEEI BAU - Industry'!Z$33*'Machinery Split'!$G6</f>
        <v>38215621842153.766</v>
      </c>
      <c r="M18" s="16">
        <f>'KEEI BAU - Industry'!AA$33*'Machinery Split'!$G6</f>
        <v>38372477006431.266</v>
      </c>
      <c r="N18" s="16">
        <f>'KEEI BAU - Industry'!AB$33*'Machinery Split'!$G6</f>
        <v>38529332170708.758</v>
      </c>
      <c r="O18" s="16">
        <f>'KEEI BAU - Industry'!AC$33*'Machinery Split'!$G6</f>
        <v>38686187334986.258</v>
      </c>
      <c r="P18" s="16">
        <f>'KEEI BAU - Industry'!AD$33*'Machinery Split'!$G6</f>
        <v>38843042499263.758</v>
      </c>
      <c r="Q18" s="16">
        <f>'KEEI BAU - Industry'!AE$33*'Machinery Split'!$G6</f>
        <v>38999897663541.25</v>
      </c>
      <c r="R18" s="16">
        <f>'KEEI BAU - Industry'!AF$33*'Machinery Split'!$G6</f>
        <v>39156752827818.75</v>
      </c>
      <c r="S18" s="16">
        <f>'KEEI BAU - Industry'!AG$33*'Machinery Split'!$G6</f>
        <v>39313607992096.242</v>
      </c>
      <c r="T18" s="16">
        <f>'KEEI BAU - Industry'!AH$33*'Machinery Split'!$G6</f>
        <v>39470463156373.742</v>
      </c>
      <c r="U18" s="16">
        <f>'KEEI BAU - Industry'!AI$33*'Machinery Split'!$G6</f>
        <v>39627318320651.242</v>
      </c>
      <c r="V18" s="16">
        <f>'KEEI BAU - Industry'!AJ$33*'Machinery Split'!$G6</f>
        <v>39784173484928.734</v>
      </c>
      <c r="W18" s="16">
        <f>'KEEI BAU - Industry'!AK$33*'Machinery Split'!$G6</f>
        <v>39645652041151.242</v>
      </c>
      <c r="X18" s="16">
        <f>'KEEI BAU - Industry'!AL$33*'Machinery Split'!$G6</f>
        <v>39507130597373.711</v>
      </c>
      <c r="Y18" s="16">
        <f>'KEEI BAU - Industry'!AM$33*'Machinery Split'!$G6</f>
        <v>39368609153596.18</v>
      </c>
      <c r="Z18" s="16">
        <f>'KEEI BAU - Industry'!AN$33*'Machinery Split'!$G6</f>
        <v>39230087709818.648</v>
      </c>
      <c r="AA18" s="16">
        <f>'KEEI BAU - Industry'!AO$33*'Machinery Split'!$G6</f>
        <v>39091566266041.117</v>
      </c>
      <c r="AB18" s="16">
        <f>'KEEI BAU - Industry'!AP$33*'Machinery Split'!$G6</f>
        <v>38953044822263.594</v>
      </c>
      <c r="AC18" s="16">
        <f>'KEEI BAU - Industry'!AQ$33*'Machinery Split'!$G6</f>
        <v>38814523378486.063</v>
      </c>
      <c r="AD18" s="16">
        <f>'KEEI BAU - Industry'!AR$33*'Machinery Split'!$G6</f>
        <v>38676001934708.531</v>
      </c>
      <c r="AE18" s="16">
        <f>'KEEI BAU - Industry'!AS$33*'Machinery Split'!$G6</f>
        <v>38537480490931</v>
      </c>
      <c r="AF18" s="16">
        <f>'KEEI BAU - Industry'!AT$33*'Machinery Split'!$G6</f>
        <v>38398959047153.438</v>
      </c>
    </row>
    <row r="19" spans="1:33">
      <c r="A19" t="s">
        <v>71</v>
      </c>
      <c r="B19" s="16" cm="1">
        <f t="array" ref="B19">TREND($G19:$L19,$G$1:$L$1,B$1)</f>
        <v>5335986012911.8906</v>
      </c>
      <c r="C19" s="16" cm="1">
        <f t="array" ref="C19">TREND($G19:$L19,$G$1:$L$1,C$1)</f>
        <v>5364674109755.5</v>
      </c>
      <c r="D19" s="16" cm="1">
        <f t="array" ref="D19">TREND($G19:$L19,$G$1:$L$1,D$1)</f>
        <v>5393362206599.1094</v>
      </c>
      <c r="E19" s="16" cm="1">
        <f t="array" ref="E19">TREND($G19:$L19,$G$1:$L$1,E$1)</f>
        <v>5422050303442.7266</v>
      </c>
      <c r="F19" s="16" cm="1">
        <f t="array" ref="F19">TREND($G19:$L19,$G$1:$L$1,F$1)</f>
        <v>5450738400286.3359</v>
      </c>
      <c r="G19" s="16">
        <f>'KEEI BAU - Industry'!U$33*'Machinery Split'!$G7</f>
        <v>5479426497129.9463</v>
      </c>
      <c r="H19" s="16">
        <f>'KEEI BAU - Industry'!V$33*'Machinery Split'!$G7</f>
        <v>5508114593973.5586</v>
      </c>
      <c r="I19" s="16">
        <f>'KEEI BAU - Industry'!W$33*'Machinery Split'!$G7</f>
        <v>5536802690817.1709</v>
      </c>
      <c r="J19" s="16">
        <f>'KEEI BAU - Industry'!X$33*'Machinery Split'!$G7</f>
        <v>5565490787660.7832</v>
      </c>
      <c r="K19" s="16">
        <f>'KEEI BAU - Industry'!Y$33*'Machinery Split'!$G7</f>
        <v>5594178884504.3955</v>
      </c>
      <c r="L19" s="16">
        <f>'KEEI BAU - Industry'!Z$33*'Machinery Split'!$G7</f>
        <v>5622866981348.0078</v>
      </c>
      <c r="M19" s="16">
        <f>'KEEI BAU - Industry'!AA$33*'Machinery Split'!$G7</f>
        <v>5645945912987.8691</v>
      </c>
      <c r="N19" s="16">
        <f>'KEEI BAU - Industry'!AB$33*'Machinery Split'!$G7</f>
        <v>5669024844627.7305</v>
      </c>
      <c r="O19" s="16">
        <f>'KEEI BAU - Industry'!AC$33*'Machinery Split'!$G7</f>
        <v>5692103776267.5918</v>
      </c>
      <c r="P19" s="16">
        <f>'KEEI BAU - Industry'!AD$33*'Machinery Split'!$G7</f>
        <v>5715182707907.4531</v>
      </c>
      <c r="Q19" s="16">
        <f>'KEEI BAU - Industry'!AE$33*'Machinery Split'!$G7</f>
        <v>5738261639547.3145</v>
      </c>
      <c r="R19" s="16">
        <f>'KEEI BAU - Industry'!AF$33*'Machinery Split'!$G7</f>
        <v>5761340571187.1758</v>
      </c>
      <c r="S19" s="16">
        <f>'KEEI BAU - Industry'!AG$33*'Machinery Split'!$G7</f>
        <v>5784419502827.0371</v>
      </c>
      <c r="T19" s="16">
        <f>'KEEI BAU - Industry'!AH$33*'Machinery Split'!$G7</f>
        <v>5807498434466.8975</v>
      </c>
      <c r="U19" s="16">
        <f>'KEEI BAU - Industry'!AI$33*'Machinery Split'!$G7</f>
        <v>5830577366106.7588</v>
      </c>
      <c r="V19" s="16">
        <f>'KEEI BAU - Industry'!AJ$33*'Machinery Split'!$G7</f>
        <v>5853656297746.6201</v>
      </c>
      <c r="W19" s="16">
        <f>'KEEI BAU - Industry'!AK$33*'Machinery Split'!$G7</f>
        <v>5833274903571.1631</v>
      </c>
      <c r="X19" s="16">
        <f>'KEEI BAU - Industry'!AL$33*'Machinery Split'!$G7</f>
        <v>5812893509395.7012</v>
      </c>
      <c r="Y19" s="16">
        <f>'KEEI BAU - Industry'!AM$33*'Machinery Split'!$G7</f>
        <v>5792512115220.2393</v>
      </c>
      <c r="Z19" s="16">
        <f>'KEEI BAU - Industry'!AN$33*'Machinery Split'!$G7</f>
        <v>5772130721044.7773</v>
      </c>
      <c r="AA19" s="16">
        <f>'KEEI BAU - Industry'!AO$33*'Machinery Split'!$G7</f>
        <v>5751749326869.3154</v>
      </c>
      <c r="AB19" s="16">
        <f>'KEEI BAU - Industry'!AP$33*'Machinery Split'!$G7</f>
        <v>5731367932693.8535</v>
      </c>
      <c r="AC19" s="16">
        <f>'KEEI BAU - Industry'!AQ$33*'Machinery Split'!$G7</f>
        <v>5710986538518.3916</v>
      </c>
      <c r="AD19" s="16">
        <f>'KEEI BAU - Industry'!AR$33*'Machinery Split'!$G7</f>
        <v>5690605144342.9297</v>
      </c>
      <c r="AE19" s="16">
        <f>'KEEI BAU - Industry'!AS$33*'Machinery Split'!$G7</f>
        <v>5670223750167.4688</v>
      </c>
      <c r="AF19" s="16">
        <f>'KEEI BAU - Industry'!AT$33*'Machinery Split'!$G7</f>
        <v>5649842355992.002</v>
      </c>
    </row>
    <row r="20" spans="1:33">
      <c r="A20" t="s">
        <v>73</v>
      </c>
      <c r="B20" s="16" cm="1">
        <f t="array" ref="B20">TREND($G20:$L20,$G$1:$L$1,B$1)</f>
        <v>4240174138231.0234</v>
      </c>
      <c r="C20" s="16" cm="1">
        <f t="array" ref="C20">TREND($G20:$L20,$G$1:$L$1,C$1)</f>
        <v>4262970773382.7969</v>
      </c>
      <c r="D20" s="16" cm="1">
        <f t="array" ref="D20">TREND($G20:$L20,$G$1:$L$1,D$1)</f>
        <v>4285767408534.5781</v>
      </c>
      <c r="E20" s="16" cm="1">
        <f t="array" ref="E20">TREND($G20:$L20,$G$1:$L$1,E$1)</f>
        <v>4308564043686.3594</v>
      </c>
      <c r="F20" s="16" cm="1">
        <f t="array" ref="F20">TREND($G20:$L20,$G$1:$L$1,F$1)</f>
        <v>4331360678838.1406</v>
      </c>
      <c r="G20" s="16">
        <f>'KEEI BAU - Industry'!U$33*'Machinery Split'!$G8</f>
        <v>4354157313989.9141</v>
      </c>
      <c r="H20" s="16">
        <f>'KEEI BAU - Industry'!V$33*'Machinery Split'!$G8</f>
        <v>4376953949141.6934</v>
      </c>
      <c r="I20" s="16">
        <f>'KEEI BAU - Industry'!W$33*'Machinery Split'!$G8</f>
        <v>4399750584293.4736</v>
      </c>
      <c r="J20" s="16">
        <f>'KEEI BAU - Industry'!X$33*'Machinery Split'!$G8</f>
        <v>4422547219445.2529</v>
      </c>
      <c r="K20" s="16">
        <f>'KEEI BAU - Industry'!Y$33*'Machinery Split'!$G8</f>
        <v>4445343854597.0322</v>
      </c>
      <c r="L20" s="16">
        <f>'KEEI BAU - Industry'!Z$33*'Machinery Split'!$G8</f>
        <v>4468140489748.8125</v>
      </c>
      <c r="M20" s="16">
        <f>'KEEI BAU - Industry'!AA$33*'Machinery Split'!$G8</f>
        <v>4486479872355.9902</v>
      </c>
      <c r="N20" s="16">
        <f>'KEEI BAU - Industry'!AB$33*'Machinery Split'!$G8</f>
        <v>4504819254963.168</v>
      </c>
      <c r="O20" s="16">
        <f>'KEEI BAU - Industry'!AC$33*'Machinery Split'!$G8</f>
        <v>4523158637570.3457</v>
      </c>
      <c r="P20" s="16">
        <f>'KEEI BAU - Industry'!AD$33*'Machinery Split'!$G8</f>
        <v>4541498020177.5244</v>
      </c>
      <c r="Q20" s="16">
        <f>'KEEI BAU - Industry'!AE$33*'Machinery Split'!$G8</f>
        <v>4559837402784.7021</v>
      </c>
      <c r="R20" s="16">
        <f>'KEEI BAU - Industry'!AF$33*'Machinery Split'!$G8</f>
        <v>4578176785391.8799</v>
      </c>
      <c r="S20" s="16">
        <f>'KEEI BAU - Industry'!AG$33*'Machinery Split'!$G8</f>
        <v>4596516167999.0576</v>
      </c>
      <c r="T20" s="16">
        <f>'KEEI BAU - Industry'!AH$33*'Machinery Split'!$G8</f>
        <v>4614855550606.2363</v>
      </c>
      <c r="U20" s="16">
        <f>'KEEI BAU - Industry'!AI$33*'Machinery Split'!$G8</f>
        <v>4633194933213.4141</v>
      </c>
      <c r="V20" s="16">
        <f>'KEEI BAU - Industry'!AJ$33*'Machinery Split'!$G8</f>
        <v>4651534315820.5918</v>
      </c>
      <c r="W20" s="16">
        <f>'KEEI BAU - Industry'!AK$33*'Machinery Split'!$G8</f>
        <v>4635338497414.2568</v>
      </c>
      <c r="X20" s="16">
        <f>'KEEI BAU - Industry'!AL$33*'Machinery Split'!$G8</f>
        <v>4619142679007.918</v>
      </c>
      <c r="Y20" s="16">
        <f>'KEEI BAU - Industry'!AM$33*'Machinery Split'!$G8</f>
        <v>4602946860601.5781</v>
      </c>
      <c r="Z20" s="16">
        <f>'KEEI BAU - Industry'!AN$33*'Machinery Split'!$G8</f>
        <v>4586751042195.2393</v>
      </c>
      <c r="AA20" s="16">
        <f>'KEEI BAU - Industry'!AO$33*'Machinery Split'!$G8</f>
        <v>4570555223788.9004</v>
      </c>
      <c r="AB20" s="16">
        <f>'KEEI BAU - Industry'!AP$33*'Machinery Split'!$G8</f>
        <v>4554359405382.5615</v>
      </c>
      <c r="AC20" s="16">
        <f>'KEEI BAU - Industry'!AQ$33*'Machinery Split'!$G8</f>
        <v>4538163586976.2227</v>
      </c>
      <c r="AD20" s="16">
        <f>'KEEI BAU - Industry'!AR$33*'Machinery Split'!$G8</f>
        <v>4521967768569.8838</v>
      </c>
      <c r="AE20" s="16">
        <f>'KEEI BAU - Industry'!AS$33*'Machinery Split'!$G8</f>
        <v>4505771950163.5449</v>
      </c>
      <c r="AF20" s="16">
        <f>'KEEI BAU - Industry'!AT$33*'Machinery Split'!$G8</f>
        <v>4489576131757.2021</v>
      </c>
    </row>
    <row r="21" spans="1:33">
      <c r="A21" t="s">
        <v>75</v>
      </c>
      <c r="B21" s="16" cm="1">
        <f t="array" ref="B21">TREND($G21:$L21,$G$1:$L$1,B$1)</f>
        <v>22277172562132.406</v>
      </c>
      <c r="C21" s="16" cm="1">
        <f t="array" ref="C21">TREND($G21:$L21,$G$1:$L$1,C$1)</f>
        <v>22396942307090.125</v>
      </c>
      <c r="D21" s="16" cm="1">
        <f t="array" ref="D21">TREND($G21:$L21,$G$1:$L$1,D$1)</f>
        <v>22516712052047.813</v>
      </c>
      <c r="E21" s="16" cm="1">
        <f t="array" ref="E21">TREND($G21:$L21,$G$1:$L$1,E$1)</f>
        <v>22636481797005.531</v>
      </c>
      <c r="F21" s="16" cm="1">
        <f t="array" ref="F21">TREND($G21:$L21,$G$1:$L$1,F$1)</f>
        <v>22756251541963.219</v>
      </c>
      <c r="G21" s="16">
        <f>'KEEI BAU - Industry'!U$33*'Machinery Split'!$G9</f>
        <v>22876021286920.938</v>
      </c>
      <c r="H21" s="16">
        <f>'KEEI BAU - Industry'!V$33*'Machinery Split'!$G9</f>
        <v>22995791031878.641</v>
      </c>
      <c r="I21" s="16">
        <f>'KEEI BAU - Industry'!W$33*'Machinery Split'!$G9</f>
        <v>23115560776836.344</v>
      </c>
      <c r="J21" s="16">
        <f>'KEEI BAU - Industry'!X$33*'Machinery Split'!$G9</f>
        <v>23235330521794.043</v>
      </c>
      <c r="K21" s="16">
        <f>'KEEI BAU - Industry'!Y$33*'Machinery Split'!$G9</f>
        <v>23355100266751.746</v>
      </c>
      <c r="L21" s="16">
        <f>'KEEI BAU - Industry'!Z$33*'Machinery Split'!$G9</f>
        <v>23474870011709.445</v>
      </c>
      <c r="M21" s="16">
        <f>'KEEI BAU - Industry'!AA$33*'Machinery Split'!$G9</f>
        <v>23571222090115.715</v>
      </c>
      <c r="N21" s="16">
        <f>'KEEI BAU - Industry'!AB$33*'Machinery Split'!$G9</f>
        <v>23667574168521.984</v>
      </c>
      <c r="O21" s="16">
        <f>'KEEI BAU - Industry'!AC$33*'Machinery Split'!$G9</f>
        <v>23763926246928.258</v>
      </c>
      <c r="P21" s="16">
        <f>'KEEI BAU - Industry'!AD$33*'Machinery Split'!$G9</f>
        <v>23860278325334.527</v>
      </c>
      <c r="Q21" s="16">
        <f>'KEEI BAU - Industry'!AE$33*'Machinery Split'!$G9</f>
        <v>23956630403740.797</v>
      </c>
      <c r="R21" s="16">
        <f>'KEEI BAU - Industry'!AF$33*'Machinery Split'!$G9</f>
        <v>24052982482147.066</v>
      </c>
      <c r="S21" s="16">
        <f>'KEEI BAU - Industry'!AG$33*'Machinery Split'!$G9</f>
        <v>24149334560553.336</v>
      </c>
      <c r="T21" s="16">
        <f>'KEEI BAU - Industry'!AH$33*'Machinery Split'!$G9</f>
        <v>24245686638959.605</v>
      </c>
      <c r="U21" s="16">
        <f>'KEEI BAU - Industry'!AI$33*'Machinery Split'!$G9</f>
        <v>24342038717365.875</v>
      </c>
      <c r="V21" s="16">
        <f>'KEEI BAU - Industry'!AJ$33*'Machinery Split'!$G9</f>
        <v>24438390795772.148</v>
      </c>
      <c r="W21" s="16">
        <f>'KEEI BAU - Industry'!AK$33*'Machinery Split'!$G9</f>
        <v>24353300648608.188</v>
      </c>
      <c r="X21" s="16">
        <f>'KEEI BAU - Industry'!AL$33*'Machinery Split'!$G9</f>
        <v>24268210501444.207</v>
      </c>
      <c r="Y21" s="16">
        <f>'KEEI BAU - Industry'!AM$33*'Machinery Split'!$G9</f>
        <v>24183120354280.23</v>
      </c>
      <c r="Z21" s="16">
        <f>'KEEI BAU - Industry'!AN$33*'Machinery Split'!$G9</f>
        <v>24098030207116.25</v>
      </c>
      <c r="AA21" s="16">
        <f>'KEEI BAU - Industry'!AO$33*'Machinery Split'!$G9</f>
        <v>24012940059952.273</v>
      </c>
      <c r="AB21" s="16">
        <f>'KEEI BAU - Industry'!AP$33*'Machinery Split'!$G9</f>
        <v>23927849912788.293</v>
      </c>
      <c r="AC21" s="16">
        <f>'KEEI BAU - Industry'!AQ$33*'Machinery Split'!$G9</f>
        <v>23842759765624.316</v>
      </c>
      <c r="AD21" s="16">
        <f>'KEEI BAU - Industry'!AR$33*'Machinery Split'!$G9</f>
        <v>23757669618460.336</v>
      </c>
      <c r="AE21" s="16">
        <f>'KEEI BAU - Industry'!AS$33*'Machinery Split'!$G9</f>
        <v>23672579471296.355</v>
      </c>
      <c r="AF21" s="16">
        <f>'KEEI BAU - Industry'!AT$33*'Machinery Split'!$G9</f>
        <v>23587489324132.359</v>
      </c>
    </row>
    <row r="22" spans="1:33">
      <c r="A22" t="s">
        <v>78</v>
      </c>
      <c r="B22" s="16" cm="1">
        <f t="array" ref="B22">TREND($G22:$L22,$G$1:$L$1,B$1)</f>
        <v>2481022137630.5742</v>
      </c>
      <c r="C22" s="16" cm="1">
        <f t="array" ref="C22">TREND($G22:$L22,$G$1:$L$1,C$1)</f>
        <v>2494360966327.5117</v>
      </c>
      <c r="D22" s="16" cm="1">
        <f t="array" ref="D22">TREND($G22:$L22,$G$1:$L$1,D$1)</f>
        <v>2507699795024.4531</v>
      </c>
      <c r="E22" s="16" cm="1">
        <f t="array" ref="E22">TREND($G22:$L22,$G$1:$L$1,E$1)</f>
        <v>2521038623721.3906</v>
      </c>
      <c r="F22" s="16" cm="1">
        <f t="array" ref="F22">TREND($G22:$L22,$G$1:$L$1,F$1)</f>
        <v>2534377452418.3281</v>
      </c>
      <c r="G22" s="16">
        <f>'KEEI BAU - Industry'!U$33*'Machinery Split'!$G10</f>
        <v>2547716281115.2651</v>
      </c>
      <c r="H22" s="16">
        <f>'KEEI BAU - Industry'!V$33*'Machinery Split'!$G10</f>
        <v>2561055109812.2036</v>
      </c>
      <c r="I22" s="16">
        <f>'KEEI BAU - Industry'!W$33*'Machinery Split'!$G10</f>
        <v>2574393938509.1421</v>
      </c>
      <c r="J22" s="16">
        <f>'KEEI BAU - Industry'!X$33*'Machinery Split'!$G10</f>
        <v>2587732767206.0811</v>
      </c>
      <c r="K22" s="16">
        <f>'KEEI BAU - Industry'!Y$33*'Machinery Split'!$G10</f>
        <v>2601071595903.0195</v>
      </c>
      <c r="L22" s="16">
        <f>'KEEI BAU - Industry'!Z$33*'Machinery Split'!$G10</f>
        <v>2614410424599.958</v>
      </c>
      <c r="M22" s="16">
        <f>'KEEI BAU - Industry'!AA$33*'Machinery Split'!$G10</f>
        <v>2625141213656.1519</v>
      </c>
      <c r="N22" s="16">
        <f>'KEEI BAU - Industry'!AB$33*'Machinery Split'!$G10</f>
        <v>2635872002712.3457</v>
      </c>
      <c r="O22" s="16">
        <f>'KEEI BAU - Industry'!AC$33*'Machinery Split'!$G10</f>
        <v>2646602791768.5396</v>
      </c>
      <c r="P22" s="16">
        <f>'KEEI BAU - Industry'!AD$33*'Machinery Split'!$G10</f>
        <v>2657333580824.7334</v>
      </c>
      <c r="Q22" s="16">
        <f>'KEEI BAU - Industry'!AE$33*'Machinery Split'!$G10</f>
        <v>2668064369880.9272</v>
      </c>
      <c r="R22" s="16">
        <f>'KEEI BAU - Industry'!AF$33*'Machinery Split'!$G10</f>
        <v>2678795158937.1211</v>
      </c>
      <c r="S22" s="16">
        <f>'KEEI BAU - Industry'!AG$33*'Machinery Split'!$G10</f>
        <v>2689525947993.3149</v>
      </c>
      <c r="T22" s="16">
        <f>'KEEI BAU - Industry'!AH$33*'Machinery Split'!$G10</f>
        <v>2700256737049.5088</v>
      </c>
      <c r="U22" s="16">
        <f>'KEEI BAU - Industry'!AI$33*'Machinery Split'!$G10</f>
        <v>2710987526105.7026</v>
      </c>
      <c r="V22" s="16">
        <f>'KEEI BAU - Industry'!AJ$33*'Machinery Split'!$G10</f>
        <v>2721718315161.8965</v>
      </c>
      <c r="W22" s="16">
        <f>'KEEI BAU - Industry'!AK$33*'Machinery Split'!$G10</f>
        <v>2712241774177.208</v>
      </c>
      <c r="X22" s="16">
        <f>'KEEI BAU - Industry'!AL$33*'Machinery Split'!$G10</f>
        <v>2702765233192.5176</v>
      </c>
      <c r="Y22" s="16">
        <f>'KEEI BAU - Industry'!AM$33*'Machinery Split'!$G10</f>
        <v>2693288692207.8267</v>
      </c>
      <c r="Z22" s="16">
        <f>'KEEI BAU - Industry'!AN$33*'Machinery Split'!$G10</f>
        <v>2683812151223.1357</v>
      </c>
      <c r="AA22" s="16">
        <f>'KEEI BAU - Industry'!AO$33*'Machinery Split'!$G10</f>
        <v>2674335610238.4453</v>
      </c>
      <c r="AB22" s="16">
        <f>'KEEI BAU - Industry'!AP$33*'Machinery Split'!$G10</f>
        <v>2664859069253.7544</v>
      </c>
      <c r="AC22" s="16">
        <f>'KEEI BAU - Industry'!AQ$33*'Machinery Split'!$G10</f>
        <v>2655382528269.064</v>
      </c>
      <c r="AD22" s="16">
        <f>'KEEI BAU - Industry'!AR$33*'Machinery Split'!$G10</f>
        <v>2645905987284.373</v>
      </c>
      <c r="AE22" s="16">
        <f>'KEEI BAU - Industry'!AS$33*'Machinery Split'!$G10</f>
        <v>2636429446299.6826</v>
      </c>
      <c r="AF22" s="16">
        <f>'KEEI BAU - Industry'!AT$33*'Machinery Split'!$G10</f>
        <v>2626952905314.9897</v>
      </c>
    </row>
    <row r="23" spans="1:33">
      <c r="A23" t="s">
        <v>80</v>
      </c>
      <c r="B23" s="16" cm="1">
        <f t="array" ref="B23">TREND($G23:$L23,$G$1:$L$1,B$1)</f>
        <v>4503557118642.3438</v>
      </c>
      <c r="C23" s="16" cm="1">
        <f t="array" ref="C23">TREND($G23:$L23,$G$1:$L$1,C$1)</f>
        <v>4465228972951.7813</v>
      </c>
      <c r="D23" s="16" cm="1">
        <f t="array" ref="D23">TREND($G23:$L23,$G$1:$L$1,D$1)</f>
        <v>4426900827261.2031</v>
      </c>
      <c r="E23" s="16" cm="1">
        <f t="array" ref="E23">TREND($G23:$L23,$G$1:$L$1,E$1)</f>
        <v>4388572681570.625</v>
      </c>
      <c r="F23" s="16" cm="1">
        <f t="array" ref="F23">TREND($G23:$L23,$G$1:$L$1,F$1)</f>
        <v>4350244535880.0625</v>
      </c>
      <c r="G23" s="16">
        <f>'KEEI BAU - Industry'!U$40*'Others Split'!$G$14</f>
        <v>4311916390189.4873</v>
      </c>
      <c r="H23" s="16">
        <f>'KEEI BAU - Industry'!V$40*'Others Split'!$G$14</f>
        <v>4273588244498.9141</v>
      </c>
      <c r="I23" s="16">
        <f>'KEEI BAU - Industry'!W$40*'Others Split'!$G$14</f>
        <v>4235260098808.3408</v>
      </c>
      <c r="J23" s="16">
        <f>'KEEI BAU - Industry'!X$40*'Others Split'!$G$14</f>
        <v>4196931953117.7676</v>
      </c>
      <c r="K23" s="16">
        <f>'KEEI BAU - Industry'!Y$40*'Others Split'!$G$14</f>
        <v>4158603807427.1943</v>
      </c>
      <c r="L23" s="16">
        <f>'KEEI BAU - Industry'!Z$40*'Others Split'!$G$14</f>
        <v>4120275661736.6211</v>
      </c>
      <c r="M23" s="16">
        <f>'KEEI BAU - Industry'!AA$40*'Others Split'!$G$14</f>
        <v>4123469673877.5024</v>
      </c>
      <c r="N23" s="16">
        <f>'KEEI BAU - Industry'!AB$40*'Others Split'!$G$14</f>
        <v>4126663686018.3833</v>
      </c>
      <c r="O23" s="16">
        <f>'KEEI BAU - Industry'!AC$40*'Others Split'!$G$14</f>
        <v>4129857698159.2646</v>
      </c>
      <c r="P23" s="16">
        <f>'KEEI BAU - Industry'!AD$40*'Others Split'!$G$14</f>
        <v>4133051710300.1455</v>
      </c>
      <c r="Q23" s="16">
        <f>'KEEI BAU - Industry'!AE$40*'Others Split'!$G$14</f>
        <v>4136245722441.0269</v>
      </c>
      <c r="R23" s="16">
        <f>'KEEI BAU - Industry'!AF$40*'Others Split'!$G$14</f>
        <v>4139439734581.9077</v>
      </c>
      <c r="S23" s="16">
        <f>'KEEI BAU - Industry'!AG$40*'Others Split'!$G$14</f>
        <v>4142633746722.7891</v>
      </c>
      <c r="T23" s="16">
        <f>'KEEI BAU - Industry'!AH$40*'Others Split'!$G$14</f>
        <v>4145827758863.6699</v>
      </c>
      <c r="U23" s="16">
        <f>'KEEI BAU - Industry'!AI$40*'Others Split'!$G$14</f>
        <v>4149021771004.5513</v>
      </c>
      <c r="V23" s="16">
        <f>'KEEI BAU - Industry'!AJ$40*'Others Split'!$G$14</f>
        <v>4152215783145.4321</v>
      </c>
      <c r="W23" s="16">
        <f>'KEEI BAU - Industry'!AK$40*'Others Split'!$G$14</f>
        <v>4119636859308.4448</v>
      </c>
      <c r="X23" s="16">
        <f>'KEEI BAU - Industry'!AL$40*'Others Split'!$G$14</f>
        <v>4087057935471.458</v>
      </c>
      <c r="Y23" s="16">
        <f>'KEEI BAU - Industry'!AM$40*'Others Split'!$G$14</f>
        <v>4054479011634.4707</v>
      </c>
      <c r="Z23" s="16">
        <f>'KEEI BAU - Industry'!AN$40*'Others Split'!$G$14</f>
        <v>4021900087797.4834</v>
      </c>
      <c r="AA23" s="16">
        <f>'KEEI BAU - Industry'!AO$40*'Others Split'!$G$14</f>
        <v>3989321163960.4961</v>
      </c>
      <c r="AB23" s="16">
        <f>'KEEI BAU - Industry'!AP$40*'Others Split'!$G$14</f>
        <v>3956742240123.5088</v>
      </c>
      <c r="AC23" s="16">
        <f>'KEEI BAU - Industry'!AQ$40*'Others Split'!$G$14</f>
        <v>3924163316286.5215</v>
      </c>
      <c r="AD23" s="16">
        <f>'KEEI BAU - Industry'!AR$40*'Others Split'!$G$14</f>
        <v>3891584392449.5342</v>
      </c>
      <c r="AE23" s="16">
        <f>'KEEI BAU - Industry'!AS$40*'Others Split'!$G$14</f>
        <v>3859005468612.5474</v>
      </c>
      <c r="AF23" s="16">
        <f>'KEEI BAU - Industry'!AT$40*'Others Split'!$G$14</f>
        <v>3826426544775.5601</v>
      </c>
    </row>
    <row r="24" spans="1:33">
      <c r="A24" s="390" t="s">
        <v>82</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390" t="s">
        <v>85</v>
      </c>
      <c r="B25" s="452">
        <f>'Water and Waste'!E48</f>
        <v>5506553237775.4502</v>
      </c>
      <c r="C25" s="452">
        <f>'Water and Waste'!F48</f>
        <v>5512059791013.2246</v>
      </c>
      <c r="D25" s="452">
        <f>'Water and Waste'!G48</f>
        <v>5517571850804.2373</v>
      </c>
      <c r="E25" s="452">
        <f>'Water and Waste'!H48</f>
        <v>5523089422655.041</v>
      </c>
      <c r="F25" s="452">
        <f>'Water and Waste'!I48</f>
        <v>5528612512077.6953</v>
      </c>
      <c r="G25" s="452">
        <f>'Water and Waste'!J48</f>
        <v>5534141124589.7725</v>
      </c>
      <c r="H25" s="452">
        <f>'Water and Waste'!K48</f>
        <v>5539675265714.3613</v>
      </c>
      <c r="I25" s="452">
        <f>'Water and Waste'!L48</f>
        <v>5545214940980.0752</v>
      </c>
      <c r="J25" s="452">
        <f>'Water and Waste'!M48</f>
        <v>5550760155921.0547</v>
      </c>
      <c r="K25" s="452">
        <f>'Water and Waste'!N48</f>
        <v>5556310916076.9756</v>
      </c>
      <c r="L25" s="452">
        <f>'Water and Waste'!O48</f>
        <v>5561867226993.0518</v>
      </c>
      <c r="M25" s="452">
        <f>'Water and Waste'!P48</f>
        <v>5567429094220.0439</v>
      </c>
      <c r="N25" s="452">
        <f>'Water and Waste'!Q48</f>
        <v>5572996523314.2637</v>
      </c>
      <c r="O25" s="452">
        <f>'Water and Waste'!R48</f>
        <v>5578569519837.5771</v>
      </c>
      <c r="P25" s="452">
        <f>'Water and Waste'!S48</f>
        <v>5584148089357.4141</v>
      </c>
      <c r="Q25" s="452">
        <f>'Water and Waste'!T48</f>
        <v>5589732237446.7705</v>
      </c>
      <c r="R25" s="452">
        <f>'Water and Waste'!U48</f>
        <v>5595321969684.2168</v>
      </c>
      <c r="S25" s="452">
        <f>'Water and Waste'!V48</f>
        <v>5600917291653.9004</v>
      </c>
      <c r="T25" s="452">
        <f>'Water and Waste'!W48</f>
        <v>5606518208945.5537</v>
      </c>
      <c r="U25" s="452">
        <f>'Water and Waste'!X48</f>
        <v>5612124727154.499</v>
      </c>
      <c r="V25" s="452">
        <f>'Water and Waste'!Y48</f>
        <v>5617736851881.6533</v>
      </c>
      <c r="W25" s="452">
        <f>'Water and Waste'!Z48</f>
        <v>5589648167622.2451</v>
      </c>
      <c r="X25" s="452">
        <f>'Water and Waste'!AA48</f>
        <v>5561699926784.1338</v>
      </c>
      <c r="Y25" s="452">
        <f>'Water and Waste'!AB48</f>
        <v>5533891427150.2129</v>
      </c>
      <c r="Z25" s="452">
        <f>'Water and Waste'!AC48</f>
        <v>5506221970014.4619</v>
      </c>
      <c r="AA25" s="452">
        <f>'Water and Waste'!AD48</f>
        <v>5478690860164.3896</v>
      </c>
      <c r="AB25" s="452">
        <f>'Water and Waste'!AE48</f>
        <v>5451297405863.5674</v>
      </c>
      <c r="AC25" s="452">
        <f>'Water and Waste'!AF48</f>
        <v>5424040918834.25</v>
      </c>
      <c r="AD25" s="452">
        <f>'Water and Waste'!AG48</f>
        <v>5396920714240.0791</v>
      </c>
      <c r="AE25" s="452">
        <f>'Water and Waste'!AH48</f>
        <v>5369936110668.8789</v>
      </c>
      <c r="AF25" s="452">
        <f>'Water and Waste'!AI48</f>
        <v>5343086430115.5342</v>
      </c>
    </row>
    <row r="26" spans="1:33">
      <c r="A26" t="s">
        <v>89</v>
      </c>
      <c r="B26" s="16" cm="1">
        <f t="array" ref="B26">TREND($G26:$L26,$G$1:$L$1,B$1)</f>
        <v>1531041005.8277626</v>
      </c>
      <c r="C26" s="16" cm="1">
        <f t="array" ref="C26">TREND($G26:$L26,$G$1:$L$1,C$1)</f>
        <v>1518010869.6079521</v>
      </c>
      <c r="D26" s="16" cm="1">
        <f t="array" ref="D26">TREND($G26:$L26,$G$1:$L$1,D$1)</f>
        <v>1504980733.3881416</v>
      </c>
      <c r="E26" s="16" cm="1">
        <f t="array" ref="E26">TREND($G26:$L26,$G$1:$L$1,E$1)</f>
        <v>1491950597.1683311</v>
      </c>
      <c r="F26" s="16" cm="1">
        <f t="array" ref="F26">TREND($G26:$L26,$G$1:$L$1,F$1)</f>
        <v>1478920460.9485168</v>
      </c>
      <c r="G26" s="16">
        <f>'KEEI BAU - Industry'!U$40*'Others Split'!$G$15</f>
        <v>1465890324.7287056</v>
      </c>
      <c r="H26" s="16">
        <f>'KEEI BAU - Industry'!V$40*'Others Split'!$G$15</f>
        <v>1452860188.5088949</v>
      </c>
      <c r="I26" s="16">
        <f>'KEEI BAU - Industry'!W$40*'Others Split'!$G$15</f>
        <v>1439830052.2890842</v>
      </c>
      <c r="J26" s="16">
        <f>'KEEI BAU - Industry'!X$40*'Others Split'!$G$15</f>
        <v>1426799916.0692735</v>
      </c>
      <c r="K26" s="16">
        <f>'KEEI BAU - Industry'!Y$40*'Others Split'!$G$15</f>
        <v>1413769779.8494627</v>
      </c>
      <c r="L26" s="16">
        <f>'KEEI BAU - Industry'!Z$40*'Others Split'!$G$15</f>
        <v>1400739643.629652</v>
      </c>
      <c r="M26" s="16">
        <f>'KEEI BAU - Industry'!AA$40*'Others Split'!$G$15</f>
        <v>1401825488.3146365</v>
      </c>
      <c r="N26" s="16">
        <f>'KEEI BAU - Industry'!AB$40*'Others Split'!$G$15</f>
        <v>1402911332.9996207</v>
      </c>
      <c r="O26" s="16">
        <f>'KEEI BAU - Industry'!AC$40*'Others Split'!$G$15</f>
        <v>1403997177.6846049</v>
      </c>
      <c r="P26" s="16">
        <f>'KEEI BAU - Industry'!AD$40*'Others Split'!$G$15</f>
        <v>1405083022.3695891</v>
      </c>
      <c r="Q26" s="16">
        <f>'KEEI BAU - Industry'!AE$40*'Others Split'!$G$15</f>
        <v>1406168867.0545733</v>
      </c>
      <c r="R26" s="16">
        <f>'KEEI BAU - Industry'!AF$40*'Others Split'!$G$15</f>
        <v>1407254711.7395575</v>
      </c>
      <c r="S26" s="16">
        <f>'KEEI BAU - Industry'!AG$40*'Others Split'!$G$15</f>
        <v>1408340556.4245417</v>
      </c>
      <c r="T26" s="16">
        <f>'KEEI BAU - Industry'!AH$40*'Others Split'!$G$15</f>
        <v>1409426401.1095259</v>
      </c>
      <c r="U26" s="16">
        <f>'KEEI BAU - Industry'!AI$40*'Others Split'!$G$15</f>
        <v>1410512245.7945101</v>
      </c>
      <c r="V26" s="16">
        <f>'KEEI BAU - Industry'!AJ$40*'Others Split'!$G$15</f>
        <v>1411598090.4794943</v>
      </c>
      <c r="W26" s="16">
        <f>'KEEI BAU - Industry'!AK$40*'Others Split'!$G$15</f>
        <v>1400522474.6926553</v>
      </c>
      <c r="X26" s="16">
        <f>'KEEI BAU - Industry'!AL$40*'Others Split'!$G$15</f>
        <v>1389446858.9058161</v>
      </c>
      <c r="Y26" s="16">
        <f>'KEEI BAU - Industry'!AM$40*'Others Split'!$G$15</f>
        <v>1378371243.1189771</v>
      </c>
      <c r="Z26" s="16">
        <f>'KEEI BAU - Industry'!AN$40*'Others Split'!$G$15</f>
        <v>1367295627.3321381</v>
      </c>
      <c r="AA26" s="16">
        <f>'KEEI BAU - Industry'!AO$40*'Others Split'!$G$15</f>
        <v>1356220011.5452988</v>
      </c>
      <c r="AB26" s="16">
        <f>'KEEI BAU - Industry'!AP$40*'Others Split'!$G$15</f>
        <v>1345144395.7584598</v>
      </c>
      <c r="AC26" s="16">
        <f>'KEEI BAU - Industry'!AQ$40*'Others Split'!$G$15</f>
        <v>1334068779.9716206</v>
      </c>
      <c r="AD26" s="16">
        <f>'KEEI BAU - Industry'!AR$40*'Others Split'!$G$15</f>
        <v>1322993164.1847816</v>
      </c>
      <c r="AE26" s="16">
        <f>'KEEI BAU - Industry'!AS$40*'Others Split'!$G$15</f>
        <v>1311917548.3979423</v>
      </c>
      <c r="AF26" s="16">
        <f>'KEEI BAU - Industry'!AT$40*'Others Split'!$G$15</f>
        <v>1300841932.6111033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5"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topLeftCell="A25" workbookViewId="0"/>
  </sheetViews>
  <sheetFormatPr defaultColWidth="9.125" defaultRowHeight="16.5"/>
  <cols>
    <col min="1" max="1" width="39.625" customWidth="1"/>
    <col min="2" max="2" width="22.625" customWidth="1"/>
    <col min="3" max="16" width="11.5" customWidth="1"/>
    <col min="17" max="17" width="13.375" customWidth="1"/>
    <col min="18" max="33" width="11.5" customWidth="1"/>
    <col min="34" max="35" width="9.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25</v>
      </c>
      <c r="B2" s="16">
        <f>'KEEI BAU - Industry'!P42*'Others Split'!$H$6</f>
        <v>232702470131.25436</v>
      </c>
      <c r="C2" s="16">
        <f>'KEEI BAU - Industry'!Q42*'Others Split'!$H$6</f>
        <v>244337593637.81708</v>
      </c>
      <c r="D2" s="16">
        <f>'KEEI BAU - Industry'!R42*'Others Split'!$H$6</f>
        <v>255972717144.37979</v>
      </c>
      <c r="E2" s="16">
        <f>'KEEI BAU - Industry'!S42*'Others Split'!$H$6</f>
        <v>267607840650.9425</v>
      </c>
      <c r="F2" s="16">
        <f>'KEEI BAU - Industry'!T42*'Others Split'!$H$6</f>
        <v>270548586152.60123</v>
      </c>
      <c r="G2" s="16">
        <f>'KEEI BAU - Industry'!U42*'Others Split'!$H$6</f>
        <v>273489331654.25995</v>
      </c>
      <c r="H2" s="16">
        <f>'KEEI BAU - Industry'!V42*'Others Split'!$H$6</f>
        <v>276430077155.91864</v>
      </c>
      <c r="I2" s="16">
        <f>'KEEI BAU - Industry'!W42*'Others Split'!$H$6</f>
        <v>279370822657.57733</v>
      </c>
      <c r="J2" s="16">
        <f>'KEEI BAU - Industry'!X42*'Others Split'!$H$6</f>
        <v>282311568159.23608</v>
      </c>
      <c r="K2" s="16">
        <f>'KEEI BAU - Industry'!Y42*'Others Split'!$H$6</f>
        <v>285252313660.89478</v>
      </c>
      <c r="L2" s="16">
        <f>'KEEI BAU - Industry'!Z42*'Others Split'!$H$6</f>
        <v>288193059162.55347</v>
      </c>
      <c r="M2" s="16">
        <f>'KEEI BAU - Industry'!AA42*'Others Split'!$H$6</f>
        <v>289994265782.31946</v>
      </c>
      <c r="N2" s="16">
        <f>'KEEI BAU - Industry'!AB42*'Others Split'!$H$6</f>
        <v>291795472402.08539</v>
      </c>
      <c r="O2" s="16">
        <f>'KEEI BAU - Industry'!AC42*'Others Split'!$H$6</f>
        <v>293596679021.85138</v>
      </c>
      <c r="P2" s="16">
        <f>'KEEI BAU - Industry'!AD42*'Others Split'!$H$6</f>
        <v>295397885641.61731</v>
      </c>
      <c r="Q2" s="16">
        <f>'KEEI BAU - Industry'!AE42*'Others Split'!$H$6</f>
        <v>297199092261.3833</v>
      </c>
      <c r="R2" s="16">
        <f>'KEEI BAU - Industry'!AF42*'Others Split'!$H$6</f>
        <v>299000298881.14923</v>
      </c>
      <c r="S2" s="16">
        <f>'KEEI BAU - Industry'!AG42*'Others Split'!$H$6</f>
        <v>300801505500.91522</v>
      </c>
      <c r="T2" s="16">
        <f>'KEEI BAU - Industry'!AH42*'Others Split'!$H$6</f>
        <v>302602712120.68115</v>
      </c>
      <c r="U2" s="16">
        <f>'KEEI BAU - Industry'!AI42*'Others Split'!$H$6</f>
        <v>304403918740.44708</v>
      </c>
      <c r="V2" s="16">
        <f>'KEEI BAU - Industry'!AJ42*'Others Split'!$H$6</f>
        <v>306205125360.21307</v>
      </c>
      <c r="W2" s="16">
        <f>'KEEI BAU - Industry'!AK42*'Others Split'!$H$6</f>
        <v>306719755823.00336</v>
      </c>
      <c r="X2" s="16">
        <f>'KEEI BAU - Industry'!AL42*'Others Split'!$H$6</f>
        <v>307234386285.79364</v>
      </c>
      <c r="Y2" s="16">
        <f>'KEEI BAU - Industry'!AM42*'Others Split'!$H$6</f>
        <v>307749016748.58392</v>
      </c>
      <c r="Z2" s="16">
        <f>'KEEI BAU - Industry'!AN42*'Others Split'!$H$6</f>
        <v>308263647211.37415</v>
      </c>
      <c r="AA2" s="16">
        <f>'KEEI BAU - Industry'!AO42*'Others Split'!$H$6</f>
        <v>308778277674.16443</v>
      </c>
      <c r="AB2" s="16">
        <f>'KEEI BAU - Industry'!AP42*'Others Split'!$H$6</f>
        <v>309292908136.95471</v>
      </c>
      <c r="AC2" s="16">
        <f>'KEEI BAU - Industry'!AQ42*'Others Split'!$H$6</f>
        <v>309807538599.745</v>
      </c>
      <c r="AD2" s="16">
        <f>'KEEI BAU - Industry'!AR42*'Others Split'!$H$6</f>
        <v>310322169062.53528</v>
      </c>
      <c r="AE2" s="16">
        <f>'KEEI BAU - Industry'!AS42*'Others Split'!$H$6</f>
        <v>310836799525.32556</v>
      </c>
      <c r="AF2" s="16">
        <f>'KEEI BAU - Industry'!AT42*'Others Split'!$H$6</f>
        <v>311351429988.11578</v>
      </c>
    </row>
    <row r="3" spans="1:35">
      <c r="A3" t="s">
        <v>28</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34</v>
      </c>
      <c r="B5" s="16">
        <f>'KEEI BAU - Industry'!P$42*'Others Split'!$H$7</f>
        <v>103829408.41123253</v>
      </c>
      <c r="C5" s="16">
        <f>'KEEI BAU - Industry'!Q$42*'Others Split'!$H$7</f>
        <v>109020878.83179416</v>
      </c>
      <c r="D5" s="16">
        <f>'KEEI BAU - Industry'!R$42*'Others Split'!$H$7</f>
        <v>114212349.25235578</v>
      </c>
      <c r="E5" s="16">
        <f>'KEEI BAU - Industry'!S$42*'Others Split'!$H$7</f>
        <v>119403819.67291741</v>
      </c>
      <c r="F5" s="16">
        <f>'KEEI BAU - Industry'!T$42*'Others Split'!$H$7</f>
        <v>120715949.55943298</v>
      </c>
      <c r="G5" s="16">
        <f>'KEEI BAU - Industry'!U$42*'Others Split'!$H$7</f>
        <v>122028079.44594856</v>
      </c>
      <c r="H5" s="16">
        <f>'KEEI BAU - Industry'!V$42*'Others Split'!$H$7</f>
        <v>123340209.33246413</v>
      </c>
      <c r="I5" s="16">
        <f>'KEEI BAU - Industry'!W$42*'Others Split'!$H$7</f>
        <v>124652339.2189797</v>
      </c>
      <c r="J5" s="16">
        <f>'KEEI BAU - Industry'!X$42*'Others Split'!$H$7</f>
        <v>125964469.10549529</v>
      </c>
      <c r="K5" s="16">
        <f>'KEEI BAU - Industry'!Y$42*'Others Split'!$H$7</f>
        <v>127276598.99201086</v>
      </c>
      <c r="L5" s="16">
        <f>'KEEI BAU - Industry'!Z$42*'Others Split'!$H$7</f>
        <v>128588728.87852643</v>
      </c>
      <c r="M5" s="16">
        <f>'KEEI BAU - Industry'!AA$42*'Others Split'!$H$7</f>
        <v>129392408.43401723</v>
      </c>
      <c r="N5" s="16">
        <f>'KEEI BAU - Industry'!AB$42*'Others Split'!$H$7</f>
        <v>130196087.98950802</v>
      </c>
      <c r="O5" s="16">
        <f>'KEEI BAU - Industry'!AC$42*'Others Split'!$H$7</f>
        <v>130999767.54499881</v>
      </c>
      <c r="P5" s="16">
        <f>'KEEI BAU - Industry'!AD$42*'Others Split'!$H$7</f>
        <v>131803447.1004896</v>
      </c>
      <c r="Q5" s="16">
        <f>'KEEI BAU - Industry'!AE$42*'Others Split'!$H$7</f>
        <v>132607126.65598039</v>
      </c>
      <c r="R5" s="16">
        <f>'KEEI BAU - Industry'!AF$42*'Others Split'!$H$7</f>
        <v>133410806.21147119</v>
      </c>
      <c r="S5" s="16">
        <f>'KEEI BAU - Industry'!AG$42*'Others Split'!$H$7</f>
        <v>134214485.76696196</v>
      </c>
      <c r="T5" s="16">
        <f>'KEEI BAU - Industry'!AH$42*'Others Split'!$H$7</f>
        <v>135018165.32245275</v>
      </c>
      <c r="U5" s="16">
        <f>'KEEI BAU - Industry'!AI$42*'Others Split'!$H$7</f>
        <v>135821844.87794355</v>
      </c>
      <c r="V5" s="16">
        <f>'KEEI BAU - Industry'!AJ$42*'Others Split'!$H$7</f>
        <v>136625524.43343434</v>
      </c>
      <c r="W5" s="16">
        <f>'KEEI BAU - Industry'!AK$42*'Others Split'!$H$7</f>
        <v>136855147.16357458</v>
      </c>
      <c r="X5" s="16">
        <f>'KEEI BAU - Industry'!AL$42*'Others Split'!$H$7</f>
        <v>137084769.89371479</v>
      </c>
      <c r="Y5" s="16">
        <f>'KEEI BAU - Industry'!AM$42*'Others Split'!$H$7</f>
        <v>137314392.62385502</v>
      </c>
      <c r="Z5" s="16">
        <f>'KEEI BAU - Industry'!AN$42*'Others Split'!$H$7</f>
        <v>137544015.35399523</v>
      </c>
      <c r="AA5" s="16">
        <f>'KEEI BAU - Industry'!AO$42*'Others Split'!$H$7</f>
        <v>137773638.08413547</v>
      </c>
      <c r="AB5" s="16">
        <f>'KEEI BAU - Industry'!AP$42*'Others Split'!$H$7</f>
        <v>138003260.81427568</v>
      </c>
      <c r="AC5" s="16">
        <f>'KEEI BAU - Industry'!AQ$42*'Others Split'!$H$7</f>
        <v>138232883.54441592</v>
      </c>
      <c r="AD5" s="16">
        <f>'KEEI BAU - Industry'!AR$42*'Others Split'!$H$7</f>
        <v>138462506.27455613</v>
      </c>
      <c r="AE5" s="16">
        <f>'KEEI BAU - Industry'!AS$42*'Others Split'!$H$7</f>
        <v>138692129.00469637</v>
      </c>
      <c r="AF5" s="16">
        <f>'KEEI BAU - Industry'!AT$42*'Others Split'!$H$7</f>
        <v>138921751.73483661</v>
      </c>
    </row>
    <row r="6" spans="1:35">
      <c r="A6" t="s">
        <v>36</v>
      </c>
      <c r="B6" s="16">
        <f>'KEEI BAU - Industry'!P$42*'Others Split'!$H$8</f>
        <v>87924473532.771896</v>
      </c>
      <c r="C6" s="16">
        <f>'KEEI BAU - Industry'!Q$42*'Others Split'!$H$8</f>
        <v>92320697209.410492</v>
      </c>
      <c r="D6" s="16">
        <f>'KEEI BAU - Industry'!R$42*'Others Split'!$H$8</f>
        <v>96716920886.049088</v>
      </c>
      <c r="E6" s="16">
        <f>'KEEI BAU - Industry'!S$42*'Others Split'!$H$8</f>
        <v>101113144562.68767</v>
      </c>
      <c r="F6" s="16">
        <f>'KEEI BAU - Industry'!T$42*'Others Split'!$H$8</f>
        <v>102224278019.4205</v>
      </c>
      <c r="G6" s="16">
        <f>'KEEI BAU - Industry'!U$42*'Others Split'!$H$8</f>
        <v>103335411476.15334</v>
      </c>
      <c r="H6" s="16">
        <f>'KEEI BAU - Industry'!V$42*'Others Split'!$H$8</f>
        <v>104446544932.88617</v>
      </c>
      <c r="I6" s="16">
        <f>'KEEI BAU - Industry'!W$42*'Others Split'!$H$8</f>
        <v>105557678389.619</v>
      </c>
      <c r="J6" s="16">
        <f>'KEEI BAU - Industry'!X$42*'Others Split'!$H$8</f>
        <v>106668811846.35184</v>
      </c>
      <c r="K6" s="16">
        <f>'KEEI BAU - Industry'!Y$42*'Others Split'!$H$8</f>
        <v>107779945303.08467</v>
      </c>
      <c r="L6" s="16">
        <f>'KEEI BAU - Industry'!Z$42*'Others Split'!$H$8</f>
        <v>108891078759.81749</v>
      </c>
      <c r="M6" s="16">
        <f>'KEEI BAU - Industry'!AA$42*'Others Split'!$H$8</f>
        <v>109571648002.06636</v>
      </c>
      <c r="N6" s="16">
        <f>'KEEI BAU - Industry'!AB$42*'Others Split'!$H$8</f>
        <v>110252217244.31522</v>
      </c>
      <c r="O6" s="16">
        <f>'KEEI BAU - Industry'!AC$42*'Others Split'!$H$8</f>
        <v>110932786486.56407</v>
      </c>
      <c r="P6" s="16">
        <f>'KEEI BAU - Industry'!AD$42*'Others Split'!$H$8</f>
        <v>111613355728.81293</v>
      </c>
      <c r="Q6" s="16">
        <f>'KEEI BAU - Industry'!AE$42*'Others Split'!$H$8</f>
        <v>112293924971.0618</v>
      </c>
      <c r="R6" s="16">
        <f>'KEEI BAU - Industry'!AF$42*'Others Split'!$H$8</f>
        <v>112974494213.31065</v>
      </c>
      <c r="S6" s="16">
        <f>'KEEI BAU - Industry'!AG$42*'Others Split'!$H$8</f>
        <v>113655063455.55951</v>
      </c>
      <c r="T6" s="16">
        <f>'KEEI BAU - Industry'!AH$42*'Others Split'!$H$8</f>
        <v>114335632697.80836</v>
      </c>
      <c r="U6" s="16">
        <f>'KEEI BAU - Industry'!AI$42*'Others Split'!$H$8</f>
        <v>115016201940.05724</v>
      </c>
      <c r="V6" s="16">
        <f>'KEEI BAU - Industry'!AJ$42*'Others Split'!$H$8</f>
        <v>115696771182.30609</v>
      </c>
      <c r="W6" s="16">
        <f>'KEEI BAU - Industry'!AK$42*'Others Split'!$H$8</f>
        <v>115891219537.23433</v>
      </c>
      <c r="X6" s="16">
        <f>'KEEI BAU - Industry'!AL$42*'Others Split'!$H$8</f>
        <v>116085667892.16258</v>
      </c>
      <c r="Y6" s="16">
        <f>'KEEI BAU - Industry'!AM$42*'Others Split'!$H$8</f>
        <v>116280116247.09082</v>
      </c>
      <c r="Z6" s="16">
        <f>'KEEI BAU - Industry'!AN$42*'Others Split'!$H$8</f>
        <v>116474564602.01907</v>
      </c>
      <c r="AA6" s="16">
        <f>'KEEI BAU - Industry'!AO$42*'Others Split'!$H$8</f>
        <v>116669012956.94731</v>
      </c>
      <c r="AB6" s="16">
        <f>'KEEI BAU - Industry'!AP$42*'Others Split'!$H$8</f>
        <v>116863461311.87556</v>
      </c>
      <c r="AC6" s="16">
        <f>'KEEI BAU - Industry'!AQ$42*'Others Split'!$H$8</f>
        <v>117057909666.8038</v>
      </c>
      <c r="AD6" s="16">
        <f>'KEEI BAU - Industry'!AR$42*'Others Split'!$H$8</f>
        <v>117252358021.73206</v>
      </c>
      <c r="AE6" s="16">
        <f>'KEEI BAU - Industry'!AS$42*'Others Split'!$H$8</f>
        <v>117446806376.66029</v>
      </c>
      <c r="AF6" s="16">
        <f>'KEEI BAU - Industry'!AT$42*'Others Split'!$H$8</f>
        <v>117641254731.58855</v>
      </c>
    </row>
    <row r="7" spans="1:35">
      <c r="A7" t="s">
        <v>38</v>
      </c>
      <c r="B7" s="16">
        <f>'KEEI BAU - Industry'!P$42*'Others Split'!$H$9</f>
        <v>189729208479.98541</v>
      </c>
      <c r="C7" s="16">
        <f>'KEEI BAU - Industry'!Q$42*'Others Split'!$H$9</f>
        <v>199215668903.98468</v>
      </c>
      <c r="D7" s="16">
        <f>'KEEI BAU - Industry'!R$42*'Others Split'!$H$9</f>
        <v>208702129327.98395</v>
      </c>
      <c r="E7" s="16">
        <f>'KEEI BAU - Industry'!S$42*'Others Split'!$H$9</f>
        <v>218188589751.98322</v>
      </c>
      <c r="F7" s="16">
        <f>'KEEI BAU - Industry'!T$42*'Others Split'!$H$9</f>
        <v>220586266562.44458</v>
      </c>
      <c r="G7" s="16">
        <f>'KEEI BAU - Industry'!U$42*'Others Split'!$H$9</f>
        <v>222983943372.90591</v>
      </c>
      <c r="H7" s="16">
        <f>'KEEI BAU - Industry'!V$42*'Others Split'!$H$9</f>
        <v>225381620183.36728</v>
      </c>
      <c r="I7" s="16">
        <f>'KEEI BAU - Industry'!W$42*'Others Split'!$H$9</f>
        <v>227779296993.82861</v>
      </c>
      <c r="J7" s="16">
        <f>'KEEI BAU - Industry'!X$42*'Others Split'!$H$9</f>
        <v>230176973804.28998</v>
      </c>
      <c r="K7" s="16">
        <f>'KEEI BAU - Industry'!Y$42*'Others Split'!$H$9</f>
        <v>232574650614.75134</v>
      </c>
      <c r="L7" s="16">
        <f>'KEEI BAU - Industry'!Z$42*'Others Split'!$H$9</f>
        <v>234972327425.21268</v>
      </c>
      <c r="M7" s="16">
        <f>'KEEI BAU - Industry'!AA$42*'Others Split'!$H$9</f>
        <v>236440904471.62027</v>
      </c>
      <c r="N7" s="16">
        <f>'KEEI BAU - Industry'!AB$42*'Others Split'!$H$9</f>
        <v>237909481518.02786</v>
      </c>
      <c r="O7" s="16">
        <f>'KEEI BAU - Industry'!AC$42*'Others Split'!$H$9</f>
        <v>239378058564.43542</v>
      </c>
      <c r="P7" s="16">
        <f>'KEEI BAU - Industry'!AD$42*'Others Split'!$H$9</f>
        <v>240846635610.84302</v>
      </c>
      <c r="Q7" s="16">
        <f>'KEEI BAU - Industry'!AE$42*'Others Split'!$H$9</f>
        <v>242315212657.25058</v>
      </c>
      <c r="R7" s="16">
        <f>'KEEI BAU - Industry'!AF$42*'Others Split'!$H$9</f>
        <v>243783789703.65817</v>
      </c>
      <c r="S7" s="16">
        <f>'KEEI BAU - Industry'!AG$42*'Others Split'!$H$9</f>
        <v>245252366750.06573</v>
      </c>
      <c r="T7" s="16">
        <f>'KEEI BAU - Industry'!AH$42*'Others Split'!$H$9</f>
        <v>246720943796.47333</v>
      </c>
      <c r="U7" s="16">
        <f>'KEEI BAU - Industry'!AI$42*'Others Split'!$H$9</f>
        <v>248189520842.88089</v>
      </c>
      <c r="V7" s="16">
        <f>'KEEI BAU - Industry'!AJ$42*'Others Split'!$H$9</f>
        <v>249658097889.28848</v>
      </c>
      <c r="W7" s="16">
        <f>'KEEI BAU - Industry'!AK$42*'Others Split'!$H$9</f>
        <v>250077691331.11923</v>
      </c>
      <c r="X7" s="16">
        <f>'KEEI BAU - Industry'!AL$42*'Others Split'!$H$9</f>
        <v>250497284772.94995</v>
      </c>
      <c r="Y7" s="16">
        <f>'KEEI BAU - Industry'!AM$42*'Others Split'!$H$9</f>
        <v>250916878214.7807</v>
      </c>
      <c r="Z7" s="16">
        <f>'KEEI BAU - Industry'!AN$42*'Others Split'!$H$9</f>
        <v>251336471656.61142</v>
      </c>
      <c r="AA7" s="16">
        <f>'KEEI BAU - Industry'!AO$42*'Others Split'!$H$9</f>
        <v>251756065098.44217</v>
      </c>
      <c r="AB7" s="16">
        <f>'KEEI BAU - Industry'!AP$42*'Others Split'!$H$9</f>
        <v>252175658540.27292</v>
      </c>
      <c r="AC7" s="16">
        <f>'KEEI BAU - Industry'!AQ$42*'Others Split'!$H$9</f>
        <v>252595251982.10364</v>
      </c>
      <c r="AD7" s="16">
        <f>'KEEI BAU - Industry'!AR$42*'Others Split'!$H$9</f>
        <v>253014845423.93439</v>
      </c>
      <c r="AE7" s="16">
        <f>'KEEI BAU - Industry'!AS$42*'Others Split'!$H$9</f>
        <v>253434438865.76511</v>
      </c>
      <c r="AF7" s="16">
        <f>'KEEI BAU - Industry'!AT$42*'Others Split'!$H$9</f>
        <v>253854032307.59586</v>
      </c>
    </row>
    <row r="8" spans="1:35">
      <c r="A8" t="s">
        <v>40</v>
      </c>
      <c r="B8" s="16">
        <f>'KEEI BAU - Industry'!P$42*'Others Split'!$H$10</f>
        <v>117010551809.03851</v>
      </c>
      <c r="C8" s="16">
        <f>'KEEI BAU - Industry'!Q$42*'Others Split'!$H$10</f>
        <v>122861079399.49045</v>
      </c>
      <c r="D8" s="16">
        <f>'KEEI BAU - Industry'!R$42*'Others Split'!$H$10</f>
        <v>128711606989.94237</v>
      </c>
      <c r="E8" s="16">
        <f>'KEEI BAU - Industry'!S$42*'Others Split'!$H$10</f>
        <v>134562134580.39429</v>
      </c>
      <c r="F8" s="16">
        <f>'KEEI BAU - Industry'!T$42*'Others Split'!$H$10</f>
        <v>136040839356.00302</v>
      </c>
      <c r="G8" s="16">
        <f>'KEEI BAU - Industry'!U$42*'Others Split'!$H$10</f>
        <v>137519544131.61176</v>
      </c>
      <c r="H8" s="16">
        <f>'KEEI BAU - Industry'!V$42*'Others Split'!$H$10</f>
        <v>138998248907.22049</v>
      </c>
      <c r="I8" s="16">
        <f>'KEEI BAU - Industry'!W$42*'Others Split'!$H$10</f>
        <v>140476953682.82919</v>
      </c>
      <c r="J8" s="16">
        <f>'KEEI BAU - Industry'!X$42*'Others Split'!$H$10</f>
        <v>141955658458.43793</v>
      </c>
      <c r="K8" s="16">
        <f>'KEEI BAU - Industry'!Y$42*'Others Split'!$H$10</f>
        <v>143434363234.04666</v>
      </c>
      <c r="L8" s="16">
        <f>'KEEI BAU - Industry'!Z$42*'Others Split'!$H$10</f>
        <v>144913068009.6554</v>
      </c>
      <c r="M8" s="16">
        <f>'KEEI BAU - Industry'!AA$42*'Others Split'!$H$10</f>
        <v>145818774684.71573</v>
      </c>
      <c r="N8" s="16">
        <f>'KEEI BAU - Industry'!AB$42*'Others Split'!$H$10</f>
        <v>146724481359.77609</v>
      </c>
      <c r="O8" s="16">
        <f>'KEEI BAU - Industry'!AC$42*'Others Split'!$H$10</f>
        <v>147630188034.83643</v>
      </c>
      <c r="P8" s="16">
        <f>'KEEI BAU - Industry'!AD$42*'Others Split'!$H$10</f>
        <v>148535894709.89679</v>
      </c>
      <c r="Q8" s="16">
        <f>'KEEI BAU - Industry'!AE$42*'Others Split'!$H$10</f>
        <v>149441601384.95712</v>
      </c>
      <c r="R8" s="16">
        <f>'KEEI BAU - Industry'!AF$42*'Others Split'!$H$10</f>
        <v>150347308060.01746</v>
      </c>
      <c r="S8" s="16">
        <f>'KEEI BAU - Industry'!AG$42*'Others Split'!$H$10</f>
        <v>151253014735.07782</v>
      </c>
      <c r="T8" s="16">
        <f>'KEEI BAU - Industry'!AH$42*'Others Split'!$H$10</f>
        <v>152158721410.13815</v>
      </c>
      <c r="U8" s="16">
        <f>'KEEI BAU - Industry'!AI$42*'Others Split'!$H$10</f>
        <v>153064428085.19852</v>
      </c>
      <c r="V8" s="16">
        <f>'KEEI BAU - Industry'!AJ$42*'Others Split'!$H$10</f>
        <v>153970134760.25885</v>
      </c>
      <c r="W8" s="16">
        <f>'KEEI BAU - Industry'!AK$42*'Others Split'!$H$10</f>
        <v>154228908095.99039</v>
      </c>
      <c r="X8" s="16">
        <f>'KEEI BAU - Industry'!AL$42*'Others Split'!$H$10</f>
        <v>154487681431.72192</v>
      </c>
      <c r="Y8" s="16">
        <f>'KEEI BAU - Industry'!AM$42*'Others Split'!$H$10</f>
        <v>154746454767.45343</v>
      </c>
      <c r="Z8" s="16">
        <f>'KEEI BAU - Industry'!AN$42*'Others Split'!$H$10</f>
        <v>155005228103.18497</v>
      </c>
      <c r="AA8" s="16">
        <f>'KEEI BAU - Industry'!AO$42*'Others Split'!$H$10</f>
        <v>155264001438.9165</v>
      </c>
      <c r="AB8" s="16">
        <f>'KEEI BAU - Industry'!AP$42*'Others Split'!$H$10</f>
        <v>155522774774.64801</v>
      </c>
      <c r="AC8" s="16">
        <f>'KEEI BAU - Industry'!AQ$42*'Others Split'!$H$10</f>
        <v>155781548110.37955</v>
      </c>
      <c r="AD8" s="16">
        <f>'KEEI BAU - Industry'!AR$42*'Others Split'!$H$10</f>
        <v>156040321446.11108</v>
      </c>
      <c r="AE8" s="16">
        <f>'KEEI BAU - Industry'!AS$42*'Others Split'!$H$10</f>
        <v>156299094781.84259</v>
      </c>
      <c r="AF8" s="16">
        <f>'KEEI BAU - Industry'!AT$42*'Others Split'!$H$10</f>
        <v>156557868117.57413</v>
      </c>
    </row>
    <row r="9" spans="1:35">
      <c r="A9" t="s">
        <v>42</v>
      </c>
      <c r="B9" s="16">
        <f>'KEEI BAU - Industry'!P$42*'Others Split'!$H$11</f>
        <v>1038591728416.4374</v>
      </c>
      <c r="C9" s="16">
        <f>'KEEI BAU - Industry'!Q$42*'Others Split'!$H$11</f>
        <v>1090521314837.2593</v>
      </c>
      <c r="D9" s="16">
        <f>'KEEI BAU - Industry'!R$42*'Others Split'!$H$11</f>
        <v>1142450901258.0813</v>
      </c>
      <c r="E9" s="16">
        <f>'KEEI BAU - Industry'!S$42*'Others Split'!$H$11</f>
        <v>1194380487678.9031</v>
      </c>
      <c r="F9" s="16">
        <f>'KEEI BAU - Industry'!T$42*'Others Split'!$H$11</f>
        <v>1207505547983.0669</v>
      </c>
      <c r="G9" s="16">
        <f>'KEEI BAU - Industry'!U$42*'Others Split'!$H$11</f>
        <v>1220630608287.2305</v>
      </c>
      <c r="H9" s="16">
        <f>'KEEI BAU - Industry'!V$42*'Others Split'!$H$11</f>
        <v>1233755668591.3943</v>
      </c>
      <c r="I9" s="16">
        <f>'KEEI BAU - Industry'!W$42*'Others Split'!$H$11</f>
        <v>1246880728895.5581</v>
      </c>
      <c r="J9" s="16">
        <f>'KEEI BAU - Industry'!X$42*'Others Split'!$H$11</f>
        <v>1260005789199.7219</v>
      </c>
      <c r="K9" s="16">
        <f>'KEEI BAU - Industry'!Y$42*'Others Split'!$H$11</f>
        <v>1273130849503.8857</v>
      </c>
      <c r="L9" s="16">
        <f>'KEEI BAU - Industry'!Z$42*'Others Split'!$H$11</f>
        <v>1286255909808.0496</v>
      </c>
      <c r="M9" s="16">
        <f>'KEEI BAU - Industry'!AA$42*'Others Split'!$H$11</f>
        <v>1294295009244.3499</v>
      </c>
      <c r="N9" s="16">
        <f>'KEEI BAU - Industry'!AB$42*'Others Split'!$H$11</f>
        <v>1302334108680.6501</v>
      </c>
      <c r="O9" s="16">
        <f>'KEEI BAU - Industry'!AC$42*'Others Split'!$H$11</f>
        <v>1310373208116.9504</v>
      </c>
      <c r="P9" s="16">
        <f>'KEEI BAU - Industry'!AD$42*'Others Split'!$H$11</f>
        <v>1318412307553.2507</v>
      </c>
      <c r="Q9" s="16">
        <f>'KEEI BAU - Industry'!AE$42*'Others Split'!$H$11</f>
        <v>1326451406989.551</v>
      </c>
      <c r="R9" s="16">
        <f>'KEEI BAU - Industry'!AF$42*'Others Split'!$H$11</f>
        <v>1334490506425.8513</v>
      </c>
      <c r="S9" s="16">
        <f>'KEEI BAU - Industry'!AG$42*'Others Split'!$H$11</f>
        <v>1342529605862.1516</v>
      </c>
      <c r="T9" s="16">
        <f>'KEEI BAU - Industry'!AH$42*'Others Split'!$H$11</f>
        <v>1350568705298.4519</v>
      </c>
      <c r="U9" s="16">
        <f>'KEEI BAU - Industry'!AI$42*'Others Split'!$H$11</f>
        <v>1358607804734.7522</v>
      </c>
      <c r="V9" s="16">
        <f>'KEEI BAU - Industry'!AJ$42*'Others Split'!$H$11</f>
        <v>1366646904171.0525</v>
      </c>
      <c r="W9" s="16">
        <f>'KEEI BAU - Industry'!AK$42*'Others Split'!$H$11</f>
        <v>1368943789724.2813</v>
      </c>
      <c r="X9" s="16">
        <f>'KEEI BAU - Industry'!AL$42*'Others Split'!$H$11</f>
        <v>1371240675277.5098</v>
      </c>
      <c r="Y9" s="16">
        <f>'KEEI BAU - Industry'!AM$42*'Others Split'!$H$11</f>
        <v>1373537560830.7385</v>
      </c>
      <c r="Z9" s="16">
        <f>'KEEI BAU - Industry'!AN$42*'Others Split'!$H$11</f>
        <v>1375834446383.9673</v>
      </c>
      <c r="AA9" s="16">
        <f>'KEEI BAU - Industry'!AO$42*'Others Split'!$H$11</f>
        <v>1378131331937.1958</v>
      </c>
      <c r="AB9" s="16">
        <f>'KEEI BAU - Industry'!AP$42*'Others Split'!$H$11</f>
        <v>1380428217490.4246</v>
      </c>
      <c r="AC9" s="16">
        <f>'KEEI BAU - Industry'!AQ$42*'Others Split'!$H$11</f>
        <v>1382725103043.6531</v>
      </c>
      <c r="AD9" s="16">
        <f>'KEEI BAU - Industry'!AR$42*'Others Split'!$H$11</f>
        <v>1385021988596.8818</v>
      </c>
      <c r="AE9" s="16">
        <f>'KEEI BAU - Industry'!AS$42*'Others Split'!$H$11</f>
        <v>1387318874150.1104</v>
      </c>
      <c r="AF9" s="16">
        <f>'KEEI BAU - Industry'!AT$42*'Others Split'!$H$11</f>
        <v>1389615759703.3391</v>
      </c>
    </row>
    <row r="10" spans="1:35">
      <c r="A10" t="s">
        <v>44</v>
      </c>
      <c r="B10" s="16">
        <v>0</v>
      </c>
      <c r="C10" s="16">
        <v>0</v>
      </c>
      <c r="D10" s="16">
        <v>1</v>
      </c>
      <c r="E10" s="16">
        <v>2</v>
      </c>
      <c r="F10" s="16">
        <v>3</v>
      </c>
      <c r="G10" s="16">
        <v>4</v>
      </c>
      <c r="H10" s="16">
        <v>5</v>
      </c>
      <c r="I10" s="16">
        <v>6</v>
      </c>
      <c r="J10" s="16">
        <v>7</v>
      </c>
      <c r="K10" s="16">
        <v>8</v>
      </c>
      <c r="L10" s="16">
        <v>9</v>
      </c>
      <c r="M10" s="16">
        <v>10</v>
      </c>
      <c r="N10" s="16">
        <v>11</v>
      </c>
      <c r="O10" s="16">
        <v>12</v>
      </c>
      <c r="P10" s="16">
        <v>13</v>
      </c>
      <c r="Q10" s="16">
        <v>14</v>
      </c>
      <c r="R10" s="16">
        <v>15</v>
      </c>
      <c r="S10" s="16">
        <v>16</v>
      </c>
      <c r="T10" s="16">
        <v>17</v>
      </c>
      <c r="U10" s="16">
        <v>18</v>
      </c>
      <c r="V10" s="16">
        <v>19</v>
      </c>
      <c r="W10" s="16">
        <v>20</v>
      </c>
      <c r="X10" s="16">
        <v>21</v>
      </c>
      <c r="Y10" s="16">
        <v>22</v>
      </c>
      <c r="Z10" s="16">
        <v>23</v>
      </c>
      <c r="AA10" s="16">
        <v>24</v>
      </c>
      <c r="AB10" s="16">
        <v>25</v>
      </c>
      <c r="AC10" s="16">
        <v>26</v>
      </c>
      <c r="AD10" s="16">
        <v>27</v>
      </c>
      <c r="AE10" s="16">
        <v>28</v>
      </c>
      <c r="AF10" s="16">
        <v>29</v>
      </c>
    </row>
    <row r="11" spans="1:35">
      <c r="A11" t="s">
        <v>47</v>
      </c>
      <c r="B11" s="16">
        <f>'KEEI BAU - Industry'!P$14*'Petrochemicals Split'!$H$6</f>
        <v>50289138547292.078</v>
      </c>
      <c r="C11" s="16">
        <f>'KEEI BAU - Industry'!Q$14*'Petrochemicals Split'!$H$6</f>
        <v>52803595474656.68</v>
      </c>
      <c r="D11" s="16">
        <f>'KEEI BAU - Industry'!R$14*'Petrochemicals Split'!$H$6</f>
        <v>55318052402021.281</v>
      </c>
      <c r="E11" s="16">
        <f>'KEEI BAU - Industry'!S$14*'Petrochemicals Split'!$H$6</f>
        <v>57832509329385.875</v>
      </c>
      <c r="F11" s="16">
        <f>'KEEI BAU - Industry'!T$14*'Petrochemicals Split'!$H$6</f>
        <v>61242483810652.172</v>
      </c>
      <c r="G11" s="16">
        <f>'KEEI BAU - Industry'!U$14*'Petrochemicals Split'!$H$6</f>
        <v>64652458291918.453</v>
      </c>
      <c r="H11" s="16">
        <f>'KEEI BAU - Industry'!V$14*'Petrochemicals Split'!$H$6</f>
        <v>68062432773184.734</v>
      </c>
      <c r="I11" s="16">
        <f>'KEEI BAU - Industry'!W$14*'Petrochemicals Split'!$H$6</f>
        <v>71472407254451.016</v>
      </c>
      <c r="J11" s="16">
        <f>'KEEI BAU - Industry'!X$14*'Petrochemicals Split'!$H$6</f>
        <v>74882381735717.297</v>
      </c>
      <c r="K11" s="16">
        <f>'KEEI BAU - Industry'!Y$14*'Petrochemicals Split'!$H$6</f>
        <v>78292356216983.578</v>
      </c>
      <c r="L11" s="16">
        <f>'KEEI BAU - Industry'!Z$14*'Petrochemicals Split'!$H$6</f>
        <v>81702330698249.875</v>
      </c>
      <c r="M11" s="16">
        <f>'KEEI BAU - Industry'!AA$14*'Petrochemicals Split'!$H$6</f>
        <v>83471460545684.969</v>
      </c>
      <c r="N11" s="16">
        <f>'KEEI BAU - Industry'!AB$14*'Petrochemicals Split'!$H$6</f>
        <v>85240590393120.063</v>
      </c>
      <c r="O11" s="16">
        <f>'KEEI BAU - Industry'!AC$14*'Petrochemicals Split'!$H$6</f>
        <v>87009720240555.156</v>
      </c>
      <c r="P11" s="16">
        <f>'KEEI BAU - Industry'!AD$14*'Petrochemicals Split'!$H$6</f>
        <v>88778850087990.25</v>
      </c>
      <c r="Q11" s="16">
        <f>'KEEI BAU - Industry'!AE$14*'Petrochemicals Split'!$H$6</f>
        <v>90547979935425.344</v>
      </c>
      <c r="R11" s="16">
        <f>'KEEI BAU - Industry'!AF$14*'Petrochemicals Split'!$H$6</f>
        <v>92317109782860.438</v>
      </c>
      <c r="S11" s="16">
        <f>'KEEI BAU - Industry'!AG$14*'Petrochemicals Split'!$H$6</f>
        <v>94086239630295.531</v>
      </c>
      <c r="T11" s="16">
        <f>'KEEI BAU - Industry'!AH$14*'Petrochemicals Split'!$H$6</f>
        <v>95855369477730.641</v>
      </c>
      <c r="U11" s="16">
        <f>'KEEI BAU - Industry'!AI$14*'Petrochemicals Split'!$H$6</f>
        <v>97624499325165.734</v>
      </c>
      <c r="V11" s="16">
        <f>'KEEI BAU - Industry'!AJ$14*'Petrochemicals Split'!$H$6</f>
        <v>99393629172600.828</v>
      </c>
      <c r="W11" s="16">
        <f>'KEEI BAU - Industry'!AK$14*'Petrochemicals Split'!$H$6</f>
        <v>100825050936360.67</v>
      </c>
      <c r="X11" s="16">
        <f>'KEEI BAU - Industry'!AL$14*'Petrochemicals Split'!$H$6</f>
        <v>102256472700120.53</v>
      </c>
      <c r="Y11" s="16">
        <f>'KEEI BAU - Industry'!AM$14*'Petrochemicals Split'!$H$6</f>
        <v>103687894463880.38</v>
      </c>
      <c r="Z11" s="16">
        <f>'KEEI BAU - Industry'!AN$14*'Petrochemicals Split'!$H$6</f>
        <v>105119316227640.22</v>
      </c>
      <c r="AA11" s="16">
        <f>'KEEI BAU - Industry'!AO$14*'Petrochemicals Split'!$H$6</f>
        <v>106550737991400.08</v>
      </c>
      <c r="AB11" s="16">
        <f>'KEEI BAU - Industry'!AP$14*'Petrochemicals Split'!$H$6</f>
        <v>107982159755159.92</v>
      </c>
      <c r="AC11" s="16">
        <f>'KEEI BAU - Industry'!AQ$14*'Petrochemicals Split'!$H$6</f>
        <v>109413581518919.78</v>
      </c>
      <c r="AD11" s="16">
        <f>'KEEI BAU - Industry'!AR$14*'Petrochemicals Split'!$H$6</f>
        <v>110845003282679.63</v>
      </c>
      <c r="AE11" s="16">
        <f>'KEEI BAU - Industry'!AS$14*'Petrochemicals Split'!$H$6</f>
        <v>112276425046439.47</v>
      </c>
      <c r="AF11" s="16">
        <f>'KEEI BAU - Industry'!AT$14*'Petrochemicals Split'!$H$6</f>
        <v>113707846810199.33</v>
      </c>
    </row>
    <row r="12" spans="1:35">
      <c r="A12" t="s">
        <v>51</v>
      </c>
      <c r="B12" s="16">
        <f>'KEEI BAU - Industry'!P$14*'Petrochemicals Split'!$H$7</f>
        <v>1678338968507.9272</v>
      </c>
      <c r="C12" s="16">
        <f>'KEEI BAU - Industry'!Q$14*'Petrochemicals Split'!$H$7</f>
        <v>1762255916933.3237</v>
      </c>
      <c r="D12" s="16">
        <f>'KEEI BAU - Industry'!R$14*'Petrochemicals Split'!$H$7</f>
        <v>1846172865358.72</v>
      </c>
      <c r="E12" s="16">
        <f>'KEEI BAU - Industry'!S$14*'Petrochemicals Split'!$H$7</f>
        <v>1930089813784.1162</v>
      </c>
      <c r="F12" s="16">
        <f>'KEEI BAU - Industry'!T$14*'Petrochemicals Split'!$H$7</f>
        <v>2043893573777.8333</v>
      </c>
      <c r="G12" s="16">
        <f>'KEEI BAU - Industry'!U$14*'Petrochemicals Split'!$H$7</f>
        <v>2157697333771.5503</v>
      </c>
      <c r="H12" s="16">
        <f>'KEEI BAU - Industry'!V$14*'Petrochemicals Split'!$H$7</f>
        <v>2271501093765.2671</v>
      </c>
      <c r="I12" s="16">
        <f>'KEEI BAU - Industry'!W$14*'Petrochemicals Split'!$H$7</f>
        <v>2385304853758.9844</v>
      </c>
      <c r="J12" s="16">
        <f>'KEEI BAU - Industry'!X$14*'Petrochemicals Split'!$H$7</f>
        <v>2499108613752.7012</v>
      </c>
      <c r="K12" s="16">
        <f>'KEEI BAU - Industry'!Y$14*'Petrochemicals Split'!$H$7</f>
        <v>2612912373746.418</v>
      </c>
      <c r="L12" s="16">
        <f>'KEEI BAU - Industry'!Z$14*'Petrochemicals Split'!$H$7</f>
        <v>2726716133740.1353</v>
      </c>
      <c r="M12" s="16">
        <f>'KEEI BAU - Industry'!AA$14*'Petrochemicals Split'!$H$7</f>
        <v>2785758695396.0396</v>
      </c>
      <c r="N12" s="16">
        <f>'KEEI BAU - Industry'!AB$14*'Petrochemicals Split'!$H$7</f>
        <v>2844801257051.9438</v>
      </c>
      <c r="O12" s="16">
        <f>'KEEI BAU - Industry'!AC$14*'Petrochemicals Split'!$H$7</f>
        <v>2903843818707.8481</v>
      </c>
      <c r="P12" s="16">
        <f>'KEEI BAU - Industry'!AD$14*'Petrochemicals Split'!$H$7</f>
        <v>2962886380363.7524</v>
      </c>
      <c r="Q12" s="16">
        <f>'KEEI BAU - Industry'!AE$14*'Petrochemicals Split'!$H$7</f>
        <v>3021928942019.6567</v>
      </c>
      <c r="R12" s="16">
        <f>'KEEI BAU - Industry'!AF$14*'Petrochemicals Split'!$H$7</f>
        <v>3080971503675.561</v>
      </c>
      <c r="S12" s="16">
        <f>'KEEI BAU - Industry'!AG$14*'Petrochemicals Split'!$H$7</f>
        <v>3140014065331.4653</v>
      </c>
      <c r="T12" s="16">
        <f>'KEEI BAU - Industry'!AH$14*'Petrochemicals Split'!$H$7</f>
        <v>3199056626987.3696</v>
      </c>
      <c r="U12" s="16">
        <f>'KEEI BAU - Industry'!AI$14*'Petrochemicals Split'!$H$7</f>
        <v>3258099188643.2739</v>
      </c>
      <c r="V12" s="16">
        <f>'KEEI BAU - Industry'!AJ$14*'Petrochemicals Split'!$H$7</f>
        <v>3317141750299.1782</v>
      </c>
      <c r="W12" s="16">
        <f>'KEEI BAU - Industry'!AK$14*'Petrochemicals Split'!$H$7</f>
        <v>3364913714502.3286</v>
      </c>
      <c r="X12" s="16">
        <f>'KEEI BAU - Industry'!AL$14*'Petrochemicals Split'!$H$7</f>
        <v>3412685678705.4785</v>
      </c>
      <c r="Y12" s="16">
        <f>'KEEI BAU - Industry'!AM$14*'Petrochemicals Split'!$H$7</f>
        <v>3460457642908.6289</v>
      </c>
      <c r="Z12" s="16">
        <f>'KEEI BAU - Industry'!AN$14*'Petrochemicals Split'!$H$7</f>
        <v>3508229607111.7793</v>
      </c>
      <c r="AA12" s="16">
        <f>'KEEI BAU - Industry'!AO$14*'Petrochemicals Split'!$H$7</f>
        <v>3556001571314.9297</v>
      </c>
      <c r="AB12" s="16">
        <f>'KEEI BAU - Industry'!AP$14*'Petrochemicals Split'!$H$7</f>
        <v>3603773535518.0801</v>
      </c>
      <c r="AC12" s="16">
        <f>'KEEI BAU - Industry'!AQ$14*'Petrochemicals Split'!$H$7</f>
        <v>3651545499721.2305</v>
      </c>
      <c r="AD12" s="16">
        <f>'KEEI BAU - Industry'!AR$14*'Petrochemicals Split'!$H$7</f>
        <v>3699317463924.3809</v>
      </c>
      <c r="AE12" s="16">
        <f>'KEEI BAU - Industry'!AS$14*'Petrochemicals Split'!$H$7</f>
        <v>3747089428127.5308</v>
      </c>
      <c r="AF12" s="16">
        <f>'KEEI BAU - Industry'!AT$14*'Petrochemicals Split'!$H$7</f>
        <v>3794861392330.6812</v>
      </c>
    </row>
    <row r="13" spans="1:35">
      <c r="A13" t="s">
        <v>53</v>
      </c>
      <c r="B13" s="16">
        <f>'KEEI BAU - Industry'!P$42*'Others Split'!$H$12</f>
        <v>0</v>
      </c>
      <c r="C13" s="16">
        <f>'KEEI BAU - Industry'!Q$42*'Others Split'!$H$12</f>
        <v>0</v>
      </c>
      <c r="D13" s="16">
        <f>'KEEI BAU - Industry'!R$42*'Others Split'!$H$12</f>
        <v>0</v>
      </c>
      <c r="E13" s="16">
        <f>'KEEI BAU - Industry'!S$42*'Others Split'!$H$12</f>
        <v>0</v>
      </c>
      <c r="F13" s="16">
        <f>'KEEI BAU - Industry'!T$42*'Others Split'!$H$12</f>
        <v>0</v>
      </c>
      <c r="G13" s="16">
        <f>'KEEI BAU - Industry'!U$42*'Others Split'!$H$12</f>
        <v>0</v>
      </c>
      <c r="H13" s="16">
        <f>'KEEI BAU - Industry'!V$42*'Others Split'!$H$12</f>
        <v>0</v>
      </c>
      <c r="I13" s="16">
        <f>'KEEI BAU - Industry'!W$42*'Others Split'!$H$12</f>
        <v>0</v>
      </c>
      <c r="J13" s="16">
        <f>'KEEI BAU - Industry'!X$42*'Others Split'!$H$12</f>
        <v>0</v>
      </c>
      <c r="K13" s="16">
        <f>'KEEI BAU - Industry'!Y$42*'Others Split'!$H$12</f>
        <v>0</v>
      </c>
      <c r="L13" s="16">
        <f>'KEEI BAU - Industry'!Z$42*'Others Split'!$H$12</f>
        <v>0</v>
      </c>
      <c r="M13" s="16">
        <f>'KEEI BAU - Industry'!AA$42*'Others Split'!$H$12</f>
        <v>0</v>
      </c>
      <c r="N13" s="16">
        <f>'KEEI BAU - Industry'!AB$42*'Others Split'!$H$12</f>
        <v>0</v>
      </c>
      <c r="O13" s="16">
        <f>'KEEI BAU - Industry'!AC$42*'Others Split'!$H$12</f>
        <v>0</v>
      </c>
      <c r="P13" s="16">
        <f>'KEEI BAU - Industry'!AD$42*'Others Split'!$H$12</f>
        <v>0</v>
      </c>
      <c r="Q13" s="16">
        <f>'KEEI BAU - Industry'!AE$42*'Others Split'!$H$12</f>
        <v>0</v>
      </c>
      <c r="R13" s="16">
        <f>'KEEI BAU - Industry'!AF$42*'Others Split'!$H$12</f>
        <v>0</v>
      </c>
      <c r="S13" s="16">
        <f>'KEEI BAU - Industry'!AG$42*'Others Split'!$H$12</f>
        <v>0</v>
      </c>
      <c r="T13" s="16">
        <f>'KEEI BAU - Industry'!AH$42*'Others Split'!$H$12</f>
        <v>0</v>
      </c>
      <c r="U13" s="16">
        <f>'KEEI BAU - Industry'!AI$42*'Others Split'!$H$12</f>
        <v>0</v>
      </c>
      <c r="V13" s="16">
        <f>'KEEI BAU - Industry'!AJ$42*'Others Split'!$H$12</f>
        <v>0</v>
      </c>
      <c r="W13" s="16">
        <f>'KEEI BAU - Industry'!AK$42*'Others Split'!$H$12</f>
        <v>0</v>
      </c>
      <c r="X13" s="16">
        <f>'KEEI BAU - Industry'!AL$42*'Others Split'!$H$12</f>
        <v>0</v>
      </c>
      <c r="Y13" s="16">
        <f>'KEEI BAU - Industry'!AM$42*'Others Split'!$H$12</f>
        <v>0</v>
      </c>
      <c r="Z13" s="16">
        <f>'KEEI BAU - Industry'!AN$42*'Others Split'!$H$12</f>
        <v>0</v>
      </c>
      <c r="AA13" s="16">
        <f>'KEEI BAU - Industry'!AO$42*'Others Split'!$H$12</f>
        <v>0</v>
      </c>
      <c r="AB13" s="16">
        <f>'KEEI BAU - Industry'!AP$42*'Others Split'!$H$12</f>
        <v>0</v>
      </c>
      <c r="AC13" s="16">
        <f>'KEEI BAU - Industry'!AQ$42*'Others Split'!$H$12</f>
        <v>0</v>
      </c>
      <c r="AD13" s="16">
        <f>'KEEI BAU - Industry'!AR$42*'Others Split'!$H$12</f>
        <v>0</v>
      </c>
      <c r="AE13" s="16">
        <f>'KEEI BAU - Industry'!AS$42*'Others Split'!$H$12</f>
        <v>0</v>
      </c>
      <c r="AF13" s="16">
        <f>'KEEI BAU - Industry'!AT$42*'Others Split'!$H$12</f>
        <v>0</v>
      </c>
    </row>
    <row r="14" spans="1:35">
      <c r="A14" t="s">
        <v>56</v>
      </c>
      <c r="B14" s="16">
        <f>'KEEI BAU - Industry'!P$42*'Others Split'!$H$13</f>
        <v>1210477853060.9526</v>
      </c>
      <c r="C14" s="16">
        <f>'KEEI BAU - Industry'!Q$42*'Others Split'!$H$13</f>
        <v>1271001745714.0002</v>
      </c>
      <c r="D14" s="16">
        <f>'KEEI BAU - Industry'!R$42*'Others Split'!$H$13</f>
        <v>1331525638367.0479</v>
      </c>
      <c r="E14" s="16">
        <f>'KEEI BAU - Industry'!S$42*'Others Split'!$H$13</f>
        <v>1392049531020.0955</v>
      </c>
      <c r="F14" s="16">
        <f>'KEEI BAU - Industry'!T$42*'Others Split'!$H$13</f>
        <v>1407346778613.7229</v>
      </c>
      <c r="G14" s="16">
        <f>'KEEI BAU - Industry'!U$42*'Others Split'!$H$13</f>
        <v>1422644026207.3503</v>
      </c>
      <c r="H14" s="16">
        <f>'KEEI BAU - Industry'!V$42*'Others Split'!$H$13</f>
        <v>1437941273800.9778</v>
      </c>
      <c r="I14" s="16">
        <f>'KEEI BAU - Industry'!W$42*'Others Split'!$H$13</f>
        <v>1453238521394.6052</v>
      </c>
      <c r="J14" s="16">
        <f>'KEEI BAU - Industry'!X$42*'Others Split'!$H$13</f>
        <v>1468535768988.2327</v>
      </c>
      <c r="K14" s="16">
        <f>'KEEI BAU - Industry'!Y$42*'Others Split'!$H$13</f>
        <v>1483833016581.8601</v>
      </c>
      <c r="L14" s="16">
        <f>'KEEI BAU - Industry'!Z$42*'Others Split'!$H$13</f>
        <v>1499130264175.4875</v>
      </c>
      <c r="M14" s="16">
        <f>'KEEI BAU - Industry'!AA$42*'Others Split'!$H$13</f>
        <v>1508499828326.5842</v>
      </c>
      <c r="N14" s="16">
        <f>'KEEI BAU - Industry'!AB$42*'Others Split'!$H$13</f>
        <v>1517869392477.6812</v>
      </c>
      <c r="O14" s="16">
        <f>'KEEI BAU - Industry'!AC$42*'Others Split'!$H$13</f>
        <v>1527238956628.7778</v>
      </c>
      <c r="P14" s="16">
        <f>'KEEI BAU - Industry'!AD$42*'Others Split'!$H$13</f>
        <v>1536608520779.8748</v>
      </c>
      <c r="Q14" s="16">
        <f>'KEEI BAU - Industry'!AE$42*'Others Split'!$H$13</f>
        <v>1545978084930.9714</v>
      </c>
      <c r="R14" s="16">
        <f>'KEEI BAU - Industry'!AF$42*'Others Split'!$H$13</f>
        <v>1555347649082.0681</v>
      </c>
      <c r="S14" s="16">
        <f>'KEEI BAU - Industry'!AG$42*'Others Split'!$H$13</f>
        <v>1564717213233.165</v>
      </c>
      <c r="T14" s="16">
        <f>'KEEI BAU - Industry'!AH$42*'Others Split'!$H$13</f>
        <v>1574086777384.2617</v>
      </c>
      <c r="U14" s="16">
        <f>'KEEI BAU - Industry'!AI$42*'Others Split'!$H$13</f>
        <v>1583456341535.3586</v>
      </c>
      <c r="V14" s="16">
        <f>'KEEI BAU - Industry'!AJ$42*'Others Split'!$H$13</f>
        <v>1592825905686.4553</v>
      </c>
      <c r="W14" s="16">
        <f>'KEEI BAU - Industry'!AK$42*'Others Split'!$H$13</f>
        <v>1595502924015.3403</v>
      </c>
      <c r="X14" s="16">
        <f>'KEEI BAU - Industry'!AL$42*'Others Split'!$H$13</f>
        <v>1598179942344.2251</v>
      </c>
      <c r="Y14" s="16">
        <f>'KEEI BAU - Industry'!AM$42*'Others Split'!$H$13</f>
        <v>1600856960673.1099</v>
      </c>
      <c r="Z14" s="16">
        <f>'KEEI BAU - Industry'!AN$42*'Others Split'!$H$13</f>
        <v>1603533979001.9946</v>
      </c>
      <c r="AA14" s="16">
        <f>'KEEI BAU - Industry'!AO$42*'Others Split'!$H$13</f>
        <v>1606210997330.8794</v>
      </c>
      <c r="AB14" s="16">
        <f>'KEEI BAU - Industry'!AP$42*'Others Split'!$H$13</f>
        <v>1608888015659.7642</v>
      </c>
      <c r="AC14" s="16">
        <f>'KEEI BAU - Industry'!AQ$42*'Others Split'!$H$13</f>
        <v>1611565033988.6489</v>
      </c>
      <c r="AD14" s="16">
        <f>'KEEI BAU - Industry'!AR$42*'Others Split'!$H$13</f>
        <v>1614242052317.5337</v>
      </c>
      <c r="AE14" s="16">
        <f>'KEEI BAU - Industry'!AS$42*'Others Split'!$H$13</f>
        <v>1616919070646.4187</v>
      </c>
      <c r="AF14" s="16">
        <f>'KEEI BAU - Industry'!AT$42*'Others Split'!$H$13</f>
        <v>1619596088975.3035</v>
      </c>
    </row>
    <row r="15" spans="1:35">
      <c r="A15" t="s">
        <v>58</v>
      </c>
      <c r="B15" s="16">
        <f>'KEEI BAU - Industry'!P28</f>
        <v>413808712800</v>
      </c>
      <c r="C15" s="16">
        <f>'KEEI BAU - Industry'!Q28</f>
        <v>434499148440</v>
      </c>
      <c r="D15" s="16">
        <f>'KEEI BAU - Industry'!R28</f>
        <v>455189584080</v>
      </c>
      <c r="E15" s="16">
        <f>'KEEI BAU - Industry'!S28</f>
        <v>475880019720</v>
      </c>
      <c r="F15" s="16">
        <f>'KEEI BAU - Industry'!T28</f>
        <v>481545258050</v>
      </c>
      <c r="G15" s="16">
        <f>'KEEI BAU - Industry'!U28</f>
        <v>487210496380</v>
      </c>
      <c r="H15" s="16">
        <f>'KEEI BAU - Industry'!V28</f>
        <v>492875734710</v>
      </c>
      <c r="I15" s="16">
        <f>'KEEI BAU - Industry'!W28</f>
        <v>498540973040</v>
      </c>
      <c r="J15" s="16">
        <f>'KEEI BAU - Industry'!X28</f>
        <v>504206211370</v>
      </c>
      <c r="K15" s="16">
        <f>'KEEI BAU - Industry'!Y28</f>
        <v>509871449700</v>
      </c>
      <c r="L15" s="16">
        <f>'KEEI BAU - Industry'!Z28</f>
        <v>515536688030</v>
      </c>
      <c r="M15" s="16">
        <f>'KEEI BAU - Industry'!AA28</f>
        <v>515536688030</v>
      </c>
      <c r="N15" s="16">
        <f>'KEEI BAU - Industry'!AB28</f>
        <v>515536688030</v>
      </c>
      <c r="O15" s="16">
        <f>'KEEI BAU - Industry'!AC28</f>
        <v>515536688030</v>
      </c>
      <c r="P15" s="16">
        <f>'KEEI BAU - Industry'!AD28</f>
        <v>515536688030</v>
      </c>
      <c r="Q15" s="16">
        <f>'KEEI BAU - Industry'!AE28</f>
        <v>515536688030</v>
      </c>
      <c r="R15" s="16">
        <f>'KEEI BAU - Industry'!AF28</f>
        <v>515536688030</v>
      </c>
      <c r="S15" s="16">
        <f>'KEEI BAU - Industry'!AG28</f>
        <v>515536688030</v>
      </c>
      <c r="T15" s="16">
        <f>'KEEI BAU - Industry'!AH28</f>
        <v>515536688030</v>
      </c>
      <c r="U15" s="16">
        <f>'KEEI BAU - Industry'!AI28</f>
        <v>515536688030</v>
      </c>
      <c r="V15" s="16">
        <f>'KEEI BAU - Industry'!AJ28</f>
        <v>515536688030</v>
      </c>
      <c r="W15" s="16">
        <f>'KEEI BAU - Industry'!AK28</f>
        <v>515536688030</v>
      </c>
      <c r="X15" s="16">
        <f>'KEEI BAU - Industry'!AL28</f>
        <v>515536688030</v>
      </c>
      <c r="Y15" s="16">
        <f>'KEEI BAU - Industry'!AM28</f>
        <v>515536688030</v>
      </c>
      <c r="Z15" s="16">
        <f>'KEEI BAU - Industry'!AN28</f>
        <v>515536688030</v>
      </c>
      <c r="AA15" s="16">
        <f>'KEEI BAU - Industry'!AO28</f>
        <v>515536688030</v>
      </c>
      <c r="AB15" s="16">
        <f>'KEEI BAU - Industry'!AP28</f>
        <v>515536688030</v>
      </c>
      <c r="AC15" s="16">
        <f>'KEEI BAU - Industry'!AQ28</f>
        <v>515536688030</v>
      </c>
      <c r="AD15" s="16">
        <f>'KEEI BAU - Industry'!AR28</f>
        <v>515536688030</v>
      </c>
      <c r="AE15" s="16">
        <f>'KEEI BAU - Industry'!AS28</f>
        <v>515536688030</v>
      </c>
      <c r="AF15" s="16">
        <f>'KEEI BAU - Industry'!AT28</f>
        <v>515536688030</v>
      </c>
    </row>
    <row r="16" spans="1:35">
      <c r="A16" t="s">
        <v>61</v>
      </c>
      <c r="B16" s="16">
        <f>'KEEI BAU - Industry'!P$21*'Non-ferrous Metals Split'!$H$6</f>
        <v>20572360474586.078</v>
      </c>
      <c r="C16" s="16">
        <f>'KEEI BAU - Industry'!Q$21*'Non-ferrous Metals Split'!$H$6</f>
        <v>21600978498315.383</v>
      </c>
      <c r="D16" s="16">
        <f>'KEEI BAU - Industry'!R$21*'Non-ferrous Metals Split'!$H$6</f>
        <v>22629596522044.688</v>
      </c>
      <c r="E16" s="16">
        <f>'KEEI BAU - Industry'!S$21*'Non-ferrous Metals Split'!$H$6</f>
        <v>23658214545773.988</v>
      </c>
      <c r="F16" s="16">
        <f>'KEEI BAU - Industry'!T$21*'Non-ferrous Metals Split'!$H$6</f>
        <v>23901174387065.637</v>
      </c>
      <c r="G16" s="16">
        <f>'KEEI BAU - Industry'!U$21*'Non-ferrous Metals Split'!$H$6</f>
        <v>24144134228357.281</v>
      </c>
      <c r="H16" s="16">
        <f>'KEEI BAU - Industry'!V$21*'Non-ferrous Metals Split'!$H$6</f>
        <v>24387094069648.926</v>
      </c>
      <c r="I16" s="16">
        <f>'KEEI BAU - Industry'!W$21*'Non-ferrous Metals Split'!$H$6</f>
        <v>24630053910940.574</v>
      </c>
      <c r="J16" s="16">
        <f>'KEEI BAU - Industry'!X$21*'Non-ferrous Metals Split'!$H$6</f>
        <v>24873013752232.219</v>
      </c>
      <c r="K16" s="16">
        <f>'KEEI BAU - Industry'!Y$21*'Non-ferrous Metals Split'!$H$6</f>
        <v>25115973593523.863</v>
      </c>
      <c r="L16" s="16">
        <f>'KEEI BAU - Industry'!Z$21*'Non-ferrous Metals Split'!$H$6</f>
        <v>25358933434815.508</v>
      </c>
      <c r="M16" s="16">
        <f>'KEEI BAU - Industry'!AA$21*'Non-ferrous Metals Split'!$H$6</f>
        <v>25380192420928.527</v>
      </c>
      <c r="N16" s="16">
        <f>'KEEI BAU - Industry'!AB$21*'Non-ferrous Metals Split'!$H$6</f>
        <v>25401451407041.547</v>
      </c>
      <c r="O16" s="16">
        <f>'KEEI BAU - Industry'!AC$21*'Non-ferrous Metals Split'!$H$6</f>
        <v>25422710393154.566</v>
      </c>
      <c r="P16" s="16">
        <f>'KEEI BAU - Industry'!AD$21*'Non-ferrous Metals Split'!$H$6</f>
        <v>25443969379267.586</v>
      </c>
      <c r="Q16" s="16">
        <f>'KEEI BAU - Industry'!AE$21*'Non-ferrous Metals Split'!$H$6</f>
        <v>25465228365380.605</v>
      </c>
      <c r="R16" s="16">
        <f>'KEEI BAU - Industry'!AF$21*'Non-ferrous Metals Split'!$H$6</f>
        <v>25486487351493.625</v>
      </c>
      <c r="S16" s="16">
        <f>'KEEI BAU - Industry'!AG$21*'Non-ferrous Metals Split'!$H$6</f>
        <v>25507746337606.641</v>
      </c>
      <c r="T16" s="16">
        <f>'KEEI BAU - Industry'!AH$21*'Non-ferrous Metals Split'!$H$6</f>
        <v>25529005323719.66</v>
      </c>
      <c r="U16" s="16">
        <f>'KEEI BAU - Industry'!AI$21*'Non-ferrous Metals Split'!$H$6</f>
        <v>25550264309832.68</v>
      </c>
      <c r="V16" s="16">
        <f>'KEEI BAU - Industry'!AJ$21*'Non-ferrous Metals Split'!$H$6</f>
        <v>25571523295945.699</v>
      </c>
      <c r="W16" s="16">
        <f>'KEEI BAU - Industry'!AK$21*'Non-ferrous Metals Split'!$H$6</f>
        <v>25516857331655.078</v>
      </c>
      <c r="X16" s="16">
        <f>'KEEI BAU - Industry'!AL$21*'Non-ferrous Metals Split'!$H$6</f>
        <v>25462191367364.457</v>
      </c>
      <c r="Y16" s="16">
        <f>'KEEI BAU - Industry'!AM$21*'Non-ferrous Metals Split'!$H$6</f>
        <v>25407525403073.84</v>
      </c>
      <c r="Z16" s="16">
        <f>'KEEI BAU - Industry'!AN$21*'Non-ferrous Metals Split'!$H$6</f>
        <v>25352859438783.219</v>
      </c>
      <c r="AA16" s="16">
        <f>'KEEI BAU - Industry'!AO$21*'Non-ferrous Metals Split'!$H$6</f>
        <v>25298193474492.598</v>
      </c>
      <c r="AB16" s="16">
        <f>'KEEI BAU - Industry'!AP$21*'Non-ferrous Metals Split'!$H$6</f>
        <v>25243527510201.977</v>
      </c>
      <c r="AC16" s="16">
        <f>'KEEI BAU - Industry'!AQ$21*'Non-ferrous Metals Split'!$H$6</f>
        <v>25188861545911.355</v>
      </c>
      <c r="AD16" s="16">
        <f>'KEEI BAU - Industry'!AR$21*'Non-ferrous Metals Split'!$H$6</f>
        <v>25134195581620.738</v>
      </c>
      <c r="AE16" s="16">
        <f>'KEEI BAU - Industry'!AS$21*'Non-ferrous Metals Split'!$H$6</f>
        <v>25079529617330.117</v>
      </c>
      <c r="AF16" s="16">
        <f>'KEEI BAU - Industry'!AT$21*'Non-ferrous Metals Split'!$H$6</f>
        <v>25024863653039.496</v>
      </c>
    </row>
    <row r="17" spans="1:32">
      <c r="A17" t="s">
        <v>65</v>
      </c>
      <c r="B17" s="16">
        <f>'KEEI BAU - Industry'!P$21*'Non-ferrous Metals Split'!$H$7</f>
        <v>6290721798013.9219</v>
      </c>
      <c r="C17" s="16">
        <f>'KEEI BAU - Industry'!Q$21*'Non-ferrous Metals Split'!$H$7</f>
        <v>6605257887914.6182</v>
      </c>
      <c r="D17" s="16">
        <f>'KEEI BAU - Industry'!R$21*'Non-ferrous Metals Split'!$H$7</f>
        <v>6919793977815.3135</v>
      </c>
      <c r="E17" s="16">
        <f>'KEEI BAU - Industry'!S$21*'Non-ferrous Metals Split'!$H$7</f>
        <v>7234330067716.0098</v>
      </c>
      <c r="F17" s="16">
        <f>'KEEI BAU - Industry'!T$21*'Non-ferrous Metals Split'!$H$7</f>
        <v>7308623572904.3643</v>
      </c>
      <c r="G17" s="16">
        <f>'KEEI BAU - Industry'!U$21*'Non-ferrous Metals Split'!$H$7</f>
        <v>7382917078092.7188</v>
      </c>
      <c r="H17" s="16">
        <f>'KEEI BAU - Industry'!V$21*'Non-ferrous Metals Split'!$H$7</f>
        <v>7457210583281.0732</v>
      </c>
      <c r="I17" s="16">
        <f>'KEEI BAU - Industry'!W$21*'Non-ferrous Metals Split'!$H$7</f>
        <v>7531504088469.4277</v>
      </c>
      <c r="J17" s="16">
        <f>'KEEI BAU - Industry'!X$21*'Non-ferrous Metals Split'!$H$7</f>
        <v>7605797593657.7822</v>
      </c>
      <c r="K17" s="16">
        <f>'KEEI BAU - Industry'!Y$21*'Non-ferrous Metals Split'!$H$7</f>
        <v>7680091098846.1367</v>
      </c>
      <c r="L17" s="16">
        <f>'KEEI BAU - Industry'!Z$21*'Non-ferrous Metals Split'!$H$7</f>
        <v>7754384604034.4912</v>
      </c>
      <c r="M17" s="16">
        <f>'KEEI BAU - Industry'!AA$21*'Non-ferrous Metals Split'!$H$7</f>
        <v>7760885285738.4717</v>
      </c>
      <c r="N17" s="16">
        <f>'KEEI BAU - Industry'!AB$21*'Non-ferrous Metals Split'!$H$7</f>
        <v>7767385967442.4531</v>
      </c>
      <c r="O17" s="16">
        <f>'KEEI BAU - Industry'!AC$21*'Non-ferrous Metals Split'!$H$7</f>
        <v>7773886649146.4336</v>
      </c>
      <c r="P17" s="16">
        <f>'KEEI BAU - Industry'!AD$21*'Non-ferrous Metals Split'!$H$7</f>
        <v>7780387330850.415</v>
      </c>
      <c r="Q17" s="16">
        <f>'KEEI BAU - Industry'!AE$21*'Non-ferrous Metals Split'!$H$7</f>
        <v>7786888012554.3955</v>
      </c>
      <c r="R17" s="16">
        <f>'KEEI BAU - Industry'!AF$21*'Non-ferrous Metals Split'!$H$7</f>
        <v>7793388694258.377</v>
      </c>
      <c r="S17" s="16">
        <f>'KEEI BAU - Industry'!AG$21*'Non-ferrous Metals Split'!$H$7</f>
        <v>7799889375962.3584</v>
      </c>
      <c r="T17" s="16">
        <f>'KEEI BAU - Industry'!AH$21*'Non-ferrous Metals Split'!$H$7</f>
        <v>7806390057666.3389</v>
      </c>
      <c r="U17" s="16">
        <f>'KEEI BAU - Industry'!AI$21*'Non-ferrous Metals Split'!$H$7</f>
        <v>7812890739370.3203</v>
      </c>
      <c r="V17" s="16">
        <f>'KEEI BAU - Industry'!AJ$21*'Non-ferrous Metals Split'!$H$7</f>
        <v>7819391421074.3008</v>
      </c>
      <c r="W17" s="16">
        <f>'KEEI BAU - Industry'!AK$21*'Non-ferrous Metals Split'!$H$7</f>
        <v>7802675382406.9209</v>
      </c>
      <c r="X17" s="16">
        <f>'KEEI BAU - Industry'!AL$21*'Non-ferrous Metals Split'!$H$7</f>
        <v>7785959343739.541</v>
      </c>
      <c r="Y17" s="16">
        <f>'KEEI BAU - Industry'!AM$21*'Non-ferrous Metals Split'!$H$7</f>
        <v>7769243305072.1621</v>
      </c>
      <c r="Z17" s="16">
        <f>'KEEI BAU - Industry'!AN$21*'Non-ferrous Metals Split'!$H$7</f>
        <v>7752527266404.7822</v>
      </c>
      <c r="AA17" s="16">
        <f>'KEEI BAU - Industry'!AO$21*'Non-ferrous Metals Split'!$H$7</f>
        <v>7735811227737.4023</v>
      </c>
      <c r="AB17" s="16">
        <f>'KEEI BAU - Industry'!AP$21*'Non-ferrous Metals Split'!$H$7</f>
        <v>7719095189070.0225</v>
      </c>
      <c r="AC17" s="16">
        <f>'KEEI BAU - Industry'!AQ$21*'Non-ferrous Metals Split'!$H$7</f>
        <v>7702379150402.6426</v>
      </c>
      <c r="AD17" s="16">
        <f>'KEEI BAU - Industry'!AR$21*'Non-ferrous Metals Split'!$H$7</f>
        <v>7685663111735.2627</v>
      </c>
      <c r="AE17" s="16">
        <f>'KEEI BAU - Industry'!AS$21*'Non-ferrous Metals Split'!$H$7</f>
        <v>7668947073067.8838</v>
      </c>
      <c r="AF17" s="16">
        <f>'KEEI BAU - Industry'!AT$21*'Non-ferrous Metals Split'!$H$7</f>
        <v>7652231034400.5039</v>
      </c>
    </row>
    <row r="18" spans="1:32">
      <c r="A18" t="s">
        <v>67</v>
      </c>
      <c r="B18" s="16">
        <f>'KEEI BAU - Industry'!P$35*'Machinery Split'!$H6</f>
        <v>10571519459812.5</v>
      </c>
      <c r="C18" s="16">
        <f>'KEEI BAU - Industry'!Q$35*'Machinery Split'!$H6</f>
        <v>11100095432803.125</v>
      </c>
      <c r="D18" s="16">
        <f>'KEEI BAU - Industry'!R$35*'Machinery Split'!$H6</f>
        <v>11628671405793.75</v>
      </c>
      <c r="E18" s="16">
        <f>'KEEI BAU - Industry'!S$35*'Machinery Split'!$H6</f>
        <v>12157247378784.375</v>
      </c>
      <c r="F18" s="16">
        <f>'KEEI BAU - Industry'!T$35*'Machinery Split'!$H6</f>
        <v>12698985794090.625</v>
      </c>
      <c r="G18" s="16">
        <f>'KEEI BAU - Industry'!U$35*'Machinery Split'!$H6</f>
        <v>13240724209396.875</v>
      </c>
      <c r="H18" s="16">
        <f>'KEEI BAU - Industry'!V$35*'Machinery Split'!$H6</f>
        <v>13782462624703.125</v>
      </c>
      <c r="I18" s="16">
        <f>'KEEI BAU - Industry'!W$35*'Machinery Split'!$H6</f>
        <v>14324201040009.375</v>
      </c>
      <c r="J18" s="16">
        <f>'KEEI BAU - Industry'!X$35*'Machinery Split'!$H6</f>
        <v>14865939455315.625</v>
      </c>
      <c r="K18" s="16">
        <f>'KEEI BAU - Industry'!Y$35*'Machinery Split'!$H6</f>
        <v>15407677870621.875</v>
      </c>
      <c r="L18" s="16">
        <f>'KEEI BAU - Industry'!Z$35*'Machinery Split'!$H6</f>
        <v>15949416285928.125</v>
      </c>
      <c r="M18" s="16">
        <f>'KEEI BAU - Industry'!AA$35*'Machinery Split'!$H6</f>
        <v>16116717855360.938</v>
      </c>
      <c r="N18" s="16">
        <f>'KEEI BAU - Industry'!AB$35*'Machinery Split'!$H6</f>
        <v>16284019424793.75</v>
      </c>
      <c r="O18" s="16">
        <f>'KEEI BAU - Industry'!AC$35*'Machinery Split'!$H6</f>
        <v>16451320994226.563</v>
      </c>
      <c r="P18" s="16">
        <f>'KEEI BAU - Industry'!AD$35*'Machinery Split'!$H6</f>
        <v>16618622563659.375</v>
      </c>
      <c r="Q18" s="16">
        <f>'KEEI BAU - Industry'!AE$35*'Machinery Split'!$H6</f>
        <v>16785924133092.188</v>
      </c>
      <c r="R18" s="16">
        <f>'KEEI BAU - Industry'!AF$35*'Machinery Split'!$H6</f>
        <v>16953225702525</v>
      </c>
      <c r="S18" s="16">
        <f>'KEEI BAU - Industry'!AG$35*'Machinery Split'!$H6</f>
        <v>17120527271957.813</v>
      </c>
      <c r="T18" s="16">
        <f>'KEEI BAU - Industry'!AH$35*'Machinery Split'!$H6</f>
        <v>17287828841390.625</v>
      </c>
      <c r="U18" s="16">
        <f>'KEEI BAU - Industry'!AI$35*'Machinery Split'!$H6</f>
        <v>17455130410823.438</v>
      </c>
      <c r="V18" s="16">
        <f>'KEEI BAU - Industry'!AJ$35*'Machinery Split'!$H6</f>
        <v>17622431980256.25</v>
      </c>
      <c r="W18" s="16">
        <f>'KEEI BAU - Industry'!AK$35*'Machinery Split'!$H6</f>
        <v>17670763544759.063</v>
      </c>
      <c r="X18" s="16">
        <f>'KEEI BAU - Industry'!AL$35*'Machinery Split'!$H6</f>
        <v>17719095109261.875</v>
      </c>
      <c r="Y18" s="16">
        <f>'KEEI BAU - Industry'!AM$35*'Machinery Split'!$H6</f>
        <v>17767426673764.688</v>
      </c>
      <c r="Z18" s="16">
        <f>'KEEI BAU - Industry'!AN$35*'Machinery Split'!$H6</f>
        <v>17815758238267.5</v>
      </c>
      <c r="AA18" s="16">
        <f>'KEEI BAU - Industry'!AO$35*'Machinery Split'!$H6</f>
        <v>17864089802770.313</v>
      </c>
      <c r="AB18" s="16">
        <f>'KEEI BAU - Industry'!AP$35*'Machinery Split'!$H6</f>
        <v>17912421367273.125</v>
      </c>
      <c r="AC18" s="16">
        <f>'KEEI BAU - Industry'!AQ$35*'Machinery Split'!$H6</f>
        <v>17960752931775.938</v>
      </c>
      <c r="AD18" s="16">
        <f>'KEEI BAU - Industry'!AR$35*'Machinery Split'!$H6</f>
        <v>18009084496278.75</v>
      </c>
      <c r="AE18" s="16">
        <f>'KEEI BAU - Industry'!AS$35*'Machinery Split'!$H6</f>
        <v>18057416060781.563</v>
      </c>
      <c r="AF18" s="16">
        <f>'KEEI BAU - Industry'!AT$35*'Machinery Split'!$H6</f>
        <v>18105747625284.375</v>
      </c>
    </row>
    <row r="19" spans="1:32">
      <c r="A19" t="s">
        <v>71</v>
      </c>
      <c r="B19" s="16">
        <f>'KEEI BAU - Industry'!P$35*'Machinery Split'!$H7</f>
        <v>0</v>
      </c>
      <c r="C19" s="16">
        <f>'KEEI BAU - Industry'!Q$35*'Machinery Split'!$H7</f>
        <v>0</v>
      </c>
      <c r="D19" s="16">
        <f>'KEEI BAU - Industry'!R$35*'Machinery Split'!$H7</f>
        <v>0</v>
      </c>
      <c r="E19" s="16">
        <f>'KEEI BAU - Industry'!S$35*'Machinery Split'!$H7</f>
        <v>0</v>
      </c>
      <c r="F19" s="16">
        <f>'KEEI BAU - Industry'!T$35*'Machinery Split'!$H7</f>
        <v>0</v>
      </c>
      <c r="G19" s="16">
        <f>'KEEI BAU - Industry'!U$35*'Machinery Split'!$H7</f>
        <v>0</v>
      </c>
      <c r="H19" s="16">
        <f>'KEEI BAU - Industry'!V$35*'Machinery Split'!$H7</f>
        <v>0</v>
      </c>
      <c r="I19" s="16">
        <f>'KEEI BAU - Industry'!W$35*'Machinery Split'!$H7</f>
        <v>0</v>
      </c>
      <c r="J19" s="16">
        <f>'KEEI BAU - Industry'!X$35*'Machinery Split'!$H7</f>
        <v>0</v>
      </c>
      <c r="K19" s="16">
        <f>'KEEI BAU - Industry'!Y$35*'Machinery Split'!$H7</f>
        <v>0</v>
      </c>
      <c r="L19" s="16">
        <f>'KEEI BAU - Industry'!Z$35*'Machinery Split'!$H7</f>
        <v>0</v>
      </c>
      <c r="M19" s="16">
        <f>'KEEI BAU - Industry'!AA$35*'Machinery Split'!$H7</f>
        <v>0</v>
      </c>
      <c r="N19" s="16">
        <f>'KEEI BAU - Industry'!AB$35*'Machinery Split'!$H7</f>
        <v>0</v>
      </c>
      <c r="O19" s="16">
        <f>'KEEI BAU - Industry'!AC$35*'Machinery Split'!$H7</f>
        <v>0</v>
      </c>
      <c r="P19" s="16">
        <f>'KEEI BAU - Industry'!AD$35*'Machinery Split'!$H7</f>
        <v>0</v>
      </c>
      <c r="Q19" s="16">
        <f>'KEEI BAU - Industry'!AE$35*'Machinery Split'!$H7</f>
        <v>0</v>
      </c>
      <c r="R19" s="16">
        <f>'KEEI BAU - Industry'!AF$35*'Machinery Split'!$H7</f>
        <v>0</v>
      </c>
      <c r="S19" s="16">
        <f>'KEEI BAU - Industry'!AG$35*'Machinery Split'!$H7</f>
        <v>0</v>
      </c>
      <c r="T19" s="16">
        <f>'KEEI BAU - Industry'!AH$35*'Machinery Split'!$H7</f>
        <v>0</v>
      </c>
      <c r="U19" s="16">
        <f>'KEEI BAU - Industry'!AI$35*'Machinery Split'!$H7</f>
        <v>0</v>
      </c>
      <c r="V19" s="16">
        <f>'KEEI BAU - Industry'!AJ$35*'Machinery Split'!$H7</f>
        <v>0</v>
      </c>
      <c r="W19" s="16">
        <f>'KEEI BAU - Industry'!AK$35*'Machinery Split'!$H7</f>
        <v>0</v>
      </c>
      <c r="X19" s="16">
        <f>'KEEI BAU - Industry'!AL$35*'Machinery Split'!$H7</f>
        <v>0</v>
      </c>
      <c r="Y19" s="16">
        <f>'KEEI BAU - Industry'!AM$35*'Machinery Split'!$H7</f>
        <v>0</v>
      </c>
      <c r="Z19" s="16">
        <f>'KEEI BAU - Industry'!AN$35*'Machinery Split'!$H7</f>
        <v>0</v>
      </c>
      <c r="AA19" s="16">
        <f>'KEEI BAU - Industry'!AO$35*'Machinery Split'!$H7</f>
        <v>0</v>
      </c>
      <c r="AB19" s="16">
        <f>'KEEI BAU - Industry'!AP$35*'Machinery Split'!$H7</f>
        <v>0</v>
      </c>
      <c r="AC19" s="16">
        <f>'KEEI BAU - Industry'!AQ$35*'Machinery Split'!$H7</f>
        <v>0</v>
      </c>
      <c r="AD19" s="16">
        <f>'KEEI BAU - Industry'!AR$35*'Machinery Split'!$H7</f>
        <v>0</v>
      </c>
      <c r="AE19" s="16">
        <f>'KEEI BAU - Industry'!AS$35*'Machinery Split'!$H7</f>
        <v>0</v>
      </c>
      <c r="AF19" s="16">
        <f>'KEEI BAU - Industry'!AT$35*'Machinery Split'!$H7</f>
        <v>0</v>
      </c>
    </row>
    <row r="20" spans="1:32">
      <c r="A20" t="s">
        <v>73</v>
      </c>
      <c r="B20" s="16">
        <f>'KEEI BAU - Industry'!P$35*'Machinery Split'!$H8</f>
        <v>704767963987.5</v>
      </c>
      <c r="C20" s="16">
        <f>'KEEI BAU - Industry'!Q$35*'Machinery Split'!$H8</f>
        <v>740006362186.875</v>
      </c>
      <c r="D20" s="16">
        <f>'KEEI BAU - Industry'!R$35*'Machinery Split'!$H8</f>
        <v>775244760386.25</v>
      </c>
      <c r="E20" s="16">
        <f>'KEEI BAU - Industry'!S$35*'Machinery Split'!$H8</f>
        <v>810483158585.625</v>
      </c>
      <c r="F20" s="16">
        <f>'KEEI BAU - Industry'!T$35*'Machinery Split'!$H8</f>
        <v>846599052939.375</v>
      </c>
      <c r="G20" s="16">
        <f>'KEEI BAU - Industry'!U$35*'Machinery Split'!$H8</f>
        <v>882714947293.125</v>
      </c>
      <c r="H20" s="16">
        <f>'KEEI BAU - Industry'!V$35*'Machinery Split'!$H8</f>
        <v>918830841646.875</v>
      </c>
      <c r="I20" s="16">
        <f>'KEEI BAU - Industry'!W$35*'Machinery Split'!$H8</f>
        <v>954946736000.625</v>
      </c>
      <c r="J20" s="16">
        <f>'KEEI BAU - Industry'!X$35*'Machinery Split'!$H8</f>
        <v>991062630354.375</v>
      </c>
      <c r="K20" s="16">
        <f>'KEEI BAU - Industry'!Y$35*'Machinery Split'!$H8</f>
        <v>1027178524708.125</v>
      </c>
      <c r="L20" s="16">
        <f>'KEEI BAU - Industry'!Z$35*'Machinery Split'!$H8</f>
        <v>1063294419061.875</v>
      </c>
      <c r="M20" s="16">
        <f>'KEEI BAU - Industry'!AA$35*'Machinery Split'!$H8</f>
        <v>1074447857024.0625</v>
      </c>
      <c r="N20" s="16">
        <f>'KEEI BAU - Industry'!AB$35*'Machinery Split'!$H8</f>
        <v>1085601294986.25</v>
      </c>
      <c r="O20" s="16">
        <f>'KEEI BAU - Industry'!AC$35*'Machinery Split'!$H8</f>
        <v>1096754732948.4375</v>
      </c>
      <c r="P20" s="16">
        <f>'KEEI BAU - Industry'!AD$35*'Machinery Split'!$H8</f>
        <v>1107908170910.625</v>
      </c>
      <c r="Q20" s="16">
        <f>'KEEI BAU - Industry'!AE$35*'Machinery Split'!$H8</f>
        <v>1119061608872.8125</v>
      </c>
      <c r="R20" s="16">
        <f>'KEEI BAU - Industry'!AF$35*'Machinery Split'!$H8</f>
        <v>1130215046835</v>
      </c>
      <c r="S20" s="16">
        <f>'KEEI BAU - Industry'!AG$35*'Machinery Split'!$H8</f>
        <v>1141368484797.1875</v>
      </c>
      <c r="T20" s="16">
        <f>'KEEI BAU - Industry'!AH$35*'Machinery Split'!$H8</f>
        <v>1152521922759.375</v>
      </c>
      <c r="U20" s="16">
        <f>'KEEI BAU - Industry'!AI$35*'Machinery Split'!$H8</f>
        <v>1163675360721.5625</v>
      </c>
      <c r="V20" s="16">
        <f>'KEEI BAU - Industry'!AJ$35*'Machinery Split'!$H8</f>
        <v>1174828798683.75</v>
      </c>
      <c r="W20" s="16">
        <f>'KEEI BAU - Industry'!AK$35*'Machinery Split'!$H8</f>
        <v>1178050902983.9375</v>
      </c>
      <c r="X20" s="16">
        <f>'KEEI BAU - Industry'!AL$35*'Machinery Split'!$H8</f>
        <v>1181273007284.125</v>
      </c>
      <c r="Y20" s="16">
        <f>'KEEI BAU - Industry'!AM$35*'Machinery Split'!$H8</f>
        <v>1184495111584.3125</v>
      </c>
      <c r="Z20" s="16">
        <f>'KEEI BAU - Industry'!AN$35*'Machinery Split'!$H8</f>
        <v>1187717215884.5</v>
      </c>
      <c r="AA20" s="16">
        <f>'KEEI BAU - Industry'!AO$35*'Machinery Split'!$H8</f>
        <v>1190939320184.6875</v>
      </c>
      <c r="AB20" s="16">
        <f>'KEEI BAU - Industry'!AP$35*'Machinery Split'!$H8</f>
        <v>1194161424484.875</v>
      </c>
      <c r="AC20" s="16">
        <f>'KEEI BAU - Industry'!AQ$35*'Machinery Split'!$H8</f>
        <v>1197383528785.0625</v>
      </c>
      <c r="AD20" s="16">
        <f>'KEEI BAU - Industry'!AR$35*'Machinery Split'!$H8</f>
        <v>1200605633085.25</v>
      </c>
      <c r="AE20" s="16">
        <f>'KEEI BAU - Industry'!AS$35*'Machinery Split'!$H8</f>
        <v>1203827737385.4375</v>
      </c>
      <c r="AF20" s="16">
        <f>'KEEI BAU - Industry'!AT$35*'Machinery Split'!$H8</f>
        <v>1207049841685.625</v>
      </c>
    </row>
    <row r="21" spans="1:32">
      <c r="A21" t="s">
        <v>75</v>
      </c>
      <c r="B21" s="16">
        <f>'KEEI BAU - Industry'!P$35*'Machinery Split'!$H9</f>
        <v>0</v>
      </c>
      <c r="C21" s="16">
        <f>'KEEI BAU - Industry'!Q$35*'Machinery Split'!$H9</f>
        <v>0</v>
      </c>
      <c r="D21" s="16">
        <f>'KEEI BAU - Industry'!R$35*'Machinery Split'!$H9</f>
        <v>0</v>
      </c>
      <c r="E21" s="16">
        <f>'KEEI BAU - Industry'!S$35*'Machinery Split'!$H9</f>
        <v>0</v>
      </c>
      <c r="F21" s="16">
        <f>'KEEI BAU - Industry'!T$35*'Machinery Split'!$H9</f>
        <v>0</v>
      </c>
      <c r="G21" s="16">
        <f>'KEEI BAU - Industry'!U$35*'Machinery Split'!$H9</f>
        <v>0</v>
      </c>
      <c r="H21" s="16">
        <f>'KEEI BAU - Industry'!V$35*'Machinery Split'!$H9</f>
        <v>0</v>
      </c>
      <c r="I21" s="16">
        <f>'KEEI BAU - Industry'!W$35*'Machinery Split'!$H9</f>
        <v>0</v>
      </c>
      <c r="J21" s="16">
        <f>'KEEI BAU - Industry'!X$35*'Machinery Split'!$H9</f>
        <v>0</v>
      </c>
      <c r="K21" s="16">
        <f>'KEEI BAU - Industry'!Y$35*'Machinery Split'!$H9</f>
        <v>0</v>
      </c>
      <c r="L21" s="16">
        <f>'KEEI BAU - Industry'!Z$35*'Machinery Split'!$H9</f>
        <v>0</v>
      </c>
      <c r="M21" s="16">
        <f>'KEEI BAU - Industry'!AA$35*'Machinery Split'!$H9</f>
        <v>0</v>
      </c>
      <c r="N21" s="16">
        <f>'KEEI BAU - Industry'!AB$35*'Machinery Split'!$H9</f>
        <v>0</v>
      </c>
      <c r="O21" s="16">
        <f>'KEEI BAU - Industry'!AC$35*'Machinery Split'!$H9</f>
        <v>0</v>
      </c>
      <c r="P21" s="16">
        <f>'KEEI BAU - Industry'!AD$35*'Machinery Split'!$H9</f>
        <v>0</v>
      </c>
      <c r="Q21" s="16">
        <f>'KEEI BAU - Industry'!AE$35*'Machinery Split'!$H9</f>
        <v>0</v>
      </c>
      <c r="R21" s="16">
        <f>'KEEI BAU - Industry'!AF$35*'Machinery Split'!$H9</f>
        <v>0</v>
      </c>
      <c r="S21" s="16">
        <f>'KEEI BAU - Industry'!AG$35*'Machinery Split'!$H9</f>
        <v>0</v>
      </c>
      <c r="T21" s="16">
        <f>'KEEI BAU - Industry'!AH$35*'Machinery Split'!$H9</f>
        <v>0</v>
      </c>
      <c r="U21" s="16">
        <f>'KEEI BAU - Industry'!AI$35*'Machinery Split'!$H9</f>
        <v>0</v>
      </c>
      <c r="V21" s="16">
        <f>'KEEI BAU - Industry'!AJ$35*'Machinery Split'!$H9</f>
        <v>0</v>
      </c>
      <c r="W21" s="16">
        <f>'KEEI BAU - Industry'!AK$35*'Machinery Split'!$H9</f>
        <v>0</v>
      </c>
      <c r="X21" s="16">
        <f>'KEEI BAU - Industry'!AL$35*'Machinery Split'!$H9</f>
        <v>0</v>
      </c>
      <c r="Y21" s="16">
        <f>'KEEI BAU - Industry'!AM$35*'Machinery Split'!$H9</f>
        <v>0</v>
      </c>
      <c r="Z21" s="16">
        <f>'KEEI BAU - Industry'!AN$35*'Machinery Split'!$H9</f>
        <v>0</v>
      </c>
      <c r="AA21" s="16">
        <f>'KEEI BAU - Industry'!AO$35*'Machinery Split'!$H9</f>
        <v>0</v>
      </c>
      <c r="AB21" s="16">
        <f>'KEEI BAU - Industry'!AP$35*'Machinery Split'!$H9</f>
        <v>0</v>
      </c>
      <c r="AC21" s="16">
        <f>'KEEI BAU - Industry'!AQ$35*'Machinery Split'!$H9</f>
        <v>0</v>
      </c>
      <c r="AD21" s="16">
        <f>'KEEI BAU - Industry'!AR$35*'Machinery Split'!$H9</f>
        <v>0</v>
      </c>
      <c r="AE21" s="16">
        <f>'KEEI BAU - Industry'!AS$35*'Machinery Split'!$H9</f>
        <v>0</v>
      </c>
      <c r="AF21" s="16">
        <f>'KEEI BAU - Industry'!AT$35*'Machinery Split'!$H9</f>
        <v>0</v>
      </c>
    </row>
    <row r="22" spans="1:32">
      <c r="A22" t="s">
        <v>78</v>
      </c>
      <c r="B22" s="16">
        <f>'KEEI BAU - Industry'!P$35*'Machinery Split'!$H10</f>
        <v>0</v>
      </c>
      <c r="C22" s="16">
        <f>'KEEI BAU - Industry'!Q$35*'Machinery Split'!$H10</f>
        <v>0</v>
      </c>
      <c r="D22" s="16">
        <f>'KEEI BAU - Industry'!R$35*'Machinery Split'!$H10</f>
        <v>0</v>
      </c>
      <c r="E22" s="16">
        <f>'KEEI BAU - Industry'!S$35*'Machinery Split'!$H10</f>
        <v>0</v>
      </c>
      <c r="F22" s="16">
        <f>'KEEI BAU - Industry'!T$35*'Machinery Split'!$H10</f>
        <v>0</v>
      </c>
      <c r="G22" s="16">
        <f>'KEEI BAU - Industry'!U$35*'Machinery Split'!$H10</f>
        <v>0</v>
      </c>
      <c r="H22" s="16">
        <f>'KEEI BAU - Industry'!V$35*'Machinery Split'!$H10</f>
        <v>0</v>
      </c>
      <c r="I22" s="16">
        <f>'KEEI BAU - Industry'!W$35*'Machinery Split'!$H10</f>
        <v>0</v>
      </c>
      <c r="J22" s="16">
        <f>'KEEI BAU - Industry'!X$35*'Machinery Split'!$H10</f>
        <v>0</v>
      </c>
      <c r="K22" s="16">
        <f>'KEEI BAU - Industry'!Y$35*'Machinery Split'!$H10</f>
        <v>0</v>
      </c>
      <c r="L22" s="16">
        <f>'KEEI BAU - Industry'!Z$35*'Machinery Split'!$H10</f>
        <v>0</v>
      </c>
      <c r="M22" s="16">
        <f>'KEEI BAU - Industry'!AA$35*'Machinery Split'!$H10</f>
        <v>0</v>
      </c>
      <c r="N22" s="16">
        <f>'KEEI BAU - Industry'!AB$35*'Machinery Split'!$H10</f>
        <v>0</v>
      </c>
      <c r="O22" s="16">
        <f>'KEEI BAU - Industry'!AC$35*'Machinery Split'!$H10</f>
        <v>0</v>
      </c>
      <c r="P22" s="16">
        <f>'KEEI BAU - Industry'!AD$35*'Machinery Split'!$H10</f>
        <v>0</v>
      </c>
      <c r="Q22" s="16">
        <f>'KEEI BAU - Industry'!AE$35*'Machinery Split'!$H10</f>
        <v>0</v>
      </c>
      <c r="R22" s="16">
        <f>'KEEI BAU - Industry'!AF$35*'Machinery Split'!$H10</f>
        <v>0</v>
      </c>
      <c r="S22" s="16">
        <f>'KEEI BAU - Industry'!AG$35*'Machinery Split'!$H10</f>
        <v>0</v>
      </c>
      <c r="T22" s="16">
        <f>'KEEI BAU - Industry'!AH$35*'Machinery Split'!$H10</f>
        <v>0</v>
      </c>
      <c r="U22" s="16">
        <f>'KEEI BAU - Industry'!AI$35*'Machinery Split'!$H10</f>
        <v>0</v>
      </c>
      <c r="V22" s="16">
        <f>'KEEI BAU - Industry'!AJ$35*'Machinery Split'!$H10</f>
        <v>0</v>
      </c>
      <c r="W22" s="16">
        <f>'KEEI BAU - Industry'!AK$35*'Machinery Split'!$H10</f>
        <v>0</v>
      </c>
      <c r="X22" s="16">
        <f>'KEEI BAU - Industry'!AL$35*'Machinery Split'!$H10</f>
        <v>0</v>
      </c>
      <c r="Y22" s="16">
        <f>'KEEI BAU - Industry'!AM$35*'Machinery Split'!$H10</f>
        <v>0</v>
      </c>
      <c r="Z22" s="16">
        <f>'KEEI BAU - Industry'!AN$35*'Machinery Split'!$H10</f>
        <v>0</v>
      </c>
      <c r="AA22" s="16">
        <f>'KEEI BAU - Industry'!AO$35*'Machinery Split'!$H10</f>
        <v>0</v>
      </c>
      <c r="AB22" s="16">
        <f>'KEEI BAU - Industry'!AP$35*'Machinery Split'!$H10</f>
        <v>0</v>
      </c>
      <c r="AC22" s="16">
        <f>'KEEI BAU - Industry'!AQ$35*'Machinery Split'!$H10</f>
        <v>0</v>
      </c>
      <c r="AD22" s="16">
        <f>'KEEI BAU - Industry'!AR$35*'Machinery Split'!$H10</f>
        <v>0</v>
      </c>
      <c r="AE22" s="16">
        <f>'KEEI BAU - Industry'!AS$35*'Machinery Split'!$H10</f>
        <v>0</v>
      </c>
      <c r="AF22" s="16">
        <f>'KEEI BAU - Industry'!AT$35*'Machinery Split'!$H10</f>
        <v>0</v>
      </c>
    </row>
    <row r="23" spans="1:32">
      <c r="A23" t="s">
        <v>80</v>
      </c>
      <c r="B23" s="16">
        <f>'KEEI BAU - Industry'!P$42*'Others Split'!$H$14</f>
        <v>651882557769.0824</v>
      </c>
      <c r="C23" s="16">
        <f>'KEEI BAU - Industry'!Q$42*'Others Split'!$H$14</f>
        <v>684476685657.5365</v>
      </c>
      <c r="D23" s="16">
        <f>'KEEI BAU - Industry'!R$42*'Others Split'!$H$14</f>
        <v>717070813545.9906</v>
      </c>
      <c r="E23" s="16">
        <f>'KEEI BAU - Industry'!S$42*'Others Split'!$H$14</f>
        <v>749664941434.4447</v>
      </c>
      <c r="F23" s="16">
        <f>'KEEI BAU - Industry'!T$42*'Others Split'!$H$14</f>
        <v>757903017713.94409</v>
      </c>
      <c r="G23" s="16">
        <f>'KEEI BAU - Industry'!U$42*'Others Split'!$H$14</f>
        <v>766141093993.44348</v>
      </c>
      <c r="H23" s="16">
        <f>'KEEI BAU - Industry'!V$42*'Others Split'!$H$14</f>
        <v>774379170272.94287</v>
      </c>
      <c r="I23" s="16">
        <f>'KEEI BAU - Industry'!W$42*'Others Split'!$H$14</f>
        <v>782617246552.44226</v>
      </c>
      <c r="J23" s="16">
        <f>'KEEI BAU - Industry'!X$42*'Others Split'!$H$14</f>
        <v>790855322831.94165</v>
      </c>
      <c r="K23" s="16">
        <f>'KEEI BAU - Industry'!Y$42*'Others Split'!$H$14</f>
        <v>799093399111.44104</v>
      </c>
      <c r="L23" s="16">
        <f>'KEEI BAU - Industry'!Z$42*'Others Split'!$H$14</f>
        <v>807331475390.94043</v>
      </c>
      <c r="M23" s="16">
        <f>'KEEI BAU - Industry'!AA$42*'Others Split'!$H$14</f>
        <v>812377297112.13379</v>
      </c>
      <c r="N23" s="16">
        <f>'KEEI BAU - Industry'!AB$42*'Others Split'!$H$14</f>
        <v>817423118833.32727</v>
      </c>
      <c r="O23" s="16">
        <f>'KEEI BAU - Industry'!AC$42*'Others Split'!$H$14</f>
        <v>822468940554.52063</v>
      </c>
      <c r="P23" s="16">
        <f>'KEEI BAU - Industry'!AD$42*'Others Split'!$H$14</f>
        <v>827514762275.71399</v>
      </c>
      <c r="Q23" s="16">
        <f>'KEEI BAU - Industry'!AE$42*'Others Split'!$H$14</f>
        <v>832560583996.90735</v>
      </c>
      <c r="R23" s="16">
        <f>'KEEI BAU - Industry'!AF$42*'Others Split'!$H$14</f>
        <v>837606405718.10071</v>
      </c>
      <c r="S23" s="16">
        <f>'KEEI BAU - Industry'!AG$42*'Others Split'!$H$14</f>
        <v>842652227439.29407</v>
      </c>
      <c r="T23" s="16">
        <f>'KEEI BAU - Industry'!AH$42*'Others Split'!$H$14</f>
        <v>847698049160.48743</v>
      </c>
      <c r="U23" s="16">
        <f>'KEEI BAU - Industry'!AI$42*'Others Split'!$H$14</f>
        <v>852743870881.68091</v>
      </c>
      <c r="V23" s="16">
        <f>'KEEI BAU - Industry'!AJ$42*'Others Split'!$H$14</f>
        <v>857789692602.87427</v>
      </c>
      <c r="W23" s="16">
        <f>'KEEI BAU - Industry'!AK$42*'Others Split'!$H$14</f>
        <v>859231355951.78662</v>
      </c>
      <c r="X23" s="16">
        <f>'KEEI BAU - Industry'!AL$42*'Others Split'!$H$14</f>
        <v>860673019300.69897</v>
      </c>
      <c r="Y23" s="16">
        <f>'KEEI BAU - Industry'!AM$42*'Others Split'!$H$14</f>
        <v>862114682649.61145</v>
      </c>
      <c r="Z23" s="16">
        <f>'KEEI BAU - Industry'!AN$42*'Others Split'!$H$14</f>
        <v>863556345998.5238</v>
      </c>
      <c r="AA23" s="16">
        <f>'KEEI BAU - Industry'!AO$42*'Others Split'!$H$14</f>
        <v>864998009347.43616</v>
      </c>
      <c r="AB23" s="16">
        <f>'KEEI BAU - Industry'!AP$42*'Others Split'!$H$14</f>
        <v>866439672696.34863</v>
      </c>
      <c r="AC23" s="16">
        <f>'KEEI BAU - Industry'!AQ$42*'Others Split'!$H$14</f>
        <v>867881336045.26099</v>
      </c>
      <c r="AD23" s="16">
        <f>'KEEI BAU - Industry'!AR$42*'Others Split'!$H$14</f>
        <v>869322999394.17334</v>
      </c>
      <c r="AE23" s="16">
        <f>'KEEI BAU - Industry'!AS$42*'Others Split'!$H$14</f>
        <v>870764662743.08582</v>
      </c>
      <c r="AF23" s="16">
        <f>'KEEI BAU - Industry'!AT$42*'Others Split'!$H$14</f>
        <v>872206326091.99817</v>
      </c>
    </row>
    <row r="24" spans="1:32">
      <c r="A24" t="s">
        <v>82</v>
      </c>
      <c r="B24" s="16">
        <v>0</v>
      </c>
      <c r="C24" s="16">
        <v>0</v>
      </c>
      <c r="D24" s="16">
        <v>1</v>
      </c>
      <c r="E24" s="16">
        <v>2</v>
      </c>
      <c r="F24" s="16">
        <v>3</v>
      </c>
      <c r="G24" s="16">
        <v>4</v>
      </c>
      <c r="H24" s="16">
        <v>5</v>
      </c>
      <c r="I24" s="16">
        <v>6</v>
      </c>
      <c r="J24" s="16">
        <v>7</v>
      </c>
      <c r="K24" s="16">
        <v>8</v>
      </c>
      <c r="L24" s="16">
        <v>9</v>
      </c>
      <c r="M24" s="16">
        <v>10</v>
      </c>
      <c r="N24" s="16">
        <v>11</v>
      </c>
      <c r="O24" s="16">
        <v>12</v>
      </c>
      <c r="P24" s="16">
        <v>13</v>
      </c>
      <c r="Q24" s="16">
        <v>14</v>
      </c>
      <c r="R24" s="16">
        <v>15</v>
      </c>
      <c r="S24" s="16">
        <v>16</v>
      </c>
      <c r="T24" s="16">
        <v>17</v>
      </c>
      <c r="U24" s="16">
        <v>18</v>
      </c>
      <c r="V24" s="16">
        <v>19</v>
      </c>
      <c r="W24" s="16">
        <v>20</v>
      </c>
      <c r="X24" s="16">
        <v>21</v>
      </c>
      <c r="Y24" s="16">
        <v>22</v>
      </c>
      <c r="Z24" s="16">
        <v>23</v>
      </c>
      <c r="AA24" s="16">
        <v>24</v>
      </c>
      <c r="AB24" s="16">
        <v>25</v>
      </c>
      <c r="AC24" s="16">
        <v>26</v>
      </c>
      <c r="AD24" s="16">
        <v>27</v>
      </c>
      <c r="AE24" s="16">
        <v>28</v>
      </c>
      <c r="AF24" s="16">
        <v>29</v>
      </c>
    </row>
    <row r="25" spans="1:32">
      <c r="A25" t="s">
        <v>85</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t="s">
        <v>89</v>
      </c>
      <c r="B26" s="16">
        <f>'KEEI BAU - Industry'!P$42*'Others Split'!$H$15</f>
        <v>57919504992.065872</v>
      </c>
      <c r="C26" s="16">
        <f>'KEEI BAU - Industry'!Q$42*'Others Split'!$H$15</f>
        <v>60815480241.669167</v>
      </c>
      <c r="D26" s="16">
        <f>'KEEI BAU - Industry'!R$42*'Others Split'!$H$15</f>
        <v>63711455491.272461</v>
      </c>
      <c r="E26" s="16">
        <f>'KEEI BAU - Industry'!S$42*'Others Split'!$H$15</f>
        <v>66607430740.875755</v>
      </c>
      <c r="F26" s="16">
        <f>'KEEI BAU - Industry'!T$42*'Others Split'!$H$15</f>
        <v>67339380529.23703</v>
      </c>
      <c r="G26" s="16">
        <f>'KEEI BAU - Industry'!U$42*'Others Split'!$H$15</f>
        <v>68071330317.598305</v>
      </c>
      <c r="H26" s="16">
        <f>'KEEI BAU - Industry'!V$42*'Others Split'!$H$15</f>
        <v>68803280105.959579</v>
      </c>
      <c r="I26" s="16">
        <f>'KEEI BAU - Industry'!W$42*'Others Split'!$H$15</f>
        <v>69535229894.320847</v>
      </c>
      <c r="J26" s="16">
        <f>'KEEI BAU - Industry'!X$42*'Others Split'!$H$15</f>
        <v>70267179682.682114</v>
      </c>
      <c r="K26" s="16">
        <f>'KEEI BAU - Industry'!Y$42*'Others Split'!$H$15</f>
        <v>70999129471.043396</v>
      </c>
      <c r="L26" s="16">
        <f>'KEEI BAU - Industry'!Z$42*'Others Split'!$H$15</f>
        <v>71731079259.404663</v>
      </c>
      <c r="M26" s="16">
        <f>'KEEI BAU - Industry'!AA$42*'Others Split'!$H$15</f>
        <v>72179398504.77594</v>
      </c>
      <c r="N26" s="16">
        <f>'KEEI BAU - Industry'!AB$42*'Others Split'!$H$15</f>
        <v>72627717750.147217</v>
      </c>
      <c r="O26" s="16">
        <f>'KEEI BAU - Industry'!AC$42*'Others Split'!$H$15</f>
        <v>73076036995.518494</v>
      </c>
      <c r="P26" s="16">
        <f>'KEEI BAU - Industry'!AD$42*'Others Split'!$H$15</f>
        <v>73524356240.889771</v>
      </c>
      <c r="Q26" s="16">
        <f>'KEEI BAU - Industry'!AE$42*'Others Split'!$H$15</f>
        <v>73972675486.261063</v>
      </c>
      <c r="R26" s="16">
        <f>'KEEI BAU - Industry'!AF$42*'Others Split'!$H$15</f>
        <v>74420994731.632339</v>
      </c>
      <c r="S26" s="16">
        <f>'KEEI BAU - Industry'!AG$42*'Others Split'!$H$15</f>
        <v>74869313977.003616</v>
      </c>
      <c r="T26" s="16">
        <f>'KEEI BAU - Industry'!AH$42*'Others Split'!$H$15</f>
        <v>75317633222.374893</v>
      </c>
      <c r="U26" s="16">
        <f>'KEEI BAU - Industry'!AI$42*'Others Split'!$H$15</f>
        <v>75765952467.74617</v>
      </c>
      <c r="V26" s="16">
        <f>'KEEI BAU - Industry'!AJ$42*'Others Split'!$H$15</f>
        <v>76214271713.117447</v>
      </c>
      <c r="W26" s="16">
        <f>'KEEI BAU - Industry'!AK$42*'Others Split'!$H$15</f>
        <v>76342362926.080673</v>
      </c>
      <c r="X26" s="16">
        <f>'KEEI BAU - Industry'!AL$42*'Others Split'!$H$15</f>
        <v>76470454139.0439</v>
      </c>
      <c r="Y26" s="16">
        <f>'KEEI BAU - Industry'!AM$42*'Others Split'!$H$15</f>
        <v>76598545352.007126</v>
      </c>
      <c r="Z26" s="16">
        <f>'KEEI BAU - Industry'!AN$42*'Others Split'!$H$15</f>
        <v>76726636564.970337</v>
      </c>
      <c r="AA26" s="16">
        <f>'KEEI BAU - Industry'!AO$42*'Others Split'!$H$15</f>
        <v>76854727777.933563</v>
      </c>
      <c r="AB26" s="16">
        <f>'KEEI BAU - Industry'!AP$42*'Others Split'!$H$15</f>
        <v>76982818990.89679</v>
      </c>
      <c r="AC26" s="16">
        <f>'KEEI BAU - Industry'!AQ$42*'Others Split'!$H$15</f>
        <v>77110910203.860016</v>
      </c>
      <c r="AD26" s="16">
        <f>'KEEI BAU - Industry'!AR$42*'Others Split'!$H$15</f>
        <v>77239001416.823227</v>
      </c>
      <c r="AE26" s="16">
        <f>'KEEI BAU - Industry'!AS$42*'Others Split'!$H$15</f>
        <v>77367092629.786453</v>
      </c>
      <c r="AF26" s="16">
        <f>'KEEI BAU - Industry'!AT$42*'Others Split'!$H$15</f>
        <v>77495183842.74968</v>
      </c>
    </row>
  </sheetData>
  <phoneticPr fontId="35" type="noConversion"/>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heetViews>
  <sheetFormatPr defaultColWidth="9.125" defaultRowHeight="16.5"/>
  <cols>
    <col min="1" max="1" width="39.625" customWidth="1"/>
    <col min="2" max="33" width="11.625" customWidth="1"/>
    <col min="34" max="35" width="9.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'KEEI BAU - Industry'!P39*'Others Split'!$D$46*'Others Split'!$I$6</f>
        <v>5078360447164.1191</v>
      </c>
      <c r="C2" s="16">
        <f>'KEEI BAU - Industry'!Q39*'Others Split'!$D$46*'Others Split'!$I$6</f>
        <v>4701265651843.3506</v>
      </c>
      <c r="D2" s="16">
        <f>'KEEI BAU - Industry'!R39*'Others Split'!$D$46*'Others Split'!$I$6</f>
        <v>4324170856522.5825</v>
      </c>
      <c r="E2" s="16">
        <f>'KEEI BAU - Industry'!S39*'Others Split'!$D$46*'Others Split'!$I$6</f>
        <v>3947076061201.8145</v>
      </c>
      <c r="F2" s="16">
        <f>'KEEI BAU - Industry'!T39*'Others Split'!$D$46*'Others Split'!$I$6</f>
        <v>3876592560108.9248</v>
      </c>
      <c r="G2" s="16">
        <f>'KEEI BAU - Industry'!U39*'Others Split'!$D$46*'Others Split'!$I$6</f>
        <v>3806109059016.0356</v>
      </c>
      <c r="H2" s="16">
        <f>'KEEI BAU - Industry'!V39*'Others Split'!$D$46*'Others Split'!$I$6</f>
        <v>3735625557923.1455</v>
      </c>
      <c r="I2" s="16">
        <f>'KEEI BAU - Industry'!W39*'Others Split'!$D$46*'Others Split'!$I$6</f>
        <v>3665142056830.2563</v>
      </c>
      <c r="J2" s="16">
        <f>'KEEI BAU - Industry'!X39*'Others Split'!$D$46*'Others Split'!$I$6</f>
        <v>3594658555737.3667</v>
      </c>
      <c r="K2" s="16">
        <f>'KEEI BAU - Industry'!Y39*'Others Split'!$D$46*'Others Split'!$I$6</f>
        <v>3524175054644.4771</v>
      </c>
      <c r="L2" s="16">
        <f>'KEEI BAU - Industry'!Z39*'Others Split'!$D$46*'Others Split'!$I$6</f>
        <v>3453691553551.5874</v>
      </c>
      <c r="M2" s="16">
        <f>'KEEI BAU - Industry'!AA39*'Others Split'!$D$46*'Others Split'!$I$6</f>
        <v>3444602891568.5571</v>
      </c>
      <c r="N2" s="16">
        <f>'KEEI BAU - Industry'!AB39*'Others Split'!$D$46*'Others Split'!$I$6</f>
        <v>3435514229585.5264</v>
      </c>
      <c r="O2" s="16">
        <f>'KEEI BAU - Industry'!AC39*'Others Split'!$D$46*'Others Split'!$I$6</f>
        <v>3426425567602.4961</v>
      </c>
      <c r="P2" s="16">
        <f>'KEEI BAU - Industry'!AD39*'Others Split'!$D$46*'Others Split'!$I$6</f>
        <v>3417336905619.4653</v>
      </c>
      <c r="Q2" s="16">
        <f>'KEEI BAU - Industry'!AE39*'Others Split'!$D$46*'Others Split'!$I$6</f>
        <v>3408248243636.4351</v>
      </c>
      <c r="R2" s="16">
        <f>'KEEI BAU - Industry'!AF39*'Others Split'!$D$46*'Others Split'!$I$6</f>
        <v>3399159581653.4043</v>
      </c>
      <c r="S2" s="16">
        <f>'KEEI BAU - Industry'!AG39*'Others Split'!$D$46*'Others Split'!$I$6</f>
        <v>3390070919670.3745</v>
      </c>
      <c r="T2" s="16">
        <f>'KEEI BAU - Industry'!AH39*'Others Split'!$D$46*'Others Split'!$I$6</f>
        <v>3380982257687.3438</v>
      </c>
      <c r="U2" s="16">
        <f>'KEEI BAU - Industry'!AI39*'Others Split'!$D$46*'Others Split'!$I$6</f>
        <v>3371893595704.3135</v>
      </c>
      <c r="V2" s="16">
        <f>'KEEI BAU - Industry'!AJ39*'Others Split'!$D$46*'Others Split'!$I$6</f>
        <v>3362804933721.2827</v>
      </c>
      <c r="W2" s="16">
        <f>'KEEI BAU - Industry'!AK39*'Others Split'!$D$46*'Others Split'!$I$6</f>
        <v>3329047046355.7407</v>
      </c>
      <c r="X2" s="16">
        <f>'KEEI BAU - Industry'!AL39*'Others Split'!$D$46*'Others Split'!$I$6</f>
        <v>3295289158990.1987</v>
      </c>
      <c r="Y2" s="16">
        <f>'KEEI BAU - Industry'!AM39*'Others Split'!$D$46*'Others Split'!$I$6</f>
        <v>3261531271624.6572</v>
      </c>
      <c r="Z2" s="16">
        <f>'KEEI BAU - Industry'!AN39*'Others Split'!$D$46*'Others Split'!$I$6</f>
        <v>3227773384259.1152</v>
      </c>
      <c r="AA2" s="16">
        <f>'KEEI BAU - Industry'!AO39*'Others Split'!$D$46*'Others Split'!$I$6</f>
        <v>3194015496893.5737</v>
      </c>
      <c r="AB2" s="16">
        <f>'KEEI BAU - Industry'!AP39*'Others Split'!$D$46*'Others Split'!$I$6</f>
        <v>3160257609528.0317</v>
      </c>
      <c r="AC2" s="16">
        <f>'KEEI BAU - Industry'!AQ39*'Others Split'!$D$46*'Others Split'!$I$6</f>
        <v>3126499722162.4897</v>
      </c>
      <c r="AD2" s="16">
        <f>'KEEI BAU - Industry'!AR39*'Others Split'!$D$46*'Others Split'!$I$6</f>
        <v>3092741834796.9482</v>
      </c>
      <c r="AE2" s="16">
        <f>'KEEI BAU - Industry'!AS39*'Others Split'!$D$46*'Others Split'!$I$6</f>
        <v>3058983947431.4058</v>
      </c>
      <c r="AF2" s="16">
        <f>'KEEI BAU - Industry'!AT39*'Others Split'!$D$46*'Others Split'!$I$6</f>
        <v>3025226060065.8643</v>
      </c>
    </row>
    <row r="3" spans="1:35">
      <c r="A3" t="s">
        <v>28</v>
      </c>
      <c r="B3" s="16">
        <f>-SUM('2019 KESIS Energy Balance'!Z36:AE36)*'KEEI BAU - Industry'!$L$3/1000*(1+'KEEI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32</v>
      </c>
      <c r="B4" s="16">
        <v>0</v>
      </c>
      <c r="C4" s="16">
        <v>0</v>
      </c>
      <c r="D4" s="16">
        <v>1</v>
      </c>
      <c r="E4" s="16">
        <v>2</v>
      </c>
      <c r="F4" s="16">
        <v>3</v>
      </c>
      <c r="G4" s="16">
        <v>4</v>
      </c>
      <c r="H4" s="16">
        <v>5</v>
      </c>
      <c r="I4" s="16">
        <v>6</v>
      </c>
      <c r="J4" s="16">
        <v>7</v>
      </c>
      <c r="K4" s="16">
        <v>8</v>
      </c>
      <c r="L4" s="16">
        <v>9</v>
      </c>
      <c r="M4" s="16">
        <v>10</v>
      </c>
      <c r="N4" s="16">
        <v>11</v>
      </c>
      <c r="O4" s="16">
        <v>12</v>
      </c>
      <c r="P4" s="16">
        <v>13</v>
      </c>
      <c r="Q4" s="16">
        <v>14</v>
      </c>
      <c r="R4" s="16">
        <v>15</v>
      </c>
      <c r="S4" s="16">
        <v>16</v>
      </c>
      <c r="T4" s="16">
        <v>17</v>
      </c>
      <c r="U4" s="16">
        <v>18</v>
      </c>
      <c r="V4" s="16">
        <v>19</v>
      </c>
      <c r="W4" s="16">
        <v>20</v>
      </c>
      <c r="X4" s="16">
        <v>21</v>
      </c>
      <c r="Y4" s="16">
        <v>22</v>
      </c>
      <c r="Z4" s="16">
        <v>23</v>
      </c>
      <c r="AA4" s="16">
        <v>24</v>
      </c>
      <c r="AB4" s="16">
        <v>25</v>
      </c>
      <c r="AC4" s="16">
        <v>26</v>
      </c>
      <c r="AD4" s="16">
        <v>27</v>
      </c>
      <c r="AE4" s="16">
        <v>28</v>
      </c>
      <c r="AF4" s="16">
        <v>29</v>
      </c>
    </row>
    <row r="5" spans="1:35">
      <c r="A5" t="s">
        <v>34</v>
      </c>
      <c r="B5" s="16">
        <f>'KEEI BAU - Industry'!P$39*'Others Split'!$D$46*'Others Split'!$I$7</f>
        <v>131737595338.63387</v>
      </c>
      <c r="C5" s="16">
        <f>'KEEI BAU - Industry'!Q$39*'Others Split'!$D$46*'Others Split'!$I$7</f>
        <v>121955390615.84514</v>
      </c>
      <c r="D5" s="16">
        <f>'KEEI BAU - Industry'!R$39*'Others Split'!$D$46*'Others Split'!$I$7</f>
        <v>112173185893.05641</v>
      </c>
      <c r="E5" s="16">
        <f>'KEEI BAU - Industry'!S$39*'Others Split'!$D$46*'Others Split'!$I$7</f>
        <v>102390981170.26767</v>
      </c>
      <c r="F5" s="16">
        <f>'KEEI BAU - Industry'!T$39*'Others Split'!$D$46*'Others Split'!$I$7</f>
        <v>100562570792.22719</v>
      </c>
      <c r="G5" s="16">
        <f>'KEEI BAU - Industry'!U$39*'Others Split'!$D$46*'Others Split'!$I$7</f>
        <v>98734160414.186691</v>
      </c>
      <c r="H5" s="16">
        <f>'KEEI BAU - Industry'!V$39*'Others Split'!$D$46*'Others Split'!$I$7</f>
        <v>96905750036.146194</v>
      </c>
      <c r="I5" s="16">
        <f>'KEEI BAU - Industry'!W$39*'Others Split'!$D$46*'Others Split'!$I$7</f>
        <v>95077339658.105698</v>
      </c>
      <c r="J5" s="16">
        <f>'KEEI BAU - Industry'!X$39*'Others Split'!$D$46*'Others Split'!$I$7</f>
        <v>93248929280.065216</v>
      </c>
      <c r="K5" s="16">
        <f>'KEEI BAU - Industry'!Y$39*'Others Split'!$D$46*'Others Split'!$I$7</f>
        <v>91420518902.024704</v>
      </c>
      <c r="L5" s="16">
        <f>'KEEI BAU - Industry'!Z$39*'Others Split'!$D$46*'Others Split'!$I$7</f>
        <v>89592108523.984222</v>
      </c>
      <c r="M5" s="16">
        <f>'KEEI BAU - Industry'!AA$39*'Others Split'!$D$46*'Others Split'!$I$7</f>
        <v>89356339817.342163</v>
      </c>
      <c r="N5" s="16">
        <f>'KEEI BAU - Industry'!AB$39*'Others Split'!$D$46*'Others Split'!$I$7</f>
        <v>89120571110.700089</v>
      </c>
      <c r="O5" s="16">
        <f>'KEEI BAU - Industry'!AC$39*'Others Split'!$D$46*'Others Split'!$I$7</f>
        <v>88884802404.058029</v>
      </c>
      <c r="P5" s="16">
        <f>'KEEI BAU - Industry'!AD$39*'Others Split'!$D$46*'Others Split'!$I$7</f>
        <v>88649033697.415955</v>
      </c>
      <c r="Q5" s="16">
        <f>'KEEI BAU - Industry'!AE$39*'Others Split'!$D$46*'Others Split'!$I$7</f>
        <v>88413264990.773895</v>
      </c>
      <c r="R5" s="16">
        <f>'KEEI BAU - Industry'!AF$39*'Others Split'!$D$46*'Others Split'!$I$7</f>
        <v>88177496284.131836</v>
      </c>
      <c r="S5" s="16">
        <f>'KEEI BAU - Industry'!AG$39*'Others Split'!$D$46*'Others Split'!$I$7</f>
        <v>87941727577.489777</v>
      </c>
      <c r="T5" s="16">
        <f>'KEEI BAU - Industry'!AH$39*'Others Split'!$D$46*'Others Split'!$I$7</f>
        <v>87705958870.847717</v>
      </c>
      <c r="U5" s="16">
        <f>'KEEI BAU - Industry'!AI$39*'Others Split'!$D$46*'Others Split'!$I$7</f>
        <v>87470190164.205643</v>
      </c>
      <c r="V5" s="16">
        <f>'KEEI BAU - Industry'!AJ$39*'Others Split'!$D$46*'Others Split'!$I$7</f>
        <v>87234421457.563583</v>
      </c>
      <c r="W5" s="16">
        <f>'KEEI BAU - Industry'!AK$39*'Others Split'!$D$46*'Others Split'!$I$7</f>
        <v>86358709118.607346</v>
      </c>
      <c r="X5" s="16">
        <f>'KEEI BAU - Industry'!AL$39*'Others Split'!$D$46*'Others Split'!$I$7</f>
        <v>85482996779.651108</v>
      </c>
      <c r="Y5" s="16">
        <f>'KEEI BAU - Industry'!AM$39*'Others Split'!$D$46*'Others Split'!$I$7</f>
        <v>84607284440.69487</v>
      </c>
      <c r="Z5" s="16">
        <f>'KEEI BAU - Industry'!AN$39*'Others Split'!$D$46*'Others Split'!$I$7</f>
        <v>83731572101.738632</v>
      </c>
      <c r="AA5" s="16">
        <f>'KEEI BAU - Industry'!AO$39*'Others Split'!$D$46*'Others Split'!$I$7</f>
        <v>82855859762.782394</v>
      </c>
      <c r="AB5" s="16">
        <f>'KEEI BAU - Industry'!AP$39*'Others Split'!$D$46*'Others Split'!$I$7</f>
        <v>81980147423.826172</v>
      </c>
      <c r="AC5" s="16">
        <f>'KEEI BAU - Industry'!AQ$39*'Others Split'!$D$46*'Others Split'!$I$7</f>
        <v>81104435084.869919</v>
      </c>
      <c r="AD5" s="16">
        <f>'KEEI BAU - Industry'!AR$39*'Others Split'!$D$46*'Others Split'!$I$7</f>
        <v>80228722745.913696</v>
      </c>
      <c r="AE5" s="16">
        <f>'KEEI BAU - Industry'!AS$39*'Others Split'!$D$46*'Others Split'!$I$7</f>
        <v>79353010406.957443</v>
      </c>
      <c r="AF5" s="16">
        <f>'KEEI BAU - Industry'!AT$39*'Others Split'!$D$46*'Others Split'!$I$7</f>
        <v>78477298068.001221</v>
      </c>
    </row>
    <row r="6" spans="1:35">
      <c r="A6" t="s">
        <v>36</v>
      </c>
      <c r="B6" s="16">
        <f>'KEEI BAU - Industry'!P$39*'Others Split'!$D$46*'Others Split'!$I$8</f>
        <v>151836395460.46991</v>
      </c>
      <c r="C6" s="16">
        <f>'KEEI BAU - Industry'!Q$39*'Others Split'!$D$46*'Others Split'!$I$8</f>
        <v>140561749821.56442</v>
      </c>
      <c r="D6" s="16">
        <f>'KEEI BAU - Industry'!R$39*'Others Split'!$D$46*'Others Split'!$I$8</f>
        <v>129287104182.65892</v>
      </c>
      <c r="E6" s="16">
        <f>'KEEI BAU - Industry'!S$39*'Others Split'!$D$46*'Others Split'!$I$8</f>
        <v>118012458543.75342</v>
      </c>
      <c r="F6" s="16">
        <f>'KEEI BAU - Industry'!T$39*'Others Split'!$D$46*'Others Split'!$I$8</f>
        <v>115905093212.61496</v>
      </c>
      <c r="G6" s="16">
        <f>'KEEI BAU - Industry'!U$39*'Others Split'!$D$46*'Others Split'!$I$8</f>
        <v>113797727881.47652</v>
      </c>
      <c r="H6" s="16">
        <f>'KEEI BAU - Industry'!V$39*'Others Split'!$D$46*'Others Split'!$I$8</f>
        <v>111690362550.33806</v>
      </c>
      <c r="I6" s="16">
        <f>'KEEI BAU - Industry'!W$39*'Others Split'!$D$46*'Others Split'!$I$8</f>
        <v>109582997219.1996</v>
      </c>
      <c r="J6" s="16">
        <f>'KEEI BAU - Industry'!X$39*'Others Split'!$D$46*'Others Split'!$I$8</f>
        <v>107475631888.06116</v>
      </c>
      <c r="K6" s="16">
        <f>'KEEI BAU - Industry'!Y$39*'Others Split'!$D$46*'Others Split'!$I$8</f>
        <v>105368266556.92268</v>
      </c>
      <c r="L6" s="16">
        <f>'KEEI BAU - Industry'!Z$39*'Others Split'!$D$46*'Others Split'!$I$8</f>
        <v>103260901225.78424</v>
      </c>
      <c r="M6" s="16">
        <f>'KEEI BAU - Industry'!AA$39*'Others Split'!$D$46*'Others Split'!$I$8</f>
        <v>102989162012.03218</v>
      </c>
      <c r="N6" s="16">
        <f>'KEEI BAU - Industry'!AB$39*'Others Split'!$D$46*'Others Split'!$I$8</f>
        <v>102717422798.28011</v>
      </c>
      <c r="O6" s="16">
        <f>'KEEI BAU - Industry'!AC$39*'Others Split'!$D$46*'Others Split'!$I$8</f>
        <v>102445683584.52805</v>
      </c>
      <c r="P6" s="16">
        <f>'KEEI BAU - Industry'!AD$39*'Others Split'!$D$46*'Others Split'!$I$8</f>
        <v>102173944370.77599</v>
      </c>
      <c r="Q6" s="16">
        <f>'KEEI BAU - Industry'!AE$39*'Others Split'!$D$46*'Others Split'!$I$8</f>
        <v>101902205157.02391</v>
      </c>
      <c r="R6" s="16">
        <f>'KEEI BAU - Industry'!AF$39*'Others Split'!$D$46*'Others Split'!$I$8</f>
        <v>101630465943.27185</v>
      </c>
      <c r="S6" s="16">
        <f>'KEEI BAU - Industry'!AG$39*'Others Split'!$D$46*'Others Split'!$I$8</f>
        <v>101358726729.51981</v>
      </c>
      <c r="T6" s="16">
        <f>'KEEI BAU - Industry'!AH$39*'Others Split'!$D$46*'Others Split'!$I$8</f>
        <v>101086987515.76773</v>
      </c>
      <c r="U6" s="16">
        <f>'KEEI BAU - Industry'!AI$39*'Others Split'!$D$46*'Others Split'!$I$8</f>
        <v>100815248302.01567</v>
      </c>
      <c r="V6" s="16">
        <f>'KEEI BAU - Industry'!AJ$39*'Others Split'!$D$46*'Others Split'!$I$8</f>
        <v>100543509088.26361</v>
      </c>
      <c r="W6" s="16">
        <f>'KEEI BAU - Industry'!AK$39*'Others Split'!$D$46*'Others Split'!$I$8</f>
        <v>99534192008.613068</v>
      </c>
      <c r="X6" s="16">
        <f>'KEEI BAU - Industry'!AL$39*'Others Split'!$D$46*'Others Split'!$I$8</f>
        <v>98524874928.962555</v>
      </c>
      <c r="Y6" s="16">
        <f>'KEEI BAU - Industry'!AM$39*'Others Split'!$D$46*'Others Split'!$I$8</f>
        <v>97515557849.312042</v>
      </c>
      <c r="Z6" s="16">
        <f>'KEEI BAU - Industry'!AN$39*'Others Split'!$D$46*'Others Split'!$I$8</f>
        <v>96506240769.661514</v>
      </c>
      <c r="AA6" s="16">
        <f>'KEEI BAU - Industry'!AO$39*'Others Split'!$D$46*'Others Split'!$I$8</f>
        <v>95496923690.010986</v>
      </c>
      <c r="AB6" s="16">
        <f>'KEEI BAU - Industry'!AP$39*'Others Split'!$D$46*'Others Split'!$I$8</f>
        <v>94487606610.360474</v>
      </c>
      <c r="AC6" s="16">
        <f>'KEEI BAU - Industry'!AQ$39*'Others Split'!$D$46*'Others Split'!$I$8</f>
        <v>93478289530.709946</v>
      </c>
      <c r="AD6" s="16">
        <f>'KEEI BAU - Industry'!AR$39*'Others Split'!$D$46*'Others Split'!$I$8</f>
        <v>92468972451.059418</v>
      </c>
      <c r="AE6" s="16">
        <f>'KEEI BAU - Industry'!AS$39*'Others Split'!$D$46*'Others Split'!$I$8</f>
        <v>91459655371.40889</v>
      </c>
      <c r="AF6" s="16">
        <f>'KEEI BAU - Industry'!AT$39*'Others Split'!$D$46*'Others Split'!$I$8</f>
        <v>90450338291.758377</v>
      </c>
    </row>
    <row r="7" spans="1:35">
      <c r="A7" t="s">
        <v>38</v>
      </c>
      <c r="B7" s="16">
        <f>'KEEI BAU - Industry'!P$39*'Others Split'!$D$46*'Others Split'!$I$9</f>
        <v>27506132392.257534</v>
      </c>
      <c r="C7" s="16">
        <f>'KEEI BAU - Industry'!Q$39*'Others Split'!$D$46*'Others Split'!$I$9</f>
        <v>25463658355.126804</v>
      </c>
      <c r="D7" s="16">
        <f>'KEEI BAU - Industry'!R$39*'Others Split'!$D$46*'Others Split'!$I$9</f>
        <v>23421184317.996078</v>
      </c>
      <c r="E7" s="16">
        <f>'KEEI BAU - Industry'!S$39*'Others Split'!$D$46*'Others Split'!$I$9</f>
        <v>21378710280.865349</v>
      </c>
      <c r="F7" s="16">
        <f>'KEEI BAU - Industry'!T$39*'Others Split'!$D$46*'Others Split'!$I$9</f>
        <v>20996947597.278469</v>
      </c>
      <c r="G7" s="16">
        <f>'KEEI BAU - Industry'!U$39*'Others Split'!$D$46*'Others Split'!$I$9</f>
        <v>20615184913.691589</v>
      </c>
      <c r="H7" s="16">
        <f>'KEEI BAU - Industry'!V$39*'Others Split'!$D$46*'Others Split'!$I$9</f>
        <v>20233422230.104706</v>
      </c>
      <c r="I7" s="16">
        <f>'KEEI BAU - Industry'!W$39*'Others Split'!$D$46*'Others Split'!$I$9</f>
        <v>19851659546.517826</v>
      </c>
      <c r="J7" s="16">
        <f>'KEEI BAU - Industry'!X$39*'Others Split'!$D$46*'Others Split'!$I$9</f>
        <v>19469896862.930946</v>
      </c>
      <c r="K7" s="16">
        <f>'KEEI BAU - Industry'!Y$39*'Others Split'!$D$46*'Others Split'!$I$9</f>
        <v>19088134179.344063</v>
      </c>
      <c r="L7" s="16">
        <f>'KEEI BAU - Industry'!Z$39*'Others Split'!$D$46*'Others Split'!$I$9</f>
        <v>18706371495.757183</v>
      </c>
      <c r="M7" s="16">
        <f>'KEEI BAU - Industry'!AA$39*'Others Split'!$D$46*'Others Split'!$I$9</f>
        <v>18657144202.347294</v>
      </c>
      <c r="N7" s="16">
        <f>'KEEI BAU - Industry'!AB$39*'Others Split'!$D$46*'Others Split'!$I$9</f>
        <v>18607916908.937405</v>
      </c>
      <c r="O7" s="16">
        <f>'KEEI BAU - Industry'!AC$39*'Others Split'!$D$46*'Others Split'!$I$9</f>
        <v>18558689615.527519</v>
      </c>
      <c r="P7" s="16">
        <f>'KEEI BAU - Industry'!AD$39*'Others Split'!$D$46*'Others Split'!$I$9</f>
        <v>18509462322.11763</v>
      </c>
      <c r="Q7" s="16">
        <f>'KEEI BAU - Industry'!AE$39*'Others Split'!$D$46*'Others Split'!$I$9</f>
        <v>18460235028.707745</v>
      </c>
      <c r="R7" s="16">
        <f>'KEEI BAU - Industry'!AF$39*'Others Split'!$D$46*'Others Split'!$I$9</f>
        <v>18411007735.297855</v>
      </c>
      <c r="S7" s="16">
        <f>'KEEI BAU - Industry'!AG$39*'Others Split'!$D$46*'Others Split'!$I$9</f>
        <v>18361780441.88797</v>
      </c>
      <c r="T7" s="16">
        <f>'KEEI BAU - Industry'!AH$39*'Others Split'!$D$46*'Others Split'!$I$9</f>
        <v>18312553148.478085</v>
      </c>
      <c r="U7" s="16">
        <f>'KEEI BAU - Industry'!AI$39*'Others Split'!$D$46*'Others Split'!$I$9</f>
        <v>18263325855.068195</v>
      </c>
      <c r="V7" s="16">
        <f>'KEEI BAU - Industry'!AJ$39*'Others Split'!$D$46*'Others Split'!$I$9</f>
        <v>18214098561.65831</v>
      </c>
      <c r="W7" s="16">
        <f>'KEEI BAU - Industry'!AK$39*'Others Split'!$D$46*'Others Split'!$I$9</f>
        <v>18031254328.993011</v>
      </c>
      <c r="X7" s="16">
        <f>'KEEI BAU - Industry'!AL$39*'Others Split'!$D$46*'Others Split'!$I$9</f>
        <v>17848410096.327717</v>
      </c>
      <c r="Y7" s="16">
        <f>'KEEI BAU - Industry'!AM$39*'Others Split'!$D$46*'Others Split'!$I$9</f>
        <v>17665565863.662422</v>
      </c>
      <c r="Z7" s="16">
        <f>'KEEI BAU - Industry'!AN$39*'Others Split'!$D$46*'Others Split'!$I$9</f>
        <v>17482721630.997124</v>
      </c>
      <c r="AA7" s="16">
        <f>'KEEI BAU - Industry'!AO$39*'Others Split'!$D$46*'Others Split'!$I$9</f>
        <v>17299877398.331829</v>
      </c>
      <c r="AB7" s="16">
        <f>'KEEI BAU - Industry'!AP$39*'Others Split'!$D$46*'Others Split'!$I$9</f>
        <v>17117033165.666534</v>
      </c>
      <c r="AC7" s="16">
        <f>'KEEI BAU - Industry'!AQ$39*'Others Split'!$D$46*'Others Split'!$I$9</f>
        <v>16934188933.001238</v>
      </c>
      <c r="AD7" s="16">
        <f>'KEEI BAU - Industry'!AR$39*'Others Split'!$D$46*'Others Split'!$I$9</f>
        <v>16751344700.335943</v>
      </c>
      <c r="AE7" s="16">
        <f>'KEEI BAU - Industry'!AS$39*'Others Split'!$D$46*'Others Split'!$I$9</f>
        <v>16568500467.670645</v>
      </c>
      <c r="AF7" s="16">
        <f>'KEEI BAU - Industry'!AT$39*'Others Split'!$D$46*'Others Split'!$I$9</f>
        <v>16385656235.00535</v>
      </c>
    </row>
    <row r="8" spans="1:35">
      <c r="A8" t="s">
        <v>40</v>
      </c>
      <c r="B8" s="16">
        <f>'KEEI BAU - Industry'!P$39*'Others Split'!$D$46*'Others Split'!$I$10</f>
        <v>4306033735.3013754</v>
      </c>
      <c r="C8" s="16">
        <f>'KEEI BAU - Industry'!Q$39*'Others Split'!$D$46*'Others Split'!$I$10</f>
        <v>3986288233.3914909</v>
      </c>
      <c r="D8" s="16">
        <f>'KEEI BAU - Industry'!R$39*'Others Split'!$D$46*'Others Split'!$I$10</f>
        <v>3666542731.4816065</v>
      </c>
      <c r="E8" s="16">
        <f>'KEEI BAU - Industry'!S$39*'Others Split'!$D$46*'Others Split'!$I$10</f>
        <v>3346797229.5717225</v>
      </c>
      <c r="F8" s="16">
        <f>'KEEI BAU - Industry'!T$39*'Others Split'!$D$46*'Others Split'!$I$10</f>
        <v>3287032993.3293705</v>
      </c>
      <c r="G8" s="16">
        <f>'KEEI BAU - Industry'!U$39*'Others Split'!$D$46*'Others Split'!$I$10</f>
        <v>3227268757.0870185</v>
      </c>
      <c r="H8" s="16">
        <f>'KEEI BAU - Industry'!V$39*'Others Split'!$D$46*'Others Split'!$I$10</f>
        <v>3167504520.844666</v>
      </c>
      <c r="I8" s="16">
        <f>'KEEI BAU - Industry'!W$39*'Others Split'!$D$46*'Others Split'!$I$10</f>
        <v>3107740284.602314</v>
      </c>
      <c r="J8" s="16">
        <f>'KEEI BAU - Industry'!X$39*'Others Split'!$D$46*'Others Split'!$I$10</f>
        <v>3047976048.359962</v>
      </c>
      <c r="K8" s="16">
        <f>'KEEI BAU - Industry'!Y$39*'Others Split'!$D$46*'Others Split'!$I$10</f>
        <v>2988211812.1176095</v>
      </c>
      <c r="L8" s="16">
        <f>'KEEI BAU - Industry'!Z$39*'Others Split'!$D$46*'Others Split'!$I$10</f>
        <v>2928447575.875257</v>
      </c>
      <c r="M8" s="16">
        <f>'KEEI BAU - Industry'!AA$39*'Others Split'!$D$46*'Others Split'!$I$10</f>
        <v>2920741134.8861117</v>
      </c>
      <c r="N8" s="16">
        <f>'KEEI BAU - Industry'!AB$39*'Others Split'!$D$46*'Others Split'!$I$10</f>
        <v>2913034693.8969665</v>
      </c>
      <c r="O8" s="16">
        <f>'KEEI BAU - Industry'!AC$39*'Others Split'!$D$46*'Others Split'!$I$10</f>
        <v>2905328252.9078207</v>
      </c>
      <c r="P8" s="16">
        <f>'KEEI BAU - Industry'!AD$39*'Others Split'!$D$46*'Others Split'!$I$10</f>
        <v>2897621811.9186754</v>
      </c>
      <c r="Q8" s="16">
        <f>'KEEI BAU - Industry'!AE$39*'Others Split'!$D$46*'Others Split'!$I$10</f>
        <v>2889915370.9295301</v>
      </c>
      <c r="R8" s="16">
        <f>'KEEI BAU - Industry'!AF$39*'Others Split'!$D$46*'Others Split'!$I$10</f>
        <v>2882208929.9403844</v>
      </c>
      <c r="S8" s="16">
        <f>'KEEI BAU - Industry'!AG$39*'Others Split'!$D$46*'Others Split'!$I$10</f>
        <v>2874502488.9512396</v>
      </c>
      <c r="T8" s="16">
        <f>'KEEI BAU - Industry'!AH$39*'Others Split'!$D$46*'Others Split'!$I$10</f>
        <v>2866796047.9620938</v>
      </c>
      <c r="U8" s="16">
        <f>'KEEI BAU - Industry'!AI$39*'Others Split'!$D$46*'Others Split'!$I$10</f>
        <v>2859089606.9729486</v>
      </c>
      <c r="V8" s="16">
        <f>'KEEI BAU - Industry'!AJ$39*'Others Split'!$D$46*'Others Split'!$I$10</f>
        <v>2851383165.9838033</v>
      </c>
      <c r="W8" s="16">
        <f>'KEEI BAU - Industry'!AK$39*'Others Split'!$D$46*'Others Split'!$I$10</f>
        <v>2822759242.309834</v>
      </c>
      <c r="X8" s="16">
        <f>'KEEI BAU - Industry'!AL$39*'Others Split'!$D$46*'Others Split'!$I$10</f>
        <v>2794135318.6358657</v>
      </c>
      <c r="Y8" s="16">
        <f>'KEEI BAU - Industry'!AM$39*'Others Split'!$D$46*'Others Split'!$I$10</f>
        <v>2765511394.9618974</v>
      </c>
      <c r="Z8" s="16">
        <f>'KEEI BAU - Industry'!AN$39*'Others Split'!$D$46*'Others Split'!$I$10</f>
        <v>2736887471.2879281</v>
      </c>
      <c r="AA8" s="16">
        <f>'KEEI BAU - Industry'!AO$39*'Others Split'!$D$46*'Others Split'!$I$10</f>
        <v>2708263547.6139598</v>
      </c>
      <c r="AB8" s="16">
        <f>'KEEI BAU - Industry'!AP$39*'Others Split'!$D$46*'Others Split'!$I$10</f>
        <v>2679639623.939991</v>
      </c>
      <c r="AC8" s="16">
        <f>'KEEI BAU - Industry'!AQ$39*'Others Split'!$D$46*'Others Split'!$I$10</f>
        <v>2651015700.2660222</v>
      </c>
      <c r="AD8" s="16">
        <f>'KEEI BAU - Industry'!AR$39*'Others Split'!$D$46*'Others Split'!$I$10</f>
        <v>2622391776.5920539</v>
      </c>
      <c r="AE8" s="16">
        <f>'KEEI BAU - Industry'!AS$39*'Others Split'!$D$46*'Others Split'!$I$10</f>
        <v>2593767852.9180846</v>
      </c>
      <c r="AF8" s="16">
        <f>'KEEI BAU - Industry'!AT$39*'Others Split'!$D$46*'Others Split'!$I$10</f>
        <v>2565143929.2441163</v>
      </c>
    </row>
    <row r="9" spans="1:35">
      <c r="A9" t="s">
        <v>42</v>
      </c>
      <c r="B9" s="16">
        <f>'KEEI BAU - Industry'!P$39*'Others Split'!$D$46*'Others Split'!$I$11</f>
        <v>13355463819.83132</v>
      </c>
      <c r="C9" s="16">
        <f>'KEEI BAU - Industry'!Q$39*'Others Split'!$D$46*'Others Split'!$I$11</f>
        <v>12363750854.997248</v>
      </c>
      <c r="D9" s="16">
        <f>'KEEI BAU - Industry'!R$39*'Others Split'!$D$46*'Others Split'!$I$11</f>
        <v>11372037890.163174</v>
      </c>
      <c r="E9" s="16">
        <f>'KEEI BAU - Industry'!S$39*'Others Split'!$D$46*'Others Split'!$I$11</f>
        <v>10380324925.329102</v>
      </c>
      <c r="F9" s="16">
        <f>'KEEI BAU - Industry'!T$39*'Others Split'!$D$46*'Others Split'!$I$11</f>
        <v>10194961980.233938</v>
      </c>
      <c r="G9" s="16">
        <f>'KEEI BAU - Industry'!U$39*'Others Split'!$D$46*'Others Split'!$I$11</f>
        <v>10009599035.138777</v>
      </c>
      <c r="H9" s="16">
        <f>'KEEI BAU - Industry'!V$39*'Others Split'!$D$46*'Others Split'!$I$11</f>
        <v>9824236090.0436134</v>
      </c>
      <c r="I9" s="16">
        <f>'KEEI BAU - Industry'!W$39*'Others Split'!$D$46*'Others Split'!$I$11</f>
        <v>9638873144.948452</v>
      </c>
      <c r="J9" s="16">
        <f>'KEEI BAU - Industry'!X$39*'Others Split'!$D$46*'Others Split'!$I$11</f>
        <v>9453510199.8532887</v>
      </c>
      <c r="K9" s="16">
        <f>'KEEI BAU - Industry'!Y$39*'Others Split'!$D$46*'Others Split'!$I$11</f>
        <v>9268147254.7581253</v>
      </c>
      <c r="L9" s="16">
        <f>'KEEI BAU - Industry'!Z$39*'Others Split'!$D$46*'Others Split'!$I$11</f>
        <v>9082784309.6629639</v>
      </c>
      <c r="M9" s="16">
        <f>'KEEI BAU - Industry'!AA$39*'Others Split'!$D$46*'Others Split'!$I$11</f>
        <v>9058882245.6901665</v>
      </c>
      <c r="N9" s="16">
        <f>'KEEI BAU - Industry'!AB$39*'Others Split'!$D$46*'Others Split'!$I$11</f>
        <v>9034980181.7173691</v>
      </c>
      <c r="O9" s="16">
        <f>'KEEI BAU - Industry'!AC$39*'Others Split'!$D$46*'Others Split'!$I$11</f>
        <v>9011078117.7445717</v>
      </c>
      <c r="P9" s="16">
        <f>'KEEI BAU - Industry'!AD$39*'Others Split'!$D$46*'Others Split'!$I$11</f>
        <v>8987176053.7717743</v>
      </c>
      <c r="Q9" s="16">
        <f>'KEEI BAU - Industry'!AE$39*'Others Split'!$D$46*'Others Split'!$I$11</f>
        <v>8963273989.7989769</v>
      </c>
      <c r="R9" s="16">
        <f>'KEEI BAU - Industry'!AF$39*'Others Split'!$D$46*'Others Split'!$I$11</f>
        <v>8939371925.8261795</v>
      </c>
      <c r="S9" s="16">
        <f>'KEEI BAU - Industry'!AG$39*'Others Split'!$D$46*'Others Split'!$I$11</f>
        <v>8915469861.853384</v>
      </c>
      <c r="T9" s="16">
        <f>'KEEI BAU - Industry'!AH$39*'Others Split'!$D$46*'Others Split'!$I$11</f>
        <v>8891567797.8805866</v>
      </c>
      <c r="U9" s="16">
        <f>'KEEI BAU - Industry'!AI$39*'Others Split'!$D$46*'Others Split'!$I$11</f>
        <v>8867665733.9077892</v>
      </c>
      <c r="V9" s="16">
        <f>'KEEI BAU - Industry'!AJ$39*'Others Split'!$D$46*'Others Split'!$I$11</f>
        <v>8843763669.9349918</v>
      </c>
      <c r="W9" s="16">
        <f>'KEEI BAU - Industry'!AK$39*'Others Split'!$D$46*'Others Split'!$I$11</f>
        <v>8754984575.1788864</v>
      </c>
      <c r="X9" s="16">
        <f>'KEEI BAU - Industry'!AL$39*'Others Split'!$D$46*'Others Split'!$I$11</f>
        <v>8666205480.4227829</v>
      </c>
      <c r="Y9" s="16">
        <f>'KEEI BAU - Industry'!AM$39*'Others Split'!$D$46*'Others Split'!$I$11</f>
        <v>8577426385.6666784</v>
      </c>
      <c r="Z9" s="16">
        <f>'KEEI BAU - Industry'!AN$39*'Others Split'!$D$46*'Others Split'!$I$11</f>
        <v>8488647290.910574</v>
      </c>
      <c r="AA9" s="16">
        <f>'KEEI BAU - Industry'!AO$39*'Others Split'!$D$46*'Others Split'!$I$11</f>
        <v>8399868196.1544704</v>
      </c>
      <c r="AB9" s="16">
        <f>'KEEI BAU - Industry'!AP$39*'Others Split'!$D$46*'Others Split'!$I$11</f>
        <v>8311089101.3983669</v>
      </c>
      <c r="AC9" s="16">
        <f>'KEEI BAU - Industry'!AQ$39*'Others Split'!$D$46*'Others Split'!$I$11</f>
        <v>8222310006.6422615</v>
      </c>
      <c r="AD9" s="16">
        <f>'KEEI BAU - Industry'!AR$39*'Others Split'!$D$46*'Others Split'!$I$11</f>
        <v>8133530911.886158</v>
      </c>
      <c r="AE9" s="16">
        <f>'KEEI BAU - Industry'!AS$39*'Others Split'!$D$46*'Others Split'!$I$11</f>
        <v>8044751817.1300526</v>
      </c>
      <c r="AF9" s="16">
        <f>'KEEI BAU - Industry'!AT$39*'Others Split'!$D$46*'Others Split'!$I$11</f>
        <v>7955972722.3739491</v>
      </c>
    </row>
    <row r="10" spans="1:35">
      <c r="A10" t="s">
        <v>44</v>
      </c>
      <c r="B10" s="16">
        <v>0</v>
      </c>
      <c r="C10" s="16">
        <v>0</v>
      </c>
      <c r="D10" s="16">
        <v>1</v>
      </c>
      <c r="E10" s="16">
        <v>2</v>
      </c>
      <c r="F10" s="16">
        <v>3</v>
      </c>
      <c r="G10" s="16">
        <v>4</v>
      </c>
      <c r="H10" s="16">
        <v>5</v>
      </c>
      <c r="I10" s="16">
        <v>6</v>
      </c>
      <c r="J10" s="16">
        <v>7</v>
      </c>
      <c r="K10" s="16">
        <v>8</v>
      </c>
      <c r="L10" s="16">
        <v>9</v>
      </c>
      <c r="M10" s="16">
        <v>10</v>
      </c>
      <c r="N10" s="16">
        <v>11</v>
      </c>
      <c r="O10" s="16">
        <v>12</v>
      </c>
      <c r="P10" s="16">
        <v>13</v>
      </c>
      <c r="Q10" s="16">
        <v>14</v>
      </c>
      <c r="R10" s="16">
        <v>15</v>
      </c>
      <c r="S10" s="16">
        <v>16</v>
      </c>
      <c r="T10" s="16">
        <v>17</v>
      </c>
      <c r="U10" s="16">
        <v>18</v>
      </c>
      <c r="V10" s="16">
        <v>19</v>
      </c>
      <c r="W10" s="16">
        <v>20</v>
      </c>
      <c r="X10" s="16">
        <v>21</v>
      </c>
      <c r="Y10" s="16">
        <v>22</v>
      </c>
      <c r="Z10" s="16">
        <v>23</v>
      </c>
      <c r="AA10" s="16">
        <v>24</v>
      </c>
      <c r="AB10" s="16">
        <v>25</v>
      </c>
      <c r="AC10" s="16">
        <v>26</v>
      </c>
      <c r="AD10" s="16">
        <v>27</v>
      </c>
      <c r="AE10" s="16">
        <v>28</v>
      </c>
      <c r="AF10" s="16">
        <v>29</v>
      </c>
    </row>
    <row r="11" spans="1:35" s="351" customFormat="1">
      <c r="A11" s="351" t="s">
        <v>47</v>
      </c>
      <c r="B11" s="445">
        <f>'KEEI BAU - Industry'!P$11*'Petrochemicals Split'!$D$37*'Petrochemicals Split'!$I$6</f>
        <v>61623576982501.945</v>
      </c>
      <c r="C11" s="445">
        <f>'KEEI BAU - Industry'!Q$11*'Petrochemicals Split'!$D$37*'Petrochemicals Split'!$I$6</f>
        <v>62817056132541.227</v>
      </c>
      <c r="D11" s="445">
        <f>'KEEI BAU - Industry'!R$11*'Petrochemicals Split'!$D$37*'Petrochemicals Split'!$I$6</f>
        <v>64010535282580.523</v>
      </c>
      <c r="E11" s="445">
        <f>'KEEI BAU - Industry'!S$11*'Petrochemicals Split'!$D$37*'Petrochemicals Split'!$I$6</f>
        <v>65204014432619.75</v>
      </c>
      <c r="F11" s="445">
        <f>'KEEI BAU - Industry'!T$11*'Petrochemicals Split'!$D$37*'Petrochemicals Split'!$I$6</f>
        <v>66359683790084.641</v>
      </c>
      <c r="G11" s="445">
        <f>'KEEI BAU - Industry'!U$11*'Petrochemicals Split'!$D$37*'Petrochemicals Split'!$I$6</f>
        <v>67515353147549.453</v>
      </c>
      <c r="H11" s="445">
        <f>'KEEI BAU - Industry'!V$11*'Petrochemicals Split'!$D$37*'Petrochemicals Split'!$I$6</f>
        <v>68671022505014.781</v>
      </c>
      <c r="I11" s="445">
        <f>'KEEI BAU - Industry'!W$11*'Petrochemicals Split'!$D$37*'Petrochemicals Split'!$I$6</f>
        <v>69826691862479.594</v>
      </c>
      <c r="J11" s="445">
        <f>'KEEI BAU - Industry'!X$11*'Petrochemicals Split'!$D$37*'Petrochemicals Split'!$I$6</f>
        <v>70982361219944.406</v>
      </c>
      <c r="K11" s="445">
        <f>'KEEI BAU - Industry'!Y$11*'Petrochemicals Split'!$D$37*'Petrochemicals Split'!$I$6</f>
        <v>72138030577409.75</v>
      </c>
      <c r="L11" s="445">
        <f>'KEEI BAU - Industry'!Z$11*'Petrochemicals Split'!$D$37*'Petrochemicals Split'!$I$6</f>
        <v>73293699934874.828</v>
      </c>
      <c r="M11" s="445">
        <f>'KEEI BAU - Industry'!AA$11*'Petrochemicals Split'!$D$37*'Petrochemicals Split'!$I$6</f>
        <v>73979695049604.203</v>
      </c>
      <c r="N11" s="445">
        <f>'KEEI BAU - Industry'!AB$11*'Petrochemicals Split'!$D$37*'Petrochemicals Split'!$I$6</f>
        <v>74665690164333.578</v>
      </c>
      <c r="O11" s="445">
        <f>'KEEI BAU - Industry'!AC$11*'Petrochemicals Split'!$D$37*'Petrochemicals Split'!$I$6</f>
        <v>75351685279063.203</v>
      </c>
      <c r="P11" s="445">
        <f>'KEEI BAU - Industry'!AD$11*'Petrochemicals Split'!$D$37*'Petrochemicals Split'!$I$6</f>
        <v>76037680393792.594</v>
      </c>
      <c r="Q11" s="445">
        <f>'KEEI BAU - Industry'!AE$11*'Petrochemicals Split'!$D$37*'Petrochemicals Split'!$I$6</f>
        <v>76723675508522.219</v>
      </c>
      <c r="R11" s="445">
        <f>'KEEI BAU - Industry'!AF$11*'Petrochemicals Split'!$D$37*'Petrochemicals Split'!$I$6</f>
        <v>77409670623251.609</v>
      </c>
      <c r="S11" s="445">
        <f>'KEEI BAU - Industry'!AG$11*'Petrochemicals Split'!$D$37*'Petrochemicals Split'!$I$6</f>
        <v>78095665737981.234</v>
      </c>
      <c r="T11" s="445">
        <f>'KEEI BAU - Industry'!AH$11*'Petrochemicals Split'!$D$37*'Petrochemicals Split'!$I$6</f>
        <v>78781660852710.625</v>
      </c>
      <c r="U11" s="445">
        <f>'KEEI BAU - Industry'!AI$11*'Petrochemicals Split'!$D$37*'Petrochemicals Split'!$I$6</f>
        <v>79467655967440.25</v>
      </c>
      <c r="V11" s="445">
        <f>'KEEI BAU - Industry'!AJ$11*'Petrochemicals Split'!$D$37*'Petrochemicals Split'!$I$6</f>
        <v>80153651082169.891</v>
      </c>
      <c r="W11" s="445">
        <f>'KEEI BAU - Industry'!AK$11*'Petrochemicals Split'!$D$37*'Petrochemicals Split'!$I$6</f>
        <v>80370738143793.156</v>
      </c>
      <c r="X11" s="445">
        <f>'KEEI BAU - Industry'!AL$11*'Petrochemicals Split'!$D$37*'Petrochemicals Split'!$I$6</f>
        <v>80587825205416.422</v>
      </c>
      <c r="Y11" s="445">
        <f>'KEEI BAU - Industry'!AM$11*'Petrochemicals Split'!$D$37*'Petrochemicals Split'!$I$6</f>
        <v>80804912267039.672</v>
      </c>
      <c r="Z11" s="445">
        <f>'KEEI BAU - Industry'!AN$11*'Petrochemicals Split'!$D$37*'Petrochemicals Split'!$I$6</f>
        <v>81021999328662.938</v>
      </c>
      <c r="AA11" s="445">
        <f>'KEEI BAU - Industry'!AO$11*'Petrochemicals Split'!$D$37*'Petrochemicals Split'!$I$6</f>
        <v>81239086390286.203</v>
      </c>
      <c r="AB11" s="445">
        <f>'KEEI BAU - Industry'!AP$11*'Petrochemicals Split'!$D$37*'Petrochemicals Split'!$I$6</f>
        <v>81456173451909.453</v>
      </c>
      <c r="AC11" s="445">
        <f>'KEEI BAU - Industry'!AQ$11*'Petrochemicals Split'!$D$37*'Petrochemicals Split'!$I$6</f>
        <v>81673260513532.719</v>
      </c>
      <c r="AD11" s="445">
        <f>'KEEI BAU - Industry'!AR$11*'Petrochemicals Split'!$D$37*'Petrochemicals Split'!$I$6</f>
        <v>81890347575155.984</v>
      </c>
      <c r="AE11" s="445">
        <f>'KEEI BAU - Industry'!AS$11*'Petrochemicals Split'!$D$37*'Petrochemicals Split'!$I$6</f>
        <v>82107434636779.25</v>
      </c>
      <c r="AF11" s="445">
        <f>'KEEI BAU - Industry'!AT$11*'Petrochemicals Split'!$D$37*'Petrochemicals Split'!$I$6</f>
        <v>82324521698402.5</v>
      </c>
    </row>
    <row r="12" spans="1:35" s="351" customFormat="1">
      <c r="A12" s="351" t="s">
        <v>51</v>
      </c>
      <c r="B12" s="445">
        <f>'KEEI BAU - Industry'!P$11*'Petrochemicals Split'!$D$37*'Petrochemicals Split'!$I$7</f>
        <v>31912209508795.652</v>
      </c>
      <c r="C12" s="445">
        <f>'KEEI BAU - Industry'!Q$11*'Petrochemicals Split'!$D$37*'Petrochemicals Split'!$I$7</f>
        <v>32530261211494.566</v>
      </c>
      <c r="D12" s="445">
        <f>'KEEI BAU - Industry'!R$11*'Petrochemicals Split'!$D$37*'Petrochemicals Split'!$I$7</f>
        <v>33148312914193.488</v>
      </c>
      <c r="E12" s="445">
        <f>'KEEI BAU - Industry'!S$11*'Petrochemicals Split'!$D$37*'Petrochemicals Split'!$I$7</f>
        <v>33766364616892.371</v>
      </c>
      <c r="F12" s="445">
        <f>'KEEI BAU - Industry'!T$11*'Petrochemicals Split'!$D$37*'Petrochemicals Split'!$I$7</f>
        <v>34364836248436.688</v>
      </c>
      <c r="G12" s="445">
        <f>'KEEI BAU - Industry'!U$11*'Petrochemicals Split'!$D$37*'Petrochemicals Split'!$I$7</f>
        <v>34963307879980.969</v>
      </c>
      <c r="H12" s="445">
        <f>'KEEI BAU - Industry'!V$11*'Petrochemicals Split'!$D$37*'Petrochemicals Split'!$I$7</f>
        <v>35561779511525.516</v>
      </c>
      <c r="I12" s="445">
        <f>'KEEI BAU - Industry'!W$11*'Petrochemicals Split'!$D$37*'Petrochemicals Split'!$I$7</f>
        <v>36160251143069.797</v>
      </c>
      <c r="J12" s="445">
        <f>'KEEI BAU - Industry'!X$11*'Petrochemicals Split'!$D$37*'Petrochemicals Split'!$I$7</f>
        <v>36758722774614.07</v>
      </c>
      <c r="K12" s="445">
        <f>'KEEI BAU - Industry'!Y$11*'Petrochemicals Split'!$D$37*'Petrochemicals Split'!$I$7</f>
        <v>37357194406158.625</v>
      </c>
      <c r="L12" s="445">
        <f>'KEEI BAU - Industry'!Z$11*'Petrochemicals Split'!$D$37*'Petrochemicals Split'!$I$7</f>
        <v>37955666037703.039</v>
      </c>
      <c r="M12" s="445">
        <f>'KEEI BAU - Industry'!AA$11*'Petrochemicals Split'!$D$37*'Petrochemicals Split'!$I$7</f>
        <v>38310913507830.75</v>
      </c>
      <c r="N12" s="445">
        <f>'KEEI BAU - Industry'!AB$11*'Petrochemicals Split'!$D$37*'Petrochemicals Split'!$I$7</f>
        <v>38666160977958.461</v>
      </c>
      <c r="O12" s="445">
        <f>'KEEI BAU - Industry'!AC$11*'Petrochemicals Split'!$D$37*'Petrochemicals Split'!$I$7</f>
        <v>39021408448086.305</v>
      </c>
      <c r="P12" s="445">
        <f>'KEEI BAU - Industry'!AD$11*'Petrochemicals Split'!$D$37*'Petrochemicals Split'!$I$7</f>
        <v>39376655918214.023</v>
      </c>
      <c r="Q12" s="445">
        <f>'KEEI BAU - Industry'!AE$11*'Petrochemicals Split'!$D$37*'Petrochemicals Split'!$I$7</f>
        <v>39731903388341.867</v>
      </c>
      <c r="R12" s="445">
        <f>'KEEI BAU - Industry'!AF$11*'Petrochemicals Split'!$D$37*'Petrochemicals Split'!$I$7</f>
        <v>40087150858469.586</v>
      </c>
      <c r="S12" s="445">
        <f>'KEEI BAU - Industry'!AG$11*'Petrochemicals Split'!$D$37*'Petrochemicals Split'!$I$7</f>
        <v>40442398328597.43</v>
      </c>
      <c r="T12" s="445">
        <f>'KEEI BAU - Industry'!AH$11*'Petrochemicals Split'!$D$37*'Petrochemicals Split'!$I$7</f>
        <v>40797645798725.148</v>
      </c>
      <c r="U12" s="445">
        <f>'KEEI BAU - Industry'!AI$11*'Petrochemicals Split'!$D$37*'Petrochemicals Split'!$I$7</f>
        <v>41152893268852.992</v>
      </c>
      <c r="V12" s="445">
        <f>'KEEI BAU - Industry'!AJ$11*'Petrochemicals Split'!$D$37*'Petrochemicals Split'!$I$7</f>
        <v>41508140738980.836</v>
      </c>
      <c r="W12" s="445">
        <f>'KEEI BAU - Industry'!AK$11*'Petrochemicals Split'!$D$37*'Petrochemicals Split'!$I$7</f>
        <v>41620560824464.313</v>
      </c>
      <c r="X12" s="445">
        <f>'KEEI BAU - Industry'!AL$11*'Petrochemicals Split'!$D$37*'Petrochemicals Split'!$I$7</f>
        <v>41732980909947.789</v>
      </c>
      <c r="Y12" s="445">
        <f>'KEEI BAU - Industry'!AM$11*'Petrochemicals Split'!$D$37*'Petrochemicals Split'!$I$7</f>
        <v>41845400995431.266</v>
      </c>
      <c r="Z12" s="445">
        <f>'KEEI BAU - Industry'!AN$11*'Petrochemicals Split'!$D$37*'Petrochemicals Split'!$I$7</f>
        <v>41957821080914.734</v>
      </c>
      <c r="AA12" s="445">
        <f>'KEEI BAU - Industry'!AO$11*'Petrochemicals Split'!$D$37*'Petrochemicals Split'!$I$7</f>
        <v>42070241166398.211</v>
      </c>
      <c r="AB12" s="445">
        <f>'KEEI BAU - Industry'!AP$11*'Petrochemicals Split'!$D$37*'Petrochemicals Split'!$I$7</f>
        <v>42182661251881.688</v>
      </c>
      <c r="AC12" s="445">
        <f>'KEEI BAU - Industry'!AQ$11*'Petrochemicals Split'!$D$37*'Petrochemicals Split'!$I$7</f>
        <v>42295081337365.156</v>
      </c>
      <c r="AD12" s="445">
        <f>'KEEI BAU - Industry'!AR$11*'Petrochemicals Split'!$D$37*'Petrochemicals Split'!$I$7</f>
        <v>42407501422848.633</v>
      </c>
      <c r="AE12" s="445">
        <f>'KEEI BAU - Industry'!AS$11*'Petrochemicals Split'!$D$37*'Petrochemicals Split'!$I$7</f>
        <v>42519921508332.109</v>
      </c>
      <c r="AF12" s="445">
        <f>'KEEI BAU - Industry'!AT$11*'Petrochemicals Split'!$D$37*'Petrochemicals Split'!$I$7</f>
        <v>42632341593815.586</v>
      </c>
    </row>
    <row r="13" spans="1:35">
      <c r="A13" t="s">
        <v>53</v>
      </c>
      <c r="B13" s="16">
        <f>'KEEI BAU - Industry'!P$39*'Others Split'!$D$46*'Others Split'!$I$12</f>
        <v>4725799604.0604343</v>
      </c>
      <c r="C13" s="16">
        <f>'KEEI BAU - Industry'!Q$39*'Others Split'!$D$46*'Others Split'!$I$12</f>
        <v>4374884293.3098373</v>
      </c>
      <c r="D13" s="16">
        <f>'KEEI BAU - Industry'!R$39*'Others Split'!$D$46*'Others Split'!$I$12</f>
        <v>4023968982.5592403</v>
      </c>
      <c r="E13" s="16">
        <f>'KEEI BAU - Industry'!S$39*'Others Split'!$D$46*'Others Split'!$I$12</f>
        <v>3673053671.8086438</v>
      </c>
      <c r="F13" s="16">
        <f>'KEEI BAU - Industry'!T$39*'Others Split'!$D$46*'Others Split'!$I$12</f>
        <v>3607463427.6692038</v>
      </c>
      <c r="G13" s="16">
        <f>'KEEI BAU - Industry'!U$39*'Others Split'!$D$46*'Others Split'!$I$12</f>
        <v>3541873183.5297637</v>
      </c>
      <c r="H13" s="16">
        <f>'KEEI BAU - Industry'!V$39*'Others Split'!$D$46*'Others Split'!$I$12</f>
        <v>3476282939.3903236</v>
      </c>
      <c r="I13" s="16">
        <f>'KEEI BAU - Industry'!W$39*'Others Split'!$D$46*'Others Split'!$I$12</f>
        <v>3410692695.2508836</v>
      </c>
      <c r="J13" s="16">
        <f>'KEEI BAU - Industry'!X$39*'Others Split'!$D$46*'Others Split'!$I$12</f>
        <v>3345102451.1114435</v>
      </c>
      <c r="K13" s="16">
        <f>'KEEI BAU - Industry'!Y$39*'Others Split'!$D$46*'Others Split'!$I$12</f>
        <v>3279512206.972003</v>
      </c>
      <c r="L13" s="16">
        <f>'KEEI BAU - Industry'!Z$39*'Others Split'!$D$46*'Others Split'!$I$12</f>
        <v>3213921962.8325634</v>
      </c>
      <c r="M13" s="16">
        <f>'KEEI BAU - Industry'!AA$39*'Others Split'!$D$46*'Others Split'!$I$12</f>
        <v>3205464273.4566879</v>
      </c>
      <c r="N13" s="16">
        <f>'KEEI BAU - Industry'!AB$39*'Others Split'!$D$46*'Others Split'!$I$12</f>
        <v>3197006584.0808129</v>
      </c>
      <c r="O13" s="16">
        <f>'KEEI BAU - Industry'!AC$39*'Others Split'!$D$46*'Others Split'!$I$12</f>
        <v>3188548894.7049375</v>
      </c>
      <c r="P13" s="16">
        <f>'KEEI BAU - Industry'!AD$39*'Others Split'!$D$46*'Others Split'!$I$12</f>
        <v>3180091205.3290625</v>
      </c>
      <c r="Q13" s="16">
        <f>'KEEI BAU - Industry'!AE$39*'Others Split'!$D$46*'Others Split'!$I$12</f>
        <v>3171633515.9531875</v>
      </c>
      <c r="R13" s="16">
        <f>'KEEI BAU - Industry'!AF$39*'Others Split'!$D$46*'Others Split'!$I$12</f>
        <v>3163175826.577312</v>
      </c>
      <c r="S13" s="16">
        <f>'KEEI BAU - Industry'!AG$39*'Others Split'!$D$46*'Others Split'!$I$12</f>
        <v>3154718137.2014375</v>
      </c>
      <c r="T13" s="16">
        <f>'KEEI BAU - Industry'!AH$39*'Others Split'!$D$46*'Others Split'!$I$12</f>
        <v>3146260447.825562</v>
      </c>
      <c r="U13" s="16">
        <f>'KEEI BAU - Industry'!AI$39*'Others Split'!$D$46*'Others Split'!$I$12</f>
        <v>3137802758.449687</v>
      </c>
      <c r="V13" s="16">
        <f>'KEEI BAU - Industry'!AJ$39*'Others Split'!$D$46*'Others Split'!$I$12</f>
        <v>3129345069.0738115</v>
      </c>
      <c r="W13" s="16">
        <f>'KEEI BAU - Industry'!AK$39*'Others Split'!$D$46*'Others Split'!$I$12</f>
        <v>3097930794.2491322</v>
      </c>
      <c r="X13" s="16">
        <f>'KEEI BAU - Industry'!AL$39*'Others Split'!$D$46*'Others Split'!$I$12</f>
        <v>3066516519.4244533</v>
      </c>
      <c r="Y13" s="16">
        <f>'KEEI BAU - Industry'!AM$39*'Others Split'!$D$46*'Others Split'!$I$12</f>
        <v>3035102244.5997744</v>
      </c>
      <c r="Z13" s="16">
        <f>'KEEI BAU - Industry'!AN$39*'Others Split'!$D$46*'Others Split'!$I$12</f>
        <v>3003687969.7750945</v>
      </c>
      <c r="AA13" s="16">
        <f>'KEEI BAU - Industry'!AO$39*'Others Split'!$D$46*'Others Split'!$I$12</f>
        <v>2972273694.9504156</v>
      </c>
      <c r="AB13" s="16">
        <f>'KEEI BAU - Industry'!AP$39*'Others Split'!$D$46*'Others Split'!$I$12</f>
        <v>2940859420.1257367</v>
      </c>
      <c r="AC13" s="16">
        <f>'KEEI BAU - Industry'!AQ$39*'Others Split'!$D$46*'Others Split'!$I$12</f>
        <v>2909445145.3010573</v>
      </c>
      <c r="AD13" s="16">
        <f>'KEEI BAU - Industry'!AR$39*'Others Split'!$D$46*'Others Split'!$I$12</f>
        <v>2878030870.476378</v>
      </c>
      <c r="AE13" s="16">
        <f>'KEEI BAU - Industry'!AS$39*'Others Split'!$D$46*'Others Split'!$I$12</f>
        <v>2846616595.6516986</v>
      </c>
      <c r="AF13" s="16">
        <f>'KEEI BAU - Industry'!AT$39*'Others Split'!$D$46*'Others Split'!$I$12</f>
        <v>2815202320.8270197</v>
      </c>
    </row>
    <row r="14" spans="1:35">
      <c r="A14" t="s">
        <v>56</v>
      </c>
      <c r="B14" s="16">
        <f>'KEEI BAU - Industry'!P$39*'Others Split'!$D$46*'Others Split'!$I$13</f>
        <v>546617487536.32355</v>
      </c>
      <c r="C14" s="16">
        <f>'KEEI BAU - Industry'!Q$39*'Others Split'!$D$46*'Others Split'!$I$13</f>
        <v>506028283259.50446</v>
      </c>
      <c r="D14" s="16">
        <f>'KEEI BAU - Industry'!R$39*'Others Split'!$D$46*'Others Split'!$I$13</f>
        <v>465439078982.68542</v>
      </c>
      <c r="E14" s="16">
        <f>'KEEI BAU - Industry'!S$39*'Others Split'!$D$46*'Others Split'!$I$13</f>
        <v>424849874705.86639</v>
      </c>
      <c r="F14" s="16">
        <f>'KEEI BAU - Industry'!T$39*'Others Split'!$D$46*'Others Split'!$I$13</f>
        <v>417263269800.40454</v>
      </c>
      <c r="G14" s="16">
        <f>'KEEI BAU - Industry'!U$39*'Others Split'!$D$46*'Others Split'!$I$13</f>
        <v>409676664894.94263</v>
      </c>
      <c r="H14" s="16">
        <f>'KEEI BAU - Industry'!V$39*'Others Split'!$D$46*'Others Split'!$I$13</f>
        <v>402090059989.48071</v>
      </c>
      <c r="I14" s="16">
        <f>'KEEI BAU - Industry'!W$39*'Others Split'!$D$46*'Others Split'!$I$13</f>
        <v>394503455084.0188</v>
      </c>
      <c r="J14" s="16">
        <f>'KEEI BAU - Industry'!X$39*'Others Split'!$D$46*'Others Split'!$I$13</f>
        <v>386916850178.55695</v>
      </c>
      <c r="K14" s="16">
        <f>'KEEI BAU - Industry'!Y$39*'Others Split'!$D$46*'Others Split'!$I$13</f>
        <v>379330245273.09503</v>
      </c>
      <c r="L14" s="16">
        <f>'KEEI BAU - Industry'!Z$39*'Others Split'!$D$46*'Others Split'!$I$13</f>
        <v>371743640367.63312</v>
      </c>
      <c r="M14" s="16">
        <f>'KEEI BAU - Industry'!AA$39*'Others Split'!$D$46*'Others Split'!$I$13</f>
        <v>370765367629.82355</v>
      </c>
      <c r="N14" s="16">
        <f>'KEEI BAU - Industry'!AB$39*'Others Split'!$D$46*'Others Split'!$I$13</f>
        <v>369787094892.01398</v>
      </c>
      <c r="O14" s="16">
        <f>'KEEI BAU - Industry'!AC$39*'Others Split'!$D$46*'Others Split'!$I$13</f>
        <v>368808822154.20441</v>
      </c>
      <c r="P14" s="16">
        <f>'KEEI BAU - Industry'!AD$39*'Others Split'!$D$46*'Others Split'!$I$13</f>
        <v>367830549416.39484</v>
      </c>
      <c r="Q14" s="16">
        <f>'KEEI BAU - Industry'!AE$39*'Others Split'!$D$46*'Others Split'!$I$13</f>
        <v>366852276678.58527</v>
      </c>
      <c r="R14" s="16">
        <f>'KEEI BAU - Industry'!AF$39*'Others Split'!$D$46*'Others Split'!$I$13</f>
        <v>365874003940.77576</v>
      </c>
      <c r="S14" s="16">
        <f>'KEEI BAU - Industry'!AG$39*'Others Split'!$D$46*'Others Split'!$I$13</f>
        <v>364895731202.96619</v>
      </c>
      <c r="T14" s="16">
        <f>'KEEI BAU - Industry'!AH$39*'Others Split'!$D$46*'Others Split'!$I$13</f>
        <v>363917458465.15668</v>
      </c>
      <c r="U14" s="16">
        <f>'KEEI BAU - Industry'!AI$39*'Others Split'!$D$46*'Others Split'!$I$13</f>
        <v>362939185727.34711</v>
      </c>
      <c r="V14" s="16">
        <f>'KEEI BAU - Industry'!AJ$39*'Others Split'!$D$46*'Others Split'!$I$13</f>
        <v>361960912989.53754</v>
      </c>
      <c r="W14" s="16">
        <f>'KEEI BAU - Industry'!AK$39*'Others Split'!$D$46*'Others Split'!$I$13</f>
        <v>358327328534.81628</v>
      </c>
      <c r="X14" s="16">
        <f>'KEEI BAU - Industry'!AL$39*'Others Split'!$D$46*'Others Split'!$I$13</f>
        <v>354693744080.09503</v>
      </c>
      <c r="Y14" s="16">
        <f>'KEEI BAU - Industry'!AM$39*'Others Split'!$D$46*'Others Split'!$I$13</f>
        <v>351060159625.37384</v>
      </c>
      <c r="Z14" s="16">
        <f>'KEEI BAU - Industry'!AN$39*'Others Split'!$D$46*'Others Split'!$I$13</f>
        <v>347426575170.65259</v>
      </c>
      <c r="AA14" s="16">
        <f>'KEEI BAU - Industry'!AO$39*'Others Split'!$D$46*'Others Split'!$I$13</f>
        <v>343792990715.9314</v>
      </c>
      <c r="AB14" s="16">
        <f>'KEEI BAU - Industry'!AP$39*'Others Split'!$D$46*'Others Split'!$I$13</f>
        <v>340159406261.21021</v>
      </c>
      <c r="AC14" s="16">
        <f>'KEEI BAU - Industry'!AQ$39*'Others Split'!$D$46*'Others Split'!$I$13</f>
        <v>336525821806.48889</v>
      </c>
      <c r="AD14" s="16">
        <f>'KEEI BAU - Industry'!AR$39*'Others Split'!$D$46*'Others Split'!$I$13</f>
        <v>332892237351.7677</v>
      </c>
      <c r="AE14" s="16">
        <f>'KEEI BAU - Industry'!AS$39*'Others Split'!$D$46*'Others Split'!$I$13</f>
        <v>329258652897.04645</v>
      </c>
      <c r="AF14" s="16">
        <f>'KEEI BAU - Industry'!AT$39*'Others Split'!$D$46*'Others Split'!$I$13</f>
        <v>325625068442.32526</v>
      </c>
    </row>
    <row r="15" spans="1:35">
      <c r="A15" t="s">
        <v>58</v>
      </c>
      <c r="B15" s="16">
        <f>'KEEI BAU - Industry'!P25*'Steel Split'!$D$10</f>
        <v>329398162942.67096</v>
      </c>
      <c r="C15" s="16">
        <f>'KEEI BAU - Industry'!Q25*'Steel Split'!$D$10</f>
        <v>256878587746.58789</v>
      </c>
      <c r="D15" s="16">
        <f>'KEEI BAU - Industry'!R25*'Steel Split'!$D$10</f>
        <v>184359012550.50482</v>
      </c>
      <c r="E15" s="16">
        <f>'KEEI BAU - Industry'!S25*'Steel Split'!$D$10</f>
        <v>111839437354.42175</v>
      </c>
      <c r="F15" s="16">
        <f>'KEEI BAU - Industry'!T25*'Steel Split'!$D$10</f>
        <v>108258371626.32451</v>
      </c>
      <c r="G15" s="16">
        <f>'KEEI BAU - Industry'!U25*'Steel Split'!$D$10</f>
        <v>104677305898.22725</v>
      </c>
      <c r="H15" s="16">
        <f>'KEEI BAU - Industry'!V25*'Steel Split'!$D$10</f>
        <v>101096240170.13</v>
      </c>
      <c r="I15" s="16">
        <f>'KEEI BAU - Industry'!W25*'Steel Split'!$D$10</f>
        <v>97515174442.032761</v>
      </c>
      <c r="J15" s="16">
        <f>'KEEI BAU - Industry'!X25*'Steel Split'!$D$10</f>
        <v>93934108713.935516</v>
      </c>
      <c r="K15" s="16">
        <f>'KEEI BAU - Industry'!Y25*'Steel Split'!$D$10</f>
        <v>90353042985.838257</v>
      </c>
      <c r="L15" s="16">
        <f>'KEEI BAU - Industry'!Z25*'Steel Split'!$D$10</f>
        <v>86771977257.741013</v>
      </c>
      <c r="M15" s="16">
        <f>'KEEI BAU - Industry'!AA25*'Steel Split'!$D$10</f>
        <v>86579150641.612747</v>
      </c>
      <c r="N15" s="16">
        <f>'KEEI BAU - Industry'!AB25*'Steel Split'!$D$10</f>
        <v>86386324025.484436</v>
      </c>
      <c r="O15" s="16">
        <f>'KEEI BAU - Industry'!AC25*'Steel Split'!$D$10</f>
        <v>86193497409.356125</v>
      </c>
      <c r="P15" s="16">
        <f>'KEEI BAU - Industry'!AD25*'Steel Split'!$D$10</f>
        <v>86000670793.227814</v>
      </c>
      <c r="Q15" s="16">
        <f>'KEEI BAU - Industry'!AE25*'Steel Split'!$D$10</f>
        <v>85807844177.099487</v>
      </c>
      <c r="R15" s="16">
        <f>'KEEI BAU - Industry'!AF25*'Steel Split'!$D$10</f>
        <v>85615017560.971176</v>
      </c>
      <c r="S15" s="16">
        <f>'KEEI BAU - Industry'!AG25*'Steel Split'!$D$10</f>
        <v>85422190944.842865</v>
      </c>
      <c r="T15" s="16">
        <f>'KEEI BAU - Industry'!AH25*'Steel Split'!$D$10</f>
        <v>85229364328.714554</v>
      </c>
      <c r="U15" s="16">
        <f>'KEEI BAU - Industry'!AI25*'Steel Split'!$D$10</f>
        <v>85036537712.586243</v>
      </c>
      <c r="V15" s="16">
        <f>'KEEI BAU - Industry'!AJ25*'Steel Split'!$D$10</f>
        <v>84843711096.457886</v>
      </c>
      <c r="W15" s="16">
        <f>'KEEI BAU - Industry'!AK25*'Steel Split'!$D$10</f>
        <v>84265231248.072937</v>
      </c>
      <c r="X15" s="16">
        <f>'KEEI BAU - Industry'!AL25*'Steel Split'!$D$10</f>
        <v>83686751399.688004</v>
      </c>
      <c r="Y15" s="16">
        <f>'KEEI BAU - Industry'!AM25*'Steel Split'!$D$10</f>
        <v>83108271551.303055</v>
      </c>
      <c r="Z15" s="16">
        <f>'KEEI BAU - Industry'!AN25*'Steel Split'!$D$10</f>
        <v>82529791702.918121</v>
      </c>
      <c r="AA15" s="16">
        <f>'KEEI BAU - Industry'!AO25*'Steel Split'!$D$10</f>
        <v>81951311854.533173</v>
      </c>
      <c r="AB15" s="16">
        <f>'KEEI BAU - Industry'!AP25*'Steel Split'!$D$10</f>
        <v>81372832006.148239</v>
      </c>
      <c r="AC15" s="16">
        <f>'KEEI BAU - Industry'!AQ25*'Steel Split'!$D$10</f>
        <v>80794352157.763306</v>
      </c>
      <c r="AD15" s="16">
        <f>'KEEI BAU - Industry'!AR25*'Steel Split'!$D$10</f>
        <v>80215872309.378357</v>
      </c>
      <c r="AE15" s="16">
        <f>'KEEI BAU - Industry'!AS25*'Steel Split'!$D$10</f>
        <v>79637392460.993423</v>
      </c>
      <c r="AF15" s="16">
        <f>'KEEI BAU - Industry'!AT25*'Steel Split'!$D$10</f>
        <v>79058912612.608475</v>
      </c>
    </row>
    <row r="16" spans="1:35">
      <c r="A16" t="s">
        <v>61</v>
      </c>
      <c r="B16" s="16">
        <f>'KEEI BAU - Industry'!P$18*'Non-ferrous Metals Split'!$I$6*'Non-ferrous Metals Split'!$D$44</f>
        <v>293631727124.83441</v>
      </c>
      <c r="C16" s="16">
        <f>'KEEI BAU - Industry'!Q$18*'Non-ferrous Metals Split'!$I$6*'Non-ferrous Metals Split'!$D$44</f>
        <v>280411037636.16168</v>
      </c>
      <c r="D16" s="16">
        <f>'KEEI BAU - Industry'!R$18*'Non-ferrous Metals Split'!$I$6*'Non-ferrous Metals Split'!$D$44</f>
        <v>267190348147.48895</v>
      </c>
      <c r="E16" s="16">
        <f>'KEEI BAU - Industry'!S$18*'Non-ferrous Metals Split'!$I$6*'Non-ferrous Metals Split'!$D$44</f>
        <v>253969658658.81625</v>
      </c>
      <c r="F16" s="16">
        <f>'KEEI BAU - Industry'!T$18*'Non-ferrous Metals Split'!$I$6*'Non-ferrous Metals Split'!$D$44</f>
        <v>268215538931.74789</v>
      </c>
      <c r="G16" s="16">
        <f>'KEEI BAU - Industry'!U$18*'Non-ferrous Metals Split'!$I$6*'Non-ferrous Metals Split'!$D$44</f>
        <v>282461419204.67957</v>
      </c>
      <c r="H16" s="16">
        <f>'KEEI BAU - Industry'!V$18*'Non-ferrous Metals Split'!$I$6*'Non-ferrous Metals Split'!$D$44</f>
        <v>296707299477.61127</v>
      </c>
      <c r="I16" s="16">
        <f>'KEEI BAU - Industry'!W$18*'Non-ferrous Metals Split'!$I$6*'Non-ferrous Metals Split'!$D$44</f>
        <v>310953179750.54291</v>
      </c>
      <c r="J16" s="16">
        <f>'KEEI BAU - Industry'!X$18*'Non-ferrous Metals Split'!$I$6*'Non-ferrous Metals Split'!$D$44</f>
        <v>325199060023.47455</v>
      </c>
      <c r="K16" s="16">
        <f>'KEEI BAU - Industry'!Y$18*'Non-ferrous Metals Split'!$I$6*'Non-ferrous Metals Split'!$D$44</f>
        <v>339444940296.40625</v>
      </c>
      <c r="L16" s="16">
        <f>'KEEI BAU - Industry'!Z$18*'Non-ferrous Metals Split'!$I$6*'Non-ferrous Metals Split'!$D$44</f>
        <v>353690820569.33795</v>
      </c>
      <c r="M16" s="16">
        <f>'KEEI BAU - Industry'!AA$18*'Non-ferrous Metals Split'!$I$6*'Non-ferrous Metals Split'!$D$44</f>
        <v>348974942961.74677</v>
      </c>
      <c r="N16" s="16">
        <f>'KEEI BAU - Industry'!AB$18*'Non-ferrous Metals Split'!$I$6*'Non-ferrous Metals Split'!$D$44</f>
        <v>344259065354.15558</v>
      </c>
      <c r="O16" s="16">
        <f>'KEEI BAU - Industry'!AC$18*'Non-ferrous Metals Split'!$I$6*'Non-ferrous Metals Split'!$D$44</f>
        <v>339543187746.56439</v>
      </c>
      <c r="P16" s="16">
        <f>'KEEI BAU - Industry'!AD$18*'Non-ferrous Metals Split'!$I$6*'Non-ferrous Metals Split'!$D$44</f>
        <v>334827310138.97321</v>
      </c>
      <c r="Q16" s="16">
        <f>'KEEI BAU - Industry'!AE$18*'Non-ferrous Metals Split'!$I$6*'Non-ferrous Metals Split'!$D$44</f>
        <v>330111432531.38202</v>
      </c>
      <c r="R16" s="16">
        <f>'KEEI BAU - Industry'!AF$18*'Non-ferrous Metals Split'!$I$6*'Non-ferrous Metals Split'!$D$44</f>
        <v>325395554923.79089</v>
      </c>
      <c r="S16" s="16">
        <f>'KEEI BAU - Industry'!AG$18*'Non-ferrous Metals Split'!$I$6*'Non-ferrous Metals Split'!$D$44</f>
        <v>320679677316.19971</v>
      </c>
      <c r="T16" s="16">
        <f>'KEEI BAU - Industry'!AH$18*'Non-ferrous Metals Split'!$I$6*'Non-ferrous Metals Split'!$D$44</f>
        <v>315963799708.60852</v>
      </c>
      <c r="U16" s="16">
        <f>'KEEI BAU - Industry'!AI$18*'Non-ferrous Metals Split'!$I$6*'Non-ferrous Metals Split'!$D$44</f>
        <v>311247922101.0174</v>
      </c>
      <c r="V16" s="16">
        <f>'KEEI BAU - Industry'!AJ$18*'Non-ferrous Metals Split'!$I$6*'Non-ferrous Metals Split'!$D$44</f>
        <v>306532044493.42621</v>
      </c>
      <c r="W16" s="16">
        <f>'KEEI BAU - Industry'!AK$18*'Non-ferrous Metals Split'!$I$6*'Non-ferrous Metals Split'!$D$44</f>
        <v>298230134955.06256</v>
      </c>
      <c r="X16" s="16">
        <f>'KEEI BAU - Industry'!AL$18*'Non-ferrous Metals Split'!$I$6*'Non-ferrous Metals Split'!$D$44</f>
        <v>289928225416.69891</v>
      </c>
      <c r="Y16" s="16">
        <f>'KEEI BAU - Industry'!AM$18*'Non-ferrous Metals Split'!$I$6*'Non-ferrous Metals Split'!$D$44</f>
        <v>281626315878.33533</v>
      </c>
      <c r="Z16" s="16">
        <f>'KEEI BAU - Industry'!AN$18*'Non-ferrous Metals Split'!$I$6*'Non-ferrous Metals Split'!$D$44</f>
        <v>273324406339.97171</v>
      </c>
      <c r="AA16" s="16">
        <f>'KEEI BAU - Industry'!AO$18*'Non-ferrous Metals Split'!$I$6*'Non-ferrous Metals Split'!$D$44</f>
        <v>265022496801.60809</v>
      </c>
      <c r="AB16" s="16">
        <f>'KEEI BAU - Industry'!AP$18*'Non-ferrous Metals Split'!$I$6*'Non-ferrous Metals Split'!$D$44</f>
        <v>256720587263.24442</v>
      </c>
      <c r="AC16" s="16">
        <f>'KEEI BAU - Industry'!AQ$18*'Non-ferrous Metals Split'!$I$6*'Non-ferrous Metals Split'!$D$44</f>
        <v>248418677724.88083</v>
      </c>
      <c r="AD16" s="16">
        <f>'KEEI BAU - Industry'!AR$18*'Non-ferrous Metals Split'!$I$6*'Non-ferrous Metals Split'!$D$44</f>
        <v>240116768186.51718</v>
      </c>
      <c r="AE16" s="16">
        <f>'KEEI BAU - Industry'!AS$18*'Non-ferrous Metals Split'!$I$6*'Non-ferrous Metals Split'!$D$44</f>
        <v>231814858648.15353</v>
      </c>
      <c r="AF16" s="16">
        <f>'KEEI BAU - Industry'!AT$18*'Non-ferrous Metals Split'!$I$6*'Non-ferrous Metals Split'!$D$44</f>
        <v>223512949109.78995</v>
      </c>
    </row>
    <row r="17" spans="1:33">
      <c r="A17" t="s">
        <v>65</v>
      </c>
      <c r="B17" s="16">
        <f>'KEEI BAU - Industry'!P$18*'Non-ferrous Metals Split'!$I$7*'Non-ferrous Metals Split'!$D$44</f>
        <v>2495869680561.0923</v>
      </c>
      <c r="C17" s="16">
        <f>'KEEI BAU - Industry'!Q$18*'Non-ferrous Metals Split'!$I$7*'Non-ferrous Metals Split'!$D$44</f>
        <v>2383493819907.374</v>
      </c>
      <c r="D17" s="16">
        <f>'KEEI BAU - Industry'!R$18*'Non-ferrous Metals Split'!$I$7*'Non-ferrous Metals Split'!$D$44</f>
        <v>2271117959253.6563</v>
      </c>
      <c r="E17" s="16">
        <f>'KEEI BAU - Industry'!S$18*'Non-ferrous Metals Split'!$I$7*'Non-ferrous Metals Split'!$D$44</f>
        <v>2158742098599.938</v>
      </c>
      <c r="F17" s="16">
        <f>'KEEI BAU - Industry'!T$18*'Non-ferrous Metals Split'!$I$7*'Non-ferrous Metals Split'!$D$44</f>
        <v>2279832080919.8569</v>
      </c>
      <c r="G17" s="16">
        <f>'KEEI BAU - Industry'!U$18*'Non-ferrous Metals Split'!$I$7*'Non-ferrous Metals Split'!$D$44</f>
        <v>2400922063239.7764</v>
      </c>
      <c r="H17" s="16">
        <f>'KEEI BAU - Industry'!V$18*'Non-ferrous Metals Split'!$I$7*'Non-ferrous Metals Split'!$D$44</f>
        <v>2522012045559.6953</v>
      </c>
      <c r="I17" s="16">
        <f>'KEEI BAU - Industry'!W$18*'Non-ferrous Metals Split'!$I$7*'Non-ferrous Metals Split'!$D$44</f>
        <v>2643102027879.6147</v>
      </c>
      <c r="J17" s="16">
        <f>'KEEI BAU - Industry'!X$18*'Non-ferrous Metals Split'!$I$7*'Non-ferrous Metals Split'!$D$44</f>
        <v>2764192010199.5337</v>
      </c>
      <c r="K17" s="16">
        <f>'KEEI BAU - Industry'!Y$18*'Non-ferrous Metals Split'!$I$7*'Non-ferrous Metals Split'!$D$44</f>
        <v>2885281992519.4531</v>
      </c>
      <c r="L17" s="16">
        <f>'KEEI BAU - Industry'!Z$18*'Non-ferrous Metals Split'!$I$7*'Non-ferrous Metals Split'!$D$44</f>
        <v>3006371974839.3721</v>
      </c>
      <c r="M17" s="16">
        <f>'KEEI BAU - Industry'!AA$18*'Non-ferrous Metals Split'!$I$7*'Non-ferrous Metals Split'!$D$44</f>
        <v>2966287015174.8472</v>
      </c>
      <c r="N17" s="16">
        <f>'KEEI BAU - Industry'!AB$18*'Non-ferrous Metals Split'!$I$7*'Non-ferrous Metals Split'!$D$44</f>
        <v>2926202055510.3218</v>
      </c>
      <c r="O17" s="16">
        <f>'KEEI BAU - Industry'!AC$18*'Non-ferrous Metals Split'!$I$7*'Non-ferrous Metals Split'!$D$44</f>
        <v>2886117095845.7969</v>
      </c>
      <c r="P17" s="16">
        <f>'KEEI BAU - Industry'!AD$18*'Non-ferrous Metals Split'!$I$7*'Non-ferrous Metals Split'!$D$44</f>
        <v>2846032136181.2725</v>
      </c>
      <c r="Q17" s="16">
        <f>'KEEI BAU - Industry'!AE$18*'Non-ferrous Metals Split'!$I$7*'Non-ferrous Metals Split'!$D$44</f>
        <v>2805947176516.7476</v>
      </c>
      <c r="R17" s="16">
        <f>'KEEI BAU - Industry'!AF$18*'Non-ferrous Metals Split'!$I$7*'Non-ferrous Metals Split'!$D$44</f>
        <v>2765862216852.2227</v>
      </c>
      <c r="S17" s="16">
        <f>'KEEI BAU - Industry'!AG$18*'Non-ferrous Metals Split'!$I$7*'Non-ferrous Metals Split'!$D$44</f>
        <v>2725777257187.6973</v>
      </c>
      <c r="T17" s="16">
        <f>'KEEI BAU - Industry'!AH$18*'Non-ferrous Metals Split'!$I$7*'Non-ferrous Metals Split'!$D$44</f>
        <v>2685692297523.1724</v>
      </c>
      <c r="U17" s="16">
        <f>'KEEI BAU - Industry'!AI$18*'Non-ferrous Metals Split'!$I$7*'Non-ferrous Metals Split'!$D$44</f>
        <v>2645607337858.6475</v>
      </c>
      <c r="V17" s="16">
        <f>'KEEI BAU - Industry'!AJ$18*'Non-ferrous Metals Split'!$I$7*'Non-ferrous Metals Split'!$D$44</f>
        <v>2605522378194.1226</v>
      </c>
      <c r="W17" s="16">
        <f>'KEEI BAU - Industry'!AK$18*'Non-ferrous Metals Split'!$I$7*'Non-ferrous Metals Split'!$D$44</f>
        <v>2534956147118.0317</v>
      </c>
      <c r="X17" s="16">
        <f>'KEEI BAU - Industry'!AL$18*'Non-ferrous Metals Split'!$I$7*'Non-ferrous Metals Split'!$D$44</f>
        <v>2464389916041.9409</v>
      </c>
      <c r="Y17" s="16">
        <f>'KEEI BAU - Industry'!AM$18*'Non-ferrous Metals Split'!$I$7*'Non-ferrous Metals Split'!$D$44</f>
        <v>2393823684965.8501</v>
      </c>
      <c r="Z17" s="16">
        <f>'KEEI BAU - Industry'!AN$18*'Non-ferrous Metals Split'!$I$7*'Non-ferrous Metals Split'!$D$44</f>
        <v>2323257453889.7593</v>
      </c>
      <c r="AA17" s="16">
        <f>'KEEI BAU - Industry'!AO$18*'Non-ferrous Metals Split'!$I$7*'Non-ferrous Metals Split'!$D$44</f>
        <v>2252691222813.6685</v>
      </c>
      <c r="AB17" s="16">
        <f>'KEEI BAU - Industry'!AP$18*'Non-ferrous Metals Split'!$I$7*'Non-ferrous Metals Split'!$D$44</f>
        <v>2182124991737.5776</v>
      </c>
      <c r="AC17" s="16">
        <f>'KEEI BAU - Industry'!AQ$18*'Non-ferrous Metals Split'!$I$7*'Non-ferrous Metals Split'!$D$44</f>
        <v>2111558760661.4868</v>
      </c>
      <c r="AD17" s="16">
        <f>'KEEI BAU - Industry'!AR$18*'Non-ferrous Metals Split'!$I$7*'Non-ferrous Metals Split'!$D$44</f>
        <v>2040992529585.396</v>
      </c>
      <c r="AE17" s="16">
        <f>'KEEI BAU - Industry'!AS$18*'Non-ferrous Metals Split'!$I$7*'Non-ferrous Metals Split'!$D$44</f>
        <v>1970426298509.3052</v>
      </c>
      <c r="AF17" s="16">
        <f>'KEEI BAU - Industry'!AT$18*'Non-ferrous Metals Split'!$I$7*'Non-ferrous Metals Split'!$D$44</f>
        <v>1899860067433.2144</v>
      </c>
    </row>
    <row r="18" spans="1:33">
      <c r="A18" t="s">
        <v>67</v>
      </c>
      <c r="B18" s="16">
        <f>'KEEI BAU - Industry'!P$35*'Machinery Split'!$I6*'Machinery Split'!$D$41</f>
        <v>63495621573.94751</v>
      </c>
      <c r="C18" s="16">
        <f>'KEEI BAU - Industry'!Q$35*'Machinery Split'!$I6*'Machinery Split'!$D$41</f>
        <v>66670402652.644882</v>
      </c>
      <c r="D18" s="16">
        <f>'KEEI BAU - Industry'!R$35*'Machinery Split'!$I6*'Machinery Split'!$D$41</f>
        <v>69845183731.342255</v>
      </c>
      <c r="E18" s="16">
        <f>'KEEI BAU - Industry'!S$35*'Machinery Split'!$I6*'Machinery Split'!$D$41</f>
        <v>73019964810.039627</v>
      </c>
      <c r="F18" s="16">
        <f>'KEEI BAU - Industry'!T$35*'Machinery Split'!$I6*'Machinery Split'!$D$41</f>
        <v>76273803346.791061</v>
      </c>
      <c r="G18" s="16">
        <f>'KEEI BAU - Industry'!U$35*'Machinery Split'!$I6*'Machinery Split'!$D$41</f>
        <v>79527641883.542496</v>
      </c>
      <c r="H18" s="16">
        <f>'KEEI BAU - Industry'!V$35*'Machinery Split'!$I6*'Machinery Split'!$D$41</f>
        <v>82781480420.293945</v>
      </c>
      <c r="I18" s="16">
        <f>'KEEI BAU - Industry'!W$35*'Machinery Split'!$I6*'Machinery Split'!$D$41</f>
        <v>86035318957.04538</v>
      </c>
      <c r="J18" s="16">
        <f>'KEEI BAU - Industry'!X$35*'Machinery Split'!$I6*'Machinery Split'!$D$41</f>
        <v>89289157493.796829</v>
      </c>
      <c r="K18" s="16">
        <f>'KEEI BAU - Industry'!Y$35*'Machinery Split'!$I6*'Machinery Split'!$D$41</f>
        <v>92542996030.548248</v>
      </c>
      <c r="L18" s="16">
        <f>'KEEI BAU - Industry'!Z$35*'Machinery Split'!$I6*'Machinery Split'!$D$41</f>
        <v>95796834567.299698</v>
      </c>
      <c r="M18" s="16">
        <f>'KEEI BAU - Industry'!AA$35*'Machinery Split'!$I6*'Machinery Split'!$D$41</f>
        <v>96801696468.355286</v>
      </c>
      <c r="N18" s="16">
        <f>'KEEI BAU - Industry'!AB$35*'Machinery Split'!$I6*'Machinery Split'!$D$41</f>
        <v>97806558369.410889</v>
      </c>
      <c r="O18" s="16">
        <f>'KEEI BAU - Industry'!AC$35*'Machinery Split'!$I6*'Machinery Split'!$D$41</f>
        <v>98811420270.466476</v>
      </c>
      <c r="P18" s="16">
        <f>'KEEI BAU - Industry'!AD$35*'Machinery Split'!$I6*'Machinery Split'!$D$41</f>
        <v>99816282171.522064</v>
      </c>
      <c r="Q18" s="16">
        <f>'KEEI BAU - Industry'!AE$35*'Machinery Split'!$I6*'Machinery Split'!$D$41</f>
        <v>100821144072.57765</v>
      </c>
      <c r="R18" s="16">
        <f>'KEEI BAU - Industry'!AF$35*'Machinery Split'!$I6*'Machinery Split'!$D$41</f>
        <v>101826005973.63324</v>
      </c>
      <c r="S18" s="16">
        <f>'KEEI BAU - Industry'!AG$35*'Machinery Split'!$I6*'Machinery Split'!$D$41</f>
        <v>102830867874.68883</v>
      </c>
      <c r="T18" s="16">
        <f>'KEEI BAU - Industry'!AH$35*'Machinery Split'!$I6*'Machinery Split'!$D$41</f>
        <v>103835729775.74443</v>
      </c>
      <c r="U18" s="16">
        <f>'KEEI BAU - Industry'!AI$35*'Machinery Split'!$I6*'Machinery Split'!$D$41</f>
        <v>104840591676.80002</v>
      </c>
      <c r="V18" s="16">
        <f>'KEEI BAU - Industry'!AJ$35*'Machinery Split'!$I6*'Machinery Split'!$D$41</f>
        <v>105845453577.85561</v>
      </c>
      <c r="W18" s="16">
        <f>'KEEI BAU - Industry'!AK$35*'Machinery Split'!$I6*'Machinery Split'!$D$41</f>
        <v>106135747015.93834</v>
      </c>
      <c r="X18" s="16">
        <f>'KEEI BAU - Industry'!AL$35*'Machinery Split'!$I6*'Machinery Split'!$D$41</f>
        <v>106426040454.02107</v>
      </c>
      <c r="Y18" s="16">
        <f>'KEEI BAU - Industry'!AM$35*'Machinery Split'!$I6*'Machinery Split'!$D$41</f>
        <v>106716333892.10379</v>
      </c>
      <c r="Z18" s="16">
        <f>'KEEI BAU - Industry'!AN$35*'Machinery Split'!$I6*'Machinery Split'!$D$41</f>
        <v>107006627330.18652</v>
      </c>
      <c r="AA18" s="16">
        <f>'KEEI BAU - Industry'!AO$35*'Machinery Split'!$I6*'Machinery Split'!$D$41</f>
        <v>107296920768.26924</v>
      </c>
      <c r="AB18" s="16">
        <f>'KEEI BAU - Industry'!AP$35*'Machinery Split'!$I6*'Machinery Split'!$D$41</f>
        <v>107587214206.35197</v>
      </c>
      <c r="AC18" s="16">
        <f>'KEEI BAU - Industry'!AQ$35*'Machinery Split'!$I6*'Machinery Split'!$D$41</f>
        <v>107877507644.43469</v>
      </c>
      <c r="AD18" s="16">
        <f>'KEEI BAU - Industry'!AR$35*'Machinery Split'!$I6*'Machinery Split'!$D$41</f>
        <v>108167801082.51743</v>
      </c>
      <c r="AE18" s="16">
        <f>'KEEI BAU - Industry'!AS$35*'Machinery Split'!$I6*'Machinery Split'!$D$41</f>
        <v>108458094520.60014</v>
      </c>
      <c r="AF18" s="16">
        <f>'KEEI BAU - Industry'!AT$35*'Machinery Split'!$I6*'Machinery Split'!$D$41</f>
        <v>108748387958.68286</v>
      </c>
    </row>
    <row r="19" spans="1:33">
      <c r="A19" t="s">
        <v>71</v>
      </c>
      <c r="B19" s="16">
        <f>'KEEI BAU - Industry'!P$35*'Machinery Split'!$I7*'Machinery Split'!$D$41</f>
        <v>79369526967.434372</v>
      </c>
      <c r="C19" s="16">
        <f>'KEEI BAU - Industry'!Q$35*'Machinery Split'!$I7*'Machinery Split'!$D$41</f>
        <v>83338003315.806076</v>
      </c>
      <c r="D19" s="16">
        <f>'KEEI BAU - Industry'!R$35*'Machinery Split'!$I7*'Machinery Split'!$D$41</f>
        <v>87306479664.177811</v>
      </c>
      <c r="E19" s="16">
        <f>'KEEI BAU - Industry'!S$35*'Machinery Split'!$I7*'Machinery Split'!$D$41</f>
        <v>91274956012.54953</v>
      </c>
      <c r="F19" s="16">
        <f>'KEEI BAU - Industry'!T$35*'Machinery Split'!$I7*'Machinery Split'!$D$41</f>
        <v>95342254183.488815</v>
      </c>
      <c r="G19" s="16">
        <f>'KEEI BAU - Industry'!U$35*'Machinery Split'!$I7*'Machinery Split'!$D$41</f>
        <v>99409552354.428116</v>
      </c>
      <c r="H19" s="16">
        <f>'KEEI BAU - Industry'!V$35*'Machinery Split'!$I7*'Machinery Split'!$D$41</f>
        <v>103476850525.36742</v>
      </c>
      <c r="I19" s="16">
        <f>'KEEI BAU - Industry'!W$35*'Machinery Split'!$I7*'Machinery Split'!$D$41</f>
        <v>107544148696.30672</v>
      </c>
      <c r="J19" s="16">
        <f>'KEEI BAU - Industry'!X$35*'Machinery Split'!$I7*'Machinery Split'!$D$41</f>
        <v>111611446867.24602</v>
      </c>
      <c r="K19" s="16">
        <f>'KEEI BAU - Industry'!Y$35*'Machinery Split'!$I7*'Machinery Split'!$D$41</f>
        <v>115678745038.18532</v>
      </c>
      <c r="L19" s="16">
        <f>'KEEI BAU - Industry'!Z$35*'Machinery Split'!$I7*'Machinery Split'!$D$41</f>
        <v>119746043209.12462</v>
      </c>
      <c r="M19" s="16">
        <f>'KEEI BAU - Industry'!AA$35*'Machinery Split'!$I7*'Machinery Split'!$D$41</f>
        <v>121002120585.44411</v>
      </c>
      <c r="N19" s="16">
        <f>'KEEI BAU - Industry'!AB$35*'Machinery Split'!$I7*'Machinery Split'!$D$41</f>
        <v>122258197961.76358</v>
      </c>
      <c r="O19" s="16">
        <f>'KEEI BAU - Industry'!AC$35*'Machinery Split'!$I7*'Machinery Split'!$D$41</f>
        <v>123514275338.08308</v>
      </c>
      <c r="P19" s="16">
        <f>'KEEI BAU - Industry'!AD$35*'Machinery Split'!$I7*'Machinery Split'!$D$41</f>
        <v>124770352714.40257</v>
      </c>
      <c r="Q19" s="16">
        <f>'KEEI BAU - Industry'!AE$35*'Machinery Split'!$I7*'Machinery Split'!$D$41</f>
        <v>126026430090.72205</v>
      </c>
      <c r="R19" s="16">
        <f>'KEEI BAU - Industry'!AF$35*'Machinery Split'!$I7*'Machinery Split'!$D$41</f>
        <v>127282507467.04155</v>
      </c>
      <c r="S19" s="16">
        <f>'KEEI BAU - Industry'!AG$35*'Machinery Split'!$I7*'Machinery Split'!$D$41</f>
        <v>128538584843.36104</v>
      </c>
      <c r="T19" s="16">
        <f>'KEEI BAU - Industry'!AH$35*'Machinery Split'!$I7*'Machinery Split'!$D$41</f>
        <v>129794662219.68051</v>
      </c>
      <c r="U19" s="16">
        <f>'KEEI BAU - Industry'!AI$35*'Machinery Split'!$I7*'Machinery Split'!$D$41</f>
        <v>131050739596.00002</v>
      </c>
      <c r="V19" s="16">
        <f>'KEEI BAU - Industry'!AJ$35*'Machinery Split'!$I7*'Machinery Split'!$D$41</f>
        <v>132306816972.3195</v>
      </c>
      <c r="W19" s="16">
        <f>'KEEI BAU - Industry'!AK$35*'Machinery Split'!$I7*'Machinery Split'!$D$41</f>
        <v>132669683769.9229</v>
      </c>
      <c r="X19" s="16">
        <f>'KEEI BAU - Industry'!AL$35*'Machinery Split'!$I7*'Machinery Split'!$D$41</f>
        <v>133032550567.52632</v>
      </c>
      <c r="Y19" s="16">
        <f>'KEEI BAU - Industry'!AM$35*'Machinery Split'!$I7*'Machinery Split'!$D$41</f>
        <v>133395417365.12973</v>
      </c>
      <c r="Z19" s="16">
        <f>'KEEI BAU - Industry'!AN$35*'Machinery Split'!$I7*'Machinery Split'!$D$41</f>
        <v>133758284162.73312</v>
      </c>
      <c r="AA19" s="16">
        <f>'KEEI BAU - Industry'!AO$35*'Machinery Split'!$I7*'Machinery Split'!$D$41</f>
        <v>134121150960.33655</v>
      </c>
      <c r="AB19" s="16">
        <f>'KEEI BAU - Industry'!AP$35*'Machinery Split'!$I7*'Machinery Split'!$D$41</f>
        <v>134484017757.93994</v>
      </c>
      <c r="AC19" s="16">
        <f>'KEEI BAU - Industry'!AQ$35*'Machinery Split'!$I7*'Machinery Split'!$D$41</f>
        <v>134846884555.54335</v>
      </c>
      <c r="AD19" s="16">
        <f>'KEEI BAU - Industry'!AR$35*'Machinery Split'!$I7*'Machinery Split'!$D$41</f>
        <v>135209751353.14677</v>
      </c>
      <c r="AE19" s="16">
        <f>'KEEI BAU - Industry'!AS$35*'Machinery Split'!$I7*'Machinery Split'!$D$41</f>
        <v>135572618150.75017</v>
      </c>
      <c r="AF19" s="16">
        <f>'KEEI BAU - Industry'!AT$35*'Machinery Split'!$I7*'Machinery Split'!$D$41</f>
        <v>135935484948.35358</v>
      </c>
    </row>
    <row r="20" spans="1:33">
      <c r="A20" t="s">
        <v>73</v>
      </c>
      <c r="B20" s="16">
        <f>'KEEI BAU - Industry'!P$35*'Machinery Split'!$I8*'Machinery Split'!$D$41</f>
        <v>325415060566.48096</v>
      </c>
      <c r="C20" s="16">
        <f>'KEEI BAU - Industry'!Q$35*'Machinery Split'!$I8*'Machinery Split'!$D$41</f>
        <v>341685813594.80493</v>
      </c>
      <c r="D20" s="16">
        <f>'KEEI BAU - Industry'!R$35*'Machinery Split'!$I8*'Machinery Split'!$D$41</f>
        <v>357956566623.12903</v>
      </c>
      <c r="E20" s="16">
        <f>'KEEI BAU - Industry'!S$35*'Machinery Split'!$I8*'Machinery Split'!$D$41</f>
        <v>374227319651.453</v>
      </c>
      <c r="F20" s="16">
        <f>'KEEI BAU - Industry'!T$35*'Machinery Split'!$I8*'Machinery Split'!$D$41</f>
        <v>390903242152.3042</v>
      </c>
      <c r="G20" s="16">
        <f>'KEEI BAU - Industry'!U$35*'Machinery Split'!$I8*'Machinery Split'!$D$41</f>
        <v>407579164653.15527</v>
      </c>
      <c r="H20" s="16">
        <f>'KEEI BAU - Industry'!V$35*'Machinery Split'!$I8*'Machinery Split'!$D$41</f>
        <v>424255087154.00641</v>
      </c>
      <c r="I20" s="16">
        <f>'KEEI BAU - Industry'!W$35*'Machinery Split'!$I8*'Machinery Split'!$D$41</f>
        <v>440931009654.85754</v>
      </c>
      <c r="J20" s="16">
        <f>'KEEI BAU - Industry'!X$35*'Machinery Split'!$I8*'Machinery Split'!$D$41</f>
        <v>457606932155.70862</v>
      </c>
      <c r="K20" s="16">
        <f>'KEEI BAU - Industry'!Y$35*'Machinery Split'!$I8*'Machinery Split'!$D$41</f>
        <v>474282854656.55975</v>
      </c>
      <c r="L20" s="16">
        <f>'KEEI BAU - Industry'!Z$35*'Machinery Split'!$I8*'Machinery Split'!$D$41</f>
        <v>490958777157.41089</v>
      </c>
      <c r="M20" s="16">
        <f>'KEEI BAU - Industry'!AA$35*'Machinery Split'!$I8*'Machinery Split'!$D$41</f>
        <v>496108694400.3208</v>
      </c>
      <c r="N20" s="16">
        <f>'KEEI BAU - Industry'!AB$35*'Machinery Split'!$I8*'Machinery Split'!$D$41</f>
        <v>501258611643.23071</v>
      </c>
      <c r="O20" s="16">
        <f>'KEEI BAU - Industry'!AC$35*'Machinery Split'!$I8*'Machinery Split'!$D$41</f>
        <v>506408528886.14056</v>
      </c>
      <c r="P20" s="16">
        <f>'KEEI BAU - Industry'!AD$35*'Machinery Split'!$I8*'Machinery Split'!$D$41</f>
        <v>511558446129.05048</v>
      </c>
      <c r="Q20" s="16">
        <f>'KEEI BAU - Industry'!AE$35*'Machinery Split'!$I8*'Machinery Split'!$D$41</f>
        <v>516708363371.96039</v>
      </c>
      <c r="R20" s="16">
        <f>'KEEI BAU - Industry'!AF$35*'Machinery Split'!$I8*'Machinery Split'!$D$41</f>
        <v>521858280614.8703</v>
      </c>
      <c r="S20" s="16">
        <f>'KEEI BAU - Industry'!AG$35*'Machinery Split'!$I8*'Machinery Split'!$D$41</f>
        <v>527008197857.78021</v>
      </c>
      <c r="T20" s="16">
        <f>'KEEI BAU - Industry'!AH$35*'Machinery Split'!$I8*'Machinery Split'!$D$41</f>
        <v>532158115100.69012</v>
      </c>
      <c r="U20" s="16">
        <f>'KEEI BAU - Industry'!AI$35*'Machinery Split'!$I8*'Machinery Split'!$D$41</f>
        <v>537308032343.60004</v>
      </c>
      <c r="V20" s="16">
        <f>'KEEI BAU - Industry'!AJ$35*'Machinery Split'!$I8*'Machinery Split'!$D$41</f>
        <v>542457949586.50995</v>
      </c>
      <c r="W20" s="16">
        <f>'KEEI BAU - Industry'!AK$35*'Machinery Split'!$I8*'Machinery Split'!$D$41</f>
        <v>543945703456.6839</v>
      </c>
      <c r="X20" s="16">
        <f>'KEEI BAU - Industry'!AL$35*'Machinery Split'!$I8*'Machinery Split'!$D$41</f>
        <v>545433457326.85785</v>
      </c>
      <c r="Y20" s="16">
        <f>'KEEI BAU - Industry'!AM$35*'Machinery Split'!$I8*'Machinery Split'!$D$41</f>
        <v>546921211197.03186</v>
      </c>
      <c r="Z20" s="16">
        <f>'KEEI BAU - Industry'!AN$35*'Machinery Split'!$I8*'Machinery Split'!$D$41</f>
        <v>548408965067.20581</v>
      </c>
      <c r="AA20" s="16">
        <f>'KEEI BAU - Industry'!AO$35*'Machinery Split'!$I8*'Machinery Split'!$D$41</f>
        <v>549896718937.37976</v>
      </c>
      <c r="AB20" s="16">
        <f>'KEEI BAU - Industry'!AP$35*'Machinery Split'!$I8*'Machinery Split'!$D$41</f>
        <v>551384472807.55371</v>
      </c>
      <c r="AC20" s="16">
        <f>'KEEI BAU - Industry'!AQ$35*'Machinery Split'!$I8*'Machinery Split'!$D$41</f>
        <v>552872226677.72778</v>
      </c>
      <c r="AD20" s="16">
        <f>'KEEI BAU - Industry'!AR$35*'Machinery Split'!$I8*'Machinery Split'!$D$41</f>
        <v>554359980547.90173</v>
      </c>
      <c r="AE20" s="16">
        <f>'KEEI BAU - Industry'!AS$35*'Machinery Split'!$I8*'Machinery Split'!$D$41</f>
        <v>555847734418.07568</v>
      </c>
      <c r="AF20" s="16">
        <f>'KEEI BAU - Industry'!AT$35*'Machinery Split'!$I8*'Machinery Split'!$D$41</f>
        <v>557335488288.24963</v>
      </c>
    </row>
    <row r="21" spans="1:33">
      <c r="A21" t="s">
        <v>75</v>
      </c>
      <c r="B21" s="16">
        <f>'KEEI BAU - Industry'!P$35*'Machinery Split'!$I9*'Machinery Split'!$D$41</f>
        <v>2801744301950.4326</v>
      </c>
      <c r="C21" s="16">
        <f>'KEEI BAU - Industry'!Q$35*'Machinery Split'!$I9*'Machinery Split'!$D$41</f>
        <v>2941831517047.9546</v>
      </c>
      <c r="D21" s="16">
        <f>'KEEI BAU - Industry'!R$35*'Machinery Split'!$I9*'Machinery Split'!$D$41</f>
        <v>3081918732145.4761</v>
      </c>
      <c r="E21" s="16">
        <f>'KEEI BAU - Industry'!S$35*'Machinery Split'!$I9*'Machinery Split'!$D$41</f>
        <v>3222005947242.998</v>
      </c>
      <c r="F21" s="16">
        <f>'KEEI BAU - Industry'!T$35*'Machinery Split'!$I9*'Machinery Split'!$D$41</f>
        <v>3365581572677.1553</v>
      </c>
      <c r="G21" s="16">
        <f>'KEEI BAU - Industry'!U$35*'Machinery Split'!$I9*'Machinery Split'!$D$41</f>
        <v>3509157198111.3125</v>
      </c>
      <c r="H21" s="16">
        <f>'KEEI BAU - Industry'!V$35*'Machinery Split'!$I9*'Machinery Split'!$D$41</f>
        <v>3652732823545.4697</v>
      </c>
      <c r="I21" s="16">
        <f>'KEEI BAU - Industry'!W$35*'Machinery Split'!$I9*'Machinery Split'!$D$41</f>
        <v>3796308448979.627</v>
      </c>
      <c r="J21" s="16">
        <f>'KEEI BAU - Industry'!X$35*'Machinery Split'!$I9*'Machinery Split'!$D$41</f>
        <v>3939884074413.7842</v>
      </c>
      <c r="K21" s="16">
        <f>'KEEI BAU - Industry'!Y$35*'Machinery Split'!$I9*'Machinery Split'!$D$41</f>
        <v>4083459699847.9414</v>
      </c>
      <c r="L21" s="16">
        <f>'KEEI BAU - Industry'!Z$35*'Machinery Split'!$I9*'Machinery Split'!$D$41</f>
        <v>4227035325282.0986</v>
      </c>
      <c r="M21" s="16">
        <f>'KEEI BAU - Industry'!AA$35*'Machinery Split'!$I9*'Machinery Split'!$D$41</f>
        <v>4271374856666.1758</v>
      </c>
      <c r="N21" s="16">
        <f>'KEEI BAU - Industry'!AB$35*'Machinery Split'!$I9*'Machinery Split'!$D$41</f>
        <v>4315714388050.2539</v>
      </c>
      <c r="O21" s="16">
        <f>'KEEI BAU - Industry'!AC$35*'Machinery Split'!$I9*'Machinery Split'!$D$41</f>
        <v>4360053919434.332</v>
      </c>
      <c r="P21" s="16">
        <f>'KEEI BAU - Industry'!AD$35*'Machinery Split'!$I9*'Machinery Split'!$D$41</f>
        <v>4404393450818.4102</v>
      </c>
      <c r="Q21" s="16">
        <f>'KEEI BAU - Industry'!AE$35*'Machinery Split'!$I9*'Machinery Split'!$D$41</f>
        <v>4448732982202.4883</v>
      </c>
      <c r="R21" s="16">
        <f>'KEEI BAU - Industry'!AF$35*'Machinery Split'!$I9*'Machinery Split'!$D$41</f>
        <v>4493072513586.5664</v>
      </c>
      <c r="S21" s="16">
        <f>'KEEI BAU - Industry'!AG$35*'Machinery Split'!$I9*'Machinery Split'!$D$41</f>
        <v>4537412044970.6445</v>
      </c>
      <c r="T21" s="16">
        <f>'KEEI BAU - Industry'!AH$35*'Machinery Split'!$I9*'Machinery Split'!$D$41</f>
        <v>4581751576354.7217</v>
      </c>
      <c r="U21" s="16">
        <f>'KEEI BAU - Industry'!AI$35*'Machinery Split'!$I9*'Machinery Split'!$D$41</f>
        <v>4626091107738.7998</v>
      </c>
      <c r="V21" s="16">
        <f>'KEEI BAU - Industry'!AJ$35*'Machinery Split'!$I9*'Machinery Split'!$D$41</f>
        <v>4670430639122.8779</v>
      </c>
      <c r="W21" s="16">
        <f>'KEEI BAU - Industry'!AK$35*'Machinery Split'!$I9*'Machinery Split'!$D$41</f>
        <v>4683239837078.2783</v>
      </c>
      <c r="X21" s="16">
        <f>'KEEI BAU - Industry'!AL$35*'Machinery Split'!$I9*'Machinery Split'!$D$41</f>
        <v>4696049035033.6777</v>
      </c>
      <c r="Y21" s="16">
        <f>'KEEI BAU - Industry'!AM$35*'Machinery Split'!$I9*'Machinery Split'!$D$41</f>
        <v>4708858232989.0781</v>
      </c>
      <c r="Z21" s="16">
        <f>'KEEI BAU - Industry'!AN$35*'Machinery Split'!$I9*'Machinery Split'!$D$41</f>
        <v>4721667430944.4795</v>
      </c>
      <c r="AA21" s="16">
        <f>'KEEI BAU - Industry'!AO$35*'Machinery Split'!$I9*'Machinery Split'!$D$41</f>
        <v>4734476628899.8799</v>
      </c>
      <c r="AB21" s="16">
        <f>'KEEI BAU - Industry'!AP$35*'Machinery Split'!$I9*'Machinery Split'!$D$41</f>
        <v>4747285826855.2793</v>
      </c>
      <c r="AC21" s="16">
        <f>'KEEI BAU - Industry'!AQ$35*'Machinery Split'!$I9*'Machinery Split'!$D$41</f>
        <v>4760095024810.6797</v>
      </c>
      <c r="AD21" s="16">
        <f>'KEEI BAU - Industry'!AR$35*'Machinery Split'!$I9*'Machinery Split'!$D$41</f>
        <v>4772904222766.0811</v>
      </c>
      <c r="AE21" s="16">
        <f>'KEEI BAU - Industry'!AS$35*'Machinery Split'!$I9*'Machinery Split'!$D$41</f>
        <v>4785713420721.4805</v>
      </c>
      <c r="AF21" s="16">
        <f>'KEEI BAU - Industry'!AT$35*'Machinery Split'!$I9*'Machinery Split'!$D$41</f>
        <v>4798522618676.8809</v>
      </c>
    </row>
    <row r="22" spans="1:33">
      <c r="A22" t="s">
        <v>78</v>
      </c>
      <c r="B22" s="16">
        <f>'KEEI BAU - Industry'!P$35*'Machinery Split'!$I10*'Machinery Split'!$D$41</f>
        <v>2746185633073.2285</v>
      </c>
      <c r="C22" s="16">
        <f>'KEEI BAU - Industry'!Q$35*'Machinery Split'!$I10*'Machinery Split'!$D$41</f>
        <v>2883494914726.8901</v>
      </c>
      <c r="D22" s="16">
        <f>'KEEI BAU - Industry'!R$35*'Machinery Split'!$I10*'Machinery Split'!$D$41</f>
        <v>3020804196380.5518</v>
      </c>
      <c r="E22" s="16">
        <f>'KEEI BAU - Industry'!S$35*'Machinery Split'!$I10*'Machinery Split'!$D$41</f>
        <v>3158113478034.2134</v>
      </c>
      <c r="F22" s="16">
        <f>'KEEI BAU - Industry'!T$35*'Machinery Split'!$I10*'Machinery Split'!$D$41</f>
        <v>3298841994748.7129</v>
      </c>
      <c r="G22" s="16">
        <f>'KEEI BAU - Industry'!U$35*'Machinery Split'!$I10*'Machinery Split'!$D$41</f>
        <v>3439570511463.2124</v>
      </c>
      <c r="H22" s="16">
        <f>'KEEI BAU - Industry'!V$35*'Machinery Split'!$I10*'Machinery Split'!$D$41</f>
        <v>3580299028177.7124</v>
      </c>
      <c r="I22" s="16">
        <f>'KEEI BAU - Industry'!W$35*'Machinery Split'!$I10*'Machinery Split'!$D$41</f>
        <v>3721027544892.2119</v>
      </c>
      <c r="J22" s="16">
        <f>'KEEI BAU - Industry'!X$35*'Machinery Split'!$I10*'Machinery Split'!$D$41</f>
        <v>3861756061606.7114</v>
      </c>
      <c r="K22" s="16">
        <f>'KEEI BAU - Industry'!Y$35*'Machinery Split'!$I10*'Machinery Split'!$D$41</f>
        <v>4002484578321.2109</v>
      </c>
      <c r="L22" s="16">
        <f>'KEEI BAU - Industry'!Z$35*'Machinery Split'!$I10*'Machinery Split'!$D$41</f>
        <v>4143213095035.7104</v>
      </c>
      <c r="M22" s="16">
        <f>'KEEI BAU - Industry'!AA$35*'Machinery Split'!$I10*'Machinery Split'!$D$41</f>
        <v>4186673372256.3652</v>
      </c>
      <c r="N22" s="16">
        <f>'KEEI BAU - Industry'!AB$35*'Machinery Split'!$I10*'Machinery Split'!$D$41</f>
        <v>4230133649477.0195</v>
      </c>
      <c r="O22" s="16">
        <f>'KEEI BAU - Industry'!AC$35*'Machinery Split'!$I10*'Machinery Split'!$D$41</f>
        <v>4273593926697.6738</v>
      </c>
      <c r="P22" s="16">
        <f>'KEEI BAU - Industry'!AD$35*'Machinery Split'!$I10*'Machinery Split'!$D$41</f>
        <v>4317054203918.3281</v>
      </c>
      <c r="Q22" s="16">
        <f>'KEEI BAU - Industry'!AE$35*'Machinery Split'!$I10*'Machinery Split'!$D$41</f>
        <v>4360514481138.9819</v>
      </c>
      <c r="R22" s="16">
        <f>'KEEI BAU - Industry'!AF$35*'Machinery Split'!$I10*'Machinery Split'!$D$41</f>
        <v>4403974758359.6367</v>
      </c>
      <c r="S22" s="16">
        <f>'KEEI BAU - Industry'!AG$35*'Machinery Split'!$I10*'Machinery Split'!$D$41</f>
        <v>4447435035580.291</v>
      </c>
      <c r="T22" s="16">
        <f>'KEEI BAU - Industry'!AH$35*'Machinery Split'!$I10*'Machinery Split'!$D$41</f>
        <v>4490895312800.9453</v>
      </c>
      <c r="U22" s="16">
        <f>'KEEI BAU - Industry'!AI$35*'Machinery Split'!$I10*'Machinery Split'!$D$41</f>
        <v>4534355590021.5996</v>
      </c>
      <c r="V22" s="16">
        <f>'KEEI BAU - Industry'!AJ$35*'Machinery Split'!$I10*'Machinery Split'!$D$41</f>
        <v>4577815867242.2539</v>
      </c>
      <c r="W22" s="16">
        <f>'KEEI BAU - Industry'!AK$35*'Machinery Split'!$I10*'Machinery Split'!$D$41</f>
        <v>4590371058439.332</v>
      </c>
      <c r="X22" s="16">
        <f>'KEEI BAU - Industry'!AL$35*'Machinery Split'!$I10*'Machinery Split'!$D$41</f>
        <v>4602926249636.4102</v>
      </c>
      <c r="Y22" s="16">
        <f>'KEEI BAU - Industry'!AM$35*'Machinery Split'!$I10*'Machinery Split'!$D$41</f>
        <v>4615481440833.4873</v>
      </c>
      <c r="Z22" s="16">
        <f>'KEEI BAU - Industry'!AN$35*'Machinery Split'!$I10*'Machinery Split'!$D$41</f>
        <v>4628036632030.5654</v>
      </c>
      <c r="AA22" s="16">
        <f>'KEEI BAU - Industry'!AO$35*'Machinery Split'!$I10*'Machinery Split'!$D$41</f>
        <v>4640591823227.6436</v>
      </c>
      <c r="AB22" s="16">
        <f>'KEEI BAU - Industry'!AP$35*'Machinery Split'!$I10*'Machinery Split'!$D$41</f>
        <v>4653147014424.7217</v>
      </c>
      <c r="AC22" s="16">
        <f>'KEEI BAU - Industry'!AQ$35*'Machinery Split'!$I10*'Machinery Split'!$D$41</f>
        <v>4665702205621.7988</v>
      </c>
      <c r="AD22" s="16">
        <f>'KEEI BAU - Industry'!AR$35*'Machinery Split'!$I10*'Machinery Split'!$D$41</f>
        <v>4678257396818.877</v>
      </c>
      <c r="AE22" s="16">
        <f>'KEEI BAU - Industry'!AS$35*'Machinery Split'!$I10*'Machinery Split'!$D$41</f>
        <v>4690812588015.9551</v>
      </c>
      <c r="AF22" s="16">
        <f>'KEEI BAU - Industry'!AT$35*'Machinery Split'!$I10*'Machinery Split'!$D$41</f>
        <v>4703367779213.0322</v>
      </c>
    </row>
    <row r="23" spans="1:33">
      <c r="A23" t="s">
        <v>80</v>
      </c>
      <c r="B23" s="16">
        <f>'KEEI BAU - Industry'!P$39*'Others Split'!$D$46*'Others Split'!$I$14</f>
        <v>801578318686.94641</v>
      </c>
      <c r="C23" s="16">
        <f>'KEEI BAU - Industry'!Q$39*'Others Split'!$D$46*'Others Split'!$I$14</f>
        <v>742056940643.05139</v>
      </c>
      <c r="D23" s="16">
        <f>'KEEI BAU - Industry'!R$39*'Others Split'!$D$46*'Others Split'!$I$14</f>
        <v>682535562599.15625</v>
      </c>
      <c r="E23" s="16">
        <f>'KEEI BAU - Industry'!S$39*'Others Split'!$D$46*'Others Split'!$I$14</f>
        <v>623014184555.26123</v>
      </c>
      <c r="F23" s="16">
        <f>'KEEI BAU - Industry'!T$39*'Others Split'!$D$46*'Others Split'!$I$14</f>
        <v>611888931259.63159</v>
      </c>
      <c r="G23" s="16">
        <f>'KEEI BAU - Industry'!U$39*'Others Split'!$D$46*'Others Split'!$I$14</f>
        <v>600763677964.00195</v>
      </c>
      <c r="H23" s="16">
        <f>'KEEI BAU - Industry'!V$39*'Others Split'!$D$46*'Others Split'!$I$14</f>
        <v>589638424668.37219</v>
      </c>
      <c r="I23" s="16">
        <f>'KEEI BAU - Industry'!W$39*'Others Split'!$D$46*'Others Split'!$I$14</f>
        <v>578513171372.74255</v>
      </c>
      <c r="J23" s="16">
        <f>'KEEI BAU - Industry'!X$39*'Others Split'!$D$46*'Others Split'!$I$14</f>
        <v>567387918077.11292</v>
      </c>
      <c r="K23" s="16">
        <f>'KEEI BAU - Industry'!Y$39*'Others Split'!$D$46*'Others Split'!$I$14</f>
        <v>556262664781.48315</v>
      </c>
      <c r="L23" s="16">
        <f>'KEEI BAU - Industry'!Z$39*'Others Split'!$D$46*'Others Split'!$I$14</f>
        <v>545137411485.85358</v>
      </c>
      <c r="M23" s="16">
        <f>'KEEI BAU - Industry'!AA$39*'Others Split'!$D$46*'Others Split'!$I$14</f>
        <v>543702839350.3645</v>
      </c>
      <c r="N23" s="16">
        <f>'KEEI BAU - Industry'!AB$39*'Others Split'!$D$46*'Others Split'!$I$14</f>
        <v>542268267214.87537</v>
      </c>
      <c r="O23" s="16">
        <f>'KEEI BAU - Industry'!AC$39*'Others Split'!$D$46*'Others Split'!$I$14</f>
        <v>540833695079.38629</v>
      </c>
      <c r="P23" s="16">
        <f>'KEEI BAU - Industry'!AD$39*'Others Split'!$D$46*'Others Split'!$I$14</f>
        <v>539399122943.89722</v>
      </c>
      <c r="Q23" s="16">
        <f>'KEEI BAU - Industry'!AE$39*'Others Split'!$D$46*'Others Split'!$I$14</f>
        <v>537964550808.40808</v>
      </c>
      <c r="R23" s="16">
        <f>'KEEI BAU - Industry'!AF$39*'Others Split'!$D$46*'Others Split'!$I$14</f>
        <v>536529978672.91901</v>
      </c>
      <c r="S23" s="16">
        <f>'KEEI BAU - Industry'!AG$39*'Others Split'!$D$46*'Others Split'!$I$14</f>
        <v>535095406537.42999</v>
      </c>
      <c r="T23" s="16">
        <f>'KEEI BAU - Industry'!AH$39*'Others Split'!$D$46*'Others Split'!$I$14</f>
        <v>533660834401.94092</v>
      </c>
      <c r="U23" s="16">
        <f>'KEEI BAU - Industry'!AI$39*'Others Split'!$D$46*'Others Split'!$I$14</f>
        <v>532226262266.45178</v>
      </c>
      <c r="V23" s="16">
        <f>'KEEI BAU - Industry'!AJ$39*'Others Split'!$D$46*'Others Split'!$I$14</f>
        <v>530791690130.96271</v>
      </c>
      <c r="W23" s="16">
        <f>'KEEI BAU - Industry'!AK$39*'Others Split'!$D$46*'Others Split'!$I$14</f>
        <v>525463279342.00317</v>
      </c>
      <c r="X23" s="16">
        <f>'KEEI BAU - Industry'!AL$39*'Others Split'!$D$46*'Others Split'!$I$14</f>
        <v>520134868553.04376</v>
      </c>
      <c r="Y23" s="16">
        <f>'KEEI BAU - Industry'!AM$39*'Others Split'!$D$46*'Others Split'!$I$14</f>
        <v>514806457764.08429</v>
      </c>
      <c r="Z23" s="16">
        <f>'KEEI BAU - Industry'!AN$39*'Others Split'!$D$46*'Others Split'!$I$14</f>
        <v>509478046975.12476</v>
      </c>
      <c r="AA23" s="16">
        <f>'KEEI BAU - Industry'!AO$39*'Others Split'!$D$46*'Others Split'!$I$14</f>
        <v>504149636186.16534</v>
      </c>
      <c r="AB23" s="16">
        <f>'KEEI BAU - Industry'!AP$39*'Others Split'!$D$46*'Others Split'!$I$14</f>
        <v>498821225397.20587</v>
      </c>
      <c r="AC23" s="16">
        <f>'KEEI BAU - Industry'!AQ$39*'Others Split'!$D$46*'Others Split'!$I$14</f>
        <v>493492814608.2464</v>
      </c>
      <c r="AD23" s="16">
        <f>'KEEI BAU - Industry'!AR$39*'Others Split'!$D$46*'Others Split'!$I$14</f>
        <v>488164403819.28693</v>
      </c>
      <c r="AE23" s="16">
        <f>'KEEI BAU - Industry'!AS$39*'Others Split'!$D$46*'Others Split'!$I$14</f>
        <v>482835993030.32739</v>
      </c>
      <c r="AF23" s="16">
        <f>'KEEI BAU - Industry'!AT$39*'Others Split'!$D$46*'Others Split'!$I$14</f>
        <v>477507582241.36798</v>
      </c>
    </row>
    <row r="24" spans="1:33">
      <c r="A24" t="s">
        <v>82</v>
      </c>
      <c r="B24" s="16">
        <v>0</v>
      </c>
      <c r="C24" s="16">
        <v>0</v>
      </c>
      <c r="D24" s="16">
        <v>1</v>
      </c>
      <c r="E24" s="16">
        <v>2</v>
      </c>
      <c r="F24" s="16">
        <v>3</v>
      </c>
      <c r="G24" s="16">
        <v>4</v>
      </c>
      <c r="H24" s="16">
        <v>5</v>
      </c>
      <c r="I24" s="16">
        <v>6</v>
      </c>
      <c r="J24" s="16">
        <v>7</v>
      </c>
      <c r="K24" s="16">
        <v>8</v>
      </c>
      <c r="L24" s="16">
        <v>9</v>
      </c>
      <c r="M24" s="16">
        <v>10</v>
      </c>
      <c r="N24" s="16">
        <v>11</v>
      </c>
      <c r="O24" s="16">
        <v>12</v>
      </c>
      <c r="P24" s="16">
        <v>13</v>
      </c>
      <c r="Q24" s="16">
        <v>14</v>
      </c>
      <c r="R24" s="16">
        <v>15</v>
      </c>
      <c r="S24" s="16">
        <v>16</v>
      </c>
      <c r="T24" s="16">
        <v>17</v>
      </c>
      <c r="U24" s="16">
        <v>18</v>
      </c>
      <c r="V24" s="16">
        <v>19</v>
      </c>
      <c r="W24" s="16">
        <v>20</v>
      </c>
      <c r="X24" s="16">
        <v>21</v>
      </c>
      <c r="Y24" s="16">
        <v>22</v>
      </c>
      <c r="Z24" s="16">
        <v>23</v>
      </c>
      <c r="AA24" s="16">
        <v>24</v>
      </c>
      <c r="AB24" s="16">
        <v>25</v>
      </c>
      <c r="AC24" s="16">
        <v>26</v>
      </c>
      <c r="AD24" s="16">
        <v>27</v>
      </c>
      <c r="AE24" s="16">
        <v>28</v>
      </c>
      <c r="AF24" s="16">
        <v>29</v>
      </c>
    </row>
    <row r="25" spans="1:33">
      <c r="A25" t="s">
        <v>85</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t="s">
        <v>89</v>
      </c>
      <c r="B26" s="16">
        <f>'KEEI BAU - Industry'!P$39*'Others Split'!$D$46*'Others Split'!$I$15</f>
        <v>2863134711717.9321</v>
      </c>
      <c r="C26" s="16">
        <f>'KEEI BAU - Industry'!Q$39*'Others Split'!$D$46*'Others Split'!$I$15</f>
        <v>2650532000798.9038</v>
      </c>
      <c r="D26" s="16">
        <f>'KEEI BAU - Industry'!R$39*'Others Split'!$D$46*'Others Split'!$I$15</f>
        <v>2437929289879.8755</v>
      </c>
      <c r="E26" s="16">
        <f>'KEEI BAU - Industry'!S$39*'Others Split'!$D$46*'Others Split'!$I$15</f>
        <v>2225326578960.8472</v>
      </c>
      <c r="F26" s="16">
        <f>'KEEI BAU - Industry'!T$39*'Others Split'!$D$46*'Others Split'!$I$15</f>
        <v>2185588604336.5464</v>
      </c>
      <c r="G26" s="16">
        <f>'KEEI BAU - Industry'!U$39*'Others Split'!$D$46*'Others Split'!$I$15</f>
        <v>2145850629712.2456</v>
      </c>
      <c r="H26" s="16">
        <f>'KEEI BAU - Industry'!V$39*'Others Split'!$D$46*'Others Split'!$I$15</f>
        <v>2106112655087.9446</v>
      </c>
      <c r="I26" s="16">
        <f>'KEEI BAU - Industry'!W$39*'Others Split'!$D$46*'Others Split'!$I$15</f>
        <v>2066374680463.6438</v>
      </c>
      <c r="J26" s="16">
        <f>'KEEI BAU - Industry'!X$39*'Others Split'!$D$46*'Others Split'!$I$15</f>
        <v>2026636705839.343</v>
      </c>
      <c r="K26" s="16">
        <f>'KEEI BAU - Industry'!Y$39*'Others Split'!$D$46*'Others Split'!$I$15</f>
        <v>1986898731215.042</v>
      </c>
      <c r="L26" s="16">
        <f>'KEEI BAU - Industry'!Z$39*'Others Split'!$D$46*'Others Split'!$I$15</f>
        <v>1947160756590.7412</v>
      </c>
      <c r="M26" s="16">
        <f>'KEEI BAU - Industry'!AA$39*'Others Split'!$D$46*'Others Split'!$I$15</f>
        <v>1942036649336.5552</v>
      </c>
      <c r="N26" s="16">
        <f>'KEEI BAU - Industry'!AB$39*'Others Split'!$D$46*'Others Split'!$I$15</f>
        <v>1936912542082.3689</v>
      </c>
      <c r="O26" s="16">
        <f>'KEEI BAU - Industry'!AC$39*'Others Split'!$D$46*'Others Split'!$I$15</f>
        <v>1931788434828.1829</v>
      </c>
      <c r="P26" s="16">
        <f>'KEEI BAU - Industry'!AD$39*'Others Split'!$D$46*'Others Split'!$I$15</f>
        <v>1926664327573.9966</v>
      </c>
      <c r="Q26" s="16">
        <f>'KEEI BAU - Industry'!AE$39*'Others Split'!$D$46*'Others Split'!$I$15</f>
        <v>1921540220319.8103</v>
      </c>
      <c r="R26" s="16">
        <f>'KEEI BAU - Industry'!AF$39*'Others Split'!$D$46*'Others Split'!$I$15</f>
        <v>1916416113065.6243</v>
      </c>
      <c r="S26" s="16">
        <f>'KEEI BAU - Industry'!AG$39*'Others Split'!$D$46*'Others Split'!$I$15</f>
        <v>1911292005811.4382</v>
      </c>
      <c r="T26" s="16">
        <f>'KEEI BAU - Industry'!AH$39*'Others Split'!$D$46*'Others Split'!$I$15</f>
        <v>1906167898557.2522</v>
      </c>
      <c r="U26" s="16">
        <f>'KEEI BAU - Industry'!AI$39*'Others Split'!$D$46*'Others Split'!$I$15</f>
        <v>1901043791303.0659</v>
      </c>
      <c r="V26" s="16">
        <f>'KEEI BAU - Industry'!AJ$39*'Others Split'!$D$46*'Others Split'!$I$15</f>
        <v>1895919684048.8796</v>
      </c>
      <c r="W26" s="16">
        <f>'KEEI BAU - Industry'!AK$39*'Others Split'!$D$46*'Others Split'!$I$15</f>
        <v>1876887285676.188</v>
      </c>
      <c r="X26" s="16">
        <f>'KEEI BAU - Industry'!AL$39*'Others Split'!$D$46*'Others Split'!$I$15</f>
        <v>1857854887303.4968</v>
      </c>
      <c r="Y26" s="16">
        <f>'KEEI BAU - Industry'!AM$39*'Others Split'!$D$46*'Others Split'!$I$15</f>
        <v>1838822488930.8054</v>
      </c>
      <c r="Z26" s="16">
        <f>'KEEI BAU - Industry'!AN$39*'Others Split'!$D$46*'Others Split'!$I$15</f>
        <v>1819790090558.1138</v>
      </c>
      <c r="AA26" s="16">
        <f>'KEEI BAU - Industry'!AO$39*'Others Split'!$D$46*'Others Split'!$I$15</f>
        <v>1800757692185.4224</v>
      </c>
      <c r="AB26" s="16">
        <f>'KEEI BAU - Industry'!AP$39*'Others Split'!$D$46*'Others Split'!$I$15</f>
        <v>1781725293812.731</v>
      </c>
      <c r="AC26" s="16">
        <f>'KEEI BAU - Industry'!AQ$39*'Others Split'!$D$46*'Others Split'!$I$15</f>
        <v>1762692895440.0393</v>
      </c>
      <c r="AD26" s="16">
        <f>'KEEI BAU - Industry'!AR$39*'Others Split'!$D$46*'Others Split'!$I$15</f>
        <v>1743660497067.3481</v>
      </c>
      <c r="AE26" s="16">
        <f>'KEEI BAU - Industry'!AS$39*'Others Split'!$D$46*'Others Split'!$I$15</f>
        <v>1724628098694.6565</v>
      </c>
      <c r="AF26" s="16">
        <f>'KEEI BAU - Industry'!AT$39*'Others Split'!$D$46*'Others Split'!$I$15</f>
        <v>1705595700321.9651</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5"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6.5"/>
  <cols>
    <col min="1" max="1" width="43.5" bestFit="1" customWidth="1"/>
    <col min="3" max="3" width="9.25" bestFit="1" customWidth="1"/>
  </cols>
  <sheetData>
    <row r="1" spans="1:32">
      <c r="A1" s="1" t="s">
        <v>1029</v>
      </c>
    </row>
    <row r="2" spans="1:32">
      <c r="A2" s="24" t="s">
        <v>1028</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25</v>
      </c>
      <c r="B3" s="16">
        <f>SUM('BIFUbC-electricity'!B2,'BIFUbC-coal'!B2,'BIFUbC-natural-gas'!B2,'BIFUbC-biomass'!B2,'BIFUbC-heat'!B2,'BIFUbC-crude-oil'!B2,'BIFUbC-petroleum-diesel'!B2,'BIFUbC-heavy-or-residual-oil'!B2,'BIFUbC-LPG-propane-or-butane'!B2,'BIFUbC-hydrogen'!B2)</f>
        <v>42124122119825.156</v>
      </c>
      <c r="C3" s="16">
        <f>SUM('BIFUbC-electricity'!C2,'BIFUbC-coal'!C2,'BIFUbC-natural-gas'!C2,'BIFUbC-biomass'!C2,'BIFUbC-heat'!C2,'BIFUbC-crude-oil'!C2,'BIFUbC-petroleum-diesel'!C2,'BIFUbC-heavy-or-residual-oil'!C2,'BIFUbC-LPG-propane-or-butane'!C2,'BIFUbC-hydrogen'!C2)</f>
        <v>42788789887766.125</v>
      </c>
      <c r="D3" s="16">
        <f>SUM('BIFUbC-electricity'!D2,'BIFUbC-coal'!D2,'BIFUbC-natural-gas'!D2,'BIFUbC-biomass'!D2,'BIFUbC-heat'!D2,'BIFUbC-crude-oil'!D2,'BIFUbC-petroleum-diesel'!D2,'BIFUbC-heavy-or-residual-oil'!D2,'BIFUbC-LPG-propane-or-butane'!D2,'BIFUbC-hydrogen'!D2)</f>
        <v>43453457655707.086</v>
      </c>
      <c r="E3" s="16">
        <f>SUM('BIFUbC-electricity'!E2,'BIFUbC-coal'!E2,'BIFUbC-natural-gas'!E2,'BIFUbC-biomass'!E2,'BIFUbC-heat'!E2,'BIFUbC-crude-oil'!E2,'BIFUbC-petroleum-diesel'!E2,'BIFUbC-heavy-or-residual-oil'!E2,'BIFUbC-LPG-propane-or-butane'!E2,'BIFUbC-hydrogen'!E2)</f>
        <v>44118125423648.047</v>
      </c>
      <c r="F3" s="16">
        <f>SUM('BIFUbC-electricity'!F2,'BIFUbC-coal'!F2,'BIFUbC-natural-gas'!F2,'BIFUbC-biomass'!F2,'BIFUbC-heat'!F2,'BIFUbC-crude-oil'!F2,'BIFUbC-petroleum-diesel'!F2,'BIFUbC-heavy-or-residual-oil'!F2,'BIFUbC-LPG-propane-or-butane'!F2,'BIFUbC-hydrogen'!F2)</f>
        <v>44520304825945.438</v>
      </c>
      <c r="G3" s="16">
        <f>SUM('BIFUbC-electricity'!G2,'BIFUbC-coal'!G2,'BIFUbC-natural-gas'!G2,'BIFUbC-biomass'!G2,'BIFUbC-heat'!G2,'BIFUbC-crude-oil'!G2,'BIFUbC-petroleum-diesel'!G2,'BIFUbC-heavy-or-residual-oil'!G2,'BIFUbC-LPG-propane-or-butane'!G2,'BIFUbC-hydrogen'!G2)</f>
        <v>44922484228242.844</v>
      </c>
      <c r="H3" s="16">
        <f>SUM('BIFUbC-electricity'!H2,'BIFUbC-coal'!H2,'BIFUbC-natural-gas'!H2,'BIFUbC-biomass'!H2,'BIFUbC-heat'!H2,'BIFUbC-crude-oil'!H2,'BIFUbC-petroleum-diesel'!H2,'BIFUbC-heavy-or-residual-oil'!H2,'BIFUbC-LPG-propane-or-butane'!H2,'BIFUbC-hydrogen'!H2)</f>
        <v>45324663630540.227</v>
      </c>
      <c r="I3" s="16">
        <f>SUM('BIFUbC-electricity'!I2,'BIFUbC-coal'!I2,'BIFUbC-natural-gas'!I2,'BIFUbC-biomass'!I2,'BIFUbC-heat'!I2,'BIFUbC-crude-oil'!I2,'BIFUbC-petroleum-diesel'!I2,'BIFUbC-heavy-or-residual-oil'!I2,'BIFUbC-LPG-propane-or-butane'!I2,'BIFUbC-hydrogen'!I2)</f>
        <v>45726843032837.625</v>
      </c>
      <c r="J3" s="16">
        <f>SUM('BIFUbC-electricity'!J2,'BIFUbC-coal'!J2,'BIFUbC-natural-gas'!J2,'BIFUbC-biomass'!J2,'BIFUbC-heat'!J2,'BIFUbC-crude-oil'!J2,'BIFUbC-petroleum-diesel'!J2,'BIFUbC-heavy-or-residual-oil'!J2,'BIFUbC-LPG-propane-or-butane'!J2,'BIFUbC-hydrogen'!J2)</f>
        <v>46129022435135.023</v>
      </c>
      <c r="K3" s="16">
        <f>SUM('BIFUbC-electricity'!K2,'BIFUbC-coal'!K2,'BIFUbC-natural-gas'!K2,'BIFUbC-biomass'!K2,'BIFUbC-heat'!K2,'BIFUbC-crude-oil'!K2,'BIFUbC-petroleum-diesel'!K2,'BIFUbC-heavy-or-residual-oil'!K2,'BIFUbC-LPG-propane-or-butane'!K2,'BIFUbC-hydrogen'!K2)</f>
        <v>46531201837432.398</v>
      </c>
      <c r="L3" s="16">
        <f>SUM('BIFUbC-electricity'!L2,'BIFUbC-coal'!L2,'BIFUbC-natural-gas'!L2,'BIFUbC-biomass'!L2,'BIFUbC-heat'!L2,'BIFUbC-crude-oil'!L2,'BIFUbC-petroleum-diesel'!L2,'BIFUbC-heavy-or-residual-oil'!L2,'BIFUbC-LPG-propane-or-butane'!L2,'BIFUbC-hydrogen'!L2)</f>
        <v>46933381239729.805</v>
      </c>
      <c r="M3" s="16">
        <f>SUM('BIFUbC-electricity'!M2,'BIFUbC-coal'!M2,'BIFUbC-natural-gas'!M2,'BIFUbC-biomass'!M2,'BIFUbC-heat'!M2,'BIFUbC-crude-oil'!M2,'BIFUbC-petroleum-diesel'!M2,'BIFUbC-heavy-or-residual-oil'!M2,'BIFUbC-LPG-propane-or-butane'!M2,'BIFUbC-hydrogen'!M2)</f>
        <v>46945332571083.398</v>
      </c>
      <c r="N3" s="16">
        <f>SUM('BIFUbC-electricity'!N2,'BIFUbC-coal'!N2,'BIFUbC-natural-gas'!N2,'BIFUbC-biomass'!N2,'BIFUbC-heat'!N2,'BIFUbC-crude-oil'!N2,'BIFUbC-petroleum-diesel'!N2,'BIFUbC-heavy-or-residual-oil'!N2,'BIFUbC-LPG-propane-or-butane'!N2,'BIFUbC-hydrogen'!N2)</f>
        <v>46957283902436.977</v>
      </c>
      <c r="O3" s="16">
        <f>SUM('BIFUbC-electricity'!O2,'BIFUbC-coal'!O2,'BIFUbC-natural-gas'!O2,'BIFUbC-biomass'!O2,'BIFUbC-heat'!O2,'BIFUbC-crude-oil'!O2,'BIFUbC-petroleum-diesel'!O2,'BIFUbC-heavy-or-residual-oil'!O2,'BIFUbC-LPG-propane-or-butane'!O2,'BIFUbC-hydrogen'!O2)</f>
        <v>46969235233790.578</v>
      </c>
      <c r="P3" s="16">
        <f>SUM('BIFUbC-electricity'!P2,'BIFUbC-coal'!P2,'BIFUbC-natural-gas'!P2,'BIFUbC-biomass'!P2,'BIFUbC-heat'!P2,'BIFUbC-crude-oil'!P2,'BIFUbC-petroleum-diesel'!P2,'BIFUbC-heavy-or-residual-oil'!P2,'BIFUbC-LPG-propane-or-butane'!P2,'BIFUbC-hydrogen'!P2)</f>
        <v>46981186565144.164</v>
      </c>
      <c r="Q3" s="16">
        <f>SUM('BIFUbC-electricity'!Q2,'BIFUbC-coal'!Q2,'BIFUbC-natural-gas'!Q2,'BIFUbC-biomass'!Q2,'BIFUbC-heat'!Q2,'BIFUbC-crude-oil'!Q2,'BIFUbC-petroleum-diesel'!Q2,'BIFUbC-heavy-or-residual-oil'!Q2,'BIFUbC-LPG-propane-or-butane'!Q2,'BIFUbC-hydrogen'!Q2)</f>
        <v>46993137896497.75</v>
      </c>
      <c r="R3" s="16">
        <f>SUM('BIFUbC-electricity'!R2,'BIFUbC-coal'!R2,'BIFUbC-natural-gas'!R2,'BIFUbC-biomass'!R2,'BIFUbC-heat'!R2,'BIFUbC-crude-oil'!R2,'BIFUbC-petroleum-diesel'!R2,'BIFUbC-heavy-or-residual-oil'!R2,'BIFUbC-LPG-propane-or-butane'!R2,'BIFUbC-hydrogen'!R2)</f>
        <v>47005089227851.336</v>
      </c>
      <c r="S3" s="16">
        <f>SUM('BIFUbC-electricity'!S2,'BIFUbC-coal'!S2,'BIFUbC-natural-gas'!S2,'BIFUbC-biomass'!S2,'BIFUbC-heat'!S2,'BIFUbC-crude-oil'!S2,'BIFUbC-petroleum-diesel'!S2,'BIFUbC-heavy-or-residual-oil'!S2,'BIFUbC-LPG-propane-or-butane'!S2,'BIFUbC-hydrogen'!S2)</f>
        <v>47017040559204.93</v>
      </c>
      <c r="T3" s="16">
        <f>SUM('BIFUbC-electricity'!T2,'BIFUbC-coal'!T2,'BIFUbC-natural-gas'!T2,'BIFUbC-biomass'!T2,'BIFUbC-heat'!T2,'BIFUbC-crude-oil'!T2,'BIFUbC-petroleum-diesel'!T2,'BIFUbC-heavy-or-residual-oil'!T2,'BIFUbC-LPG-propane-or-butane'!T2,'BIFUbC-hydrogen'!T2)</f>
        <v>47028991890558.516</v>
      </c>
      <c r="U3" s="16">
        <f>SUM('BIFUbC-electricity'!U2,'BIFUbC-coal'!U2,'BIFUbC-natural-gas'!U2,'BIFUbC-biomass'!U2,'BIFUbC-heat'!U2,'BIFUbC-crude-oil'!U2,'BIFUbC-petroleum-diesel'!U2,'BIFUbC-heavy-or-residual-oil'!U2,'BIFUbC-LPG-propane-or-butane'!U2,'BIFUbC-hydrogen'!U2)</f>
        <v>47040943221912.109</v>
      </c>
      <c r="V3" s="16">
        <f>SUM('BIFUbC-electricity'!V2,'BIFUbC-coal'!V2,'BIFUbC-natural-gas'!V2,'BIFUbC-biomass'!V2,'BIFUbC-heat'!V2,'BIFUbC-crude-oil'!V2,'BIFUbC-petroleum-diesel'!V2,'BIFUbC-heavy-or-residual-oil'!V2,'BIFUbC-LPG-propane-or-butane'!V2,'BIFUbC-hydrogen'!V2)</f>
        <v>47052894553265.688</v>
      </c>
      <c r="W3" s="16">
        <f>SUM('BIFUbC-electricity'!W2,'BIFUbC-coal'!W2,'BIFUbC-natural-gas'!W2,'BIFUbC-biomass'!W2,'BIFUbC-heat'!W2,'BIFUbC-crude-oil'!W2,'BIFUbC-petroleum-diesel'!W2,'BIFUbC-heavy-or-residual-oil'!W2,'BIFUbC-LPG-propane-or-butane'!W2,'BIFUbC-hydrogen'!W2)</f>
        <v>46727025719810.438</v>
      </c>
      <c r="X3" s="16">
        <f>SUM('BIFUbC-electricity'!X2,'BIFUbC-coal'!X2,'BIFUbC-natural-gas'!X2,'BIFUbC-biomass'!X2,'BIFUbC-heat'!X2,'BIFUbC-crude-oil'!X2,'BIFUbC-petroleum-diesel'!X2,'BIFUbC-heavy-or-residual-oil'!X2,'BIFUbC-LPG-propane-or-butane'!X2,'BIFUbC-hydrogen'!X2)</f>
        <v>46401156886355.188</v>
      </c>
      <c r="Y3" s="16">
        <f>SUM('BIFUbC-electricity'!Y2,'BIFUbC-coal'!Y2,'BIFUbC-natural-gas'!Y2,'BIFUbC-biomass'!Y2,'BIFUbC-heat'!Y2,'BIFUbC-crude-oil'!Y2,'BIFUbC-petroleum-diesel'!Y2,'BIFUbC-heavy-or-residual-oil'!Y2,'BIFUbC-LPG-propane-or-butane'!Y2,'BIFUbC-hydrogen'!Y2)</f>
        <v>46075288052899.938</v>
      </c>
      <c r="Z3" s="16">
        <f>SUM('BIFUbC-electricity'!Z2,'BIFUbC-coal'!Z2,'BIFUbC-natural-gas'!Z2,'BIFUbC-biomass'!Z2,'BIFUbC-heat'!Z2,'BIFUbC-crude-oil'!Z2,'BIFUbC-petroleum-diesel'!Z2,'BIFUbC-heavy-or-residual-oil'!Z2,'BIFUbC-LPG-propane-or-butane'!Z2,'BIFUbC-hydrogen'!Z2)</f>
        <v>45749419219444.68</v>
      </c>
      <c r="AA3" s="16">
        <f>SUM('BIFUbC-electricity'!AA2,'BIFUbC-coal'!AA2,'BIFUbC-natural-gas'!AA2,'BIFUbC-biomass'!AA2,'BIFUbC-heat'!AA2,'BIFUbC-crude-oil'!AA2,'BIFUbC-petroleum-diesel'!AA2,'BIFUbC-heavy-or-residual-oil'!AA2,'BIFUbC-LPG-propane-or-butane'!AA2,'BIFUbC-hydrogen'!AA2)</f>
        <v>45423550385989.438</v>
      </c>
      <c r="AB3" s="16">
        <f>SUM('BIFUbC-electricity'!AB2,'BIFUbC-coal'!AB2,'BIFUbC-natural-gas'!AB2,'BIFUbC-biomass'!AB2,'BIFUbC-heat'!AB2,'BIFUbC-crude-oil'!AB2,'BIFUbC-petroleum-diesel'!AB2,'BIFUbC-heavy-or-residual-oil'!AB2,'BIFUbC-LPG-propane-or-butane'!AB2,'BIFUbC-hydrogen'!AB2)</f>
        <v>45097681552534.172</v>
      </c>
      <c r="AC3" s="16">
        <f>SUM('BIFUbC-electricity'!AC2,'BIFUbC-coal'!AC2,'BIFUbC-natural-gas'!AC2,'BIFUbC-biomass'!AC2,'BIFUbC-heat'!AC2,'BIFUbC-crude-oil'!AC2,'BIFUbC-petroleum-diesel'!AC2,'BIFUbC-heavy-or-residual-oil'!AC2,'BIFUbC-LPG-propane-or-butane'!AC2,'BIFUbC-hydrogen'!AC2)</f>
        <v>44771812719078.922</v>
      </c>
      <c r="AD3" s="16">
        <f>SUM('BIFUbC-electricity'!AD2,'BIFUbC-coal'!AD2,'BIFUbC-natural-gas'!AD2,'BIFUbC-biomass'!AD2,'BIFUbC-heat'!AD2,'BIFUbC-crude-oil'!AD2,'BIFUbC-petroleum-diesel'!AD2,'BIFUbC-heavy-or-residual-oil'!AD2,'BIFUbC-LPG-propane-or-butane'!AD2,'BIFUbC-hydrogen'!AD2)</f>
        <v>44445943885623.664</v>
      </c>
      <c r="AE3" s="16">
        <f>SUM('BIFUbC-electricity'!AE2,'BIFUbC-coal'!AE2,'BIFUbC-natural-gas'!AE2,'BIFUbC-biomass'!AE2,'BIFUbC-heat'!AE2,'BIFUbC-crude-oil'!AE2,'BIFUbC-petroleum-diesel'!AE2,'BIFUbC-heavy-or-residual-oil'!AE2,'BIFUbC-LPG-propane-or-butane'!AE2,'BIFUbC-hydrogen'!AE2)</f>
        <v>44120075052168.414</v>
      </c>
      <c r="AF3" s="16">
        <f>SUM('BIFUbC-electricity'!AF2,'BIFUbC-coal'!AF2,'BIFUbC-natural-gas'!AF2,'BIFUbC-biomass'!AF2,'BIFUbC-heat'!AF2,'BIFUbC-crude-oil'!AF2,'BIFUbC-petroleum-diesel'!AF2,'BIFUbC-heavy-or-residual-oil'!AF2,'BIFUbC-LPG-propane-or-butane'!AF2,'BIFUbC-hydrogen'!AF2)</f>
        <v>43794206218713.156</v>
      </c>
    </row>
    <row r="4" spans="1:32">
      <c r="A4" t="s">
        <v>28</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32</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146478138907.45343</v>
      </c>
      <c r="E5" s="16">
        <f>SUM('BIFUbC-electricity'!E4,'BIFUbC-coal'!E4,'BIFUbC-natural-gas'!E4,'BIFUbC-biomass'!E4,'BIFUbC-heat'!E4,'BIFUbC-crude-oil'!E4,'BIFUbC-petroleum-diesel'!E4,'BIFUbC-heavy-or-residual-oil'!E4,'BIFUbC-LPG-propane-or-butane'!E4,'BIFUbC-hydrogen'!E4)</f>
        <v>146289209275.35657</v>
      </c>
      <c r="F5" s="16">
        <f>SUM('BIFUbC-electricity'!F4,'BIFUbC-coal'!F4,'BIFUbC-natural-gas'!F4,'BIFUbC-biomass'!F4,'BIFUbC-heat'!F4,'BIFUbC-crude-oil'!F4,'BIFUbC-petroleum-diesel'!F4,'BIFUbC-heavy-or-residual-oil'!F4,'BIFUbC-LPG-propane-or-butane'!F4,'BIFUbC-hydrogen'!F4)</f>
        <v>146100279643.2598</v>
      </c>
      <c r="G5" s="16">
        <f>SUM('BIFUbC-electricity'!G4,'BIFUbC-coal'!G4,'BIFUbC-natural-gas'!G4,'BIFUbC-biomass'!G4,'BIFUbC-heat'!G4,'BIFUbC-crude-oil'!G4,'BIFUbC-petroleum-diesel'!G4,'BIFUbC-heavy-or-residual-oil'!G4,'BIFUbC-LPG-propane-or-butane'!G4,'BIFUbC-hydrogen'!G4)</f>
        <v>145911350011.16293</v>
      </c>
      <c r="H5" s="16">
        <f>SUM('BIFUbC-electricity'!H4,'BIFUbC-coal'!H4,'BIFUbC-natural-gas'!H4,'BIFUbC-biomass'!H4,'BIFUbC-heat'!H4,'BIFUbC-crude-oil'!H4,'BIFUbC-petroleum-diesel'!H4,'BIFUbC-heavy-or-residual-oil'!H4,'BIFUbC-LPG-propane-or-butane'!H4,'BIFUbC-hydrogen'!H4)</f>
        <v>145722420379.06616</v>
      </c>
      <c r="I5" s="16">
        <f>SUM('BIFUbC-electricity'!I4,'BIFUbC-coal'!I4,'BIFUbC-natural-gas'!I4,'BIFUbC-biomass'!I4,'BIFUbC-heat'!I4,'BIFUbC-crude-oil'!I4,'BIFUbC-petroleum-diesel'!I4,'BIFUbC-heavy-or-residual-oil'!I4,'BIFUbC-LPG-propane-or-butane'!I4,'BIFUbC-hydrogen'!I4)</f>
        <v>145533490746.96933</v>
      </c>
      <c r="J5" s="16">
        <f>SUM('BIFUbC-electricity'!J4,'BIFUbC-coal'!J4,'BIFUbC-natural-gas'!J4,'BIFUbC-biomass'!J4,'BIFUbC-heat'!J4,'BIFUbC-crude-oil'!J4,'BIFUbC-petroleum-diesel'!J4,'BIFUbC-heavy-or-residual-oil'!J4,'BIFUbC-LPG-propane-or-butane'!J4,'BIFUbC-hydrogen'!J4)</f>
        <v>145344561114.87253</v>
      </c>
      <c r="K5" s="16">
        <f>SUM('BIFUbC-electricity'!K4,'BIFUbC-coal'!K4,'BIFUbC-natural-gas'!K4,'BIFUbC-biomass'!K4,'BIFUbC-heat'!K4,'BIFUbC-crude-oil'!K4,'BIFUbC-petroleum-diesel'!K4,'BIFUbC-heavy-or-residual-oil'!K4,'BIFUbC-LPG-propane-or-butane'!K4,'BIFUbC-hydrogen'!K4)</f>
        <v>145155631482.77567</v>
      </c>
      <c r="L5" s="16">
        <f>SUM('BIFUbC-electricity'!L4,'BIFUbC-coal'!L4,'BIFUbC-natural-gas'!L4,'BIFUbC-biomass'!L4,'BIFUbC-heat'!L4,'BIFUbC-crude-oil'!L4,'BIFUbC-petroleum-diesel'!L4,'BIFUbC-heavy-or-residual-oil'!L4,'BIFUbC-LPG-propane-or-butane'!L4,'BIFUbC-hydrogen'!L4)</f>
        <v>144966701850.67886</v>
      </c>
      <c r="M5" s="16">
        <f>SUM('BIFUbC-electricity'!M4,'BIFUbC-coal'!M4,'BIFUbC-natural-gas'!M4,'BIFUbC-biomass'!M4,'BIFUbC-heat'!M4,'BIFUbC-crude-oil'!M4,'BIFUbC-petroleum-diesel'!M4,'BIFUbC-heavy-or-residual-oil'!M4,'BIFUbC-LPG-propane-or-butane'!M4,'BIFUbC-hydrogen'!M4)</f>
        <v>144217745011.42352</v>
      </c>
      <c r="N5" s="16">
        <f>SUM('BIFUbC-electricity'!N4,'BIFUbC-coal'!N4,'BIFUbC-natural-gas'!N4,'BIFUbC-biomass'!N4,'BIFUbC-heat'!N4,'BIFUbC-crude-oil'!N4,'BIFUbC-petroleum-diesel'!N4,'BIFUbC-heavy-or-residual-oil'!N4,'BIFUbC-LPG-propane-or-butane'!N4,'BIFUbC-hydrogen'!N4)</f>
        <v>143468788172.16809</v>
      </c>
      <c r="O5" s="16">
        <f>SUM('BIFUbC-electricity'!O4,'BIFUbC-coal'!O4,'BIFUbC-natural-gas'!O4,'BIFUbC-biomass'!O4,'BIFUbC-heat'!O4,'BIFUbC-crude-oil'!O4,'BIFUbC-petroleum-diesel'!O4,'BIFUbC-heavy-or-residual-oil'!O4,'BIFUbC-LPG-propane-or-butane'!O4,'BIFUbC-hydrogen'!O4)</f>
        <v>142719831332.91269</v>
      </c>
      <c r="P5" s="16">
        <f>SUM('BIFUbC-electricity'!P4,'BIFUbC-coal'!P4,'BIFUbC-natural-gas'!P4,'BIFUbC-biomass'!P4,'BIFUbC-heat'!P4,'BIFUbC-crude-oil'!P4,'BIFUbC-petroleum-diesel'!P4,'BIFUbC-heavy-or-residual-oil'!P4,'BIFUbC-LPG-propane-or-butane'!P4,'BIFUbC-hydrogen'!P4)</f>
        <v>141970874493.65726</v>
      </c>
      <c r="Q5" s="16">
        <f>SUM('BIFUbC-electricity'!Q4,'BIFUbC-coal'!Q4,'BIFUbC-natural-gas'!Q4,'BIFUbC-biomass'!Q4,'BIFUbC-heat'!Q4,'BIFUbC-crude-oil'!Q4,'BIFUbC-petroleum-diesel'!Q4,'BIFUbC-heavy-or-residual-oil'!Q4,'BIFUbC-LPG-propane-or-butane'!Q4,'BIFUbC-hydrogen'!Q4)</f>
        <v>141221917654.40182</v>
      </c>
      <c r="R5" s="16">
        <f>SUM('BIFUbC-electricity'!R4,'BIFUbC-coal'!R4,'BIFUbC-natural-gas'!R4,'BIFUbC-biomass'!R4,'BIFUbC-heat'!R4,'BIFUbC-crude-oil'!R4,'BIFUbC-petroleum-diesel'!R4,'BIFUbC-heavy-or-residual-oil'!R4,'BIFUbC-LPG-propane-or-butane'!R4,'BIFUbC-hydrogen'!R4)</f>
        <v>140472960815.14667</v>
      </c>
      <c r="S5" s="16">
        <f>SUM('BIFUbC-electricity'!S4,'BIFUbC-coal'!S4,'BIFUbC-natural-gas'!S4,'BIFUbC-biomass'!S4,'BIFUbC-heat'!S4,'BIFUbC-crude-oil'!S4,'BIFUbC-petroleum-diesel'!S4,'BIFUbC-heavy-or-residual-oil'!S4,'BIFUbC-LPG-propane-or-butane'!S4,'BIFUbC-hydrogen'!S4)</f>
        <v>139724003975.89124</v>
      </c>
      <c r="T5" s="16">
        <f>SUM('BIFUbC-electricity'!T4,'BIFUbC-coal'!T4,'BIFUbC-natural-gas'!T4,'BIFUbC-biomass'!T4,'BIFUbC-heat'!T4,'BIFUbC-crude-oil'!T4,'BIFUbC-petroleum-diesel'!T4,'BIFUbC-heavy-or-residual-oil'!T4,'BIFUbC-LPG-propane-or-butane'!T4,'BIFUbC-hydrogen'!T4)</f>
        <v>138975047136.6358</v>
      </c>
      <c r="U5" s="16">
        <f>SUM('BIFUbC-electricity'!U4,'BIFUbC-coal'!U4,'BIFUbC-natural-gas'!U4,'BIFUbC-biomass'!U4,'BIFUbC-heat'!U4,'BIFUbC-crude-oil'!U4,'BIFUbC-petroleum-diesel'!U4,'BIFUbC-heavy-or-residual-oil'!U4,'BIFUbC-LPG-propane-or-butane'!U4,'BIFUbC-hydrogen'!U4)</f>
        <v>138226090297.38037</v>
      </c>
      <c r="V5" s="16">
        <f>SUM('BIFUbC-electricity'!V4,'BIFUbC-coal'!V4,'BIFUbC-natural-gas'!V4,'BIFUbC-biomass'!V4,'BIFUbC-heat'!V4,'BIFUbC-crude-oil'!V4,'BIFUbC-petroleum-diesel'!V4,'BIFUbC-heavy-or-residual-oil'!V4,'BIFUbC-LPG-propane-or-butane'!V4,'BIFUbC-hydrogen'!V4)</f>
        <v>137477133458.12494</v>
      </c>
      <c r="W5" s="16">
        <f>SUM('BIFUbC-electricity'!W4,'BIFUbC-coal'!W4,'BIFUbC-natural-gas'!W4,'BIFUbC-biomass'!W4,'BIFUbC-heat'!W4,'BIFUbC-crude-oil'!W4,'BIFUbC-petroleum-diesel'!W4,'BIFUbC-heavy-or-residual-oil'!W4,'BIFUbC-LPG-propane-or-butane'!W4,'BIFUbC-hydrogen'!W4)</f>
        <v>136274215170.64278</v>
      </c>
      <c r="X5" s="16">
        <f>SUM('BIFUbC-electricity'!X4,'BIFUbC-coal'!X4,'BIFUbC-natural-gas'!X4,'BIFUbC-biomass'!X4,'BIFUbC-heat'!X4,'BIFUbC-crude-oil'!X4,'BIFUbC-petroleum-diesel'!X4,'BIFUbC-heavy-or-residual-oil'!X4,'BIFUbC-LPG-propane-or-butane'!X4,'BIFUbC-hydrogen'!X4)</f>
        <v>135071296883.16032</v>
      </c>
      <c r="Y5" s="16">
        <f>SUM('BIFUbC-electricity'!Y4,'BIFUbC-coal'!Y4,'BIFUbC-natural-gas'!Y4,'BIFUbC-biomass'!Y4,'BIFUbC-heat'!Y4,'BIFUbC-crude-oil'!Y4,'BIFUbC-petroleum-diesel'!Y4,'BIFUbC-heavy-or-residual-oil'!Y4,'BIFUbC-LPG-propane-or-butane'!Y4,'BIFUbC-hydrogen'!Y4)</f>
        <v>133868378595.67789</v>
      </c>
      <c r="Z5" s="16">
        <f>SUM('BIFUbC-electricity'!Z4,'BIFUbC-coal'!Z4,'BIFUbC-natural-gas'!Z4,'BIFUbC-biomass'!Z4,'BIFUbC-heat'!Z4,'BIFUbC-crude-oil'!Z4,'BIFUbC-petroleum-diesel'!Z4,'BIFUbC-heavy-or-residual-oil'!Z4,'BIFUbC-LPG-propane-or-butane'!Z4,'BIFUbC-hydrogen'!Z4)</f>
        <v>132665460308.19543</v>
      </c>
      <c r="AA5" s="16">
        <f>SUM('BIFUbC-electricity'!AA4,'BIFUbC-coal'!AA4,'BIFUbC-natural-gas'!AA4,'BIFUbC-biomass'!AA4,'BIFUbC-heat'!AA4,'BIFUbC-crude-oil'!AA4,'BIFUbC-petroleum-diesel'!AA4,'BIFUbC-heavy-or-residual-oil'!AA4,'BIFUbC-LPG-propane-or-butane'!AA4,'BIFUbC-hydrogen'!AA4)</f>
        <v>131462542020.713</v>
      </c>
      <c r="AB5" s="16">
        <f>SUM('BIFUbC-electricity'!AB4,'BIFUbC-coal'!AB4,'BIFUbC-natural-gas'!AB4,'BIFUbC-biomass'!AB4,'BIFUbC-heat'!AB4,'BIFUbC-crude-oil'!AB4,'BIFUbC-petroleum-diesel'!AB4,'BIFUbC-heavy-or-residual-oil'!AB4,'BIFUbC-LPG-propane-or-butane'!AB4,'BIFUbC-hydrogen'!AB4)</f>
        <v>130259623733.23055</v>
      </c>
      <c r="AC5" s="16">
        <f>SUM('BIFUbC-electricity'!AC4,'BIFUbC-coal'!AC4,'BIFUbC-natural-gas'!AC4,'BIFUbC-biomass'!AC4,'BIFUbC-heat'!AC4,'BIFUbC-crude-oil'!AC4,'BIFUbC-petroleum-diesel'!AC4,'BIFUbC-heavy-or-residual-oil'!AC4,'BIFUbC-LPG-propane-or-butane'!AC4,'BIFUbC-hydrogen'!AC4)</f>
        <v>129056705445.74809</v>
      </c>
      <c r="AD5" s="16">
        <f>SUM('BIFUbC-electricity'!AD4,'BIFUbC-coal'!AD4,'BIFUbC-natural-gas'!AD4,'BIFUbC-biomass'!AD4,'BIFUbC-heat'!AD4,'BIFUbC-crude-oil'!AD4,'BIFUbC-petroleum-diesel'!AD4,'BIFUbC-heavy-or-residual-oil'!AD4,'BIFUbC-LPG-propane-or-butane'!AD4,'BIFUbC-hydrogen'!AD4)</f>
        <v>127853787158.26564</v>
      </c>
      <c r="AE5" s="16">
        <f>SUM('BIFUbC-electricity'!AE4,'BIFUbC-coal'!AE4,'BIFUbC-natural-gas'!AE4,'BIFUbC-biomass'!AE4,'BIFUbC-heat'!AE4,'BIFUbC-crude-oil'!AE4,'BIFUbC-petroleum-diesel'!AE4,'BIFUbC-heavy-or-residual-oil'!AE4,'BIFUbC-LPG-propane-or-butane'!AE4,'BIFUbC-hydrogen'!AE4)</f>
        <v>126650868870.78319</v>
      </c>
      <c r="AF5" s="16">
        <f>SUM('BIFUbC-electricity'!AF4,'BIFUbC-coal'!AF4,'BIFUbC-natural-gas'!AF4,'BIFUbC-biomass'!AF4,'BIFUbC-heat'!AF4,'BIFUbC-crude-oil'!AF4,'BIFUbC-petroleum-diesel'!AF4,'BIFUbC-heavy-or-residual-oil'!AF4,'BIFUbC-LPG-propane-or-butane'!AF4,'BIFUbC-hydrogen'!AF4)</f>
        <v>125447950583.30081</v>
      </c>
    </row>
    <row r="6" spans="1:32">
      <c r="A6" t="s">
        <v>34</v>
      </c>
      <c r="B6" s="16">
        <f>SUM('BIFUbC-electricity'!B5,'BIFUbC-coal'!B5,'BIFUbC-natural-gas'!B5,'BIFUbC-biomass'!B5,'BIFUbC-heat'!B5,'BIFUbC-crude-oil'!B5,'BIFUbC-petroleum-diesel'!B5,'BIFUbC-heavy-or-residual-oil'!B5,'BIFUbC-LPG-propane-or-butane'!B5,'BIFUbC-hydrogen'!B5)</f>
        <v>3320463638446.2969</v>
      </c>
      <c r="C6" s="16">
        <f>SUM('BIFUbC-electricity'!C5,'BIFUbC-coal'!C5,'BIFUbC-natural-gas'!C5,'BIFUbC-biomass'!C5,'BIFUbC-heat'!C5,'BIFUbC-crude-oil'!C5,'BIFUbC-petroleum-diesel'!C5,'BIFUbC-heavy-or-residual-oil'!C5,'BIFUbC-LPG-propane-or-butane'!C5,'BIFUbC-hydrogen'!C5)</f>
        <v>3398526861489.4194</v>
      </c>
      <c r="D6" s="16">
        <f>SUM('BIFUbC-electricity'!D5,'BIFUbC-coal'!D5,'BIFUbC-natural-gas'!D5,'BIFUbC-biomass'!D5,'BIFUbC-heat'!D5,'BIFUbC-crude-oil'!D5,'BIFUbC-petroleum-diesel'!D5,'BIFUbC-heavy-or-residual-oil'!D5,'BIFUbC-LPG-propane-or-butane'!D5,'BIFUbC-hydrogen'!D5)</f>
        <v>3476590084532.5435</v>
      </c>
      <c r="E6" s="16">
        <f>SUM('BIFUbC-electricity'!E5,'BIFUbC-coal'!E5,'BIFUbC-natural-gas'!E5,'BIFUbC-biomass'!E5,'BIFUbC-heat'!E5,'BIFUbC-crude-oil'!E5,'BIFUbC-petroleum-diesel'!E5,'BIFUbC-heavy-or-residual-oil'!E5,'BIFUbC-LPG-propane-or-butane'!E5,'BIFUbC-hydrogen'!E5)</f>
        <v>3554653307575.6665</v>
      </c>
      <c r="F6" s="16">
        <f>SUM('BIFUbC-electricity'!F5,'BIFUbC-coal'!F5,'BIFUbC-natural-gas'!F5,'BIFUbC-biomass'!F5,'BIFUbC-heat'!F5,'BIFUbC-crude-oil'!F5,'BIFUbC-petroleum-diesel'!F5,'BIFUbC-heavy-or-residual-oil'!F5,'BIFUbC-LPG-propane-or-butane'!F5,'BIFUbC-hydrogen'!F5)</f>
        <v>3593151329839.3594</v>
      </c>
      <c r="G6" s="16">
        <f>SUM('BIFUbC-electricity'!G5,'BIFUbC-coal'!G5,'BIFUbC-natural-gas'!G5,'BIFUbC-biomass'!G5,'BIFUbC-heat'!G5,'BIFUbC-crude-oil'!G5,'BIFUbC-petroleum-diesel'!G5,'BIFUbC-heavy-or-residual-oil'!G5,'BIFUbC-LPG-propane-or-butane'!G5,'BIFUbC-hydrogen'!G5)</f>
        <v>3631649352103.0527</v>
      </c>
      <c r="H6" s="16">
        <f>SUM('BIFUbC-electricity'!H5,'BIFUbC-coal'!H5,'BIFUbC-natural-gas'!H5,'BIFUbC-biomass'!H5,'BIFUbC-heat'!H5,'BIFUbC-crude-oil'!H5,'BIFUbC-petroleum-diesel'!H5,'BIFUbC-heavy-or-residual-oil'!H5,'BIFUbC-LPG-propane-or-butane'!H5,'BIFUbC-hydrogen'!H5)</f>
        <v>3670147374366.7446</v>
      </c>
      <c r="I6" s="16">
        <f>SUM('BIFUbC-electricity'!I5,'BIFUbC-coal'!I5,'BIFUbC-natural-gas'!I5,'BIFUbC-biomass'!I5,'BIFUbC-heat'!I5,'BIFUbC-crude-oil'!I5,'BIFUbC-petroleum-diesel'!I5,'BIFUbC-heavy-or-residual-oil'!I5,'BIFUbC-LPG-propane-or-butane'!I5,'BIFUbC-hydrogen'!I5)</f>
        <v>3708645396630.4375</v>
      </c>
      <c r="J6" s="16">
        <f>SUM('BIFUbC-electricity'!J5,'BIFUbC-coal'!J5,'BIFUbC-natural-gas'!J5,'BIFUbC-biomass'!J5,'BIFUbC-heat'!J5,'BIFUbC-crude-oil'!J5,'BIFUbC-petroleum-diesel'!J5,'BIFUbC-heavy-or-residual-oil'!J5,'BIFUbC-LPG-propane-or-butane'!J5,'BIFUbC-hydrogen'!J5)</f>
        <v>3747143418894.1304</v>
      </c>
      <c r="K6" s="16">
        <f>SUM('BIFUbC-electricity'!K5,'BIFUbC-coal'!K5,'BIFUbC-natural-gas'!K5,'BIFUbC-biomass'!K5,'BIFUbC-heat'!K5,'BIFUbC-crude-oil'!K5,'BIFUbC-petroleum-diesel'!K5,'BIFUbC-heavy-or-residual-oil'!K5,'BIFUbC-LPG-propane-or-butane'!K5,'BIFUbC-hydrogen'!K5)</f>
        <v>3785641441157.8232</v>
      </c>
      <c r="L6" s="16">
        <f>SUM('BIFUbC-electricity'!L5,'BIFUbC-coal'!L5,'BIFUbC-natural-gas'!L5,'BIFUbC-biomass'!L5,'BIFUbC-heat'!L5,'BIFUbC-crude-oil'!L5,'BIFUbC-petroleum-diesel'!L5,'BIFUbC-heavy-or-residual-oil'!L5,'BIFUbC-LPG-propane-or-butane'!L5,'BIFUbC-hydrogen'!L5)</f>
        <v>3824139463421.5156</v>
      </c>
      <c r="M6" s="16">
        <f>SUM('BIFUbC-electricity'!M5,'BIFUbC-coal'!M5,'BIFUbC-natural-gas'!M5,'BIFUbC-biomass'!M5,'BIFUbC-heat'!M5,'BIFUbC-crude-oil'!M5,'BIFUbC-petroleum-diesel'!M5,'BIFUbC-heavy-or-residual-oil'!M5,'BIFUbC-LPG-propane-or-butane'!M5,'BIFUbC-hydrogen'!M5)</f>
        <v>3825539509921.8218</v>
      </c>
      <c r="N6" s="16">
        <f>SUM('BIFUbC-electricity'!N5,'BIFUbC-coal'!N5,'BIFUbC-natural-gas'!N5,'BIFUbC-biomass'!N5,'BIFUbC-heat'!N5,'BIFUbC-crude-oil'!N5,'BIFUbC-petroleum-diesel'!N5,'BIFUbC-heavy-or-residual-oil'!N5,'BIFUbC-LPG-propane-or-butane'!N5,'BIFUbC-hydrogen'!N5)</f>
        <v>3826939556422.127</v>
      </c>
      <c r="O6" s="16">
        <f>SUM('BIFUbC-electricity'!O5,'BIFUbC-coal'!O5,'BIFUbC-natural-gas'!O5,'BIFUbC-biomass'!O5,'BIFUbC-heat'!O5,'BIFUbC-crude-oil'!O5,'BIFUbC-petroleum-diesel'!O5,'BIFUbC-heavy-or-residual-oil'!O5,'BIFUbC-LPG-propane-or-butane'!O5,'BIFUbC-hydrogen'!O5)</f>
        <v>3828339602922.4331</v>
      </c>
      <c r="P6" s="16">
        <f>SUM('BIFUbC-electricity'!P5,'BIFUbC-coal'!P5,'BIFUbC-natural-gas'!P5,'BIFUbC-biomass'!P5,'BIFUbC-heat'!P5,'BIFUbC-crude-oil'!P5,'BIFUbC-petroleum-diesel'!P5,'BIFUbC-heavy-or-residual-oil'!P5,'BIFUbC-LPG-propane-or-butane'!P5,'BIFUbC-hydrogen'!P5)</f>
        <v>3829739649422.7383</v>
      </c>
      <c r="Q6" s="16">
        <f>SUM('BIFUbC-electricity'!Q5,'BIFUbC-coal'!Q5,'BIFUbC-natural-gas'!Q5,'BIFUbC-biomass'!Q5,'BIFUbC-heat'!Q5,'BIFUbC-crude-oil'!Q5,'BIFUbC-petroleum-diesel'!Q5,'BIFUbC-heavy-or-residual-oil'!Q5,'BIFUbC-LPG-propane-or-butane'!Q5,'BIFUbC-hydrogen'!Q5)</f>
        <v>3831139695923.0425</v>
      </c>
      <c r="R6" s="16">
        <f>SUM('BIFUbC-electricity'!R5,'BIFUbC-coal'!R5,'BIFUbC-natural-gas'!R5,'BIFUbC-biomass'!R5,'BIFUbC-heat'!R5,'BIFUbC-crude-oil'!R5,'BIFUbC-petroleum-diesel'!R5,'BIFUbC-heavy-or-residual-oil'!R5,'BIFUbC-LPG-propane-or-butane'!R5,'BIFUbC-hydrogen'!R5)</f>
        <v>3832539742423.3486</v>
      </c>
      <c r="S6" s="16">
        <f>SUM('BIFUbC-electricity'!S5,'BIFUbC-coal'!S5,'BIFUbC-natural-gas'!S5,'BIFUbC-biomass'!S5,'BIFUbC-heat'!S5,'BIFUbC-crude-oil'!S5,'BIFUbC-petroleum-diesel'!S5,'BIFUbC-heavy-or-residual-oil'!S5,'BIFUbC-LPG-propane-or-butane'!S5,'BIFUbC-hydrogen'!S5)</f>
        <v>3833939788923.6543</v>
      </c>
      <c r="T6" s="16">
        <f>SUM('BIFUbC-electricity'!T5,'BIFUbC-coal'!T5,'BIFUbC-natural-gas'!T5,'BIFUbC-biomass'!T5,'BIFUbC-heat'!T5,'BIFUbC-crude-oil'!T5,'BIFUbC-petroleum-diesel'!T5,'BIFUbC-heavy-or-residual-oil'!T5,'BIFUbC-LPG-propane-or-butane'!T5,'BIFUbC-hydrogen'!T5)</f>
        <v>3835339835423.96</v>
      </c>
      <c r="U6" s="16">
        <f>SUM('BIFUbC-electricity'!U5,'BIFUbC-coal'!U5,'BIFUbC-natural-gas'!U5,'BIFUbC-biomass'!U5,'BIFUbC-heat'!U5,'BIFUbC-crude-oil'!U5,'BIFUbC-petroleum-diesel'!U5,'BIFUbC-heavy-or-residual-oil'!U5,'BIFUbC-LPG-propane-or-butane'!U5,'BIFUbC-hydrogen'!U5)</f>
        <v>3836739881924.2656</v>
      </c>
      <c r="V6" s="16">
        <f>SUM('BIFUbC-electricity'!V5,'BIFUbC-coal'!V5,'BIFUbC-natural-gas'!V5,'BIFUbC-biomass'!V5,'BIFUbC-heat'!V5,'BIFUbC-crude-oil'!V5,'BIFUbC-petroleum-diesel'!V5,'BIFUbC-heavy-or-residual-oil'!V5,'BIFUbC-LPG-propane-or-butane'!V5,'BIFUbC-hydrogen'!V5)</f>
        <v>3838139928424.5713</v>
      </c>
      <c r="W6" s="16">
        <f>SUM('BIFUbC-electricity'!W5,'BIFUbC-coal'!W5,'BIFUbC-natural-gas'!W5,'BIFUbC-biomass'!W5,'BIFUbC-heat'!W5,'BIFUbC-crude-oil'!W5,'BIFUbC-petroleum-diesel'!W5,'BIFUbC-heavy-or-residual-oil'!W5,'BIFUbC-LPG-propane-or-butane'!W5,'BIFUbC-hydrogen'!W5)</f>
        <v>3811935844837.3604</v>
      </c>
      <c r="X6" s="16">
        <f>SUM('BIFUbC-electricity'!X5,'BIFUbC-coal'!X5,'BIFUbC-natural-gas'!X5,'BIFUbC-biomass'!X5,'BIFUbC-heat'!X5,'BIFUbC-crude-oil'!X5,'BIFUbC-petroleum-diesel'!X5,'BIFUbC-heavy-or-residual-oil'!X5,'BIFUbC-LPG-propane-or-butane'!X5,'BIFUbC-hydrogen'!X5)</f>
        <v>3785731761250.1489</v>
      </c>
      <c r="Y6" s="16">
        <f>SUM('BIFUbC-electricity'!Y5,'BIFUbC-coal'!Y5,'BIFUbC-natural-gas'!Y5,'BIFUbC-biomass'!Y5,'BIFUbC-heat'!Y5,'BIFUbC-crude-oil'!Y5,'BIFUbC-petroleum-diesel'!Y5,'BIFUbC-heavy-or-residual-oil'!Y5,'BIFUbC-LPG-propane-or-butane'!Y5,'BIFUbC-hydrogen'!Y5)</f>
        <v>3759527677662.9385</v>
      </c>
      <c r="Z6" s="16">
        <f>SUM('BIFUbC-electricity'!Z5,'BIFUbC-coal'!Z5,'BIFUbC-natural-gas'!Z5,'BIFUbC-biomass'!Z5,'BIFUbC-heat'!Z5,'BIFUbC-crude-oil'!Z5,'BIFUbC-petroleum-diesel'!Z5,'BIFUbC-heavy-or-residual-oil'!Z5,'BIFUbC-LPG-propane-or-butane'!Z5,'BIFUbC-hydrogen'!Z5)</f>
        <v>3733323594075.7271</v>
      </c>
      <c r="AA6" s="16">
        <f>SUM('BIFUbC-electricity'!AA5,'BIFUbC-coal'!AA5,'BIFUbC-natural-gas'!AA5,'BIFUbC-biomass'!AA5,'BIFUbC-heat'!AA5,'BIFUbC-crude-oil'!AA5,'BIFUbC-petroleum-diesel'!AA5,'BIFUbC-heavy-or-residual-oil'!AA5,'BIFUbC-LPG-propane-or-butane'!AA5,'BIFUbC-hydrogen'!AA5)</f>
        <v>3707119510488.5161</v>
      </c>
      <c r="AB6" s="16">
        <f>SUM('BIFUbC-electricity'!AB5,'BIFUbC-coal'!AB5,'BIFUbC-natural-gas'!AB5,'BIFUbC-biomass'!AB5,'BIFUbC-heat'!AB5,'BIFUbC-crude-oil'!AB5,'BIFUbC-petroleum-diesel'!AB5,'BIFUbC-heavy-or-residual-oil'!AB5,'BIFUbC-LPG-propane-or-butane'!AB5,'BIFUbC-hydrogen'!AB5)</f>
        <v>3680915426901.3047</v>
      </c>
      <c r="AC6" s="16">
        <f>SUM('BIFUbC-electricity'!AC5,'BIFUbC-coal'!AC5,'BIFUbC-natural-gas'!AC5,'BIFUbC-biomass'!AC5,'BIFUbC-heat'!AC5,'BIFUbC-crude-oil'!AC5,'BIFUbC-petroleum-diesel'!AC5,'BIFUbC-heavy-or-residual-oil'!AC5,'BIFUbC-LPG-propane-or-butane'!AC5,'BIFUbC-hydrogen'!AC5)</f>
        <v>3654711343314.0938</v>
      </c>
      <c r="AD6" s="16">
        <f>SUM('BIFUbC-electricity'!AD5,'BIFUbC-coal'!AD5,'BIFUbC-natural-gas'!AD5,'BIFUbC-biomass'!AD5,'BIFUbC-heat'!AD5,'BIFUbC-crude-oil'!AD5,'BIFUbC-petroleum-diesel'!AD5,'BIFUbC-heavy-or-residual-oil'!AD5,'BIFUbC-LPG-propane-or-butane'!AD5,'BIFUbC-hydrogen'!AD5)</f>
        <v>3628507259726.8823</v>
      </c>
      <c r="AE6" s="16">
        <f>SUM('BIFUbC-electricity'!AE5,'BIFUbC-coal'!AE5,'BIFUbC-natural-gas'!AE5,'BIFUbC-biomass'!AE5,'BIFUbC-heat'!AE5,'BIFUbC-crude-oil'!AE5,'BIFUbC-petroleum-diesel'!AE5,'BIFUbC-heavy-or-residual-oil'!AE5,'BIFUbC-LPG-propane-or-butane'!AE5,'BIFUbC-hydrogen'!AE5)</f>
        <v>3602303176139.6714</v>
      </c>
      <c r="AF6" s="16">
        <f>SUM('BIFUbC-electricity'!AF5,'BIFUbC-coal'!AF5,'BIFUbC-natural-gas'!AF5,'BIFUbC-biomass'!AF5,'BIFUbC-heat'!AF5,'BIFUbC-crude-oil'!AF5,'BIFUbC-petroleum-diesel'!AF5,'BIFUbC-heavy-or-residual-oil'!AF5,'BIFUbC-LPG-propane-or-butane'!AF5,'BIFUbC-hydrogen'!AF5)</f>
        <v>3576099092552.46</v>
      </c>
    </row>
    <row r="7" spans="1:32">
      <c r="A7" t="s">
        <v>36</v>
      </c>
      <c r="B7" s="16">
        <f>SUM('BIFUbC-electricity'!B6,'BIFUbC-coal'!B6,'BIFUbC-natural-gas'!B6,'BIFUbC-biomass'!B6,'BIFUbC-heat'!B6,'BIFUbC-crude-oil'!B6,'BIFUbC-petroleum-diesel'!B6,'BIFUbC-heavy-or-residual-oil'!B6,'BIFUbC-LPG-propane-or-butane'!B6,'BIFUbC-hydrogen'!B6)</f>
        <v>39018991128857.586</v>
      </c>
      <c r="C7" s="16">
        <f>SUM('BIFUbC-electricity'!C6,'BIFUbC-coal'!C6,'BIFUbC-natural-gas'!C6,'BIFUbC-biomass'!C6,'BIFUbC-heat'!C6,'BIFUbC-crude-oil'!C6,'BIFUbC-petroleum-diesel'!C6,'BIFUbC-heavy-or-residual-oil'!C6,'BIFUbC-LPG-propane-or-butane'!C6,'BIFUbC-hydrogen'!C6)</f>
        <v>39743366522608.094</v>
      </c>
      <c r="D7" s="16">
        <f>SUM('BIFUbC-electricity'!D6,'BIFUbC-coal'!D6,'BIFUbC-natural-gas'!D6,'BIFUbC-biomass'!D6,'BIFUbC-heat'!D6,'BIFUbC-crude-oil'!D6,'BIFUbC-petroleum-diesel'!D6,'BIFUbC-heavy-or-residual-oil'!D6,'BIFUbC-LPG-propane-or-butane'!D6,'BIFUbC-hydrogen'!D6)</f>
        <v>40467741916358.555</v>
      </c>
      <c r="E7" s="16">
        <f>SUM('BIFUbC-electricity'!E6,'BIFUbC-coal'!E6,'BIFUbC-natural-gas'!E6,'BIFUbC-biomass'!E6,'BIFUbC-heat'!E6,'BIFUbC-crude-oil'!E6,'BIFUbC-petroleum-diesel'!E6,'BIFUbC-heavy-or-residual-oil'!E6,'BIFUbC-LPG-propane-or-butane'!E6,'BIFUbC-hydrogen'!E6)</f>
        <v>41192117310109.078</v>
      </c>
      <c r="F7" s="16">
        <f>SUM('BIFUbC-electricity'!F6,'BIFUbC-coal'!F6,'BIFUbC-natural-gas'!F6,'BIFUbC-biomass'!F6,'BIFUbC-heat'!F6,'BIFUbC-crude-oil'!F6,'BIFUbC-petroleum-diesel'!F6,'BIFUbC-heavy-or-residual-oil'!F6,'BIFUbC-LPG-propane-or-butane'!F6,'BIFUbC-hydrogen'!F6)</f>
        <v>41481186542463.664</v>
      </c>
      <c r="G7" s="16">
        <f>SUM('BIFUbC-electricity'!G6,'BIFUbC-coal'!G6,'BIFUbC-natural-gas'!G6,'BIFUbC-biomass'!G6,'BIFUbC-heat'!G6,'BIFUbC-crude-oil'!G6,'BIFUbC-petroleum-diesel'!G6,'BIFUbC-heavy-or-residual-oil'!G6,'BIFUbC-LPG-propane-or-butane'!G6,'BIFUbC-hydrogen'!G6)</f>
        <v>41770255774818.273</v>
      </c>
      <c r="H7" s="16">
        <f>SUM('BIFUbC-electricity'!H6,'BIFUbC-coal'!H6,'BIFUbC-natural-gas'!H6,'BIFUbC-biomass'!H6,'BIFUbC-heat'!H6,'BIFUbC-crude-oil'!H6,'BIFUbC-petroleum-diesel'!H6,'BIFUbC-heavy-or-residual-oil'!H6,'BIFUbC-LPG-propane-or-butane'!H6,'BIFUbC-hydrogen'!H6)</f>
        <v>42059325007172.891</v>
      </c>
      <c r="I7" s="16">
        <f>SUM('BIFUbC-electricity'!I6,'BIFUbC-coal'!I6,'BIFUbC-natural-gas'!I6,'BIFUbC-biomass'!I6,'BIFUbC-heat'!I6,'BIFUbC-crude-oil'!I6,'BIFUbC-petroleum-diesel'!I6,'BIFUbC-heavy-or-residual-oil'!I6,'BIFUbC-LPG-propane-or-butane'!I6,'BIFUbC-hydrogen'!I6)</f>
        <v>42348394239527.484</v>
      </c>
      <c r="J7" s="16">
        <f>SUM('BIFUbC-electricity'!J6,'BIFUbC-coal'!J6,'BIFUbC-natural-gas'!J6,'BIFUbC-biomass'!J6,'BIFUbC-heat'!J6,'BIFUbC-crude-oil'!J6,'BIFUbC-petroleum-diesel'!J6,'BIFUbC-heavy-or-residual-oil'!J6,'BIFUbC-LPG-propane-or-butane'!J6,'BIFUbC-hydrogen'!J6)</f>
        <v>42637463471882.102</v>
      </c>
      <c r="K7" s="16">
        <f>SUM('BIFUbC-electricity'!K6,'BIFUbC-coal'!K6,'BIFUbC-natural-gas'!K6,'BIFUbC-biomass'!K6,'BIFUbC-heat'!K6,'BIFUbC-crude-oil'!K6,'BIFUbC-petroleum-diesel'!K6,'BIFUbC-heavy-or-residual-oil'!K6,'BIFUbC-LPG-propane-or-butane'!K6,'BIFUbC-hydrogen'!K6)</f>
        <v>42926532704236.711</v>
      </c>
      <c r="L7" s="16">
        <f>SUM('BIFUbC-electricity'!L6,'BIFUbC-coal'!L6,'BIFUbC-natural-gas'!L6,'BIFUbC-biomass'!L6,'BIFUbC-heat'!L6,'BIFUbC-crude-oil'!L6,'BIFUbC-petroleum-diesel'!L6,'BIFUbC-heavy-or-residual-oil'!L6,'BIFUbC-LPG-propane-or-butane'!L6,'BIFUbC-hydrogen'!L6)</f>
        <v>43215601936591.305</v>
      </c>
      <c r="M7" s="16">
        <f>SUM('BIFUbC-electricity'!M6,'BIFUbC-coal'!M6,'BIFUbC-natural-gas'!M6,'BIFUbC-biomass'!M6,'BIFUbC-heat'!M6,'BIFUbC-crude-oil'!M6,'BIFUbC-petroleum-diesel'!M6,'BIFUbC-heavy-or-residual-oil'!M6,'BIFUbC-LPG-propane-or-butane'!M6,'BIFUbC-hydrogen'!M6)</f>
        <v>43237955671821.859</v>
      </c>
      <c r="N7" s="16">
        <f>SUM('BIFUbC-electricity'!N6,'BIFUbC-coal'!N6,'BIFUbC-natural-gas'!N6,'BIFUbC-biomass'!N6,'BIFUbC-heat'!N6,'BIFUbC-crude-oil'!N6,'BIFUbC-petroleum-diesel'!N6,'BIFUbC-heavy-or-residual-oil'!N6,'BIFUbC-LPG-propane-or-butane'!N6,'BIFUbC-hydrogen'!N6)</f>
        <v>43260309407052.391</v>
      </c>
      <c r="O7" s="16">
        <f>SUM('BIFUbC-electricity'!O6,'BIFUbC-coal'!O6,'BIFUbC-natural-gas'!O6,'BIFUbC-biomass'!O6,'BIFUbC-heat'!O6,'BIFUbC-crude-oil'!O6,'BIFUbC-petroleum-diesel'!O6,'BIFUbC-heavy-or-residual-oil'!O6,'BIFUbC-LPG-propane-or-butane'!O6,'BIFUbC-hydrogen'!O6)</f>
        <v>43282663142282.93</v>
      </c>
      <c r="P7" s="16">
        <f>SUM('BIFUbC-electricity'!P6,'BIFUbC-coal'!P6,'BIFUbC-natural-gas'!P6,'BIFUbC-biomass'!P6,'BIFUbC-heat'!P6,'BIFUbC-crude-oil'!P6,'BIFUbC-petroleum-diesel'!P6,'BIFUbC-heavy-or-residual-oil'!P6,'BIFUbC-LPG-propane-or-butane'!P6,'BIFUbC-hydrogen'!P6)</f>
        <v>43305016877513.484</v>
      </c>
      <c r="Q7" s="16">
        <f>SUM('BIFUbC-electricity'!Q6,'BIFUbC-coal'!Q6,'BIFUbC-natural-gas'!Q6,'BIFUbC-biomass'!Q6,'BIFUbC-heat'!Q6,'BIFUbC-crude-oil'!Q6,'BIFUbC-petroleum-diesel'!Q6,'BIFUbC-heavy-or-residual-oil'!Q6,'BIFUbC-LPG-propane-or-butane'!Q6,'BIFUbC-hydrogen'!Q6)</f>
        <v>43327370612744.016</v>
      </c>
      <c r="R7" s="16">
        <f>SUM('BIFUbC-electricity'!R6,'BIFUbC-coal'!R6,'BIFUbC-natural-gas'!R6,'BIFUbC-biomass'!R6,'BIFUbC-heat'!R6,'BIFUbC-crude-oil'!R6,'BIFUbC-petroleum-diesel'!R6,'BIFUbC-heavy-or-residual-oil'!R6,'BIFUbC-LPG-propane-or-butane'!R6,'BIFUbC-hydrogen'!R6)</f>
        <v>43349724347974.555</v>
      </c>
      <c r="S7" s="16">
        <f>SUM('BIFUbC-electricity'!S6,'BIFUbC-coal'!S6,'BIFUbC-natural-gas'!S6,'BIFUbC-biomass'!S6,'BIFUbC-heat'!S6,'BIFUbC-crude-oil'!S6,'BIFUbC-petroleum-diesel'!S6,'BIFUbC-heavy-or-residual-oil'!S6,'BIFUbC-LPG-propane-or-butane'!S6,'BIFUbC-hydrogen'!S6)</f>
        <v>43372078083205.086</v>
      </c>
      <c r="T7" s="16">
        <f>SUM('BIFUbC-electricity'!T6,'BIFUbC-coal'!T6,'BIFUbC-natural-gas'!T6,'BIFUbC-biomass'!T6,'BIFUbC-heat'!T6,'BIFUbC-crude-oil'!T6,'BIFUbC-petroleum-diesel'!T6,'BIFUbC-heavy-or-residual-oil'!T6,'BIFUbC-LPG-propane-or-butane'!T6,'BIFUbC-hydrogen'!T6)</f>
        <v>43394431818435.625</v>
      </c>
      <c r="U7" s="16">
        <f>SUM('BIFUbC-electricity'!U6,'BIFUbC-coal'!U6,'BIFUbC-natural-gas'!U6,'BIFUbC-biomass'!U6,'BIFUbC-heat'!U6,'BIFUbC-crude-oil'!U6,'BIFUbC-petroleum-diesel'!U6,'BIFUbC-heavy-or-residual-oil'!U6,'BIFUbC-LPG-propane-or-butane'!U6,'BIFUbC-hydrogen'!U6)</f>
        <v>43416785553666.172</v>
      </c>
      <c r="V7" s="16">
        <f>SUM('BIFUbC-electricity'!V6,'BIFUbC-coal'!V6,'BIFUbC-natural-gas'!V6,'BIFUbC-biomass'!V6,'BIFUbC-heat'!V6,'BIFUbC-crude-oil'!V6,'BIFUbC-petroleum-diesel'!V6,'BIFUbC-heavy-or-residual-oil'!V6,'BIFUbC-LPG-propane-or-butane'!V6,'BIFUbC-hydrogen'!V6)</f>
        <v>43439139288896.711</v>
      </c>
      <c r="W7" s="16">
        <f>SUM('BIFUbC-electricity'!W6,'BIFUbC-coal'!W6,'BIFUbC-natural-gas'!W6,'BIFUbC-biomass'!W6,'BIFUbC-heat'!W6,'BIFUbC-crude-oil'!W6,'BIFUbC-petroleum-diesel'!W6,'BIFUbC-heavy-or-residual-oil'!W6,'BIFUbC-LPG-propane-or-butane'!W6,'BIFUbC-hydrogen'!W6)</f>
        <v>43136970294673.844</v>
      </c>
      <c r="X7" s="16">
        <f>SUM('BIFUbC-electricity'!X6,'BIFUbC-coal'!X6,'BIFUbC-natural-gas'!X6,'BIFUbC-biomass'!X6,'BIFUbC-heat'!X6,'BIFUbC-crude-oil'!X6,'BIFUbC-petroleum-diesel'!X6,'BIFUbC-heavy-or-residual-oil'!X6,'BIFUbC-LPG-propane-or-butane'!X6,'BIFUbC-hydrogen'!X6)</f>
        <v>42834801300450.977</v>
      </c>
      <c r="Y7" s="16">
        <f>SUM('BIFUbC-electricity'!Y6,'BIFUbC-coal'!Y6,'BIFUbC-natural-gas'!Y6,'BIFUbC-biomass'!Y6,'BIFUbC-heat'!Y6,'BIFUbC-crude-oil'!Y6,'BIFUbC-petroleum-diesel'!Y6,'BIFUbC-heavy-or-residual-oil'!Y6,'BIFUbC-LPG-propane-or-butane'!Y6,'BIFUbC-hydrogen'!Y6)</f>
        <v>42532632306228.109</v>
      </c>
      <c r="Z7" s="16">
        <f>SUM('BIFUbC-electricity'!Z6,'BIFUbC-coal'!Z6,'BIFUbC-natural-gas'!Z6,'BIFUbC-biomass'!Z6,'BIFUbC-heat'!Z6,'BIFUbC-crude-oil'!Z6,'BIFUbC-petroleum-diesel'!Z6,'BIFUbC-heavy-or-residual-oil'!Z6,'BIFUbC-LPG-propane-or-butane'!Z6,'BIFUbC-hydrogen'!Z6)</f>
        <v>42230463312005.25</v>
      </c>
      <c r="AA7" s="16">
        <f>SUM('BIFUbC-electricity'!AA6,'BIFUbC-coal'!AA6,'BIFUbC-natural-gas'!AA6,'BIFUbC-biomass'!AA6,'BIFUbC-heat'!AA6,'BIFUbC-crude-oil'!AA6,'BIFUbC-petroleum-diesel'!AA6,'BIFUbC-heavy-or-residual-oil'!AA6,'BIFUbC-LPG-propane-or-butane'!AA6,'BIFUbC-hydrogen'!AA6)</f>
        <v>41928294317782.383</v>
      </c>
      <c r="AB7" s="16">
        <f>SUM('BIFUbC-electricity'!AB6,'BIFUbC-coal'!AB6,'BIFUbC-natural-gas'!AB6,'BIFUbC-biomass'!AB6,'BIFUbC-heat'!AB6,'BIFUbC-crude-oil'!AB6,'BIFUbC-petroleum-diesel'!AB6,'BIFUbC-heavy-or-residual-oil'!AB6,'BIFUbC-LPG-propane-or-butane'!AB6,'BIFUbC-hydrogen'!AB6)</f>
        <v>41626125323559.508</v>
      </c>
      <c r="AC7" s="16">
        <f>SUM('BIFUbC-electricity'!AC6,'BIFUbC-coal'!AC6,'BIFUbC-natural-gas'!AC6,'BIFUbC-biomass'!AC6,'BIFUbC-heat'!AC6,'BIFUbC-crude-oil'!AC6,'BIFUbC-petroleum-diesel'!AC6,'BIFUbC-heavy-or-residual-oil'!AC6,'BIFUbC-LPG-propane-or-butane'!AC6,'BIFUbC-hydrogen'!AC6)</f>
        <v>41323956329336.648</v>
      </c>
      <c r="AD7" s="16">
        <f>SUM('BIFUbC-electricity'!AD6,'BIFUbC-coal'!AD6,'BIFUbC-natural-gas'!AD6,'BIFUbC-biomass'!AD6,'BIFUbC-heat'!AD6,'BIFUbC-crude-oil'!AD6,'BIFUbC-petroleum-diesel'!AD6,'BIFUbC-heavy-or-residual-oil'!AD6,'BIFUbC-LPG-propane-or-butane'!AD6,'BIFUbC-hydrogen'!AD6)</f>
        <v>41021787335113.773</v>
      </c>
      <c r="AE7" s="16">
        <f>SUM('BIFUbC-electricity'!AE6,'BIFUbC-coal'!AE6,'BIFUbC-natural-gas'!AE6,'BIFUbC-biomass'!AE6,'BIFUbC-heat'!AE6,'BIFUbC-crude-oil'!AE6,'BIFUbC-petroleum-diesel'!AE6,'BIFUbC-heavy-or-residual-oil'!AE6,'BIFUbC-LPG-propane-or-butane'!AE6,'BIFUbC-hydrogen'!AE6)</f>
        <v>40719618340890.898</v>
      </c>
      <c r="AF7" s="16">
        <f>SUM('BIFUbC-electricity'!AF6,'BIFUbC-coal'!AF6,'BIFUbC-natural-gas'!AF6,'BIFUbC-biomass'!AF6,'BIFUbC-heat'!AF6,'BIFUbC-crude-oil'!AF6,'BIFUbC-petroleum-diesel'!AF6,'BIFUbC-heavy-or-residual-oil'!AF6,'BIFUbC-LPG-propane-or-butane'!AF6,'BIFUbC-hydrogen'!AF6)</f>
        <v>40417449346668.031</v>
      </c>
    </row>
    <row r="8" spans="1:32">
      <c r="A8" t="s">
        <v>38</v>
      </c>
      <c r="B8" s="16">
        <f>SUM('BIFUbC-electricity'!B7,'BIFUbC-coal'!B7,'BIFUbC-natural-gas'!B7,'BIFUbC-biomass'!B7,'BIFUbC-heat'!B7,'BIFUbC-crude-oil'!B7,'BIFUbC-petroleum-diesel'!B7,'BIFUbC-heavy-or-residual-oil'!B7,'BIFUbC-LPG-propane-or-butane'!B7,'BIFUbC-hydrogen'!B7)</f>
        <v>25245627494578.234</v>
      </c>
      <c r="C8" s="16">
        <f>SUM('BIFUbC-electricity'!C7,'BIFUbC-coal'!C7,'BIFUbC-natural-gas'!C7,'BIFUbC-biomass'!C7,'BIFUbC-heat'!C7,'BIFUbC-crude-oil'!C7,'BIFUbC-petroleum-diesel'!C7,'BIFUbC-heavy-or-residual-oil'!C7,'BIFUbC-LPG-propane-or-butane'!C7,'BIFUbC-hydrogen'!C7)</f>
        <v>25843396797297.555</v>
      </c>
      <c r="D8" s="16">
        <f>SUM('BIFUbC-electricity'!D7,'BIFUbC-coal'!D7,'BIFUbC-natural-gas'!D7,'BIFUbC-biomass'!D7,'BIFUbC-heat'!D7,'BIFUbC-crude-oil'!D7,'BIFUbC-petroleum-diesel'!D7,'BIFUbC-heavy-or-residual-oil'!D7,'BIFUbC-LPG-propane-or-butane'!D7,'BIFUbC-hydrogen'!D7)</f>
        <v>26441166100016.891</v>
      </c>
      <c r="E8" s="16">
        <f>SUM('BIFUbC-electricity'!E7,'BIFUbC-coal'!E7,'BIFUbC-natural-gas'!E7,'BIFUbC-biomass'!E7,'BIFUbC-heat'!E7,'BIFUbC-crude-oil'!E7,'BIFUbC-petroleum-diesel'!E7,'BIFUbC-heavy-or-residual-oil'!E7,'BIFUbC-LPG-propane-or-butane'!E7,'BIFUbC-hydrogen'!E7)</f>
        <v>27038935402736.223</v>
      </c>
      <c r="F8" s="16">
        <f>SUM('BIFUbC-electricity'!F7,'BIFUbC-coal'!F7,'BIFUbC-natural-gas'!F7,'BIFUbC-biomass'!F7,'BIFUbC-heat'!F7,'BIFUbC-crude-oil'!F7,'BIFUbC-petroleum-diesel'!F7,'BIFUbC-heavy-or-residual-oil'!F7,'BIFUbC-LPG-propane-or-butane'!F7,'BIFUbC-hydrogen'!F7)</f>
        <v>27295488501755.063</v>
      </c>
      <c r="G8" s="16">
        <f>SUM('BIFUbC-electricity'!G7,'BIFUbC-coal'!G7,'BIFUbC-natural-gas'!G7,'BIFUbC-biomass'!G7,'BIFUbC-heat'!G7,'BIFUbC-crude-oil'!G7,'BIFUbC-petroleum-diesel'!G7,'BIFUbC-heavy-or-residual-oil'!G7,'BIFUbC-LPG-propane-or-butane'!G7,'BIFUbC-hydrogen'!G7)</f>
        <v>27552041600773.91</v>
      </c>
      <c r="H8" s="16">
        <f>SUM('BIFUbC-electricity'!H7,'BIFUbC-coal'!H7,'BIFUbC-natural-gas'!H7,'BIFUbC-biomass'!H7,'BIFUbC-heat'!H7,'BIFUbC-crude-oil'!H7,'BIFUbC-petroleum-diesel'!H7,'BIFUbC-heavy-or-residual-oil'!H7,'BIFUbC-LPG-propane-or-butane'!H7,'BIFUbC-hydrogen'!H7)</f>
        <v>27808594699792.766</v>
      </c>
      <c r="I8" s="16">
        <f>SUM('BIFUbC-electricity'!I7,'BIFUbC-coal'!I7,'BIFUbC-natural-gas'!I7,'BIFUbC-biomass'!I7,'BIFUbC-heat'!I7,'BIFUbC-crude-oil'!I7,'BIFUbC-petroleum-diesel'!I7,'BIFUbC-heavy-or-residual-oil'!I7,'BIFUbC-LPG-propane-or-butane'!I7,'BIFUbC-hydrogen'!I7)</f>
        <v>28065147798811.621</v>
      </c>
      <c r="J8" s="16">
        <f>SUM('BIFUbC-electricity'!J7,'BIFUbC-coal'!J7,'BIFUbC-natural-gas'!J7,'BIFUbC-biomass'!J7,'BIFUbC-heat'!J7,'BIFUbC-crude-oil'!J7,'BIFUbC-petroleum-diesel'!J7,'BIFUbC-heavy-or-residual-oil'!J7,'BIFUbC-LPG-propane-or-butane'!J7,'BIFUbC-hydrogen'!J7)</f>
        <v>28321700897830.477</v>
      </c>
      <c r="K8" s="16">
        <f>SUM('BIFUbC-electricity'!K7,'BIFUbC-coal'!K7,'BIFUbC-natural-gas'!K7,'BIFUbC-biomass'!K7,'BIFUbC-heat'!K7,'BIFUbC-crude-oil'!K7,'BIFUbC-petroleum-diesel'!K7,'BIFUbC-heavy-or-residual-oil'!K7,'BIFUbC-LPG-propane-or-butane'!K7,'BIFUbC-hydrogen'!K7)</f>
        <v>28578253996849.32</v>
      </c>
      <c r="L8" s="16">
        <f>SUM('BIFUbC-electricity'!L7,'BIFUbC-coal'!L7,'BIFUbC-natural-gas'!L7,'BIFUbC-biomass'!L7,'BIFUbC-heat'!L7,'BIFUbC-crude-oil'!L7,'BIFUbC-petroleum-diesel'!L7,'BIFUbC-heavy-or-residual-oil'!L7,'BIFUbC-LPG-propane-or-butane'!L7,'BIFUbC-hydrogen'!L7)</f>
        <v>28834807095868.172</v>
      </c>
      <c r="M8" s="16">
        <f>SUM('BIFUbC-electricity'!M7,'BIFUbC-coal'!M7,'BIFUbC-natural-gas'!M7,'BIFUbC-biomass'!M7,'BIFUbC-heat'!M7,'BIFUbC-crude-oil'!M7,'BIFUbC-petroleum-diesel'!M7,'BIFUbC-heavy-or-residual-oil'!M7,'BIFUbC-LPG-propane-or-butane'!M7,'BIFUbC-hydrogen'!M7)</f>
        <v>28849927810650.5</v>
      </c>
      <c r="N8" s="16">
        <f>SUM('BIFUbC-electricity'!N7,'BIFUbC-coal'!N7,'BIFUbC-natural-gas'!N7,'BIFUbC-biomass'!N7,'BIFUbC-heat'!N7,'BIFUbC-crude-oil'!N7,'BIFUbC-petroleum-diesel'!N7,'BIFUbC-heavy-or-residual-oil'!N7,'BIFUbC-LPG-propane-or-butane'!N7,'BIFUbC-hydrogen'!N7)</f>
        <v>28865048525432.816</v>
      </c>
      <c r="O8" s="16">
        <f>SUM('BIFUbC-electricity'!O7,'BIFUbC-coal'!O7,'BIFUbC-natural-gas'!O7,'BIFUbC-biomass'!O7,'BIFUbC-heat'!O7,'BIFUbC-crude-oil'!O7,'BIFUbC-petroleum-diesel'!O7,'BIFUbC-heavy-or-residual-oil'!O7,'BIFUbC-LPG-propane-or-butane'!O7,'BIFUbC-hydrogen'!O7)</f>
        <v>28880169240215.137</v>
      </c>
      <c r="P8" s="16">
        <f>SUM('BIFUbC-electricity'!P7,'BIFUbC-coal'!P7,'BIFUbC-natural-gas'!P7,'BIFUbC-biomass'!P7,'BIFUbC-heat'!P7,'BIFUbC-crude-oil'!P7,'BIFUbC-petroleum-diesel'!P7,'BIFUbC-heavy-or-residual-oil'!P7,'BIFUbC-LPG-propane-or-butane'!P7,'BIFUbC-hydrogen'!P7)</f>
        <v>28895289954997.449</v>
      </c>
      <c r="Q8" s="16">
        <f>SUM('BIFUbC-electricity'!Q7,'BIFUbC-coal'!Q7,'BIFUbC-natural-gas'!Q7,'BIFUbC-biomass'!Q7,'BIFUbC-heat'!Q7,'BIFUbC-crude-oil'!Q7,'BIFUbC-petroleum-diesel'!Q7,'BIFUbC-heavy-or-residual-oil'!Q7,'BIFUbC-LPG-propane-or-butane'!Q7,'BIFUbC-hydrogen'!Q7)</f>
        <v>28910410669779.77</v>
      </c>
      <c r="R8" s="16">
        <f>SUM('BIFUbC-electricity'!R7,'BIFUbC-coal'!R7,'BIFUbC-natural-gas'!R7,'BIFUbC-biomass'!R7,'BIFUbC-heat'!R7,'BIFUbC-crude-oil'!R7,'BIFUbC-petroleum-diesel'!R7,'BIFUbC-heavy-or-residual-oil'!R7,'BIFUbC-LPG-propane-or-butane'!R7,'BIFUbC-hydrogen'!R7)</f>
        <v>28925531384562.094</v>
      </c>
      <c r="S8" s="16">
        <f>SUM('BIFUbC-electricity'!S7,'BIFUbC-coal'!S7,'BIFUbC-natural-gas'!S7,'BIFUbC-biomass'!S7,'BIFUbC-heat'!S7,'BIFUbC-crude-oil'!S7,'BIFUbC-petroleum-diesel'!S7,'BIFUbC-heavy-or-residual-oil'!S7,'BIFUbC-LPG-propane-or-butane'!S7,'BIFUbC-hydrogen'!S7)</f>
        <v>28940652099344.406</v>
      </c>
      <c r="T8" s="16">
        <f>SUM('BIFUbC-electricity'!T7,'BIFUbC-coal'!T7,'BIFUbC-natural-gas'!T7,'BIFUbC-biomass'!T7,'BIFUbC-heat'!T7,'BIFUbC-crude-oil'!T7,'BIFUbC-petroleum-diesel'!T7,'BIFUbC-heavy-or-residual-oil'!T7,'BIFUbC-LPG-propane-or-butane'!T7,'BIFUbC-hydrogen'!T7)</f>
        <v>28955772814126.73</v>
      </c>
      <c r="U8" s="16">
        <f>SUM('BIFUbC-electricity'!U7,'BIFUbC-coal'!U7,'BIFUbC-natural-gas'!U7,'BIFUbC-biomass'!U7,'BIFUbC-heat'!U7,'BIFUbC-crude-oil'!U7,'BIFUbC-petroleum-diesel'!U7,'BIFUbC-heavy-or-residual-oil'!U7,'BIFUbC-LPG-propane-or-butane'!U7,'BIFUbC-hydrogen'!U7)</f>
        <v>28970893528909.051</v>
      </c>
      <c r="V8" s="16">
        <f>SUM('BIFUbC-electricity'!V7,'BIFUbC-coal'!V7,'BIFUbC-natural-gas'!V7,'BIFUbC-biomass'!V7,'BIFUbC-heat'!V7,'BIFUbC-crude-oil'!V7,'BIFUbC-petroleum-diesel'!V7,'BIFUbC-heavy-or-residual-oil'!V7,'BIFUbC-LPG-propane-or-butane'!V7,'BIFUbC-hydrogen'!V7)</f>
        <v>28986014243691.371</v>
      </c>
      <c r="W8" s="16">
        <f>SUM('BIFUbC-electricity'!W7,'BIFUbC-coal'!W7,'BIFUbC-natural-gas'!W7,'BIFUbC-biomass'!W7,'BIFUbC-heat'!W7,'BIFUbC-crude-oil'!W7,'BIFUbC-petroleum-diesel'!W7,'BIFUbC-heavy-or-residual-oil'!W7,'BIFUbC-LPG-propane-or-butane'!W7,'BIFUbC-hydrogen'!W7)</f>
        <v>28789471431554.402</v>
      </c>
      <c r="X8" s="16">
        <f>SUM('BIFUbC-electricity'!X7,'BIFUbC-coal'!X7,'BIFUbC-natural-gas'!X7,'BIFUbC-biomass'!X7,'BIFUbC-heat'!X7,'BIFUbC-crude-oil'!X7,'BIFUbC-petroleum-diesel'!X7,'BIFUbC-heavy-or-residual-oil'!X7,'BIFUbC-LPG-propane-or-butane'!X7,'BIFUbC-hydrogen'!X7)</f>
        <v>28592928619417.434</v>
      </c>
      <c r="Y8" s="16">
        <f>SUM('BIFUbC-electricity'!Y7,'BIFUbC-coal'!Y7,'BIFUbC-natural-gas'!Y7,'BIFUbC-biomass'!Y7,'BIFUbC-heat'!Y7,'BIFUbC-crude-oil'!Y7,'BIFUbC-petroleum-diesel'!Y7,'BIFUbC-heavy-or-residual-oil'!Y7,'BIFUbC-LPG-propane-or-butane'!Y7,'BIFUbC-hydrogen'!Y7)</f>
        <v>28396385807280.477</v>
      </c>
      <c r="Z8" s="16">
        <f>SUM('BIFUbC-electricity'!Z7,'BIFUbC-coal'!Z7,'BIFUbC-natural-gas'!Z7,'BIFUbC-biomass'!Z7,'BIFUbC-heat'!Z7,'BIFUbC-crude-oil'!Z7,'BIFUbC-petroleum-diesel'!Z7,'BIFUbC-heavy-or-residual-oil'!Z7,'BIFUbC-LPG-propane-or-butane'!Z7,'BIFUbC-hydrogen'!Z7)</f>
        <v>28199842995143.512</v>
      </c>
      <c r="AA8" s="16">
        <f>SUM('BIFUbC-electricity'!AA7,'BIFUbC-coal'!AA7,'BIFUbC-natural-gas'!AA7,'BIFUbC-biomass'!AA7,'BIFUbC-heat'!AA7,'BIFUbC-crude-oil'!AA7,'BIFUbC-petroleum-diesel'!AA7,'BIFUbC-heavy-or-residual-oil'!AA7,'BIFUbC-LPG-propane-or-butane'!AA7,'BIFUbC-hydrogen'!AA7)</f>
        <v>28003300183006.551</v>
      </c>
      <c r="AB8" s="16">
        <f>SUM('BIFUbC-electricity'!AB7,'BIFUbC-coal'!AB7,'BIFUbC-natural-gas'!AB7,'BIFUbC-biomass'!AB7,'BIFUbC-heat'!AB7,'BIFUbC-crude-oil'!AB7,'BIFUbC-petroleum-diesel'!AB7,'BIFUbC-heavy-or-residual-oil'!AB7,'BIFUbC-LPG-propane-or-butane'!AB7,'BIFUbC-hydrogen'!AB7)</f>
        <v>27806757370869.59</v>
      </c>
      <c r="AC8" s="16">
        <f>SUM('BIFUbC-electricity'!AC7,'BIFUbC-coal'!AC7,'BIFUbC-natural-gas'!AC7,'BIFUbC-biomass'!AC7,'BIFUbC-heat'!AC7,'BIFUbC-crude-oil'!AC7,'BIFUbC-petroleum-diesel'!AC7,'BIFUbC-heavy-or-residual-oil'!AC7,'BIFUbC-LPG-propane-or-butane'!AC7,'BIFUbC-hydrogen'!AC7)</f>
        <v>27610214558732.621</v>
      </c>
      <c r="AD8" s="16">
        <f>SUM('BIFUbC-electricity'!AD7,'BIFUbC-coal'!AD7,'BIFUbC-natural-gas'!AD7,'BIFUbC-biomass'!AD7,'BIFUbC-heat'!AD7,'BIFUbC-crude-oil'!AD7,'BIFUbC-petroleum-diesel'!AD7,'BIFUbC-heavy-or-residual-oil'!AD7,'BIFUbC-LPG-propane-or-butane'!AD7,'BIFUbC-hydrogen'!AD7)</f>
        <v>27413671746595.664</v>
      </c>
      <c r="AE8" s="16">
        <f>SUM('BIFUbC-electricity'!AE7,'BIFUbC-coal'!AE7,'BIFUbC-natural-gas'!AE7,'BIFUbC-biomass'!AE7,'BIFUbC-heat'!AE7,'BIFUbC-crude-oil'!AE7,'BIFUbC-petroleum-diesel'!AE7,'BIFUbC-heavy-or-residual-oil'!AE7,'BIFUbC-LPG-propane-or-butane'!AE7,'BIFUbC-hydrogen'!AE7)</f>
        <v>27217128934458.695</v>
      </c>
      <c r="AF8" s="16">
        <f>SUM('BIFUbC-electricity'!AF7,'BIFUbC-coal'!AF7,'BIFUbC-natural-gas'!AF7,'BIFUbC-biomass'!AF7,'BIFUbC-heat'!AF7,'BIFUbC-crude-oil'!AF7,'BIFUbC-petroleum-diesel'!AF7,'BIFUbC-heavy-or-residual-oil'!AF7,'BIFUbC-LPG-propane-or-butane'!AF7,'BIFUbC-hydrogen'!AF7)</f>
        <v>27020586122321.73</v>
      </c>
    </row>
    <row r="9" spans="1:32">
      <c r="A9" t="s">
        <v>40</v>
      </c>
      <c r="B9" s="16">
        <f>SUM('BIFUbC-electricity'!B8,'BIFUbC-coal'!B8,'BIFUbC-natural-gas'!B8,'BIFUbC-biomass'!B8,'BIFUbC-heat'!B8,'BIFUbC-crude-oil'!B8,'BIFUbC-petroleum-diesel'!B8,'BIFUbC-heavy-or-residual-oil'!B8,'BIFUbC-LPG-propane-or-butane'!B8,'BIFUbC-hydrogen'!B8)</f>
        <v>4117223181609.832</v>
      </c>
      <c r="C9" s="16">
        <f>SUM('BIFUbC-electricity'!C8,'BIFUbC-coal'!C8,'BIFUbC-natural-gas'!C8,'BIFUbC-biomass'!C8,'BIFUbC-heat'!C8,'BIFUbC-crude-oil'!C8,'BIFUbC-petroleum-diesel'!C8,'BIFUbC-heavy-or-residual-oil'!C8,'BIFUbC-LPG-propane-or-butane'!C8,'BIFUbC-hydrogen'!C8)</f>
        <v>4224196035899.564</v>
      </c>
      <c r="D9" s="16">
        <f>SUM('BIFUbC-electricity'!D8,'BIFUbC-coal'!D8,'BIFUbC-natural-gas'!D8,'BIFUbC-biomass'!D8,'BIFUbC-heat'!D8,'BIFUbC-crude-oil'!D8,'BIFUbC-petroleum-diesel'!D8,'BIFUbC-heavy-or-residual-oil'!D8,'BIFUbC-LPG-propane-or-butane'!D8,'BIFUbC-hydrogen'!D8)</f>
        <v>4331168890189.2969</v>
      </c>
      <c r="E9" s="16">
        <f>SUM('BIFUbC-electricity'!E8,'BIFUbC-coal'!E8,'BIFUbC-natural-gas'!E8,'BIFUbC-biomass'!E8,'BIFUbC-heat'!E8,'BIFUbC-crude-oil'!E8,'BIFUbC-petroleum-diesel'!E8,'BIFUbC-heavy-or-residual-oil'!E8,'BIFUbC-LPG-propane-or-butane'!E8,'BIFUbC-hydrogen'!E8)</f>
        <v>4438141744479.0293</v>
      </c>
      <c r="F9" s="16">
        <f>SUM('BIFUbC-electricity'!F8,'BIFUbC-coal'!F8,'BIFUbC-natural-gas'!F8,'BIFUbC-biomass'!F8,'BIFUbC-heat'!F8,'BIFUbC-crude-oil'!F8,'BIFUbC-petroleum-diesel'!F8,'BIFUbC-heavy-or-residual-oil'!F8,'BIFUbC-LPG-propane-or-butane'!F8,'BIFUbC-hydrogen'!F8)</f>
        <v>4484104586954.6934</v>
      </c>
      <c r="G9" s="16">
        <f>SUM('BIFUbC-electricity'!G8,'BIFUbC-coal'!G8,'BIFUbC-natural-gas'!G8,'BIFUbC-biomass'!G8,'BIFUbC-heat'!G8,'BIFUbC-crude-oil'!G8,'BIFUbC-petroleum-diesel'!G8,'BIFUbC-heavy-or-residual-oil'!G8,'BIFUbC-LPG-propane-or-butane'!G8,'BIFUbC-hydrogen'!G8)</f>
        <v>4530067429430.3555</v>
      </c>
      <c r="H9" s="16">
        <f>SUM('BIFUbC-electricity'!H8,'BIFUbC-coal'!H8,'BIFUbC-natural-gas'!H8,'BIFUbC-biomass'!H8,'BIFUbC-heat'!H8,'BIFUbC-crude-oil'!H8,'BIFUbC-petroleum-diesel'!H8,'BIFUbC-heavy-or-residual-oil'!H8,'BIFUbC-LPG-propane-or-butane'!H8,'BIFUbC-hydrogen'!H8)</f>
        <v>4576030271906.0195</v>
      </c>
      <c r="I9" s="16">
        <f>SUM('BIFUbC-electricity'!I8,'BIFUbC-coal'!I8,'BIFUbC-natural-gas'!I8,'BIFUbC-biomass'!I8,'BIFUbC-heat'!I8,'BIFUbC-crude-oil'!I8,'BIFUbC-petroleum-diesel'!I8,'BIFUbC-heavy-or-residual-oil'!I8,'BIFUbC-LPG-propane-or-butane'!I8,'BIFUbC-hydrogen'!I8)</f>
        <v>4621993114381.6836</v>
      </c>
      <c r="J9" s="16">
        <f>SUM('BIFUbC-electricity'!J8,'BIFUbC-coal'!J8,'BIFUbC-natural-gas'!J8,'BIFUbC-biomass'!J8,'BIFUbC-heat'!J8,'BIFUbC-crude-oil'!J8,'BIFUbC-petroleum-diesel'!J8,'BIFUbC-heavy-or-residual-oil'!J8,'BIFUbC-LPG-propane-or-butane'!J8,'BIFUbC-hydrogen'!J8)</f>
        <v>4667955956857.3477</v>
      </c>
      <c r="K9" s="16">
        <f>SUM('BIFUbC-electricity'!K8,'BIFUbC-coal'!K8,'BIFUbC-natural-gas'!K8,'BIFUbC-biomass'!K8,'BIFUbC-heat'!K8,'BIFUbC-crude-oil'!K8,'BIFUbC-petroleum-diesel'!K8,'BIFUbC-heavy-or-residual-oil'!K8,'BIFUbC-LPG-propane-or-butane'!K8,'BIFUbC-hydrogen'!K8)</f>
        <v>4713918799333.0107</v>
      </c>
      <c r="L9" s="16">
        <f>SUM('BIFUbC-electricity'!L8,'BIFUbC-coal'!L8,'BIFUbC-natural-gas'!L8,'BIFUbC-biomass'!L8,'BIFUbC-heat'!L8,'BIFUbC-crude-oil'!L8,'BIFUbC-petroleum-diesel'!L8,'BIFUbC-heavy-or-residual-oil'!L8,'BIFUbC-LPG-propane-or-butane'!L8,'BIFUbC-hydrogen'!L8)</f>
        <v>4759881641808.6748</v>
      </c>
      <c r="M9" s="16">
        <f>SUM('BIFUbC-electricity'!M8,'BIFUbC-coal'!M8,'BIFUbC-natural-gas'!M8,'BIFUbC-biomass'!M8,'BIFUbC-heat'!M8,'BIFUbC-crude-oil'!M8,'BIFUbC-petroleum-diesel'!M8,'BIFUbC-heavy-or-residual-oil'!M8,'BIFUbC-LPG-propane-or-butane'!M8,'BIFUbC-hydrogen'!M8)</f>
        <v>4762955049890.6025</v>
      </c>
      <c r="N9" s="16">
        <f>SUM('BIFUbC-electricity'!N8,'BIFUbC-coal'!N8,'BIFUbC-natural-gas'!N8,'BIFUbC-biomass'!N8,'BIFUbC-heat'!N8,'BIFUbC-crude-oil'!N8,'BIFUbC-petroleum-diesel'!N8,'BIFUbC-heavy-or-residual-oil'!N8,'BIFUbC-LPG-propane-or-butane'!N8,'BIFUbC-hydrogen'!N8)</f>
        <v>4766028457972.5322</v>
      </c>
      <c r="O9" s="16">
        <f>SUM('BIFUbC-electricity'!O8,'BIFUbC-coal'!O8,'BIFUbC-natural-gas'!O8,'BIFUbC-biomass'!O8,'BIFUbC-heat'!O8,'BIFUbC-crude-oil'!O8,'BIFUbC-petroleum-diesel'!O8,'BIFUbC-heavy-or-residual-oil'!O8,'BIFUbC-LPG-propane-or-butane'!O8,'BIFUbC-hydrogen'!O8)</f>
        <v>4769101866054.4609</v>
      </c>
      <c r="P9" s="16">
        <f>SUM('BIFUbC-electricity'!P8,'BIFUbC-coal'!P8,'BIFUbC-natural-gas'!P8,'BIFUbC-biomass'!P8,'BIFUbC-heat'!P8,'BIFUbC-crude-oil'!P8,'BIFUbC-petroleum-diesel'!P8,'BIFUbC-heavy-or-residual-oil'!P8,'BIFUbC-LPG-propane-or-butane'!P8,'BIFUbC-hydrogen'!P8)</f>
        <v>4772175274136.3877</v>
      </c>
      <c r="Q9" s="16">
        <f>SUM('BIFUbC-electricity'!Q8,'BIFUbC-coal'!Q8,'BIFUbC-natural-gas'!Q8,'BIFUbC-biomass'!Q8,'BIFUbC-heat'!Q8,'BIFUbC-crude-oil'!Q8,'BIFUbC-petroleum-diesel'!Q8,'BIFUbC-heavy-or-residual-oil'!Q8,'BIFUbC-LPG-propane-or-butane'!Q8,'BIFUbC-hydrogen'!Q8)</f>
        <v>4775248682218.3174</v>
      </c>
      <c r="R9" s="16">
        <f>SUM('BIFUbC-electricity'!R8,'BIFUbC-coal'!R8,'BIFUbC-natural-gas'!R8,'BIFUbC-biomass'!R8,'BIFUbC-heat'!R8,'BIFUbC-crude-oil'!R8,'BIFUbC-petroleum-diesel'!R8,'BIFUbC-heavy-or-residual-oil'!R8,'BIFUbC-LPG-propane-or-butane'!R8,'BIFUbC-hydrogen'!R8)</f>
        <v>4778322090300.2451</v>
      </c>
      <c r="S9" s="16">
        <f>SUM('BIFUbC-electricity'!S8,'BIFUbC-coal'!S8,'BIFUbC-natural-gas'!S8,'BIFUbC-biomass'!S8,'BIFUbC-heat'!S8,'BIFUbC-crude-oil'!S8,'BIFUbC-petroleum-diesel'!S8,'BIFUbC-heavy-or-residual-oil'!S8,'BIFUbC-LPG-propane-or-butane'!S8,'BIFUbC-hydrogen'!S8)</f>
        <v>4781395498382.1738</v>
      </c>
      <c r="T9" s="16">
        <f>SUM('BIFUbC-electricity'!T8,'BIFUbC-coal'!T8,'BIFUbC-natural-gas'!T8,'BIFUbC-biomass'!T8,'BIFUbC-heat'!T8,'BIFUbC-crude-oil'!T8,'BIFUbC-petroleum-diesel'!T8,'BIFUbC-heavy-or-residual-oil'!T8,'BIFUbC-LPG-propane-or-butane'!T8,'BIFUbC-hydrogen'!T8)</f>
        <v>4784468906464.1016</v>
      </c>
      <c r="U9" s="16">
        <f>SUM('BIFUbC-electricity'!U8,'BIFUbC-coal'!U8,'BIFUbC-natural-gas'!U8,'BIFUbC-biomass'!U8,'BIFUbC-heat'!U8,'BIFUbC-crude-oil'!U8,'BIFUbC-petroleum-diesel'!U8,'BIFUbC-heavy-or-residual-oil'!U8,'BIFUbC-LPG-propane-or-butane'!U8,'BIFUbC-hydrogen'!U8)</f>
        <v>4787542314546.0313</v>
      </c>
      <c r="V9" s="16">
        <f>SUM('BIFUbC-electricity'!V8,'BIFUbC-coal'!V8,'BIFUbC-natural-gas'!V8,'BIFUbC-biomass'!V8,'BIFUbC-heat'!V8,'BIFUbC-crude-oil'!V8,'BIFUbC-petroleum-diesel'!V8,'BIFUbC-heavy-or-residual-oil'!V8,'BIFUbC-LPG-propane-or-butane'!V8,'BIFUbC-hydrogen'!V8)</f>
        <v>4790615722627.96</v>
      </c>
      <c r="W9" s="16">
        <f>SUM('BIFUbC-electricity'!W8,'BIFUbC-coal'!W8,'BIFUbC-natural-gas'!W8,'BIFUbC-biomass'!W8,'BIFUbC-heat'!W8,'BIFUbC-crude-oil'!W8,'BIFUbC-petroleum-diesel'!W8,'BIFUbC-heavy-or-residual-oil'!W8,'BIFUbC-LPG-propane-or-butane'!W8,'BIFUbC-hydrogen'!W8)</f>
        <v>4759294224788.5488</v>
      </c>
      <c r="X9" s="16">
        <f>SUM('BIFUbC-electricity'!X8,'BIFUbC-coal'!X8,'BIFUbC-natural-gas'!X8,'BIFUbC-biomass'!X8,'BIFUbC-heat'!X8,'BIFUbC-crude-oil'!X8,'BIFUbC-petroleum-diesel'!X8,'BIFUbC-heavy-or-residual-oil'!X8,'BIFUbC-LPG-propane-or-butane'!X8,'BIFUbC-hydrogen'!X8)</f>
        <v>4727972726949.1357</v>
      </c>
      <c r="Y9" s="16">
        <f>SUM('BIFUbC-electricity'!Y8,'BIFUbC-coal'!Y8,'BIFUbC-natural-gas'!Y8,'BIFUbC-biomass'!Y8,'BIFUbC-heat'!Y8,'BIFUbC-crude-oil'!Y8,'BIFUbC-petroleum-diesel'!Y8,'BIFUbC-heavy-or-residual-oil'!Y8,'BIFUbC-LPG-propane-or-butane'!Y8,'BIFUbC-hydrogen'!Y8)</f>
        <v>4696651229109.7256</v>
      </c>
      <c r="Z9" s="16">
        <f>SUM('BIFUbC-electricity'!Z8,'BIFUbC-coal'!Z8,'BIFUbC-natural-gas'!Z8,'BIFUbC-biomass'!Z8,'BIFUbC-heat'!Z8,'BIFUbC-crude-oil'!Z8,'BIFUbC-petroleum-diesel'!Z8,'BIFUbC-heavy-or-residual-oil'!Z8,'BIFUbC-LPG-propane-or-butane'!Z8,'BIFUbC-hydrogen'!Z8)</f>
        <v>4665329731270.3135</v>
      </c>
      <c r="AA9" s="16">
        <f>SUM('BIFUbC-electricity'!AA8,'BIFUbC-coal'!AA8,'BIFUbC-natural-gas'!AA8,'BIFUbC-biomass'!AA8,'BIFUbC-heat'!AA8,'BIFUbC-crude-oil'!AA8,'BIFUbC-petroleum-diesel'!AA8,'BIFUbC-heavy-or-residual-oil'!AA8,'BIFUbC-LPG-propane-or-butane'!AA8,'BIFUbC-hydrogen'!AA8)</f>
        <v>4634008233430.9033</v>
      </c>
      <c r="AB9" s="16">
        <f>SUM('BIFUbC-electricity'!AB8,'BIFUbC-coal'!AB8,'BIFUbC-natural-gas'!AB8,'BIFUbC-biomass'!AB8,'BIFUbC-heat'!AB8,'BIFUbC-crude-oil'!AB8,'BIFUbC-petroleum-diesel'!AB8,'BIFUbC-heavy-or-residual-oil'!AB8,'BIFUbC-LPG-propane-or-butane'!AB8,'BIFUbC-hydrogen'!AB8)</f>
        <v>4602686735591.4922</v>
      </c>
      <c r="AC9" s="16">
        <f>SUM('BIFUbC-electricity'!AC8,'BIFUbC-coal'!AC8,'BIFUbC-natural-gas'!AC8,'BIFUbC-biomass'!AC8,'BIFUbC-heat'!AC8,'BIFUbC-crude-oil'!AC8,'BIFUbC-petroleum-diesel'!AC8,'BIFUbC-heavy-or-residual-oil'!AC8,'BIFUbC-LPG-propane-or-butane'!AC8,'BIFUbC-hydrogen'!AC8)</f>
        <v>4571365237752.0811</v>
      </c>
      <c r="AD9" s="16">
        <f>SUM('BIFUbC-electricity'!AD8,'BIFUbC-coal'!AD8,'BIFUbC-natural-gas'!AD8,'BIFUbC-biomass'!AD8,'BIFUbC-heat'!AD8,'BIFUbC-crude-oil'!AD8,'BIFUbC-petroleum-diesel'!AD8,'BIFUbC-heavy-or-residual-oil'!AD8,'BIFUbC-LPG-propane-or-butane'!AD8,'BIFUbC-hydrogen'!AD8)</f>
        <v>4540043739912.668</v>
      </c>
      <c r="AE9" s="16">
        <f>SUM('BIFUbC-electricity'!AE8,'BIFUbC-coal'!AE8,'BIFUbC-natural-gas'!AE8,'BIFUbC-biomass'!AE8,'BIFUbC-heat'!AE8,'BIFUbC-crude-oil'!AE8,'BIFUbC-petroleum-diesel'!AE8,'BIFUbC-heavy-or-residual-oil'!AE8,'BIFUbC-LPG-propane-or-butane'!AE8,'BIFUbC-hydrogen'!AE8)</f>
        <v>4508722242073.2578</v>
      </c>
      <c r="AF9" s="16">
        <f>SUM('BIFUbC-electricity'!AF8,'BIFUbC-coal'!AF8,'BIFUbC-natural-gas'!AF8,'BIFUbC-biomass'!AF8,'BIFUbC-heat'!AF8,'BIFUbC-crude-oil'!AF8,'BIFUbC-petroleum-diesel'!AF8,'BIFUbC-heavy-or-residual-oil'!AF8,'BIFUbC-LPG-propane-or-butane'!AF8,'BIFUbC-hydrogen'!AF8)</f>
        <v>4477400744233.8457</v>
      </c>
    </row>
    <row r="10" spans="1:32">
      <c r="A10" t="s">
        <v>42</v>
      </c>
      <c r="B10" s="16">
        <f>SUM('BIFUbC-electricity'!B9,'BIFUbC-coal'!B9,'BIFUbC-natural-gas'!B9,'BIFUbC-biomass'!B9,'BIFUbC-heat'!B9,'BIFUbC-crude-oil'!B9,'BIFUbC-petroleum-diesel'!B9,'BIFUbC-heavy-or-residual-oil'!B9,'BIFUbC-LPG-propane-or-butane'!B9,'BIFUbC-hydrogen'!B9)</f>
        <v>25555691498031.59</v>
      </c>
      <c r="C10" s="16">
        <f>SUM('BIFUbC-electricity'!C9,'BIFUbC-coal'!C9,'BIFUbC-natural-gas'!C9,'BIFUbC-biomass'!C9,'BIFUbC-heat'!C9,'BIFUbC-crude-oil'!C9,'BIFUbC-petroleum-diesel'!C9,'BIFUbC-heavy-or-residual-oil'!C9,'BIFUbC-LPG-propane-or-butane'!C9,'BIFUbC-hydrogen'!C9)</f>
        <v>26167457164522</v>
      </c>
      <c r="D10" s="16">
        <f>SUM('BIFUbC-electricity'!D9,'BIFUbC-coal'!D9,'BIFUbC-natural-gas'!D9,'BIFUbC-biomass'!D9,'BIFUbC-heat'!D9,'BIFUbC-crude-oil'!D9,'BIFUbC-petroleum-diesel'!D9,'BIFUbC-heavy-or-residual-oil'!D9,'BIFUbC-LPG-propane-or-butane'!D9,'BIFUbC-hydrogen'!D9)</f>
        <v>26779222831012.41</v>
      </c>
      <c r="E10" s="16">
        <f>SUM('BIFUbC-electricity'!E9,'BIFUbC-coal'!E9,'BIFUbC-natural-gas'!E9,'BIFUbC-biomass'!E9,'BIFUbC-heat'!E9,'BIFUbC-crude-oil'!E9,'BIFUbC-petroleum-diesel'!E9,'BIFUbC-heavy-or-residual-oil'!E9,'BIFUbC-LPG-propane-or-butane'!E9,'BIFUbC-hydrogen'!E9)</f>
        <v>27390988497502.824</v>
      </c>
      <c r="F10" s="16">
        <f>SUM('BIFUbC-electricity'!F9,'BIFUbC-coal'!F9,'BIFUbC-natural-gas'!F9,'BIFUbC-biomass'!F9,'BIFUbC-heat'!F9,'BIFUbC-crude-oil'!F9,'BIFUbC-petroleum-diesel'!F9,'BIFUbC-heavy-or-residual-oil'!F9,'BIFUbC-LPG-propane-or-butane'!F9,'BIFUbC-hydrogen'!F9)</f>
        <v>27643521350319.727</v>
      </c>
      <c r="G10" s="16">
        <f>SUM('BIFUbC-electricity'!G9,'BIFUbC-coal'!G9,'BIFUbC-natural-gas'!G9,'BIFUbC-biomass'!G9,'BIFUbC-heat'!G9,'BIFUbC-crude-oil'!G9,'BIFUbC-petroleum-diesel'!G9,'BIFUbC-heavy-or-residual-oil'!G9,'BIFUbC-LPG-propane-or-butane'!G9,'BIFUbC-hydrogen'!G9)</f>
        <v>27896054203136.629</v>
      </c>
      <c r="H10" s="16">
        <f>SUM('BIFUbC-electricity'!H9,'BIFUbC-coal'!H9,'BIFUbC-natural-gas'!H9,'BIFUbC-biomass'!H9,'BIFUbC-heat'!H9,'BIFUbC-crude-oil'!H9,'BIFUbC-petroleum-diesel'!H9,'BIFUbC-heavy-or-residual-oil'!H9,'BIFUbC-LPG-propane-or-butane'!H9,'BIFUbC-hydrogen'!H9)</f>
        <v>28148587055953.531</v>
      </c>
      <c r="I10" s="16">
        <f>SUM('BIFUbC-electricity'!I9,'BIFUbC-coal'!I9,'BIFUbC-natural-gas'!I9,'BIFUbC-biomass'!I9,'BIFUbC-heat'!I9,'BIFUbC-crude-oil'!I9,'BIFUbC-petroleum-diesel'!I9,'BIFUbC-heavy-or-residual-oil'!I9,'BIFUbC-LPG-propane-or-butane'!I9,'BIFUbC-hydrogen'!I9)</f>
        <v>28401119908770.434</v>
      </c>
      <c r="J10" s="16">
        <f>SUM('BIFUbC-electricity'!J9,'BIFUbC-coal'!J9,'BIFUbC-natural-gas'!J9,'BIFUbC-biomass'!J9,'BIFUbC-heat'!J9,'BIFUbC-crude-oil'!J9,'BIFUbC-petroleum-diesel'!J9,'BIFUbC-heavy-or-residual-oil'!J9,'BIFUbC-LPG-propane-or-butane'!J9,'BIFUbC-hydrogen'!J9)</f>
        <v>28653652761587.336</v>
      </c>
      <c r="K10" s="16">
        <f>SUM('BIFUbC-electricity'!K9,'BIFUbC-coal'!K9,'BIFUbC-natural-gas'!K9,'BIFUbC-biomass'!K9,'BIFUbC-heat'!K9,'BIFUbC-crude-oil'!K9,'BIFUbC-petroleum-diesel'!K9,'BIFUbC-heavy-or-residual-oil'!K9,'BIFUbC-LPG-propane-or-butane'!K9,'BIFUbC-hydrogen'!K9)</f>
        <v>28906185614404.238</v>
      </c>
      <c r="L10" s="16">
        <f>SUM('BIFUbC-electricity'!L9,'BIFUbC-coal'!L9,'BIFUbC-natural-gas'!L9,'BIFUbC-biomass'!L9,'BIFUbC-heat'!L9,'BIFUbC-crude-oil'!L9,'BIFUbC-petroleum-diesel'!L9,'BIFUbC-heavy-or-residual-oil'!L9,'BIFUbC-LPG-propane-or-butane'!L9,'BIFUbC-hydrogen'!L9)</f>
        <v>29158718467221.133</v>
      </c>
      <c r="M10" s="16">
        <f>SUM('BIFUbC-electricity'!M9,'BIFUbC-coal'!M9,'BIFUbC-natural-gas'!M9,'BIFUbC-biomass'!M9,'BIFUbC-heat'!M9,'BIFUbC-crude-oil'!M9,'BIFUbC-petroleum-diesel'!M9,'BIFUbC-heavy-or-residual-oil'!M9,'BIFUbC-LPG-propane-or-butane'!M9,'BIFUbC-hydrogen'!M9)</f>
        <v>29180203385391.301</v>
      </c>
      <c r="N10" s="16">
        <f>SUM('BIFUbC-electricity'!N9,'BIFUbC-coal'!N9,'BIFUbC-natural-gas'!N9,'BIFUbC-biomass'!N9,'BIFUbC-heat'!N9,'BIFUbC-crude-oil'!N9,'BIFUbC-petroleum-diesel'!N9,'BIFUbC-heavy-or-residual-oil'!N9,'BIFUbC-LPG-propane-or-butane'!N9,'BIFUbC-hydrogen'!N9)</f>
        <v>29201688303561.469</v>
      </c>
      <c r="O10" s="16">
        <f>SUM('BIFUbC-electricity'!O9,'BIFUbC-coal'!O9,'BIFUbC-natural-gas'!O9,'BIFUbC-biomass'!O9,'BIFUbC-heat'!O9,'BIFUbC-crude-oil'!O9,'BIFUbC-petroleum-diesel'!O9,'BIFUbC-heavy-or-residual-oil'!O9,'BIFUbC-LPG-propane-or-butane'!O9,'BIFUbC-hydrogen'!O9)</f>
        <v>29223173221731.637</v>
      </c>
      <c r="P10" s="16">
        <f>SUM('BIFUbC-electricity'!P9,'BIFUbC-coal'!P9,'BIFUbC-natural-gas'!P9,'BIFUbC-biomass'!P9,'BIFUbC-heat'!P9,'BIFUbC-crude-oil'!P9,'BIFUbC-petroleum-diesel'!P9,'BIFUbC-heavy-or-residual-oil'!P9,'BIFUbC-LPG-propane-or-butane'!P9,'BIFUbC-hydrogen'!P9)</f>
        <v>29244658139901.801</v>
      </c>
      <c r="Q10" s="16">
        <f>SUM('BIFUbC-electricity'!Q9,'BIFUbC-coal'!Q9,'BIFUbC-natural-gas'!Q9,'BIFUbC-biomass'!Q9,'BIFUbC-heat'!Q9,'BIFUbC-crude-oil'!Q9,'BIFUbC-petroleum-diesel'!Q9,'BIFUbC-heavy-or-residual-oil'!Q9,'BIFUbC-LPG-propane-or-butane'!Q9,'BIFUbC-hydrogen'!Q9)</f>
        <v>29266143058071.961</v>
      </c>
      <c r="R10" s="16">
        <f>SUM('BIFUbC-electricity'!R9,'BIFUbC-coal'!R9,'BIFUbC-natural-gas'!R9,'BIFUbC-biomass'!R9,'BIFUbC-heat'!R9,'BIFUbC-crude-oil'!R9,'BIFUbC-petroleum-diesel'!R9,'BIFUbC-heavy-or-residual-oil'!R9,'BIFUbC-LPG-propane-or-butane'!R9,'BIFUbC-hydrogen'!R9)</f>
        <v>29287627976242.137</v>
      </c>
      <c r="S10" s="16">
        <f>SUM('BIFUbC-electricity'!S9,'BIFUbC-coal'!S9,'BIFUbC-natural-gas'!S9,'BIFUbC-biomass'!S9,'BIFUbC-heat'!S9,'BIFUbC-crude-oil'!S9,'BIFUbC-petroleum-diesel'!S9,'BIFUbC-heavy-or-residual-oil'!S9,'BIFUbC-LPG-propane-or-butane'!S9,'BIFUbC-hydrogen'!S9)</f>
        <v>29309112894412.301</v>
      </c>
      <c r="T10" s="16">
        <f>SUM('BIFUbC-electricity'!T9,'BIFUbC-coal'!T9,'BIFUbC-natural-gas'!T9,'BIFUbC-biomass'!T9,'BIFUbC-heat'!T9,'BIFUbC-crude-oil'!T9,'BIFUbC-petroleum-diesel'!T9,'BIFUbC-heavy-or-residual-oil'!T9,'BIFUbC-LPG-propane-or-butane'!T9,'BIFUbC-hydrogen'!T9)</f>
        <v>29330597812582.465</v>
      </c>
      <c r="U10" s="16">
        <f>SUM('BIFUbC-electricity'!U9,'BIFUbC-coal'!U9,'BIFUbC-natural-gas'!U9,'BIFUbC-biomass'!U9,'BIFUbC-heat'!U9,'BIFUbC-crude-oil'!U9,'BIFUbC-petroleum-diesel'!U9,'BIFUbC-heavy-or-residual-oil'!U9,'BIFUbC-LPG-propane-or-butane'!U9,'BIFUbC-hydrogen'!U9)</f>
        <v>29352082730752.637</v>
      </c>
      <c r="V10" s="16">
        <f>SUM('BIFUbC-electricity'!V9,'BIFUbC-coal'!V9,'BIFUbC-natural-gas'!V9,'BIFUbC-biomass'!V9,'BIFUbC-heat'!V9,'BIFUbC-crude-oil'!V9,'BIFUbC-petroleum-diesel'!V9,'BIFUbC-heavy-or-residual-oil'!V9,'BIFUbC-LPG-propane-or-butane'!V9,'BIFUbC-hydrogen'!V9)</f>
        <v>29373567648922.805</v>
      </c>
      <c r="W10" s="16">
        <f>SUM('BIFUbC-electricity'!W9,'BIFUbC-coal'!W9,'BIFUbC-natural-gas'!W9,'BIFUbC-biomass'!W9,'BIFUbC-heat'!W9,'BIFUbC-crude-oil'!W9,'BIFUbC-petroleum-diesel'!W9,'BIFUbC-heavy-or-residual-oil'!W9,'BIFUbC-LPG-propane-or-butane'!W9,'BIFUbC-hydrogen'!W9)</f>
        <v>29183448641375.246</v>
      </c>
      <c r="X10" s="16">
        <f>SUM('BIFUbC-electricity'!X9,'BIFUbC-coal'!X9,'BIFUbC-natural-gas'!X9,'BIFUbC-biomass'!X9,'BIFUbC-heat'!X9,'BIFUbC-crude-oil'!X9,'BIFUbC-petroleum-diesel'!X9,'BIFUbC-heavy-or-residual-oil'!X9,'BIFUbC-LPG-propane-or-butane'!X9,'BIFUbC-hydrogen'!X9)</f>
        <v>28993329633827.688</v>
      </c>
      <c r="Y10" s="16">
        <f>SUM('BIFUbC-electricity'!Y9,'BIFUbC-coal'!Y9,'BIFUbC-natural-gas'!Y9,'BIFUbC-biomass'!Y9,'BIFUbC-heat'!Y9,'BIFUbC-crude-oil'!Y9,'BIFUbC-petroleum-diesel'!Y9,'BIFUbC-heavy-or-residual-oil'!Y9,'BIFUbC-LPG-propane-or-butane'!Y9,'BIFUbC-hydrogen'!Y9)</f>
        <v>28803210626280.125</v>
      </c>
      <c r="Z10" s="16">
        <f>SUM('BIFUbC-electricity'!Z9,'BIFUbC-coal'!Z9,'BIFUbC-natural-gas'!Z9,'BIFUbC-biomass'!Z9,'BIFUbC-heat'!Z9,'BIFUbC-crude-oil'!Z9,'BIFUbC-petroleum-diesel'!Z9,'BIFUbC-heavy-or-residual-oil'!Z9,'BIFUbC-LPG-propane-or-butane'!Z9,'BIFUbC-hydrogen'!Z9)</f>
        <v>28613091618732.566</v>
      </c>
      <c r="AA10" s="16">
        <f>SUM('BIFUbC-electricity'!AA9,'BIFUbC-coal'!AA9,'BIFUbC-natural-gas'!AA9,'BIFUbC-biomass'!AA9,'BIFUbC-heat'!AA9,'BIFUbC-crude-oil'!AA9,'BIFUbC-petroleum-diesel'!AA9,'BIFUbC-heavy-or-residual-oil'!AA9,'BIFUbC-LPG-propane-or-butane'!AA9,'BIFUbC-hydrogen'!AA9)</f>
        <v>28422972611185.004</v>
      </c>
      <c r="AB10" s="16">
        <f>SUM('BIFUbC-electricity'!AB9,'BIFUbC-coal'!AB9,'BIFUbC-natural-gas'!AB9,'BIFUbC-biomass'!AB9,'BIFUbC-heat'!AB9,'BIFUbC-crude-oil'!AB9,'BIFUbC-petroleum-diesel'!AB9,'BIFUbC-heavy-or-residual-oil'!AB9,'BIFUbC-LPG-propane-or-butane'!AB9,'BIFUbC-hydrogen'!AB9)</f>
        <v>28232853603637.441</v>
      </c>
      <c r="AC10" s="16">
        <f>SUM('BIFUbC-electricity'!AC9,'BIFUbC-coal'!AC9,'BIFUbC-natural-gas'!AC9,'BIFUbC-biomass'!AC9,'BIFUbC-heat'!AC9,'BIFUbC-crude-oil'!AC9,'BIFUbC-petroleum-diesel'!AC9,'BIFUbC-heavy-or-residual-oil'!AC9,'BIFUbC-LPG-propane-or-butane'!AC9,'BIFUbC-hydrogen'!AC9)</f>
        <v>28042734596089.887</v>
      </c>
      <c r="AD10" s="16">
        <f>SUM('BIFUbC-electricity'!AD9,'BIFUbC-coal'!AD9,'BIFUbC-natural-gas'!AD9,'BIFUbC-biomass'!AD9,'BIFUbC-heat'!AD9,'BIFUbC-crude-oil'!AD9,'BIFUbC-petroleum-diesel'!AD9,'BIFUbC-heavy-or-residual-oil'!AD9,'BIFUbC-LPG-propane-or-butane'!AD9,'BIFUbC-hydrogen'!AD9)</f>
        <v>27852615588542.324</v>
      </c>
      <c r="AE10" s="16">
        <f>SUM('BIFUbC-electricity'!AE9,'BIFUbC-coal'!AE9,'BIFUbC-natural-gas'!AE9,'BIFUbC-biomass'!AE9,'BIFUbC-heat'!AE9,'BIFUbC-crude-oil'!AE9,'BIFUbC-petroleum-diesel'!AE9,'BIFUbC-heavy-or-residual-oil'!AE9,'BIFUbC-LPG-propane-or-butane'!AE9,'BIFUbC-hydrogen'!AE9)</f>
        <v>27662496580994.766</v>
      </c>
      <c r="AF10" s="16">
        <f>SUM('BIFUbC-electricity'!AF9,'BIFUbC-coal'!AF9,'BIFUbC-natural-gas'!AF9,'BIFUbC-biomass'!AF9,'BIFUbC-heat'!AF9,'BIFUbC-crude-oil'!AF9,'BIFUbC-petroleum-diesel'!AF9,'BIFUbC-heavy-or-residual-oil'!AF9,'BIFUbC-LPG-propane-or-butane'!AF9,'BIFUbC-hydrogen'!AF9)</f>
        <v>27472377573447.215</v>
      </c>
    </row>
    <row r="11" spans="1:32">
      <c r="A11" t="s">
        <v>1022</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6292774832388181</v>
      </c>
      <c r="E11" s="16">
        <f>SUM('BIFUbC-electricity'!E10,'BIFUbC-coal'!E10,'BIFUbC-natural-gas'!E10,'BIFUbC-biomass'!E10,'BIFUbC-heat'!E10,'BIFUbC-crude-oil'!E10,'BIFUbC-petroleum-diesel'!E10,'BIFUbC-heavy-or-residual-oil'!E10,'BIFUbC-LPG-propane-or-butane'!E10,'BIFUbC-hydrogen'!E10)</f>
        <v>6284658319923457</v>
      </c>
      <c r="F11" s="16">
        <f>SUM('BIFUbC-electricity'!F10,'BIFUbC-coal'!F10,'BIFUbC-natural-gas'!F10,'BIFUbC-biomass'!F10,'BIFUbC-heat'!F10,'BIFUbC-crude-oil'!F10,'BIFUbC-petroleum-diesel'!F10,'BIFUbC-heavy-or-residual-oil'!F10,'BIFUbC-LPG-propane-or-butane'!F10,'BIFUbC-hydrogen'!F10)</f>
        <v>6276541807458736</v>
      </c>
      <c r="G11" s="16">
        <f>SUM('BIFUbC-electricity'!G10,'BIFUbC-coal'!G10,'BIFUbC-natural-gas'!G10,'BIFUbC-biomass'!G10,'BIFUbC-heat'!G10,'BIFUbC-crude-oil'!G10,'BIFUbC-petroleum-diesel'!G10,'BIFUbC-heavy-or-residual-oil'!G10,'BIFUbC-LPG-propane-or-butane'!G10,'BIFUbC-hydrogen'!G10)</f>
        <v>6268425294994012</v>
      </c>
      <c r="H11" s="16">
        <f>SUM('BIFUbC-electricity'!H10,'BIFUbC-coal'!H10,'BIFUbC-natural-gas'!H10,'BIFUbC-biomass'!H10,'BIFUbC-heat'!H10,'BIFUbC-crude-oil'!H10,'BIFUbC-petroleum-diesel'!H10,'BIFUbC-heavy-or-residual-oil'!H10,'BIFUbC-LPG-propane-or-butane'!H10,'BIFUbC-hydrogen'!H10)</f>
        <v>6260308782529291</v>
      </c>
      <c r="I11" s="16">
        <f>SUM('BIFUbC-electricity'!I10,'BIFUbC-coal'!I10,'BIFUbC-natural-gas'!I10,'BIFUbC-biomass'!I10,'BIFUbC-heat'!I10,'BIFUbC-crude-oil'!I10,'BIFUbC-petroleum-diesel'!I10,'BIFUbC-heavy-or-residual-oil'!I10,'BIFUbC-LPG-propane-or-butane'!I10,'BIFUbC-hydrogen'!I10)</f>
        <v>6252192270064567</v>
      </c>
      <c r="J11" s="16">
        <f>SUM('BIFUbC-electricity'!J10,'BIFUbC-coal'!J10,'BIFUbC-natural-gas'!J10,'BIFUbC-biomass'!J10,'BIFUbC-heat'!J10,'BIFUbC-crude-oil'!J10,'BIFUbC-petroleum-diesel'!J10,'BIFUbC-heavy-or-residual-oil'!J10,'BIFUbC-LPG-propane-or-butane'!J10,'BIFUbC-hydrogen'!J10)</f>
        <v>6244075757599846</v>
      </c>
      <c r="K11" s="16">
        <f>SUM('BIFUbC-electricity'!K10,'BIFUbC-coal'!K10,'BIFUbC-natural-gas'!K10,'BIFUbC-biomass'!K10,'BIFUbC-heat'!K10,'BIFUbC-crude-oil'!K10,'BIFUbC-petroleum-diesel'!K10,'BIFUbC-heavy-or-residual-oil'!K10,'BIFUbC-LPG-propane-or-butane'!K10,'BIFUbC-hydrogen'!K10)</f>
        <v>6235959245135122</v>
      </c>
      <c r="L11" s="16">
        <f>SUM('BIFUbC-electricity'!L10,'BIFUbC-coal'!L10,'BIFUbC-natural-gas'!L10,'BIFUbC-biomass'!L10,'BIFUbC-heat'!L10,'BIFUbC-crude-oil'!L10,'BIFUbC-petroleum-diesel'!L10,'BIFUbC-heavy-or-residual-oil'!L10,'BIFUbC-LPG-propane-or-butane'!L10,'BIFUbC-hydrogen'!L10)</f>
        <v>6227842732670401</v>
      </c>
      <c r="M11" s="16">
        <f>SUM('BIFUbC-electricity'!M10,'BIFUbC-coal'!M10,'BIFUbC-natural-gas'!M10,'BIFUbC-biomass'!M10,'BIFUbC-heat'!M10,'BIFUbC-crude-oil'!M10,'BIFUbC-petroleum-diesel'!M10,'BIFUbC-heavy-or-residual-oil'!M10,'BIFUbC-LPG-propane-or-butane'!M10,'BIFUbC-hydrogen'!M10)</f>
        <v>6195667168520768</v>
      </c>
      <c r="N11" s="16">
        <f>SUM('BIFUbC-electricity'!N10,'BIFUbC-coal'!N10,'BIFUbC-natural-gas'!N10,'BIFUbC-biomass'!N10,'BIFUbC-heat'!N10,'BIFUbC-crude-oil'!N10,'BIFUbC-petroleum-diesel'!N10,'BIFUbC-heavy-or-residual-oil'!N10,'BIFUbC-LPG-propane-or-butane'!N10,'BIFUbC-hydrogen'!N10)</f>
        <v>6163491604371132</v>
      </c>
      <c r="O11" s="16">
        <f>SUM('BIFUbC-electricity'!O10,'BIFUbC-coal'!O10,'BIFUbC-natural-gas'!O10,'BIFUbC-biomass'!O10,'BIFUbC-heat'!O10,'BIFUbC-crude-oil'!O10,'BIFUbC-petroleum-diesel'!O10,'BIFUbC-heavy-or-residual-oil'!O10,'BIFUbC-LPG-propane-or-butane'!O10,'BIFUbC-hydrogen'!O10)</f>
        <v>6131316040221497</v>
      </c>
      <c r="P11" s="16">
        <f>SUM('BIFUbC-electricity'!P10,'BIFUbC-coal'!P10,'BIFUbC-natural-gas'!P10,'BIFUbC-biomass'!P10,'BIFUbC-heat'!P10,'BIFUbC-crude-oil'!P10,'BIFUbC-petroleum-diesel'!P10,'BIFUbC-heavy-or-residual-oil'!P10,'BIFUbC-LPG-propane-or-butane'!P10,'BIFUbC-hydrogen'!P10)</f>
        <v>6099140476071861</v>
      </c>
      <c r="Q11" s="16">
        <f>SUM('BIFUbC-electricity'!Q10,'BIFUbC-coal'!Q10,'BIFUbC-natural-gas'!Q10,'BIFUbC-biomass'!Q10,'BIFUbC-heat'!Q10,'BIFUbC-crude-oil'!Q10,'BIFUbC-petroleum-diesel'!Q10,'BIFUbC-heavy-or-residual-oil'!Q10,'BIFUbC-LPG-propane-or-butane'!Q10,'BIFUbC-hydrogen'!Q10)</f>
        <v>6066964911922225</v>
      </c>
      <c r="R11" s="16">
        <f>SUM('BIFUbC-electricity'!R10,'BIFUbC-coal'!R10,'BIFUbC-natural-gas'!R10,'BIFUbC-biomass'!R10,'BIFUbC-heat'!R10,'BIFUbC-crude-oil'!R10,'BIFUbC-petroleum-diesel'!R10,'BIFUbC-heavy-or-residual-oil'!R10,'BIFUbC-LPG-propane-or-butane'!R10,'BIFUbC-hydrogen'!R10)</f>
        <v>6034789347772601</v>
      </c>
      <c r="S11" s="16">
        <f>SUM('BIFUbC-electricity'!S10,'BIFUbC-coal'!S10,'BIFUbC-natural-gas'!S10,'BIFUbC-biomass'!S10,'BIFUbC-heat'!S10,'BIFUbC-crude-oil'!S10,'BIFUbC-petroleum-diesel'!S10,'BIFUbC-heavy-or-residual-oil'!S10,'BIFUbC-LPG-propane-or-butane'!S10,'BIFUbC-hydrogen'!S10)</f>
        <v>6002613783622965</v>
      </c>
      <c r="T11" s="16">
        <f>SUM('BIFUbC-electricity'!T10,'BIFUbC-coal'!T10,'BIFUbC-natural-gas'!T10,'BIFUbC-biomass'!T10,'BIFUbC-heat'!T10,'BIFUbC-crude-oil'!T10,'BIFUbC-petroleum-diesel'!T10,'BIFUbC-heavy-or-residual-oil'!T10,'BIFUbC-LPG-propane-or-butane'!T10,'BIFUbC-hydrogen'!T10)</f>
        <v>5970438219473329</v>
      </c>
      <c r="U11" s="16">
        <f>SUM('BIFUbC-electricity'!U10,'BIFUbC-coal'!U10,'BIFUbC-natural-gas'!U10,'BIFUbC-biomass'!U10,'BIFUbC-heat'!U10,'BIFUbC-crude-oil'!U10,'BIFUbC-petroleum-diesel'!U10,'BIFUbC-heavy-or-residual-oil'!U10,'BIFUbC-LPG-propane-or-butane'!U10,'BIFUbC-hydrogen'!U10)</f>
        <v>5938262655323693</v>
      </c>
      <c r="V11" s="16">
        <f>SUM('BIFUbC-electricity'!V10,'BIFUbC-coal'!V10,'BIFUbC-natural-gas'!V10,'BIFUbC-biomass'!V10,'BIFUbC-heat'!V10,'BIFUbC-crude-oil'!V10,'BIFUbC-petroleum-diesel'!V10,'BIFUbC-heavy-or-residual-oil'!V10,'BIFUbC-LPG-propane-or-butane'!V10,'BIFUbC-hydrogen'!V10)</f>
        <v>5906087091174057</v>
      </c>
      <c r="W11" s="16">
        <f>SUM('BIFUbC-electricity'!W10,'BIFUbC-coal'!W10,'BIFUbC-natural-gas'!W10,'BIFUbC-biomass'!W10,'BIFUbC-heat'!W10,'BIFUbC-crude-oil'!W10,'BIFUbC-petroleum-diesel'!W10,'BIFUbC-heavy-or-residual-oil'!W10,'BIFUbC-LPG-propane-or-butane'!W10,'BIFUbC-hydrogen'!W10)</f>
        <v>5854409113916209</v>
      </c>
      <c r="X11" s="16">
        <f>SUM('BIFUbC-electricity'!X10,'BIFUbC-coal'!X10,'BIFUbC-natural-gas'!X10,'BIFUbC-biomass'!X10,'BIFUbC-heat'!X10,'BIFUbC-crude-oil'!X10,'BIFUbC-petroleum-diesel'!X10,'BIFUbC-heavy-or-residual-oil'!X10,'BIFUbC-LPG-propane-or-butane'!X10,'BIFUbC-hydrogen'!X10)</f>
        <v>5802731136658349</v>
      </c>
      <c r="Y11" s="16">
        <f>SUM('BIFUbC-electricity'!Y10,'BIFUbC-coal'!Y10,'BIFUbC-natural-gas'!Y10,'BIFUbC-biomass'!Y10,'BIFUbC-heat'!Y10,'BIFUbC-crude-oil'!Y10,'BIFUbC-petroleum-diesel'!Y10,'BIFUbC-heavy-or-residual-oil'!Y10,'BIFUbC-LPG-propane-or-butane'!Y10,'BIFUbC-hydrogen'!Y10)</f>
        <v>5751053159400489</v>
      </c>
      <c r="Z11" s="16">
        <f>SUM('BIFUbC-electricity'!Z10,'BIFUbC-coal'!Z10,'BIFUbC-natural-gas'!Z10,'BIFUbC-biomass'!Z10,'BIFUbC-heat'!Z10,'BIFUbC-crude-oil'!Z10,'BIFUbC-petroleum-diesel'!Z10,'BIFUbC-heavy-or-residual-oil'!Z10,'BIFUbC-LPG-propane-or-butane'!Z10,'BIFUbC-hydrogen'!Z10)</f>
        <v>5699375182142629</v>
      </c>
      <c r="AA11" s="16">
        <f>SUM('BIFUbC-electricity'!AA10,'BIFUbC-coal'!AA10,'BIFUbC-natural-gas'!AA10,'BIFUbC-biomass'!AA10,'BIFUbC-heat'!AA10,'BIFUbC-crude-oil'!AA10,'BIFUbC-petroleum-diesel'!AA10,'BIFUbC-heavy-or-residual-oil'!AA10,'BIFUbC-LPG-propane-or-butane'!AA10,'BIFUbC-hydrogen'!AA10)</f>
        <v>5647697204884769</v>
      </c>
      <c r="AB11" s="16">
        <f>SUM('BIFUbC-electricity'!AB10,'BIFUbC-coal'!AB10,'BIFUbC-natural-gas'!AB10,'BIFUbC-biomass'!AB10,'BIFUbC-heat'!AB10,'BIFUbC-crude-oil'!AB10,'BIFUbC-petroleum-diesel'!AB10,'BIFUbC-heavy-or-residual-oil'!AB10,'BIFUbC-LPG-propane-or-butane'!AB10,'BIFUbC-hydrogen'!AB10)</f>
        <v>5596019227626909</v>
      </c>
      <c r="AC11" s="16">
        <f>SUM('BIFUbC-electricity'!AC10,'BIFUbC-coal'!AC10,'BIFUbC-natural-gas'!AC10,'BIFUbC-biomass'!AC10,'BIFUbC-heat'!AC10,'BIFUbC-crude-oil'!AC10,'BIFUbC-petroleum-diesel'!AC10,'BIFUbC-heavy-or-residual-oil'!AC10,'BIFUbC-LPG-propane-or-butane'!AC10,'BIFUbC-hydrogen'!AC10)</f>
        <v>5544341250369049</v>
      </c>
      <c r="AD11" s="16">
        <f>SUM('BIFUbC-electricity'!AD10,'BIFUbC-coal'!AD10,'BIFUbC-natural-gas'!AD10,'BIFUbC-biomass'!AD10,'BIFUbC-heat'!AD10,'BIFUbC-crude-oil'!AD10,'BIFUbC-petroleum-diesel'!AD10,'BIFUbC-heavy-or-residual-oil'!AD10,'BIFUbC-LPG-propane-or-butane'!AD10,'BIFUbC-hydrogen'!AD10)</f>
        <v>5492663273111162</v>
      </c>
      <c r="AE11" s="16">
        <f>SUM('BIFUbC-electricity'!AE10,'BIFUbC-coal'!AE10,'BIFUbC-natural-gas'!AE10,'BIFUbC-biomass'!AE10,'BIFUbC-heat'!AE10,'BIFUbC-crude-oil'!AE10,'BIFUbC-petroleum-diesel'!AE10,'BIFUbC-heavy-or-residual-oil'!AE10,'BIFUbC-LPG-propane-or-butane'!AE10,'BIFUbC-hydrogen'!AE10)</f>
        <v>5440985295853301</v>
      </c>
      <c r="AF11" s="16">
        <f>SUM('BIFUbC-electricity'!AF10,'BIFUbC-coal'!AF10,'BIFUbC-natural-gas'!AF10,'BIFUbC-biomass'!AF10,'BIFUbC-heat'!AF10,'BIFUbC-crude-oil'!AF10,'BIFUbC-petroleum-diesel'!AF10,'BIFUbC-heavy-or-residual-oil'!AF10,'BIFUbC-LPG-propane-or-butane'!AF10,'BIFUbC-hydrogen'!AF10)</f>
        <v>5389307318595443</v>
      </c>
    </row>
    <row r="12" spans="1:32">
      <c r="A12" t="s">
        <v>1023</v>
      </c>
      <c r="B12" s="16">
        <f>SUM('BIFUbC-electricity'!B11,'BIFUbC-coal'!B11,'BIFUbC-natural-gas'!B11,'BIFUbC-biomass'!B11,'BIFUbC-heat'!B11,'BIFUbC-crude-oil'!B11,'BIFUbC-petroleum-diesel'!B11,'BIFUbC-heavy-or-residual-oil'!B11,'BIFUbC-LPG-propane-or-butane'!B11,'BIFUbC-hydrogen'!B11)</f>
        <v>1574384606883948.8</v>
      </c>
      <c r="C12" s="16">
        <f>SUM('BIFUbC-electricity'!C11,'BIFUbC-coal'!C11,'BIFUbC-natural-gas'!C11,'BIFUbC-biomass'!C11,'BIFUbC-heat'!C11,'BIFUbC-crude-oil'!C11,'BIFUbC-petroleum-diesel'!C11,'BIFUbC-heavy-or-residual-oil'!C11,'BIFUbC-LPG-propane-or-butane'!C11,'BIFUbC-hydrogen'!C11)</f>
        <v>1611121857754977.5</v>
      </c>
      <c r="D12" s="16">
        <f>SUM('BIFUbC-electricity'!D11,'BIFUbC-coal'!D11,'BIFUbC-natural-gas'!D11,'BIFUbC-biomass'!D11,'BIFUbC-heat'!D11,'BIFUbC-crude-oil'!D11,'BIFUbC-petroleum-diesel'!D11,'BIFUbC-heavy-or-residual-oil'!D11,'BIFUbC-LPG-propane-or-butane'!D11,'BIFUbC-hydrogen'!D11)</f>
        <v>1647859108626005</v>
      </c>
      <c r="E12" s="16">
        <f>SUM('BIFUbC-electricity'!E11,'BIFUbC-coal'!E11,'BIFUbC-natural-gas'!E11,'BIFUbC-biomass'!E11,'BIFUbC-heat'!E11,'BIFUbC-crude-oil'!E11,'BIFUbC-petroleum-diesel'!E11,'BIFUbC-heavy-or-residual-oil'!E11,'BIFUbC-LPG-propane-or-butane'!E11,'BIFUbC-hydrogen'!E11)</f>
        <v>1684596359497033</v>
      </c>
      <c r="F12" s="16">
        <f>SUM('BIFUbC-electricity'!F11,'BIFUbC-coal'!F11,'BIFUbC-natural-gas'!F11,'BIFUbC-biomass'!F11,'BIFUbC-heat'!F11,'BIFUbC-crude-oil'!F11,'BIFUbC-petroleum-diesel'!F11,'BIFUbC-heavy-or-residual-oil'!F11,'BIFUbC-LPG-propane-or-butane'!F11,'BIFUbC-hydrogen'!F11)</f>
        <v>1726130290132557.8</v>
      </c>
      <c r="G12" s="16">
        <f>SUM('BIFUbC-electricity'!G11,'BIFUbC-coal'!G11,'BIFUbC-natural-gas'!G11,'BIFUbC-biomass'!G11,'BIFUbC-heat'!G11,'BIFUbC-crude-oil'!G11,'BIFUbC-petroleum-diesel'!G11,'BIFUbC-heavy-or-residual-oil'!G11,'BIFUbC-LPG-propane-or-butane'!G11,'BIFUbC-hydrogen'!G11)</f>
        <v>1767664220768083</v>
      </c>
      <c r="H12" s="16">
        <f>SUM('BIFUbC-electricity'!H11,'BIFUbC-coal'!H11,'BIFUbC-natural-gas'!H11,'BIFUbC-biomass'!H11,'BIFUbC-heat'!H11,'BIFUbC-crude-oil'!H11,'BIFUbC-petroleum-diesel'!H11,'BIFUbC-heavy-or-residual-oil'!H11,'BIFUbC-LPG-propane-or-butane'!H11,'BIFUbC-hydrogen'!H11)</f>
        <v>1809198151403617.8</v>
      </c>
      <c r="I12" s="16">
        <f>SUM('BIFUbC-electricity'!I11,'BIFUbC-coal'!I11,'BIFUbC-natural-gas'!I11,'BIFUbC-biomass'!I11,'BIFUbC-heat'!I11,'BIFUbC-crude-oil'!I11,'BIFUbC-petroleum-diesel'!I11,'BIFUbC-heavy-or-residual-oil'!I11,'BIFUbC-LPG-propane-or-butane'!I11,'BIFUbC-hydrogen'!I11)</f>
        <v>1850732082039142</v>
      </c>
      <c r="J12" s="16">
        <f>SUM('BIFUbC-electricity'!J11,'BIFUbC-coal'!J11,'BIFUbC-natural-gas'!J11,'BIFUbC-biomass'!J11,'BIFUbC-heat'!J11,'BIFUbC-crude-oil'!J11,'BIFUbC-petroleum-diesel'!J11,'BIFUbC-heavy-or-residual-oil'!J11,'BIFUbC-LPG-propane-or-butane'!J11,'BIFUbC-hydrogen'!J11)</f>
        <v>1892266012674667</v>
      </c>
      <c r="K12" s="16">
        <f>SUM('BIFUbC-electricity'!K11,'BIFUbC-coal'!K11,'BIFUbC-natural-gas'!K11,'BIFUbC-biomass'!K11,'BIFUbC-heat'!K11,'BIFUbC-crude-oil'!K11,'BIFUbC-petroleum-diesel'!K11,'BIFUbC-heavy-or-residual-oil'!K11,'BIFUbC-LPG-propane-or-butane'!K11,'BIFUbC-hydrogen'!K11)</f>
        <v>1933799943310202.3</v>
      </c>
      <c r="L12" s="16">
        <f>SUM('BIFUbC-electricity'!L11,'BIFUbC-coal'!L11,'BIFUbC-natural-gas'!L11,'BIFUbC-biomass'!L11,'BIFUbC-heat'!L11,'BIFUbC-crude-oil'!L11,'BIFUbC-petroleum-diesel'!L11,'BIFUbC-heavy-or-residual-oil'!L11,'BIFUbC-LPG-propane-or-butane'!L11,'BIFUbC-hydrogen'!L11)</f>
        <v>1975333873945732.8</v>
      </c>
      <c r="M12" s="16">
        <f>SUM('BIFUbC-electricity'!M11,'BIFUbC-coal'!M11,'BIFUbC-natural-gas'!M11,'BIFUbC-biomass'!M11,'BIFUbC-heat'!M11,'BIFUbC-crude-oil'!M11,'BIFUbC-petroleum-diesel'!M11,'BIFUbC-heavy-or-residual-oil'!M11,'BIFUbC-LPG-propane-or-butane'!M11,'BIFUbC-hydrogen'!M11)</f>
        <v>1998918555555735</v>
      </c>
      <c r="N12" s="16">
        <f>SUM('BIFUbC-electricity'!N11,'BIFUbC-coal'!N11,'BIFUbC-natural-gas'!N11,'BIFUbC-biomass'!N11,'BIFUbC-heat'!N11,'BIFUbC-crude-oil'!N11,'BIFUbC-petroleum-diesel'!N11,'BIFUbC-heavy-or-residual-oil'!N11,'BIFUbC-LPG-propane-or-butane'!N11,'BIFUbC-hydrogen'!N11)</f>
        <v>2022503237165737.5</v>
      </c>
      <c r="O12" s="16">
        <f>SUM('BIFUbC-electricity'!O11,'BIFUbC-coal'!O11,'BIFUbC-natural-gas'!O11,'BIFUbC-biomass'!O11,'BIFUbC-heat'!O11,'BIFUbC-crude-oil'!O11,'BIFUbC-petroleum-diesel'!O11,'BIFUbC-heavy-or-residual-oil'!O11,'BIFUbC-LPG-propane-or-butane'!O11,'BIFUbC-hydrogen'!O11)</f>
        <v>2046087918775746</v>
      </c>
      <c r="P12" s="16">
        <f>SUM('BIFUbC-electricity'!P11,'BIFUbC-coal'!P11,'BIFUbC-natural-gas'!P11,'BIFUbC-biomass'!P11,'BIFUbC-heat'!P11,'BIFUbC-crude-oil'!P11,'BIFUbC-petroleum-diesel'!P11,'BIFUbC-heavy-or-residual-oil'!P11,'BIFUbC-LPG-propane-or-butane'!P11,'BIFUbC-hydrogen'!P11)</f>
        <v>2069672600385749.3</v>
      </c>
      <c r="Q12" s="16">
        <f>SUM('BIFUbC-electricity'!Q11,'BIFUbC-coal'!Q11,'BIFUbC-natural-gas'!Q11,'BIFUbC-biomass'!Q11,'BIFUbC-heat'!Q11,'BIFUbC-crude-oil'!Q11,'BIFUbC-petroleum-diesel'!Q11,'BIFUbC-heavy-or-residual-oil'!Q11,'BIFUbC-LPG-propane-or-butane'!Q11,'BIFUbC-hydrogen'!Q11)</f>
        <v>2093257281995758</v>
      </c>
      <c r="R12" s="16">
        <f>SUM('BIFUbC-electricity'!R11,'BIFUbC-coal'!R11,'BIFUbC-natural-gas'!R11,'BIFUbC-biomass'!R11,'BIFUbC-heat'!R11,'BIFUbC-crude-oil'!R11,'BIFUbC-petroleum-diesel'!R11,'BIFUbC-heavy-or-residual-oil'!R11,'BIFUbC-LPG-propane-or-butane'!R11,'BIFUbC-hydrogen'!R11)</f>
        <v>2116841963605761.8</v>
      </c>
      <c r="S12" s="16">
        <f>SUM('BIFUbC-electricity'!S11,'BIFUbC-coal'!S11,'BIFUbC-natural-gas'!S11,'BIFUbC-biomass'!S11,'BIFUbC-heat'!S11,'BIFUbC-crude-oil'!S11,'BIFUbC-petroleum-diesel'!S11,'BIFUbC-heavy-or-residual-oil'!S11,'BIFUbC-LPG-propane-or-butane'!S11,'BIFUbC-hydrogen'!S11)</f>
        <v>2140426645215771</v>
      </c>
      <c r="T12" s="16">
        <f>SUM('BIFUbC-electricity'!T11,'BIFUbC-coal'!T11,'BIFUbC-natural-gas'!T11,'BIFUbC-biomass'!T11,'BIFUbC-heat'!T11,'BIFUbC-crude-oil'!T11,'BIFUbC-petroleum-diesel'!T11,'BIFUbC-heavy-or-residual-oil'!T11,'BIFUbC-LPG-propane-or-butane'!T11,'BIFUbC-hydrogen'!T11)</f>
        <v>2164011326825775.3</v>
      </c>
      <c r="U12" s="16">
        <f>SUM('BIFUbC-electricity'!U11,'BIFUbC-coal'!U11,'BIFUbC-natural-gas'!U11,'BIFUbC-biomass'!U11,'BIFUbC-heat'!U11,'BIFUbC-crude-oil'!U11,'BIFUbC-petroleum-diesel'!U11,'BIFUbC-heavy-or-residual-oil'!U11,'BIFUbC-LPG-propane-or-butane'!U11,'BIFUbC-hydrogen'!U11)</f>
        <v>2187596008435785</v>
      </c>
      <c r="V12" s="16">
        <f>SUM('BIFUbC-electricity'!V11,'BIFUbC-coal'!V11,'BIFUbC-natural-gas'!V11,'BIFUbC-biomass'!V11,'BIFUbC-heat'!V11,'BIFUbC-crude-oil'!V11,'BIFUbC-petroleum-diesel'!V11,'BIFUbC-heavy-or-residual-oil'!V11,'BIFUbC-LPG-propane-or-butane'!V11,'BIFUbC-hydrogen'!V11)</f>
        <v>2211180690045795</v>
      </c>
      <c r="W12" s="16">
        <f>SUM('BIFUbC-electricity'!W11,'BIFUbC-coal'!W11,'BIFUbC-natural-gas'!W11,'BIFUbC-biomass'!W11,'BIFUbC-heat'!W11,'BIFUbC-crude-oil'!W11,'BIFUbC-petroleum-diesel'!W11,'BIFUbC-heavy-or-residual-oil'!W11,'BIFUbC-LPG-propane-or-butane'!W11,'BIFUbC-hydrogen'!W11)</f>
        <v>2222314680555020.8</v>
      </c>
      <c r="X12" s="16">
        <f>SUM('BIFUbC-electricity'!X11,'BIFUbC-coal'!X11,'BIFUbC-natural-gas'!X11,'BIFUbC-biomass'!X11,'BIFUbC-heat'!X11,'BIFUbC-crude-oil'!X11,'BIFUbC-petroleum-diesel'!X11,'BIFUbC-heavy-or-residual-oil'!X11,'BIFUbC-LPG-propane-or-butane'!X11,'BIFUbC-hydrogen'!X11)</f>
        <v>2233448671064246.5</v>
      </c>
      <c r="Y12" s="16">
        <f>SUM('BIFUbC-electricity'!Y11,'BIFUbC-coal'!Y11,'BIFUbC-natural-gas'!Y11,'BIFUbC-biomass'!Y11,'BIFUbC-heat'!Y11,'BIFUbC-crude-oil'!Y11,'BIFUbC-petroleum-diesel'!Y11,'BIFUbC-heavy-or-residual-oil'!Y11,'BIFUbC-LPG-propane-or-butane'!Y11,'BIFUbC-hydrogen'!Y11)</f>
        <v>2244582661573472.5</v>
      </c>
      <c r="Z12" s="16">
        <f>SUM('BIFUbC-electricity'!Z11,'BIFUbC-coal'!Z11,'BIFUbC-natural-gas'!Z11,'BIFUbC-biomass'!Z11,'BIFUbC-heat'!Z11,'BIFUbC-crude-oil'!Z11,'BIFUbC-petroleum-diesel'!Z11,'BIFUbC-heavy-or-residual-oil'!Z11,'BIFUbC-LPG-propane-or-butane'!Z11,'BIFUbC-hydrogen'!Z11)</f>
        <v>2255716652082699</v>
      </c>
      <c r="AA12" s="16">
        <f>SUM('BIFUbC-electricity'!AA11,'BIFUbC-coal'!AA11,'BIFUbC-natural-gas'!AA11,'BIFUbC-biomass'!AA11,'BIFUbC-heat'!AA11,'BIFUbC-crude-oil'!AA11,'BIFUbC-petroleum-diesel'!AA11,'BIFUbC-heavy-or-residual-oil'!AA11,'BIFUbC-LPG-propane-or-butane'!AA11,'BIFUbC-hydrogen'!AA11)</f>
        <v>2266850642591926</v>
      </c>
      <c r="AB12" s="16">
        <f>SUM('BIFUbC-electricity'!AB11,'BIFUbC-coal'!AB11,'BIFUbC-natural-gas'!AB11,'BIFUbC-biomass'!AB11,'BIFUbC-heat'!AB11,'BIFUbC-crude-oil'!AB11,'BIFUbC-petroleum-diesel'!AB11,'BIFUbC-heavy-or-residual-oil'!AB11,'BIFUbC-LPG-propane-or-butane'!AB11,'BIFUbC-hydrogen'!AB11)</f>
        <v>2277984633101153</v>
      </c>
      <c r="AC12" s="16">
        <f>SUM('BIFUbC-electricity'!AC11,'BIFUbC-coal'!AC11,'BIFUbC-natural-gas'!AC11,'BIFUbC-biomass'!AC11,'BIFUbC-heat'!AC11,'BIFUbC-crude-oil'!AC11,'BIFUbC-petroleum-diesel'!AC11,'BIFUbC-heavy-or-residual-oil'!AC11,'BIFUbC-LPG-propane-or-butane'!AC11,'BIFUbC-hydrogen'!AC11)</f>
        <v>2289118623610380</v>
      </c>
      <c r="AD12" s="16">
        <f>SUM('BIFUbC-electricity'!AD11,'BIFUbC-coal'!AD11,'BIFUbC-natural-gas'!AD11,'BIFUbC-biomass'!AD11,'BIFUbC-heat'!AD11,'BIFUbC-crude-oil'!AD11,'BIFUbC-petroleum-diesel'!AD11,'BIFUbC-heavy-or-residual-oil'!AD11,'BIFUbC-LPG-propane-or-butane'!AD11,'BIFUbC-hydrogen'!AD11)</f>
        <v>2300252614119607.5</v>
      </c>
      <c r="AE12" s="16">
        <f>SUM('BIFUbC-electricity'!AE11,'BIFUbC-coal'!AE11,'BIFUbC-natural-gas'!AE11,'BIFUbC-biomass'!AE11,'BIFUbC-heat'!AE11,'BIFUbC-crude-oil'!AE11,'BIFUbC-petroleum-diesel'!AE11,'BIFUbC-heavy-or-residual-oil'!AE11,'BIFUbC-LPG-propane-or-butane'!AE11,'BIFUbC-hydrogen'!AE11)</f>
        <v>2311386604628835</v>
      </c>
      <c r="AF12" s="16">
        <f>SUM('BIFUbC-electricity'!AF11,'BIFUbC-coal'!AF11,'BIFUbC-natural-gas'!AF11,'BIFUbC-biomass'!AF11,'BIFUbC-heat'!AF11,'BIFUbC-crude-oil'!AF11,'BIFUbC-petroleum-diesel'!AF11,'BIFUbC-heavy-or-residual-oil'!AF11,'BIFUbC-LPG-propane-or-butane'!AF11,'BIFUbC-hydrogen'!AF11)</f>
        <v>2322520595138063.5</v>
      </c>
    </row>
    <row r="13" spans="1:32">
      <c r="A13" t="s">
        <v>51</v>
      </c>
      <c r="B13" s="16">
        <f>SUM('BIFUbC-electricity'!B12,'BIFUbC-coal'!B12,'BIFUbC-natural-gas'!B12,'BIFUbC-biomass'!B12,'BIFUbC-heat'!B12,'BIFUbC-crude-oil'!B12,'BIFUbC-petroleum-diesel'!B12,'BIFUbC-heavy-or-residual-oil'!B12,'BIFUbC-LPG-propane-or-butane'!B12,'BIFUbC-hydrogen'!B12)</f>
        <v>896836717274648.75</v>
      </c>
      <c r="C13" s="16">
        <f>SUM('BIFUbC-electricity'!C12,'BIFUbC-coal'!C12,'BIFUbC-natural-gas'!C12,'BIFUbC-biomass'!C12,'BIFUbC-heat'!C12,'BIFUbC-crude-oil'!C12,'BIFUbC-petroleum-diesel'!C12,'BIFUbC-heavy-or-residual-oil'!C12,'BIFUbC-LPG-propane-or-butane'!C12,'BIFUbC-hydrogen'!C12)</f>
        <v>918946343264983.88</v>
      </c>
      <c r="D13" s="16">
        <f>SUM('BIFUbC-electricity'!D12,'BIFUbC-coal'!D12,'BIFUbC-natural-gas'!D12,'BIFUbC-biomass'!D12,'BIFUbC-heat'!D12,'BIFUbC-crude-oil'!D12,'BIFUbC-petroleum-diesel'!D12,'BIFUbC-heavy-or-residual-oil'!D12,'BIFUbC-LPG-propane-or-butane'!D12,'BIFUbC-hydrogen'!D12)</f>
        <v>941055969255320.13</v>
      </c>
      <c r="E13" s="16">
        <f>SUM('BIFUbC-electricity'!E12,'BIFUbC-coal'!E12,'BIFUbC-natural-gas'!E12,'BIFUbC-biomass'!E12,'BIFUbC-heat'!E12,'BIFUbC-crude-oil'!E12,'BIFUbC-petroleum-diesel'!E12,'BIFUbC-heavy-or-residual-oil'!E12,'BIFUbC-LPG-propane-or-butane'!E12,'BIFUbC-hydrogen'!E12)</f>
        <v>963165595245656.75</v>
      </c>
      <c r="F13" s="16">
        <f>SUM('BIFUbC-electricity'!F12,'BIFUbC-coal'!F12,'BIFUbC-natural-gas'!F12,'BIFUbC-biomass'!F12,'BIFUbC-heat'!F12,'BIFUbC-crude-oil'!F12,'BIFUbC-petroleum-diesel'!F12,'BIFUbC-heavy-or-residual-oil'!F12,'BIFUbC-LPG-propane-or-butane'!F12,'BIFUbC-hydrogen'!F12)</f>
        <v>989464775129936.5</v>
      </c>
      <c r="G13" s="16">
        <f>SUM('BIFUbC-electricity'!G12,'BIFUbC-coal'!G12,'BIFUbC-natural-gas'!G12,'BIFUbC-biomass'!G12,'BIFUbC-heat'!G12,'BIFUbC-crude-oil'!G12,'BIFUbC-petroleum-diesel'!G12,'BIFUbC-heavy-or-residual-oil'!G12,'BIFUbC-LPG-propane-or-butane'!G12,'BIFUbC-hydrogen'!G12)</f>
        <v>1015763955014214</v>
      </c>
      <c r="H13" s="16">
        <f>SUM('BIFUbC-electricity'!H12,'BIFUbC-coal'!H12,'BIFUbC-natural-gas'!H12,'BIFUbC-biomass'!H12,'BIFUbC-heat'!H12,'BIFUbC-crude-oil'!H12,'BIFUbC-petroleum-diesel'!H12,'BIFUbC-heavy-or-residual-oil'!H12,'BIFUbC-LPG-propane-or-butane'!H12,'BIFUbC-hydrogen'!H12)</f>
        <v>1042063134898498.5</v>
      </c>
      <c r="I13" s="16">
        <f>SUM('BIFUbC-electricity'!I12,'BIFUbC-coal'!I12,'BIFUbC-natural-gas'!I12,'BIFUbC-biomass'!I12,'BIFUbC-heat'!I12,'BIFUbC-crude-oil'!I12,'BIFUbC-petroleum-diesel'!I12,'BIFUbC-heavy-or-residual-oil'!I12,'BIFUbC-LPG-propane-or-butane'!I12,'BIFUbC-hydrogen'!I12)</f>
        <v>1068362314782777.8</v>
      </c>
      <c r="J13" s="16">
        <f>SUM('BIFUbC-electricity'!J12,'BIFUbC-coal'!J12,'BIFUbC-natural-gas'!J12,'BIFUbC-biomass'!J12,'BIFUbC-heat'!J12,'BIFUbC-crude-oil'!J12,'BIFUbC-petroleum-diesel'!J12,'BIFUbC-heavy-or-residual-oil'!J12,'BIFUbC-LPG-propane-or-butane'!J12,'BIFUbC-hydrogen'!J12)</f>
        <v>1094661494667057.1</v>
      </c>
      <c r="K13" s="16">
        <f>SUM('BIFUbC-electricity'!K12,'BIFUbC-coal'!K12,'BIFUbC-natural-gas'!K12,'BIFUbC-biomass'!K12,'BIFUbC-heat'!K12,'BIFUbC-crude-oil'!K12,'BIFUbC-petroleum-diesel'!K12,'BIFUbC-heavy-or-residual-oil'!K12,'BIFUbC-LPG-propane-or-butane'!K12,'BIFUbC-hydrogen'!K12)</f>
        <v>1120960674551342.1</v>
      </c>
      <c r="L13" s="16">
        <f>SUM('BIFUbC-electricity'!L12,'BIFUbC-coal'!L12,'BIFUbC-natural-gas'!L12,'BIFUbC-biomass'!L12,'BIFUbC-heat'!L12,'BIFUbC-crude-oil'!L12,'BIFUbC-petroleum-diesel'!L12,'BIFUbC-heavy-or-residual-oil'!L12,'BIFUbC-LPG-propane-or-butane'!L12,'BIFUbC-hydrogen'!L12)</f>
        <v>1147259854435624.5</v>
      </c>
      <c r="M13" s="16">
        <f>SUM('BIFUbC-electricity'!M12,'BIFUbC-coal'!M12,'BIFUbC-natural-gas'!M12,'BIFUbC-biomass'!M12,'BIFUbC-heat'!M12,'BIFUbC-crude-oil'!M12,'BIFUbC-petroleum-diesel'!M12,'BIFUbC-heavy-or-residual-oil'!M12,'BIFUbC-LPG-propane-or-butane'!M12,'BIFUbC-hydrogen'!M12)</f>
        <v>1161548923310159.3</v>
      </c>
      <c r="N13" s="16">
        <f>SUM('BIFUbC-electricity'!N12,'BIFUbC-coal'!N12,'BIFUbC-natural-gas'!N12,'BIFUbC-biomass'!N12,'BIFUbC-heat'!N12,'BIFUbC-crude-oil'!N12,'BIFUbC-petroleum-diesel'!N12,'BIFUbC-heavy-or-residual-oil'!N12,'BIFUbC-LPG-propane-or-butane'!N12,'BIFUbC-hydrogen'!N12)</f>
        <v>1175837992184694</v>
      </c>
      <c r="O13" s="16">
        <f>SUM('BIFUbC-electricity'!O12,'BIFUbC-coal'!O12,'BIFUbC-natural-gas'!O12,'BIFUbC-biomass'!O12,'BIFUbC-heat'!O12,'BIFUbC-crude-oil'!O12,'BIFUbC-petroleum-diesel'!O12,'BIFUbC-heavy-or-residual-oil'!O12,'BIFUbC-LPG-propane-or-butane'!O12,'BIFUbC-hydrogen'!O12)</f>
        <v>1190127061059231.5</v>
      </c>
      <c r="P13" s="16">
        <f>SUM('BIFUbC-electricity'!P12,'BIFUbC-coal'!P12,'BIFUbC-natural-gas'!P12,'BIFUbC-biomass'!P12,'BIFUbC-heat'!P12,'BIFUbC-crude-oil'!P12,'BIFUbC-petroleum-diesel'!P12,'BIFUbC-heavy-or-residual-oil'!P12,'BIFUbC-LPG-propane-or-butane'!P12,'BIFUbC-hydrogen'!P12)</f>
        <v>1204416129933766.5</v>
      </c>
      <c r="Q13" s="16">
        <f>SUM('BIFUbC-electricity'!Q12,'BIFUbC-coal'!Q12,'BIFUbC-natural-gas'!Q12,'BIFUbC-biomass'!Q12,'BIFUbC-heat'!Q12,'BIFUbC-crude-oil'!Q12,'BIFUbC-petroleum-diesel'!Q12,'BIFUbC-heavy-or-residual-oil'!Q12,'BIFUbC-LPG-propane-or-butane'!Q12,'BIFUbC-hydrogen'!Q12)</f>
        <v>1218705198808304.5</v>
      </c>
      <c r="R13" s="16">
        <f>SUM('BIFUbC-electricity'!R12,'BIFUbC-coal'!R12,'BIFUbC-natural-gas'!R12,'BIFUbC-biomass'!R12,'BIFUbC-heat'!R12,'BIFUbC-crude-oil'!R12,'BIFUbC-petroleum-diesel'!R12,'BIFUbC-heavy-or-residual-oil'!R12,'BIFUbC-LPG-propane-or-butane'!R12,'BIFUbC-hydrogen'!R12)</f>
        <v>1232994267682840</v>
      </c>
      <c r="S13" s="16">
        <f>SUM('BIFUbC-electricity'!S12,'BIFUbC-coal'!S12,'BIFUbC-natural-gas'!S12,'BIFUbC-biomass'!S12,'BIFUbC-heat'!S12,'BIFUbC-crude-oil'!S12,'BIFUbC-petroleum-diesel'!S12,'BIFUbC-heavy-or-residual-oil'!S12,'BIFUbC-LPG-propane-or-butane'!S12,'BIFUbC-hydrogen'!S12)</f>
        <v>1247283336557378.3</v>
      </c>
      <c r="T13" s="16">
        <f>SUM('BIFUbC-electricity'!T12,'BIFUbC-coal'!T12,'BIFUbC-natural-gas'!T12,'BIFUbC-biomass'!T12,'BIFUbC-heat'!T12,'BIFUbC-crude-oil'!T12,'BIFUbC-petroleum-diesel'!T12,'BIFUbC-heavy-or-residual-oil'!T12,'BIFUbC-LPG-propane-or-butane'!T12,'BIFUbC-hydrogen'!T12)</f>
        <v>1261572405431914</v>
      </c>
      <c r="U13" s="16">
        <f>SUM('BIFUbC-electricity'!U12,'BIFUbC-coal'!U12,'BIFUbC-natural-gas'!U12,'BIFUbC-biomass'!U12,'BIFUbC-heat'!U12,'BIFUbC-crude-oil'!U12,'BIFUbC-petroleum-diesel'!U12,'BIFUbC-heavy-or-residual-oil'!U12,'BIFUbC-LPG-propane-or-butane'!U12,'BIFUbC-hydrogen'!U12)</f>
        <v>1275861474306453</v>
      </c>
      <c r="V13" s="16">
        <f>SUM('BIFUbC-electricity'!V12,'BIFUbC-coal'!V12,'BIFUbC-natural-gas'!V12,'BIFUbC-biomass'!V12,'BIFUbC-heat'!V12,'BIFUbC-crude-oil'!V12,'BIFUbC-petroleum-diesel'!V12,'BIFUbC-heavy-or-residual-oil'!V12,'BIFUbC-LPG-propane-or-butane'!V12,'BIFUbC-hydrogen'!V12)</f>
        <v>1290150543180991.5</v>
      </c>
      <c r="W13" s="16">
        <f>SUM('BIFUbC-electricity'!W12,'BIFUbC-coal'!W12,'BIFUbC-natural-gas'!W12,'BIFUbC-biomass'!W12,'BIFUbC-heat'!W12,'BIFUbC-crude-oil'!W12,'BIFUbC-petroleum-diesel'!W12,'BIFUbC-heavy-or-residual-oil'!W12,'BIFUbC-LPG-propane-or-butane'!W12,'BIFUbC-hydrogen'!W12)</f>
        <v>1297100236019868.5</v>
      </c>
      <c r="X13" s="16">
        <f>SUM('BIFUbC-electricity'!X12,'BIFUbC-coal'!X12,'BIFUbC-natural-gas'!X12,'BIFUbC-biomass'!X12,'BIFUbC-heat'!X12,'BIFUbC-crude-oil'!X12,'BIFUbC-petroleum-diesel'!X12,'BIFUbC-heavy-or-residual-oil'!X12,'BIFUbC-LPG-propane-or-butane'!X12,'BIFUbC-hydrogen'!X12)</f>
        <v>1304049928858745.5</v>
      </c>
      <c r="Y13" s="16">
        <f>SUM('BIFUbC-electricity'!Y12,'BIFUbC-coal'!Y12,'BIFUbC-natural-gas'!Y12,'BIFUbC-biomass'!Y12,'BIFUbC-heat'!Y12,'BIFUbC-crude-oil'!Y12,'BIFUbC-petroleum-diesel'!Y12,'BIFUbC-heavy-or-residual-oil'!Y12,'BIFUbC-LPG-propane-or-butane'!Y12,'BIFUbC-hydrogen'!Y12)</f>
        <v>1310999621697622.5</v>
      </c>
      <c r="Z13" s="16">
        <f>SUM('BIFUbC-electricity'!Z12,'BIFUbC-coal'!Z12,'BIFUbC-natural-gas'!Z12,'BIFUbC-biomass'!Z12,'BIFUbC-heat'!Z12,'BIFUbC-crude-oil'!Z12,'BIFUbC-petroleum-diesel'!Z12,'BIFUbC-heavy-or-residual-oil'!Z12,'BIFUbC-LPG-propane-or-butane'!Z12,'BIFUbC-hydrogen'!Z12)</f>
        <v>1317949314536499.8</v>
      </c>
      <c r="AA13" s="16">
        <f>SUM('BIFUbC-electricity'!AA12,'BIFUbC-coal'!AA12,'BIFUbC-natural-gas'!AA12,'BIFUbC-biomass'!AA12,'BIFUbC-heat'!AA12,'BIFUbC-crude-oil'!AA12,'BIFUbC-petroleum-diesel'!AA12,'BIFUbC-heavy-or-residual-oil'!AA12,'BIFUbC-LPG-propane-or-butane'!AA12,'BIFUbC-hydrogen'!AA12)</f>
        <v>1324899007375377.3</v>
      </c>
      <c r="AB13" s="16">
        <f>SUM('BIFUbC-electricity'!AB12,'BIFUbC-coal'!AB12,'BIFUbC-natural-gas'!AB12,'BIFUbC-biomass'!AB12,'BIFUbC-heat'!AB12,'BIFUbC-crude-oil'!AB12,'BIFUbC-petroleum-diesel'!AB12,'BIFUbC-heavy-or-residual-oil'!AB12,'BIFUbC-LPG-propane-or-butane'!AB12,'BIFUbC-hydrogen'!AB12)</f>
        <v>1331848700214255</v>
      </c>
      <c r="AC13" s="16">
        <f>SUM('BIFUbC-electricity'!AC12,'BIFUbC-coal'!AC12,'BIFUbC-natural-gas'!AC12,'BIFUbC-biomass'!AC12,'BIFUbC-heat'!AC12,'BIFUbC-crude-oil'!AC12,'BIFUbC-petroleum-diesel'!AC12,'BIFUbC-heavy-or-residual-oil'!AC12,'BIFUbC-LPG-propane-or-butane'!AC12,'BIFUbC-hydrogen'!AC12)</f>
        <v>1338798393053133</v>
      </c>
      <c r="AD13" s="16">
        <f>SUM('BIFUbC-electricity'!AD12,'BIFUbC-coal'!AD12,'BIFUbC-natural-gas'!AD12,'BIFUbC-biomass'!AD12,'BIFUbC-heat'!AD12,'BIFUbC-crude-oil'!AD12,'BIFUbC-petroleum-diesel'!AD12,'BIFUbC-heavy-or-residual-oil'!AD12,'BIFUbC-LPG-propane-or-butane'!AD12,'BIFUbC-hydrogen'!AD12)</f>
        <v>1345748085892011</v>
      </c>
      <c r="AE13" s="16">
        <f>SUM('BIFUbC-electricity'!AE12,'BIFUbC-coal'!AE12,'BIFUbC-natural-gas'!AE12,'BIFUbC-biomass'!AE12,'BIFUbC-heat'!AE12,'BIFUbC-crude-oil'!AE12,'BIFUbC-petroleum-diesel'!AE12,'BIFUbC-heavy-or-residual-oil'!AE12,'BIFUbC-LPG-propane-or-butane'!AE12,'BIFUbC-hydrogen'!AE12)</f>
        <v>1352697778730889.5</v>
      </c>
      <c r="AF13" s="16">
        <f>SUM('BIFUbC-electricity'!AF12,'BIFUbC-coal'!AF12,'BIFUbC-natural-gas'!AF12,'BIFUbC-biomass'!AF12,'BIFUbC-heat'!AF12,'BIFUbC-crude-oil'!AF12,'BIFUbC-petroleum-diesel'!AF12,'BIFUbC-heavy-or-residual-oil'!AF12,'BIFUbC-LPG-propane-or-butane'!AF12,'BIFUbC-hydrogen'!AF12)</f>
        <v>1359647471569768</v>
      </c>
    </row>
    <row r="14" spans="1:32">
      <c r="A14" t="s">
        <v>53</v>
      </c>
      <c r="B14" s="16">
        <f>SUM('BIFUbC-electricity'!B13,'BIFUbC-coal'!B13,'BIFUbC-natural-gas'!B13,'BIFUbC-biomass'!B13,'BIFUbC-heat'!B13,'BIFUbC-crude-oil'!B13,'BIFUbC-petroleum-diesel'!B13,'BIFUbC-heavy-or-residual-oil'!B13,'BIFUbC-LPG-propane-or-butane'!B13,'BIFUbC-hydrogen'!B13)</f>
        <v>10721886188937.891</v>
      </c>
      <c r="C14" s="16">
        <f>SUM('BIFUbC-electricity'!C13,'BIFUbC-coal'!C13,'BIFUbC-natural-gas'!C13,'BIFUbC-biomass'!C13,'BIFUbC-heat'!C13,'BIFUbC-crude-oil'!C13,'BIFUbC-petroleum-diesel'!C13,'BIFUbC-heavy-or-residual-oil'!C13,'BIFUbC-LPG-propane-or-butane'!C13,'BIFUbC-hydrogen'!C13)</f>
        <v>10831521627996.666</v>
      </c>
      <c r="D14" s="16">
        <f>SUM('BIFUbC-electricity'!D13,'BIFUbC-coal'!D13,'BIFUbC-natural-gas'!D13,'BIFUbC-biomass'!D13,'BIFUbC-heat'!D13,'BIFUbC-crude-oil'!D13,'BIFUbC-petroleum-diesel'!D13,'BIFUbC-heavy-or-residual-oil'!D13,'BIFUbC-LPG-propane-or-butane'!D13,'BIFUbC-hydrogen'!D13)</f>
        <v>10941157067055.441</v>
      </c>
      <c r="E14" s="16">
        <f>SUM('BIFUbC-electricity'!E13,'BIFUbC-coal'!E13,'BIFUbC-natural-gas'!E13,'BIFUbC-biomass'!E13,'BIFUbC-heat'!E13,'BIFUbC-crude-oil'!E13,'BIFUbC-petroleum-diesel'!E13,'BIFUbC-heavy-or-residual-oil'!E13,'BIFUbC-LPG-propane-or-butane'!E13,'BIFUbC-hydrogen'!E13)</f>
        <v>11050792506114.211</v>
      </c>
      <c r="F14" s="16">
        <f>SUM('BIFUbC-electricity'!F13,'BIFUbC-coal'!F13,'BIFUbC-natural-gas'!F13,'BIFUbC-biomass'!F13,'BIFUbC-heat'!F13,'BIFUbC-crude-oil'!F13,'BIFUbC-petroleum-diesel'!F13,'BIFUbC-heavy-or-residual-oil'!F13,'BIFUbC-LPG-propane-or-butane'!F13,'BIFUbC-hydrogen'!F13)</f>
        <v>11105537672916.131</v>
      </c>
      <c r="G14" s="16">
        <f>SUM('BIFUbC-electricity'!G13,'BIFUbC-coal'!G13,'BIFUbC-natural-gas'!G13,'BIFUbC-biomass'!G13,'BIFUbC-heat'!G13,'BIFUbC-crude-oil'!G13,'BIFUbC-petroleum-diesel'!G13,'BIFUbC-heavy-or-residual-oil'!G13,'BIFUbC-LPG-propane-or-butane'!G13,'BIFUbC-hydrogen'!G13)</f>
        <v>11160282839718.039</v>
      </c>
      <c r="H14" s="16">
        <f>SUM('BIFUbC-electricity'!H13,'BIFUbC-coal'!H13,'BIFUbC-natural-gas'!H13,'BIFUbC-biomass'!H13,'BIFUbC-heat'!H13,'BIFUbC-crude-oil'!H13,'BIFUbC-petroleum-diesel'!H13,'BIFUbC-heavy-or-residual-oil'!H13,'BIFUbC-LPG-propane-or-butane'!H13,'BIFUbC-hydrogen'!H13)</f>
        <v>11215028006519.949</v>
      </c>
      <c r="I14" s="16">
        <f>SUM('BIFUbC-electricity'!I13,'BIFUbC-coal'!I13,'BIFUbC-natural-gas'!I13,'BIFUbC-biomass'!I13,'BIFUbC-heat'!I13,'BIFUbC-crude-oil'!I13,'BIFUbC-petroleum-diesel'!I13,'BIFUbC-heavy-or-residual-oil'!I13,'BIFUbC-LPG-propane-or-butane'!I13,'BIFUbC-hydrogen'!I13)</f>
        <v>11269773173321.863</v>
      </c>
      <c r="J14" s="16">
        <f>SUM('BIFUbC-electricity'!J13,'BIFUbC-coal'!J13,'BIFUbC-natural-gas'!J13,'BIFUbC-biomass'!J13,'BIFUbC-heat'!J13,'BIFUbC-crude-oil'!J13,'BIFUbC-petroleum-diesel'!J13,'BIFUbC-heavy-or-residual-oil'!J13,'BIFUbC-LPG-propane-or-butane'!J13,'BIFUbC-hydrogen'!J13)</f>
        <v>11324518340123.775</v>
      </c>
      <c r="K14" s="16">
        <f>SUM('BIFUbC-electricity'!K13,'BIFUbC-coal'!K13,'BIFUbC-natural-gas'!K13,'BIFUbC-biomass'!K13,'BIFUbC-heat'!K13,'BIFUbC-crude-oil'!K13,'BIFUbC-petroleum-diesel'!K13,'BIFUbC-heavy-or-residual-oil'!K13,'BIFUbC-LPG-propane-or-butane'!K13,'BIFUbC-hydrogen'!K13)</f>
        <v>11379263506925.686</v>
      </c>
      <c r="L14" s="16">
        <f>SUM('BIFUbC-electricity'!L13,'BIFUbC-coal'!L13,'BIFUbC-natural-gas'!L13,'BIFUbC-biomass'!L13,'BIFUbC-heat'!L13,'BIFUbC-crude-oil'!L13,'BIFUbC-petroleum-diesel'!L13,'BIFUbC-heavy-or-residual-oil'!L13,'BIFUbC-LPG-propane-or-butane'!L13,'BIFUbC-hydrogen'!L13)</f>
        <v>11434008673727.598</v>
      </c>
      <c r="M14" s="16">
        <f>SUM('BIFUbC-electricity'!M13,'BIFUbC-coal'!M13,'BIFUbC-natural-gas'!M13,'BIFUbC-biomass'!M13,'BIFUbC-heat'!M13,'BIFUbC-crude-oil'!M13,'BIFUbC-petroleum-diesel'!M13,'BIFUbC-heavy-or-residual-oil'!M13,'BIFUbC-LPG-propane-or-butane'!M13,'BIFUbC-hydrogen'!M13)</f>
        <v>11438098350761.244</v>
      </c>
      <c r="N14" s="16">
        <f>SUM('BIFUbC-electricity'!N13,'BIFUbC-coal'!N13,'BIFUbC-natural-gas'!N13,'BIFUbC-biomass'!N13,'BIFUbC-heat'!N13,'BIFUbC-crude-oil'!N13,'BIFUbC-petroleum-diesel'!N13,'BIFUbC-heavy-or-residual-oil'!N13,'BIFUbC-LPG-propane-or-butane'!N13,'BIFUbC-hydrogen'!N13)</f>
        <v>11442188027794.891</v>
      </c>
      <c r="O14" s="16">
        <f>SUM('BIFUbC-electricity'!O13,'BIFUbC-coal'!O13,'BIFUbC-natural-gas'!O13,'BIFUbC-biomass'!O13,'BIFUbC-heat'!O13,'BIFUbC-crude-oil'!O13,'BIFUbC-petroleum-diesel'!O13,'BIFUbC-heavy-or-residual-oil'!O13,'BIFUbC-LPG-propane-or-butane'!O13,'BIFUbC-hydrogen'!O13)</f>
        <v>11446277704828.537</v>
      </c>
      <c r="P14" s="16">
        <f>SUM('BIFUbC-electricity'!P13,'BIFUbC-coal'!P13,'BIFUbC-natural-gas'!P13,'BIFUbC-biomass'!P13,'BIFUbC-heat'!P13,'BIFUbC-crude-oil'!P13,'BIFUbC-petroleum-diesel'!P13,'BIFUbC-heavy-or-residual-oil'!P13,'BIFUbC-LPG-propane-or-butane'!P13,'BIFUbC-hydrogen'!P13)</f>
        <v>11450367381862.186</v>
      </c>
      <c r="Q14" s="16">
        <f>SUM('BIFUbC-electricity'!Q13,'BIFUbC-coal'!Q13,'BIFUbC-natural-gas'!Q13,'BIFUbC-biomass'!Q13,'BIFUbC-heat'!Q13,'BIFUbC-crude-oil'!Q13,'BIFUbC-petroleum-diesel'!Q13,'BIFUbC-heavy-or-residual-oil'!Q13,'BIFUbC-LPG-propane-or-butane'!Q13,'BIFUbC-hydrogen'!Q13)</f>
        <v>11454457058895.83</v>
      </c>
      <c r="R14" s="16">
        <f>SUM('BIFUbC-electricity'!R13,'BIFUbC-coal'!R13,'BIFUbC-natural-gas'!R13,'BIFUbC-biomass'!R13,'BIFUbC-heat'!R13,'BIFUbC-crude-oil'!R13,'BIFUbC-petroleum-diesel'!R13,'BIFUbC-heavy-or-residual-oil'!R13,'BIFUbC-LPG-propane-or-butane'!R13,'BIFUbC-hydrogen'!R13)</f>
        <v>11458546735929.479</v>
      </c>
      <c r="S14" s="16">
        <f>SUM('BIFUbC-electricity'!S13,'BIFUbC-coal'!S13,'BIFUbC-natural-gas'!S13,'BIFUbC-biomass'!S13,'BIFUbC-heat'!S13,'BIFUbC-crude-oil'!S13,'BIFUbC-petroleum-diesel'!S13,'BIFUbC-heavy-or-residual-oil'!S13,'BIFUbC-LPG-propane-or-butane'!S13,'BIFUbC-hydrogen'!S13)</f>
        <v>11462636412963.123</v>
      </c>
      <c r="T14" s="16">
        <f>SUM('BIFUbC-electricity'!T13,'BIFUbC-coal'!T13,'BIFUbC-natural-gas'!T13,'BIFUbC-biomass'!T13,'BIFUbC-heat'!T13,'BIFUbC-crude-oil'!T13,'BIFUbC-petroleum-diesel'!T13,'BIFUbC-heavy-or-residual-oil'!T13,'BIFUbC-LPG-propane-or-butane'!T13,'BIFUbC-hydrogen'!T13)</f>
        <v>11466726089996.771</v>
      </c>
      <c r="U14" s="16">
        <f>SUM('BIFUbC-electricity'!U13,'BIFUbC-coal'!U13,'BIFUbC-natural-gas'!U13,'BIFUbC-biomass'!U13,'BIFUbC-heat'!U13,'BIFUbC-crude-oil'!U13,'BIFUbC-petroleum-diesel'!U13,'BIFUbC-heavy-or-residual-oil'!U13,'BIFUbC-LPG-propane-or-butane'!U13,'BIFUbC-hydrogen'!U13)</f>
        <v>11470815767030.418</v>
      </c>
      <c r="V14" s="16">
        <f>SUM('BIFUbC-electricity'!V13,'BIFUbC-coal'!V13,'BIFUbC-natural-gas'!V13,'BIFUbC-biomass'!V13,'BIFUbC-heat'!V13,'BIFUbC-crude-oil'!V13,'BIFUbC-petroleum-diesel'!V13,'BIFUbC-heavy-or-residual-oil'!V13,'BIFUbC-LPG-propane-or-butane'!V13,'BIFUbC-hydrogen'!V13)</f>
        <v>11474905444064.064</v>
      </c>
      <c r="W14" s="16">
        <f>SUM('BIFUbC-electricity'!W13,'BIFUbC-coal'!W13,'BIFUbC-natural-gas'!W13,'BIFUbC-biomass'!W13,'BIFUbC-heat'!W13,'BIFUbC-crude-oil'!W13,'BIFUbC-petroleum-diesel'!W13,'BIFUbC-heavy-or-residual-oil'!W13,'BIFUbC-LPG-propane-or-butane'!W13,'BIFUbC-hydrogen'!W13)</f>
        <v>11392792161736.322</v>
      </c>
      <c r="X14" s="16">
        <f>SUM('BIFUbC-electricity'!X13,'BIFUbC-coal'!X13,'BIFUbC-natural-gas'!X13,'BIFUbC-biomass'!X13,'BIFUbC-heat'!X13,'BIFUbC-crude-oil'!X13,'BIFUbC-petroleum-diesel'!X13,'BIFUbC-heavy-or-residual-oil'!X13,'BIFUbC-LPG-propane-or-butane'!X13,'BIFUbC-hydrogen'!X13)</f>
        <v>11310678879408.58</v>
      </c>
      <c r="Y14" s="16">
        <f>SUM('BIFUbC-electricity'!Y13,'BIFUbC-coal'!Y13,'BIFUbC-natural-gas'!Y13,'BIFUbC-biomass'!Y13,'BIFUbC-heat'!Y13,'BIFUbC-crude-oil'!Y13,'BIFUbC-petroleum-diesel'!Y13,'BIFUbC-heavy-or-residual-oil'!Y13,'BIFUbC-LPG-propane-or-butane'!Y13,'BIFUbC-hydrogen'!Y13)</f>
        <v>11228565597080.836</v>
      </c>
      <c r="Z14" s="16">
        <f>SUM('BIFUbC-electricity'!Z13,'BIFUbC-coal'!Z13,'BIFUbC-natural-gas'!Z13,'BIFUbC-biomass'!Z13,'BIFUbC-heat'!Z13,'BIFUbC-crude-oil'!Z13,'BIFUbC-petroleum-diesel'!Z13,'BIFUbC-heavy-or-residual-oil'!Z13,'BIFUbC-LPG-propane-or-butane'!Z13,'BIFUbC-hydrogen'!Z13)</f>
        <v>11146452314753.096</v>
      </c>
      <c r="AA14" s="16">
        <f>SUM('BIFUbC-electricity'!AA13,'BIFUbC-coal'!AA13,'BIFUbC-natural-gas'!AA13,'BIFUbC-biomass'!AA13,'BIFUbC-heat'!AA13,'BIFUbC-crude-oil'!AA13,'BIFUbC-petroleum-diesel'!AA13,'BIFUbC-heavy-or-residual-oil'!AA13,'BIFUbC-LPG-propane-or-butane'!AA13,'BIFUbC-hydrogen'!AA13)</f>
        <v>11064339032425.354</v>
      </c>
      <c r="AB14" s="16">
        <f>SUM('BIFUbC-electricity'!AB13,'BIFUbC-coal'!AB13,'BIFUbC-natural-gas'!AB13,'BIFUbC-biomass'!AB13,'BIFUbC-heat'!AB13,'BIFUbC-crude-oil'!AB13,'BIFUbC-petroleum-diesel'!AB13,'BIFUbC-heavy-or-residual-oil'!AB13,'BIFUbC-LPG-propane-or-butane'!AB13,'BIFUbC-hydrogen'!AB13)</f>
        <v>10982225750097.607</v>
      </c>
      <c r="AC14" s="16">
        <f>SUM('BIFUbC-electricity'!AC13,'BIFUbC-coal'!AC13,'BIFUbC-natural-gas'!AC13,'BIFUbC-biomass'!AC13,'BIFUbC-heat'!AC13,'BIFUbC-crude-oil'!AC13,'BIFUbC-petroleum-diesel'!AC13,'BIFUbC-heavy-or-residual-oil'!AC13,'BIFUbC-LPG-propane-or-butane'!AC13,'BIFUbC-hydrogen'!AC13)</f>
        <v>10900112467769.865</v>
      </c>
      <c r="AD14" s="16">
        <f>SUM('BIFUbC-electricity'!AD13,'BIFUbC-coal'!AD13,'BIFUbC-natural-gas'!AD13,'BIFUbC-biomass'!AD13,'BIFUbC-heat'!AD13,'BIFUbC-crude-oil'!AD13,'BIFUbC-petroleum-diesel'!AD13,'BIFUbC-heavy-or-residual-oil'!AD13,'BIFUbC-LPG-propane-or-butane'!AD13,'BIFUbC-hydrogen'!AD13)</f>
        <v>10817999185442.123</v>
      </c>
      <c r="AE14" s="16">
        <f>SUM('BIFUbC-electricity'!AE13,'BIFUbC-coal'!AE13,'BIFUbC-natural-gas'!AE13,'BIFUbC-biomass'!AE13,'BIFUbC-heat'!AE13,'BIFUbC-crude-oil'!AE13,'BIFUbC-petroleum-diesel'!AE13,'BIFUbC-heavy-or-residual-oil'!AE13,'BIFUbC-LPG-propane-or-butane'!AE13,'BIFUbC-hydrogen'!AE13)</f>
        <v>10735885903114.381</v>
      </c>
      <c r="AF14" s="16">
        <f>SUM('BIFUbC-electricity'!AF13,'BIFUbC-coal'!AF13,'BIFUbC-natural-gas'!AF13,'BIFUbC-biomass'!AF13,'BIFUbC-heat'!AF13,'BIFUbC-crude-oil'!AF13,'BIFUbC-petroleum-diesel'!AF13,'BIFUbC-heavy-or-residual-oil'!AF13,'BIFUbC-LPG-propane-or-butane'!AF13,'BIFUbC-hydrogen'!AF13)</f>
        <v>10653772620786.637</v>
      </c>
    </row>
    <row r="15" spans="1:32">
      <c r="A15" t="s">
        <v>56</v>
      </c>
      <c r="B15" s="16">
        <f>SUM('BIFUbC-electricity'!B14,'BIFUbC-coal'!B14,'BIFUbC-natural-gas'!B14,'BIFUbC-biomass'!B14,'BIFUbC-heat'!B14,'BIFUbC-crude-oil'!B14,'BIFUbC-petroleum-diesel'!B14,'BIFUbC-heavy-or-residual-oil'!B14,'BIFUbC-LPG-propane-or-butane'!B14,'BIFUbC-hydrogen'!B14)</f>
        <v>24019476245061.762</v>
      </c>
      <c r="C15" s="16">
        <f>SUM('BIFUbC-electricity'!C14,'BIFUbC-coal'!C14,'BIFUbC-natural-gas'!C14,'BIFUbC-biomass'!C14,'BIFUbC-heat'!C14,'BIFUbC-crude-oil'!C14,'BIFUbC-petroleum-diesel'!C14,'BIFUbC-heavy-or-residual-oil'!C14,'BIFUbC-LPG-propane-or-butane'!C14,'BIFUbC-hydrogen'!C14)</f>
        <v>24493677988399.891</v>
      </c>
      <c r="D15" s="16">
        <f>SUM('BIFUbC-electricity'!D14,'BIFUbC-coal'!D14,'BIFUbC-natural-gas'!D14,'BIFUbC-biomass'!D14,'BIFUbC-heat'!D14,'BIFUbC-crude-oil'!D14,'BIFUbC-petroleum-diesel'!D14,'BIFUbC-heavy-or-residual-oil'!D14,'BIFUbC-LPG-propane-or-butane'!D14,'BIFUbC-hydrogen'!D14)</f>
        <v>24967879731738.008</v>
      </c>
      <c r="E15" s="16">
        <f>SUM('BIFUbC-electricity'!E14,'BIFUbC-coal'!E14,'BIFUbC-natural-gas'!E14,'BIFUbC-biomass'!E14,'BIFUbC-heat'!E14,'BIFUbC-crude-oil'!E14,'BIFUbC-petroleum-diesel'!E14,'BIFUbC-heavy-or-residual-oil'!E14,'BIFUbC-LPG-propane-or-butane'!E14,'BIFUbC-hydrogen'!E14)</f>
        <v>25442081475076.121</v>
      </c>
      <c r="F15" s="16">
        <f>SUM('BIFUbC-electricity'!F14,'BIFUbC-coal'!F14,'BIFUbC-natural-gas'!F14,'BIFUbC-biomass'!F14,'BIFUbC-heat'!F14,'BIFUbC-crude-oil'!F14,'BIFUbC-petroleum-diesel'!F14,'BIFUbC-heavy-or-residual-oil'!F14,'BIFUbC-LPG-propane-or-butane'!F14,'BIFUbC-hydrogen'!F14)</f>
        <v>25639484142025.785</v>
      </c>
      <c r="G15" s="16">
        <f>SUM('BIFUbC-electricity'!G14,'BIFUbC-coal'!G14,'BIFUbC-natural-gas'!G14,'BIFUbC-biomass'!G14,'BIFUbC-heat'!G14,'BIFUbC-crude-oil'!G14,'BIFUbC-petroleum-diesel'!G14,'BIFUbC-heavy-or-residual-oil'!G14,'BIFUbC-LPG-propane-or-butane'!G14,'BIFUbC-hydrogen'!G14)</f>
        <v>25836886808975.41</v>
      </c>
      <c r="H15" s="16">
        <f>SUM('BIFUbC-electricity'!H14,'BIFUbC-coal'!H14,'BIFUbC-natural-gas'!H14,'BIFUbC-biomass'!H14,'BIFUbC-heat'!H14,'BIFUbC-crude-oil'!H14,'BIFUbC-petroleum-diesel'!H14,'BIFUbC-heavy-or-residual-oil'!H14,'BIFUbC-LPG-propane-or-butane'!H14,'BIFUbC-hydrogen'!H14)</f>
        <v>26034289475925.059</v>
      </c>
      <c r="I15" s="16">
        <f>SUM('BIFUbC-electricity'!I14,'BIFUbC-coal'!I14,'BIFUbC-natural-gas'!I14,'BIFUbC-biomass'!I14,'BIFUbC-heat'!I14,'BIFUbC-crude-oil'!I14,'BIFUbC-petroleum-diesel'!I14,'BIFUbC-heavy-or-residual-oil'!I14,'BIFUbC-LPG-propane-or-butane'!I14,'BIFUbC-hydrogen'!I14)</f>
        <v>26231692142874.699</v>
      </c>
      <c r="J15" s="16">
        <f>SUM('BIFUbC-electricity'!J14,'BIFUbC-coal'!J14,'BIFUbC-natural-gas'!J14,'BIFUbC-biomass'!J14,'BIFUbC-heat'!J14,'BIFUbC-crude-oil'!J14,'BIFUbC-petroleum-diesel'!J14,'BIFUbC-heavy-or-residual-oil'!J14,'BIFUbC-LPG-propane-or-butane'!J14,'BIFUbC-hydrogen'!J14)</f>
        <v>26429094809824.348</v>
      </c>
      <c r="K15" s="16">
        <f>SUM('BIFUbC-electricity'!K14,'BIFUbC-coal'!K14,'BIFUbC-natural-gas'!K14,'BIFUbC-biomass'!K14,'BIFUbC-heat'!K14,'BIFUbC-crude-oil'!K14,'BIFUbC-petroleum-diesel'!K14,'BIFUbC-heavy-or-residual-oil'!K14,'BIFUbC-LPG-propane-or-butane'!K14,'BIFUbC-hydrogen'!K14)</f>
        <v>26626497476773.988</v>
      </c>
      <c r="L15" s="16">
        <f>SUM('BIFUbC-electricity'!L14,'BIFUbC-coal'!L14,'BIFUbC-natural-gas'!L14,'BIFUbC-biomass'!L14,'BIFUbC-heat'!L14,'BIFUbC-crude-oil'!L14,'BIFUbC-petroleum-diesel'!L14,'BIFUbC-heavy-or-residual-oil'!L14,'BIFUbC-LPG-propane-or-butane'!L14,'BIFUbC-hydrogen'!L14)</f>
        <v>26823900143723.637</v>
      </c>
      <c r="M15" s="16">
        <f>SUM('BIFUbC-electricity'!M14,'BIFUbC-coal'!M14,'BIFUbC-natural-gas'!M14,'BIFUbC-biomass'!M14,'BIFUbC-heat'!M14,'BIFUbC-crude-oil'!M14,'BIFUbC-petroleum-diesel'!M14,'BIFUbC-heavy-or-residual-oil'!M14,'BIFUbC-LPG-propane-or-butane'!M14,'BIFUbC-hydrogen'!M14)</f>
        <v>26844448226942.098</v>
      </c>
      <c r="N15" s="16">
        <f>SUM('BIFUbC-electricity'!N14,'BIFUbC-coal'!N14,'BIFUbC-natural-gas'!N14,'BIFUbC-biomass'!N14,'BIFUbC-heat'!N14,'BIFUbC-crude-oil'!N14,'BIFUbC-petroleum-diesel'!N14,'BIFUbC-heavy-or-residual-oil'!N14,'BIFUbC-LPG-propane-or-butane'!N14,'BIFUbC-hydrogen'!N14)</f>
        <v>26864996310160.563</v>
      </c>
      <c r="O15" s="16">
        <f>SUM('BIFUbC-electricity'!O14,'BIFUbC-coal'!O14,'BIFUbC-natural-gas'!O14,'BIFUbC-biomass'!O14,'BIFUbC-heat'!O14,'BIFUbC-crude-oil'!O14,'BIFUbC-petroleum-diesel'!O14,'BIFUbC-heavy-or-residual-oil'!O14,'BIFUbC-LPG-propane-or-butane'!O14,'BIFUbC-hydrogen'!O14)</f>
        <v>26885544393379.027</v>
      </c>
      <c r="P15" s="16">
        <f>SUM('BIFUbC-electricity'!P14,'BIFUbC-coal'!P14,'BIFUbC-natural-gas'!P14,'BIFUbC-biomass'!P14,'BIFUbC-heat'!P14,'BIFUbC-crude-oil'!P14,'BIFUbC-petroleum-diesel'!P14,'BIFUbC-heavy-or-residual-oil'!P14,'BIFUbC-LPG-propane-or-butane'!P14,'BIFUbC-hydrogen'!P14)</f>
        <v>26906092476597.496</v>
      </c>
      <c r="Q15" s="16">
        <f>SUM('BIFUbC-electricity'!Q14,'BIFUbC-coal'!Q14,'BIFUbC-natural-gas'!Q14,'BIFUbC-biomass'!Q14,'BIFUbC-heat'!Q14,'BIFUbC-crude-oil'!Q14,'BIFUbC-petroleum-diesel'!Q14,'BIFUbC-heavy-or-residual-oil'!Q14,'BIFUbC-LPG-propane-or-butane'!Q14,'BIFUbC-hydrogen'!Q14)</f>
        <v>26926640559815.965</v>
      </c>
      <c r="R15" s="16">
        <f>SUM('BIFUbC-electricity'!R14,'BIFUbC-coal'!R14,'BIFUbC-natural-gas'!R14,'BIFUbC-biomass'!R14,'BIFUbC-heat'!R14,'BIFUbC-crude-oil'!R14,'BIFUbC-petroleum-diesel'!R14,'BIFUbC-heavy-or-residual-oil'!R14,'BIFUbC-LPG-propane-or-butane'!R14,'BIFUbC-hydrogen'!R14)</f>
        <v>26947188643034.422</v>
      </c>
      <c r="S15" s="16">
        <f>SUM('BIFUbC-electricity'!S14,'BIFUbC-coal'!S14,'BIFUbC-natural-gas'!S14,'BIFUbC-biomass'!S14,'BIFUbC-heat'!S14,'BIFUbC-crude-oil'!S14,'BIFUbC-petroleum-diesel'!S14,'BIFUbC-heavy-or-residual-oil'!S14,'BIFUbC-LPG-propane-or-butane'!S14,'BIFUbC-hydrogen'!S14)</f>
        <v>26967736726252.895</v>
      </c>
      <c r="T15" s="16">
        <f>SUM('BIFUbC-electricity'!T14,'BIFUbC-coal'!T14,'BIFUbC-natural-gas'!T14,'BIFUbC-biomass'!T14,'BIFUbC-heat'!T14,'BIFUbC-crude-oil'!T14,'BIFUbC-petroleum-diesel'!T14,'BIFUbC-heavy-or-residual-oil'!T14,'BIFUbC-LPG-propane-or-butane'!T14,'BIFUbC-hydrogen'!T14)</f>
        <v>26988284809471.355</v>
      </c>
      <c r="U15" s="16">
        <f>SUM('BIFUbC-electricity'!U14,'BIFUbC-coal'!U14,'BIFUbC-natural-gas'!U14,'BIFUbC-biomass'!U14,'BIFUbC-heat'!U14,'BIFUbC-crude-oil'!U14,'BIFUbC-petroleum-diesel'!U14,'BIFUbC-heavy-or-residual-oil'!U14,'BIFUbC-LPG-propane-or-butane'!U14,'BIFUbC-hydrogen'!U14)</f>
        <v>27008832892689.82</v>
      </c>
      <c r="V15" s="16">
        <f>SUM('BIFUbC-electricity'!V14,'BIFUbC-coal'!V14,'BIFUbC-natural-gas'!V14,'BIFUbC-biomass'!V14,'BIFUbC-heat'!V14,'BIFUbC-crude-oil'!V14,'BIFUbC-petroleum-diesel'!V14,'BIFUbC-heavy-or-residual-oil'!V14,'BIFUbC-LPG-propane-or-butane'!V14,'BIFUbC-hydrogen'!V14)</f>
        <v>27029380975908.289</v>
      </c>
      <c r="W15" s="16">
        <f>SUM('BIFUbC-electricity'!W14,'BIFUbC-coal'!W14,'BIFUbC-natural-gas'!W14,'BIFUbC-biomass'!W14,'BIFUbC-heat'!W14,'BIFUbC-crude-oil'!W14,'BIFUbC-petroleum-diesel'!W14,'BIFUbC-heavy-or-residual-oil'!W14,'BIFUbC-LPG-propane-or-butane'!W14,'BIFUbC-hydrogen'!W14)</f>
        <v>26854682198544.34</v>
      </c>
      <c r="X15" s="16">
        <f>SUM('BIFUbC-electricity'!X14,'BIFUbC-coal'!X14,'BIFUbC-natural-gas'!X14,'BIFUbC-biomass'!X14,'BIFUbC-heat'!X14,'BIFUbC-crude-oil'!X14,'BIFUbC-petroleum-diesel'!X14,'BIFUbC-heavy-or-residual-oil'!X14,'BIFUbC-LPG-propane-or-butane'!X14,'BIFUbC-hydrogen'!X14)</f>
        <v>26679983421180.387</v>
      </c>
      <c r="Y15" s="16">
        <f>SUM('BIFUbC-electricity'!Y14,'BIFUbC-coal'!Y14,'BIFUbC-natural-gas'!Y14,'BIFUbC-biomass'!Y14,'BIFUbC-heat'!Y14,'BIFUbC-crude-oil'!Y14,'BIFUbC-petroleum-diesel'!Y14,'BIFUbC-heavy-or-residual-oil'!Y14,'BIFUbC-LPG-propane-or-butane'!Y14,'BIFUbC-hydrogen'!Y14)</f>
        <v>26505284643816.434</v>
      </c>
      <c r="Z15" s="16">
        <f>SUM('BIFUbC-electricity'!Z14,'BIFUbC-coal'!Z14,'BIFUbC-natural-gas'!Z14,'BIFUbC-biomass'!Z14,'BIFUbC-heat'!Z14,'BIFUbC-crude-oil'!Z14,'BIFUbC-petroleum-diesel'!Z14,'BIFUbC-heavy-or-residual-oil'!Z14,'BIFUbC-LPG-propane-or-butane'!Z14,'BIFUbC-hydrogen'!Z14)</f>
        <v>26330585866452.488</v>
      </c>
      <c r="AA15" s="16">
        <f>SUM('BIFUbC-electricity'!AA14,'BIFUbC-coal'!AA14,'BIFUbC-natural-gas'!AA14,'BIFUbC-biomass'!AA14,'BIFUbC-heat'!AA14,'BIFUbC-crude-oil'!AA14,'BIFUbC-petroleum-diesel'!AA14,'BIFUbC-heavy-or-residual-oil'!AA14,'BIFUbC-LPG-propane-or-butane'!AA14,'BIFUbC-hydrogen'!AA14)</f>
        <v>26155887089088.539</v>
      </c>
      <c r="AB15" s="16">
        <f>SUM('BIFUbC-electricity'!AB14,'BIFUbC-coal'!AB14,'BIFUbC-natural-gas'!AB14,'BIFUbC-biomass'!AB14,'BIFUbC-heat'!AB14,'BIFUbC-crude-oil'!AB14,'BIFUbC-petroleum-diesel'!AB14,'BIFUbC-heavy-or-residual-oil'!AB14,'BIFUbC-LPG-propane-or-butane'!AB14,'BIFUbC-hydrogen'!AB14)</f>
        <v>25981188311724.586</v>
      </c>
      <c r="AC15" s="16">
        <f>SUM('BIFUbC-electricity'!AC14,'BIFUbC-coal'!AC14,'BIFUbC-natural-gas'!AC14,'BIFUbC-biomass'!AC14,'BIFUbC-heat'!AC14,'BIFUbC-crude-oil'!AC14,'BIFUbC-petroleum-diesel'!AC14,'BIFUbC-heavy-or-residual-oil'!AC14,'BIFUbC-LPG-propane-or-butane'!AC14,'BIFUbC-hydrogen'!AC14)</f>
        <v>25806489534360.645</v>
      </c>
      <c r="AD15" s="16">
        <f>SUM('BIFUbC-electricity'!AD14,'BIFUbC-coal'!AD14,'BIFUbC-natural-gas'!AD14,'BIFUbC-biomass'!AD14,'BIFUbC-heat'!AD14,'BIFUbC-crude-oil'!AD14,'BIFUbC-petroleum-diesel'!AD14,'BIFUbC-heavy-or-residual-oil'!AD14,'BIFUbC-LPG-propane-or-butane'!AD14,'BIFUbC-hydrogen'!AD14)</f>
        <v>25631790756996.695</v>
      </c>
      <c r="AE15" s="16">
        <f>SUM('BIFUbC-electricity'!AE14,'BIFUbC-coal'!AE14,'BIFUbC-natural-gas'!AE14,'BIFUbC-biomass'!AE14,'BIFUbC-heat'!AE14,'BIFUbC-crude-oil'!AE14,'BIFUbC-petroleum-diesel'!AE14,'BIFUbC-heavy-or-residual-oil'!AE14,'BIFUbC-LPG-propane-or-butane'!AE14,'BIFUbC-hydrogen'!AE14)</f>
        <v>25457091979632.746</v>
      </c>
      <c r="AF15" s="16">
        <f>SUM('BIFUbC-electricity'!AF14,'BIFUbC-coal'!AF14,'BIFUbC-natural-gas'!AF14,'BIFUbC-biomass'!AF14,'BIFUbC-heat'!AF14,'BIFUbC-crude-oil'!AF14,'BIFUbC-petroleum-diesel'!AF14,'BIFUbC-heavy-or-residual-oil'!AF14,'BIFUbC-LPG-propane-or-butane'!AF14,'BIFUbC-hydrogen'!AF14)</f>
        <v>25282393202268.797</v>
      </c>
    </row>
    <row r="16" spans="1:32">
      <c r="A16" t="s">
        <v>58</v>
      </c>
      <c r="B16" s="16">
        <f>SUM('BIFUbC-electricity'!B15,'BIFUbC-coal'!B15,'BIFUbC-natural-gas'!B15,'BIFUbC-biomass'!B15,'BIFUbC-heat'!B15,'BIFUbC-crude-oil'!B15,'BIFUbC-petroleum-diesel'!B15,'BIFUbC-heavy-or-residual-oil'!B15,'BIFUbC-LPG-propane-or-butane'!B15,'BIFUbC-hydrogen'!B15)</f>
        <v>1094955227567058.4</v>
      </c>
      <c r="C16" s="16">
        <f>SUM('BIFUbC-electricity'!C15,'BIFUbC-coal'!C15,'BIFUbC-natural-gas'!C15,'BIFUbC-biomass'!C15,'BIFUbC-heat'!C15,'BIFUbC-crude-oil'!C15,'BIFUbC-petroleum-diesel'!C15,'BIFUbC-heavy-or-residual-oil'!C15,'BIFUbC-LPG-propane-or-butane'!C15,'BIFUbC-hydrogen'!C15)</f>
        <v>1110792511888077.1</v>
      </c>
      <c r="D16" s="16">
        <f>SUM('BIFUbC-electricity'!D15,'BIFUbC-coal'!D15,'BIFUbC-natural-gas'!D15,'BIFUbC-biomass'!D15,'BIFUbC-heat'!D15,'BIFUbC-crude-oil'!D15,'BIFUbC-petroleum-diesel'!D15,'BIFUbC-heavy-or-residual-oil'!D15,'BIFUbC-LPG-propane-or-butane'!D15,'BIFUbC-hydrogen'!D15)</f>
        <v>1126629796209092</v>
      </c>
      <c r="E16" s="16">
        <f>SUM('BIFUbC-electricity'!E15,'BIFUbC-coal'!E15,'BIFUbC-natural-gas'!E15,'BIFUbC-biomass'!E15,'BIFUbC-heat'!E15,'BIFUbC-crude-oil'!E15,'BIFUbC-petroleum-diesel'!E15,'BIFUbC-heavy-or-residual-oil'!E15,'BIFUbC-LPG-propane-or-butane'!E15,'BIFUbC-hydrogen'!E15)</f>
        <v>1142467080530107</v>
      </c>
      <c r="F16" s="16">
        <f>SUM('BIFUbC-electricity'!F15,'BIFUbC-coal'!F15,'BIFUbC-natural-gas'!F15,'BIFUbC-biomass'!F15,'BIFUbC-heat'!F15,'BIFUbC-crude-oil'!F15,'BIFUbC-petroleum-diesel'!F15,'BIFUbC-heavy-or-residual-oil'!F15,'BIFUbC-LPG-propane-or-butane'!F15,'BIFUbC-hydrogen'!F15)</f>
        <v>1162087328793288.3</v>
      </c>
      <c r="G16" s="16">
        <f>SUM('BIFUbC-electricity'!G15,'BIFUbC-coal'!G15,'BIFUbC-natural-gas'!G15,'BIFUbC-biomass'!G15,'BIFUbC-heat'!G15,'BIFUbC-crude-oil'!G15,'BIFUbC-petroleum-diesel'!G15,'BIFUbC-heavy-or-residual-oil'!G15,'BIFUbC-LPG-propane-or-butane'!G15,'BIFUbC-hydrogen'!G15)</f>
        <v>1181707577056465.3</v>
      </c>
      <c r="H16" s="16">
        <f>SUM('BIFUbC-electricity'!H15,'BIFUbC-coal'!H15,'BIFUbC-natural-gas'!H15,'BIFUbC-biomass'!H15,'BIFUbC-heat'!H15,'BIFUbC-crude-oil'!H15,'BIFUbC-petroleum-diesel'!H15,'BIFUbC-heavy-or-residual-oil'!H15,'BIFUbC-LPG-propane-or-butane'!H15,'BIFUbC-hydrogen'!H15)</f>
        <v>1201327825319642.8</v>
      </c>
      <c r="I16" s="16">
        <f>SUM('BIFUbC-electricity'!I15,'BIFUbC-coal'!I15,'BIFUbC-natural-gas'!I15,'BIFUbC-biomass'!I15,'BIFUbC-heat'!I15,'BIFUbC-crude-oil'!I15,'BIFUbC-petroleum-diesel'!I15,'BIFUbC-heavy-or-residual-oil'!I15,'BIFUbC-LPG-propane-or-butane'!I15,'BIFUbC-hydrogen'!I15)</f>
        <v>1220948073582819.8</v>
      </c>
      <c r="J16" s="16">
        <f>SUM('BIFUbC-electricity'!J15,'BIFUbC-coal'!J15,'BIFUbC-natural-gas'!J15,'BIFUbC-biomass'!J15,'BIFUbC-heat'!J15,'BIFUbC-crude-oil'!J15,'BIFUbC-petroleum-diesel'!J15,'BIFUbC-heavy-or-residual-oil'!J15,'BIFUbC-LPG-propane-or-butane'!J15,'BIFUbC-hydrogen'!J15)</f>
        <v>1240568321845997</v>
      </c>
      <c r="K16" s="16">
        <f>SUM('BIFUbC-electricity'!K15,'BIFUbC-coal'!K15,'BIFUbC-natural-gas'!K15,'BIFUbC-biomass'!K15,'BIFUbC-heat'!K15,'BIFUbC-crude-oil'!K15,'BIFUbC-petroleum-diesel'!K15,'BIFUbC-heavy-or-residual-oil'!K15,'BIFUbC-LPG-propane-or-butane'!K15,'BIFUbC-hydrogen'!K15)</f>
        <v>1260188570109174</v>
      </c>
      <c r="L16" s="16">
        <f>SUM('BIFUbC-electricity'!L15,'BIFUbC-coal'!L15,'BIFUbC-natural-gas'!L15,'BIFUbC-biomass'!L15,'BIFUbC-heat'!L15,'BIFUbC-crude-oil'!L15,'BIFUbC-petroleum-diesel'!L15,'BIFUbC-heavy-or-residual-oil'!L15,'BIFUbC-LPG-propane-or-butane'!L15,'BIFUbC-hydrogen'!L15)</f>
        <v>1279808818372347.3</v>
      </c>
      <c r="M16" s="16">
        <f>SUM('BIFUbC-electricity'!M15,'BIFUbC-coal'!M15,'BIFUbC-natural-gas'!M15,'BIFUbC-biomass'!M15,'BIFUbC-heat'!M15,'BIFUbC-crude-oil'!M15,'BIFUbC-petroleum-diesel'!M15,'BIFUbC-heavy-or-residual-oil'!M15,'BIFUbC-LPG-propane-or-butane'!M15,'BIFUbC-hydrogen'!M15)</f>
        <v>1273933864312759.5</v>
      </c>
      <c r="N16" s="16">
        <f>SUM('BIFUbC-electricity'!N15,'BIFUbC-coal'!N15,'BIFUbC-natural-gas'!N15,'BIFUbC-biomass'!N15,'BIFUbC-heat'!N15,'BIFUbC-crude-oil'!N15,'BIFUbC-petroleum-diesel'!N15,'BIFUbC-heavy-or-residual-oil'!N15,'BIFUbC-LPG-propane-or-butane'!N15,'BIFUbC-hydrogen'!N15)</f>
        <v>1268058910253172.3</v>
      </c>
      <c r="O16" s="16">
        <f>SUM('BIFUbC-electricity'!O15,'BIFUbC-coal'!O15,'BIFUbC-natural-gas'!O15,'BIFUbC-biomass'!O15,'BIFUbC-heat'!O15,'BIFUbC-crude-oil'!O15,'BIFUbC-petroleum-diesel'!O15,'BIFUbC-heavy-or-residual-oil'!O15,'BIFUbC-LPG-propane-or-butane'!O15,'BIFUbC-hydrogen'!O15)</f>
        <v>1262183956193585.3</v>
      </c>
      <c r="P16" s="16">
        <f>SUM('BIFUbC-electricity'!P15,'BIFUbC-coal'!P15,'BIFUbC-natural-gas'!P15,'BIFUbC-biomass'!P15,'BIFUbC-heat'!P15,'BIFUbC-crude-oil'!P15,'BIFUbC-petroleum-diesel'!P15,'BIFUbC-heavy-or-residual-oil'!P15,'BIFUbC-LPG-propane-or-butane'!P15,'BIFUbC-hydrogen'!P15)</f>
        <v>1256309002133998</v>
      </c>
      <c r="Q16" s="16">
        <f>SUM('BIFUbC-electricity'!Q15,'BIFUbC-coal'!Q15,'BIFUbC-natural-gas'!Q15,'BIFUbC-biomass'!Q15,'BIFUbC-heat'!Q15,'BIFUbC-crude-oil'!Q15,'BIFUbC-petroleum-diesel'!Q15,'BIFUbC-heavy-or-residual-oil'!Q15,'BIFUbC-LPG-propane-or-butane'!Q15,'BIFUbC-hydrogen'!Q15)</f>
        <v>1250434048074410.8</v>
      </c>
      <c r="R16" s="16">
        <f>SUM('BIFUbC-electricity'!R15,'BIFUbC-coal'!R15,'BIFUbC-natural-gas'!R15,'BIFUbC-biomass'!R15,'BIFUbC-heat'!R15,'BIFUbC-crude-oil'!R15,'BIFUbC-petroleum-diesel'!R15,'BIFUbC-heavy-or-residual-oil'!R15,'BIFUbC-LPG-propane-or-butane'!R15,'BIFUbC-hydrogen'!R15)</f>
        <v>1244559094014823.5</v>
      </c>
      <c r="S16" s="16">
        <f>SUM('BIFUbC-electricity'!S15,'BIFUbC-coal'!S15,'BIFUbC-natural-gas'!S15,'BIFUbC-biomass'!S15,'BIFUbC-heat'!S15,'BIFUbC-crude-oil'!S15,'BIFUbC-petroleum-diesel'!S15,'BIFUbC-heavy-or-residual-oil'!S15,'BIFUbC-LPG-propane-or-butane'!S15,'BIFUbC-hydrogen'!S15)</f>
        <v>1238684139955236</v>
      </c>
      <c r="T16" s="16">
        <f>SUM('BIFUbC-electricity'!T15,'BIFUbC-coal'!T15,'BIFUbC-natural-gas'!T15,'BIFUbC-biomass'!T15,'BIFUbC-heat'!T15,'BIFUbC-crude-oil'!T15,'BIFUbC-petroleum-diesel'!T15,'BIFUbC-heavy-or-residual-oil'!T15,'BIFUbC-LPG-propane-or-butane'!T15,'BIFUbC-hydrogen'!T15)</f>
        <v>1232809185895649</v>
      </c>
      <c r="U16" s="16">
        <f>SUM('BIFUbC-electricity'!U15,'BIFUbC-coal'!U15,'BIFUbC-natural-gas'!U15,'BIFUbC-biomass'!U15,'BIFUbC-heat'!U15,'BIFUbC-crude-oil'!U15,'BIFUbC-petroleum-diesel'!U15,'BIFUbC-heavy-or-residual-oil'!U15,'BIFUbC-LPG-propane-or-butane'!U15,'BIFUbC-hydrogen'!U15)</f>
        <v>1226934231836061.8</v>
      </c>
      <c r="V16" s="16">
        <f>SUM('BIFUbC-electricity'!V15,'BIFUbC-coal'!V15,'BIFUbC-natural-gas'!V15,'BIFUbC-biomass'!V15,'BIFUbC-heat'!V15,'BIFUbC-crude-oil'!V15,'BIFUbC-petroleum-diesel'!V15,'BIFUbC-heavy-or-residual-oil'!V15,'BIFUbC-LPG-propane-or-butane'!V15,'BIFUbC-hydrogen'!V15)</f>
        <v>1221059277776474.5</v>
      </c>
      <c r="W16" s="16">
        <f>SUM('BIFUbC-electricity'!W15,'BIFUbC-coal'!W15,'BIFUbC-natural-gas'!W15,'BIFUbC-biomass'!W15,'BIFUbC-heat'!W15,'BIFUbC-crude-oil'!W15,'BIFUbC-petroleum-diesel'!W15,'BIFUbC-heavy-or-residual-oil'!W15,'BIFUbC-LPG-propane-or-butane'!W15,'BIFUbC-hydrogen'!W15)</f>
        <v>1208980843102469.8</v>
      </c>
      <c r="X16" s="16">
        <f>SUM('BIFUbC-electricity'!X15,'BIFUbC-coal'!X15,'BIFUbC-natural-gas'!X15,'BIFUbC-biomass'!X15,'BIFUbC-heat'!X15,'BIFUbC-crude-oil'!X15,'BIFUbC-petroleum-diesel'!X15,'BIFUbC-heavy-or-residual-oil'!X15,'BIFUbC-LPG-propane-or-butane'!X15,'BIFUbC-hydrogen'!X15)</f>
        <v>1196902408428465.5</v>
      </c>
      <c r="Y16" s="16">
        <f>SUM('BIFUbC-electricity'!Y15,'BIFUbC-coal'!Y15,'BIFUbC-natural-gas'!Y15,'BIFUbC-biomass'!Y15,'BIFUbC-heat'!Y15,'BIFUbC-crude-oil'!Y15,'BIFUbC-petroleum-diesel'!Y15,'BIFUbC-heavy-or-residual-oil'!Y15,'BIFUbC-LPG-propane-or-butane'!Y15,'BIFUbC-hydrogen'!Y15)</f>
        <v>1184823973754465</v>
      </c>
      <c r="Z16" s="16">
        <f>SUM('BIFUbC-electricity'!Z15,'BIFUbC-coal'!Z15,'BIFUbC-natural-gas'!Z15,'BIFUbC-biomass'!Z15,'BIFUbC-heat'!Z15,'BIFUbC-crude-oil'!Z15,'BIFUbC-petroleum-diesel'!Z15,'BIFUbC-heavy-or-residual-oil'!Z15,'BIFUbC-LPG-propane-or-butane'!Z15,'BIFUbC-hydrogen'!Z15)</f>
        <v>1172745539080460.8</v>
      </c>
      <c r="AA16" s="16">
        <f>SUM('BIFUbC-electricity'!AA15,'BIFUbC-coal'!AA15,'BIFUbC-natural-gas'!AA15,'BIFUbC-biomass'!AA15,'BIFUbC-heat'!AA15,'BIFUbC-crude-oil'!AA15,'BIFUbC-petroleum-diesel'!AA15,'BIFUbC-heavy-or-residual-oil'!AA15,'BIFUbC-LPG-propane-or-butane'!AA15,'BIFUbC-hydrogen'!AA15)</f>
        <v>1160667104406455.5</v>
      </c>
      <c r="AB16" s="16">
        <f>SUM('BIFUbC-electricity'!AB15,'BIFUbC-coal'!AB15,'BIFUbC-natural-gas'!AB15,'BIFUbC-biomass'!AB15,'BIFUbC-heat'!AB15,'BIFUbC-crude-oil'!AB15,'BIFUbC-petroleum-diesel'!AB15,'BIFUbC-heavy-or-residual-oil'!AB15,'BIFUbC-LPG-propane-or-butane'!AB15,'BIFUbC-hydrogen'!AB15)</f>
        <v>1148588669732455.5</v>
      </c>
      <c r="AC16" s="16">
        <f>SUM('BIFUbC-electricity'!AC15,'BIFUbC-coal'!AC15,'BIFUbC-natural-gas'!AC15,'BIFUbC-biomass'!AC15,'BIFUbC-heat'!AC15,'BIFUbC-crude-oil'!AC15,'BIFUbC-petroleum-diesel'!AC15,'BIFUbC-heavy-or-residual-oil'!AC15,'BIFUbC-LPG-propane-or-butane'!AC15,'BIFUbC-hydrogen'!AC15)</f>
        <v>1136510235058451</v>
      </c>
      <c r="AD16" s="16">
        <f>SUM('BIFUbC-electricity'!AD15,'BIFUbC-coal'!AD15,'BIFUbC-natural-gas'!AD15,'BIFUbC-biomass'!AD15,'BIFUbC-heat'!AD15,'BIFUbC-crude-oil'!AD15,'BIFUbC-petroleum-diesel'!AD15,'BIFUbC-heavy-or-residual-oil'!AD15,'BIFUbC-LPG-propane-or-butane'!AD15,'BIFUbC-hydrogen'!AD15)</f>
        <v>1124431800384446.5</v>
      </c>
      <c r="AE16" s="16">
        <f>SUM('BIFUbC-electricity'!AE15,'BIFUbC-coal'!AE15,'BIFUbC-natural-gas'!AE15,'BIFUbC-biomass'!AE15,'BIFUbC-heat'!AE15,'BIFUbC-crude-oil'!AE15,'BIFUbC-petroleum-diesel'!AE15,'BIFUbC-heavy-or-residual-oil'!AE15,'BIFUbC-LPG-propane-or-butane'!AE15,'BIFUbC-hydrogen'!AE15)</f>
        <v>1112353365710442</v>
      </c>
      <c r="AF16" s="16">
        <f>SUM('BIFUbC-electricity'!AF15,'BIFUbC-coal'!AF15,'BIFUbC-natural-gas'!AF15,'BIFUbC-biomass'!AF15,'BIFUbC-heat'!AF15,'BIFUbC-crude-oil'!AF15,'BIFUbC-petroleum-diesel'!AF15,'BIFUbC-heavy-or-residual-oil'!AF15,'BIFUbC-LPG-propane-or-butane'!AF15,'BIFUbC-hydrogen'!AF15)</f>
        <v>1100274931036439.5</v>
      </c>
    </row>
    <row r="17" spans="1:32">
      <c r="A17" t="s">
        <v>61</v>
      </c>
      <c r="B17" s="16">
        <f>SUM('BIFUbC-electricity'!B16,'BIFUbC-coal'!B16,'BIFUbC-natural-gas'!B16,'BIFUbC-biomass'!B16,'BIFUbC-heat'!B16,'BIFUbC-crude-oil'!B16,'BIFUbC-petroleum-diesel'!B16,'BIFUbC-heavy-or-residual-oil'!B16,'BIFUbC-LPG-propane-or-butane'!B16,'BIFUbC-hydrogen'!B16)</f>
        <v>141044389889342.69</v>
      </c>
      <c r="C17" s="16">
        <f>SUM('BIFUbC-electricity'!C16,'BIFUbC-coal'!C16,'BIFUbC-natural-gas'!C16,'BIFUbC-biomass'!C16,'BIFUbC-heat'!C16,'BIFUbC-crude-oil'!C16,'BIFUbC-petroleum-diesel'!C16,'BIFUbC-heavy-or-residual-oil'!C16,'BIFUbC-LPG-propane-or-butane'!C16,'BIFUbC-hydrogen'!C16)</f>
        <v>140298165472644.23</v>
      </c>
      <c r="D17" s="16">
        <f>SUM('BIFUbC-electricity'!D16,'BIFUbC-coal'!D16,'BIFUbC-natural-gas'!D16,'BIFUbC-biomass'!D16,'BIFUbC-heat'!D16,'BIFUbC-crude-oil'!D16,'BIFUbC-petroleum-diesel'!D16,'BIFUbC-heavy-or-residual-oil'!D16,'BIFUbC-LPG-propane-or-butane'!D16,'BIFUbC-hydrogen'!D16)</f>
        <v>139551941055945.8</v>
      </c>
      <c r="E17" s="16">
        <f>SUM('BIFUbC-electricity'!E16,'BIFUbC-coal'!E16,'BIFUbC-natural-gas'!E16,'BIFUbC-biomass'!E16,'BIFUbC-heat'!E16,'BIFUbC-crude-oil'!E16,'BIFUbC-petroleum-diesel'!E16,'BIFUbC-heavy-or-residual-oil'!E16,'BIFUbC-LPG-propane-or-butane'!E16,'BIFUbC-hydrogen'!E16)</f>
        <v>138805716639247.34</v>
      </c>
      <c r="F17" s="16">
        <f>SUM('BIFUbC-electricity'!F16,'BIFUbC-coal'!F16,'BIFUbC-natural-gas'!F16,'BIFUbC-biomass'!F16,'BIFUbC-heat'!F16,'BIFUbC-crude-oil'!F16,'BIFUbC-petroleum-diesel'!F16,'BIFUbC-heavy-or-residual-oil'!F16,'BIFUbC-LPG-propane-or-butane'!F16,'BIFUbC-hydrogen'!F16)</f>
        <v>140150759179327.73</v>
      </c>
      <c r="G17" s="16">
        <f>SUM('BIFUbC-electricity'!G16,'BIFUbC-coal'!G16,'BIFUbC-natural-gas'!G16,'BIFUbC-biomass'!G16,'BIFUbC-heat'!G16,'BIFUbC-crude-oil'!G16,'BIFUbC-petroleum-diesel'!G16,'BIFUbC-heavy-or-residual-oil'!G16,'BIFUbC-LPG-propane-or-butane'!G16,'BIFUbC-hydrogen'!G16)</f>
        <v>141495801719408.16</v>
      </c>
      <c r="H17" s="16">
        <f>SUM('BIFUbC-electricity'!H16,'BIFUbC-coal'!H16,'BIFUbC-natural-gas'!H16,'BIFUbC-biomass'!H16,'BIFUbC-heat'!H16,'BIFUbC-crude-oil'!H16,'BIFUbC-petroleum-diesel'!H16,'BIFUbC-heavy-or-residual-oil'!H16,'BIFUbC-LPG-propane-or-butane'!H16,'BIFUbC-hydrogen'!H16)</f>
        <v>142840844259488.59</v>
      </c>
      <c r="I17" s="16">
        <f>SUM('BIFUbC-electricity'!I16,'BIFUbC-coal'!I16,'BIFUbC-natural-gas'!I16,'BIFUbC-biomass'!I16,'BIFUbC-heat'!I16,'BIFUbC-crude-oil'!I16,'BIFUbC-petroleum-diesel'!I16,'BIFUbC-heavy-or-residual-oil'!I16,'BIFUbC-LPG-propane-or-butane'!I16,'BIFUbC-hydrogen'!I16)</f>
        <v>144185886799568.97</v>
      </c>
      <c r="J17" s="16">
        <f>SUM('BIFUbC-electricity'!J16,'BIFUbC-coal'!J16,'BIFUbC-natural-gas'!J16,'BIFUbC-biomass'!J16,'BIFUbC-heat'!J16,'BIFUbC-crude-oil'!J16,'BIFUbC-petroleum-diesel'!J16,'BIFUbC-heavy-or-residual-oil'!J16,'BIFUbC-LPG-propane-or-butane'!J16,'BIFUbC-hydrogen'!J16)</f>
        <v>145530929339649.34</v>
      </c>
      <c r="K17" s="16">
        <f>SUM('BIFUbC-electricity'!K16,'BIFUbC-coal'!K16,'BIFUbC-natural-gas'!K16,'BIFUbC-biomass'!K16,'BIFUbC-heat'!K16,'BIFUbC-crude-oil'!K16,'BIFUbC-petroleum-diesel'!K16,'BIFUbC-heavy-or-residual-oil'!K16,'BIFUbC-LPG-propane-or-butane'!K16,'BIFUbC-hydrogen'!K16)</f>
        <v>146875971879729.72</v>
      </c>
      <c r="L17" s="16">
        <f>SUM('BIFUbC-electricity'!L16,'BIFUbC-coal'!L16,'BIFUbC-natural-gas'!L16,'BIFUbC-biomass'!L16,'BIFUbC-heat'!L16,'BIFUbC-crude-oil'!L16,'BIFUbC-petroleum-diesel'!L16,'BIFUbC-heavy-or-residual-oil'!L16,'BIFUbC-LPG-propane-or-butane'!L16,'BIFUbC-hydrogen'!L16)</f>
        <v>148221014419810.13</v>
      </c>
      <c r="M17" s="16">
        <f>SUM('BIFUbC-electricity'!M16,'BIFUbC-coal'!M16,'BIFUbC-natural-gas'!M16,'BIFUbC-biomass'!M16,'BIFUbC-heat'!M16,'BIFUbC-crude-oil'!M16,'BIFUbC-petroleum-diesel'!M16,'BIFUbC-heavy-or-residual-oil'!M16,'BIFUbC-LPG-propane-or-butane'!M16,'BIFUbC-hydrogen'!M16)</f>
        <v>147792104370711</v>
      </c>
      <c r="N17" s="16">
        <f>SUM('BIFUbC-electricity'!N16,'BIFUbC-coal'!N16,'BIFUbC-natural-gas'!N16,'BIFUbC-biomass'!N16,'BIFUbC-heat'!N16,'BIFUbC-crude-oil'!N16,'BIFUbC-petroleum-diesel'!N16,'BIFUbC-heavy-or-residual-oil'!N16,'BIFUbC-LPG-propane-or-butane'!N16,'BIFUbC-hydrogen'!N16)</f>
        <v>147363194321611.84</v>
      </c>
      <c r="O17" s="16">
        <f>SUM('BIFUbC-electricity'!O16,'BIFUbC-coal'!O16,'BIFUbC-natural-gas'!O16,'BIFUbC-biomass'!O16,'BIFUbC-heat'!O16,'BIFUbC-crude-oil'!O16,'BIFUbC-petroleum-diesel'!O16,'BIFUbC-heavy-or-residual-oil'!O16,'BIFUbC-LPG-propane-or-butane'!O16,'BIFUbC-hydrogen'!O16)</f>
        <v>146934284272512.69</v>
      </c>
      <c r="P17" s="16">
        <f>SUM('BIFUbC-electricity'!P16,'BIFUbC-coal'!P16,'BIFUbC-natural-gas'!P16,'BIFUbC-biomass'!P16,'BIFUbC-heat'!P16,'BIFUbC-crude-oil'!P16,'BIFUbC-petroleum-diesel'!P16,'BIFUbC-heavy-or-residual-oil'!P16,'BIFUbC-LPG-propane-or-butane'!P16,'BIFUbC-hydrogen'!P16)</f>
        <v>146505374223413.63</v>
      </c>
      <c r="Q17" s="16">
        <f>SUM('BIFUbC-electricity'!Q16,'BIFUbC-coal'!Q16,'BIFUbC-natural-gas'!Q16,'BIFUbC-biomass'!Q16,'BIFUbC-heat'!Q16,'BIFUbC-crude-oil'!Q16,'BIFUbC-petroleum-diesel'!Q16,'BIFUbC-heavy-or-residual-oil'!Q16,'BIFUbC-LPG-propane-or-butane'!Q16,'BIFUbC-hydrogen'!Q16)</f>
        <v>146076464174314.44</v>
      </c>
      <c r="R17" s="16">
        <f>SUM('BIFUbC-electricity'!R16,'BIFUbC-coal'!R16,'BIFUbC-natural-gas'!R16,'BIFUbC-biomass'!R16,'BIFUbC-heat'!R16,'BIFUbC-crude-oil'!R16,'BIFUbC-petroleum-diesel'!R16,'BIFUbC-heavy-or-residual-oil'!R16,'BIFUbC-LPG-propane-or-butane'!R16,'BIFUbC-hydrogen'!R16)</f>
        <v>145647554125215.34</v>
      </c>
      <c r="S17" s="16">
        <f>SUM('BIFUbC-electricity'!S16,'BIFUbC-coal'!S16,'BIFUbC-natural-gas'!S16,'BIFUbC-biomass'!S16,'BIFUbC-heat'!S16,'BIFUbC-crude-oil'!S16,'BIFUbC-petroleum-diesel'!S16,'BIFUbC-heavy-or-residual-oil'!S16,'BIFUbC-LPG-propane-or-butane'!S16,'BIFUbC-hydrogen'!S16)</f>
        <v>145218644076116.19</v>
      </c>
      <c r="T17" s="16">
        <f>SUM('BIFUbC-electricity'!T16,'BIFUbC-coal'!T16,'BIFUbC-natural-gas'!T16,'BIFUbC-biomass'!T16,'BIFUbC-heat'!T16,'BIFUbC-crude-oil'!T16,'BIFUbC-petroleum-diesel'!T16,'BIFUbC-heavy-or-residual-oil'!T16,'BIFUbC-LPG-propane-or-butane'!T16,'BIFUbC-hydrogen'!T16)</f>
        <v>144789734027017.06</v>
      </c>
      <c r="U17" s="16">
        <f>SUM('BIFUbC-electricity'!U16,'BIFUbC-coal'!U16,'BIFUbC-natural-gas'!U16,'BIFUbC-biomass'!U16,'BIFUbC-heat'!U16,'BIFUbC-crude-oil'!U16,'BIFUbC-petroleum-diesel'!U16,'BIFUbC-heavy-or-residual-oil'!U16,'BIFUbC-LPG-propane-or-butane'!U16,'BIFUbC-hydrogen'!U16)</f>
        <v>144360823977917.94</v>
      </c>
      <c r="V17" s="16">
        <f>SUM('BIFUbC-electricity'!V16,'BIFUbC-coal'!V16,'BIFUbC-natural-gas'!V16,'BIFUbC-biomass'!V16,'BIFUbC-heat'!V16,'BIFUbC-crude-oil'!V16,'BIFUbC-petroleum-diesel'!V16,'BIFUbC-heavy-or-residual-oil'!V16,'BIFUbC-LPG-propane-or-butane'!V16,'BIFUbC-hydrogen'!V16)</f>
        <v>143931913928818.81</v>
      </c>
      <c r="W17" s="16">
        <f>SUM('BIFUbC-electricity'!W16,'BIFUbC-coal'!W16,'BIFUbC-natural-gas'!W16,'BIFUbC-biomass'!W16,'BIFUbC-heat'!W16,'BIFUbC-crude-oil'!W16,'BIFUbC-petroleum-diesel'!W16,'BIFUbC-heavy-or-residual-oil'!W16,'BIFUbC-LPG-propane-or-butane'!W16,'BIFUbC-hydrogen'!W16)</f>
        <v>142450434787965.03</v>
      </c>
      <c r="X17" s="16">
        <f>SUM('BIFUbC-electricity'!X16,'BIFUbC-coal'!X16,'BIFUbC-natural-gas'!X16,'BIFUbC-biomass'!X16,'BIFUbC-heat'!X16,'BIFUbC-crude-oil'!X16,'BIFUbC-petroleum-diesel'!X16,'BIFUbC-heavy-or-residual-oil'!X16,'BIFUbC-LPG-propane-or-butane'!X16,'BIFUbC-hydrogen'!X16)</f>
        <v>140968955647111.25</v>
      </c>
      <c r="Y17" s="16">
        <f>SUM('BIFUbC-electricity'!Y16,'BIFUbC-coal'!Y16,'BIFUbC-natural-gas'!Y16,'BIFUbC-biomass'!Y16,'BIFUbC-heat'!Y16,'BIFUbC-crude-oil'!Y16,'BIFUbC-petroleum-diesel'!Y16,'BIFUbC-heavy-or-residual-oil'!Y16,'BIFUbC-LPG-propane-or-butane'!Y16,'BIFUbC-hydrogen'!Y16)</f>
        <v>139487476506257.45</v>
      </c>
      <c r="Z17" s="16">
        <f>SUM('BIFUbC-electricity'!Z16,'BIFUbC-coal'!Z16,'BIFUbC-natural-gas'!Z16,'BIFUbC-biomass'!Z16,'BIFUbC-heat'!Z16,'BIFUbC-crude-oil'!Z16,'BIFUbC-petroleum-diesel'!Z16,'BIFUbC-heavy-or-residual-oil'!Z16,'BIFUbC-LPG-propane-or-butane'!Z16,'BIFUbC-hydrogen'!Z16)</f>
        <v>138005997365403.66</v>
      </c>
      <c r="AA17" s="16">
        <f>SUM('BIFUbC-electricity'!AA16,'BIFUbC-coal'!AA16,'BIFUbC-natural-gas'!AA16,'BIFUbC-biomass'!AA16,'BIFUbC-heat'!AA16,'BIFUbC-crude-oil'!AA16,'BIFUbC-petroleum-diesel'!AA16,'BIFUbC-heavy-or-residual-oil'!AA16,'BIFUbC-LPG-propane-or-butane'!AA16,'BIFUbC-hydrogen'!AA16)</f>
        <v>136524518224549.88</v>
      </c>
      <c r="AB17" s="16">
        <f>SUM('BIFUbC-electricity'!AB16,'BIFUbC-coal'!AB16,'BIFUbC-natural-gas'!AB16,'BIFUbC-biomass'!AB16,'BIFUbC-heat'!AB16,'BIFUbC-crude-oil'!AB16,'BIFUbC-petroleum-diesel'!AB16,'BIFUbC-heavy-or-residual-oil'!AB16,'BIFUbC-LPG-propane-or-butane'!AB16,'BIFUbC-hydrogen'!AB16)</f>
        <v>135043039083696.08</v>
      </c>
      <c r="AC17" s="16">
        <f>SUM('BIFUbC-electricity'!AC16,'BIFUbC-coal'!AC16,'BIFUbC-natural-gas'!AC16,'BIFUbC-biomass'!AC16,'BIFUbC-heat'!AC16,'BIFUbC-crude-oil'!AC16,'BIFUbC-petroleum-diesel'!AC16,'BIFUbC-heavy-or-residual-oil'!AC16,'BIFUbC-LPG-propane-or-butane'!AC16,'BIFUbC-hydrogen'!AC16)</f>
        <v>133561559942842.31</v>
      </c>
      <c r="AD17" s="16">
        <f>SUM('BIFUbC-electricity'!AD16,'BIFUbC-coal'!AD16,'BIFUbC-natural-gas'!AD16,'BIFUbC-biomass'!AD16,'BIFUbC-heat'!AD16,'BIFUbC-crude-oil'!AD16,'BIFUbC-petroleum-diesel'!AD16,'BIFUbC-heavy-or-residual-oil'!AD16,'BIFUbC-LPG-propane-or-butane'!AD16,'BIFUbC-hydrogen'!AD16)</f>
        <v>132080080801988.55</v>
      </c>
      <c r="AE17" s="16">
        <f>SUM('BIFUbC-electricity'!AE16,'BIFUbC-coal'!AE16,'BIFUbC-natural-gas'!AE16,'BIFUbC-biomass'!AE16,'BIFUbC-heat'!AE16,'BIFUbC-crude-oil'!AE16,'BIFUbC-petroleum-diesel'!AE16,'BIFUbC-heavy-or-residual-oil'!AE16,'BIFUbC-LPG-propane-or-butane'!AE16,'BIFUbC-hydrogen'!AE16)</f>
        <v>130598601661134.73</v>
      </c>
      <c r="AF17" s="16">
        <f>SUM('BIFUbC-electricity'!AF16,'BIFUbC-coal'!AF16,'BIFUbC-natural-gas'!AF16,'BIFUbC-biomass'!AF16,'BIFUbC-heat'!AF16,'BIFUbC-crude-oil'!AF16,'BIFUbC-petroleum-diesel'!AF16,'BIFUbC-heavy-or-residual-oil'!AF16,'BIFUbC-LPG-propane-or-butane'!AF16,'BIFUbC-hydrogen'!AF16)</f>
        <v>129117122520280.94</v>
      </c>
    </row>
    <row r="18" spans="1:32">
      <c r="A18" t="s">
        <v>65</v>
      </c>
      <c r="B18" s="16">
        <f>SUM('BIFUbC-electricity'!B17,'BIFUbC-coal'!B17,'BIFUbC-natural-gas'!B17,'BIFUbC-biomass'!B17,'BIFUbC-heat'!B17,'BIFUbC-crude-oil'!B17,'BIFUbC-petroleum-diesel'!B17,'BIFUbC-heavy-or-residual-oil'!B17,'BIFUbC-LPG-propane-or-butane'!B17,'BIFUbC-hydrogen'!B17)</f>
        <v>89774045196275.422</v>
      </c>
      <c r="C18" s="16">
        <f>SUM('BIFUbC-electricity'!C17,'BIFUbC-coal'!C17,'BIFUbC-natural-gas'!C17,'BIFUbC-biomass'!C17,'BIFUbC-heat'!C17,'BIFUbC-crude-oil'!C17,'BIFUbC-petroleum-diesel'!C17,'BIFUbC-heavy-or-residual-oil'!C17,'BIFUbC-LPG-propane-or-butane'!C17,'BIFUbC-hydrogen'!C17)</f>
        <v>90321535583354.25</v>
      </c>
      <c r="D18" s="16">
        <f>SUM('BIFUbC-electricity'!D17,'BIFUbC-coal'!D17,'BIFUbC-natural-gas'!D17,'BIFUbC-biomass'!D17,'BIFUbC-heat'!D17,'BIFUbC-crude-oil'!D17,'BIFUbC-petroleum-diesel'!D17,'BIFUbC-heavy-or-residual-oil'!D17,'BIFUbC-LPG-propane-or-butane'!D17,'BIFUbC-hydrogen'!D17)</f>
        <v>90869025970433.078</v>
      </c>
      <c r="E18" s="16">
        <f>SUM('BIFUbC-electricity'!E17,'BIFUbC-coal'!E17,'BIFUbC-natural-gas'!E17,'BIFUbC-biomass'!E17,'BIFUbC-heat'!E17,'BIFUbC-crude-oil'!E17,'BIFUbC-petroleum-diesel'!E17,'BIFUbC-heavy-or-residual-oil'!E17,'BIFUbC-LPG-propane-or-butane'!E17,'BIFUbC-hydrogen'!E17)</f>
        <v>91416516357511.906</v>
      </c>
      <c r="F18" s="16">
        <f>SUM('BIFUbC-electricity'!F17,'BIFUbC-coal'!F17,'BIFUbC-natural-gas'!F17,'BIFUbC-biomass'!F17,'BIFUbC-heat'!F17,'BIFUbC-crude-oil'!F17,'BIFUbC-petroleum-diesel'!F17,'BIFUbC-heavy-or-residual-oil'!F17,'BIFUbC-LPG-propane-or-butane'!F17,'BIFUbC-hydrogen'!F17)</f>
        <v>95283933218406.75</v>
      </c>
      <c r="G18" s="16">
        <f>SUM('BIFUbC-electricity'!G17,'BIFUbC-coal'!G17,'BIFUbC-natural-gas'!G17,'BIFUbC-biomass'!G17,'BIFUbC-heat'!G17,'BIFUbC-crude-oil'!G17,'BIFUbC-petroleum-diesel'!G17,'BIFUbC-heavy-or-residual-oil'!G17,'BIFUbC-LPG-propane-or-butane'!G17,'BIFUbC-hydrogen'!G17)</f>
        <v>99151350079301.641</v>
      </c>
      <c r="H18" s="16">
        <f>SUM('BIFUbC-electricity'!H17,'BIFUbC-coal'!H17,'BIFUbC-natural-gas'!H17,'BIFUbC-biomass'!H17,'BIFUbC-heat'!H17,'BIFUbC-crude-oil'!H17,'BIFUbC-petroleum-diesel'!H17,'BIFUbC-heavy-or-residual-oil'!H17,'BIFUbC-LPG-propane-or-butane'!H17,'BIFUbC-hydrogen'!H17)</f>
        <v>103018766940196.48</v>
      </c>
      <c r="I18" s="16">
        <f>SUM('BIFUbC-electricity'!I17,'BIFUbC-coal'!I17,'BIFUbC-natural-gas'!I17,'BIFUbC-biomass'!I17,'BIFUbC-heat'!I17,'BIFUbC-crude-oil'!I17,'BIFUbC-petroleum-diesel'!I17,'BIFUbC-heavy-or-residual-oil'!I17,'BIFUbC-LPG-propane-or-butane'!I17,'BIFUbC-hydrogen'!I17)</f>
        <v>106886183801091.31</v>
      </c>
      <c r="J18" s="16">
        <f>SUM('BIFUbC-electricity'!J17,'BIFUbC-coal'!J17,'BIFUbC-natural-gas'!J17,'BIFUbC-biomass'!J17,'BIFUbC-heat'!J17,'BIFUbC-crude-oil'!J17,'BIFUbC-petroleum-diesel'!J17,'BIFUbC-heavy-or-residual-oil'!J17,'BIFUbC-LPG-propane-or-butane'!J17,'BIFUbC-hydrogen'!J17)</f>
        <v>110753600661986.13</v>
      </c>
      <c r="K18" s="16">
        <f>SUM('BIFUbC-electricity'!K17,'BIFUbC-coal'!K17,'BIFUbC-natural-gas'!K17,'BIFUbC-biomass'!K17,'BIFUbC-heat'!K17,'BIFUbC-crude-oil'!K17,'BIFUbC-petroleum-diesel'!K17,'BIFUbC-heavy-or-residual-oil'!K17,'BIFUbC-LPG-propane-or-butane'!K17,'BIFUbC-hydrogen'!K17)</f>
        <v>114621017522881</v>
      </c>
      <c r="L18" s="16">
        <f>SUM('BIFUbC-electricity'!L17,'BIFUbC-coal'!L17,'BIFUbC-natural-gas'!L17,'BIFUbC-biomass'!L17,'BIFUbC-heat'!L17,'BIFUbC-crude-oil'!L17,'BIFUbC-petroleum-diesel'!L17,'BIFUbC-heavy-or-residual-oil'!L17,'BIFUbC-LPG-propane-or-butane'!L17,'BIFUbC-hydrogen'!L17)</f>
        <v>118488434383775.83</v>
      </c>
      <c r="M18" s="16">
        <f>SUM('BIFUbC-electricity'!M17,'BIFUbC-coal'!M17,'BIFUbC-natural-gas'!M17,'BIFUbC-biomass'!M17,'BIFUbC-heat'!M17,'BIFUbC-crude-oil'!M17,'BIFUbC-petroleum-diesel'!M17,'BIFUbC-heavy-or-residual-oil'!M17,'BIFUbC-LPG-propane-or-butane'!M17,'BIFUbC-hydrogen'!M17)</f>
        <v>118483736459319.72</v>
      </c>
      <c r="N18" s="16">
        <f>SUM('BIFUbC-electricity'!N17,'BIFUbC-coal'!N17,'BIFUbC-natural-gas'!N17,'BIFUbC-biomass'!N17,'BIFUbC-heat'!N17,'BIFUbC-crude-oil'!N17,'BIFUbC-petroleum-diesel'!N17,'BIFUbC-heavy-or-residual-oil'!N17,'BIFUbC-LPG-propane-or-butane'!N17,'BIFUbC-hydrogen'!N17)</f>
        <v>118479038534863.66</v>
      </c>
      <c r="O18" s="16">
        <f>SUM('BIFUbC-electricity'!O17,'BIFUbC-coal'!O17,'BIFUbC-natural-gas'!O17,'BIFUbC-biomass'!O17,'BIFUbC-heat'!O17,'BIFUbC-crude-oil'!O17,'BIFUbC-petroleum-diesel'!O17,'BIFUbC-heavy-or-residual-oil'!O17,'BIFUbC-LPG-propane-or-butane'!O17,'BIFUbC-hydrogen'!O17)</f>
        <v>118474340610407.56</v>
      </c>
      <c r="P18" s="16">
        <f>SUM('BIFUbC-electricity'!P17,'BIFUbC-coal'!P17,'BIFUbC-natural-gas'!P17,'BIFUbC-biomass'!P17,'BIFUbC-heat'!P17,'BIFUbC-crude-oil'!P17,'BIFUbC-petroleum-diesel'!P17,'BIFUbC-heavy-or-residual-oil'!P17,'BIFUbC-LPG-propane-or-butane'!P17,'BIFUbC-hydrogen'!P17)</f>
        <v>118469642685951.47</v>
      </c>
      <c r="Q18" s="16">
        <f>SUM('BIFUbC-electricity'!Q17,'BIFUbC-coal'!Q17,'BIFUbC-natural-gas'!Q17,'BIFUbC-biomass'!Q17,'BIFUbC-heat'!Q17,'BIFUbC-crude-oil'!Q17,'BIFUbC-petroleum-diesel'!Q17,'BIFUbC-heavy-or-residual-oil'!Q17,'BIFUbC-LPG-propane-or-butane'!Q17,'BIFUbC-hydrogen'!Q17)</f>
        <v>118464944761495.39</v>
      </c>
      <c r="R18" s="16">
        <f>SUM('BIFUbC-electricity'!R17,'BIFUbC-coal'!R17,'BIFUbC-natural-gas'!R17,'BIFUbC-biomass'!R17,'BIFUbC-heat'!R17,'BIFUbC-crude-oil'!R17,'BIFUbC-petroleum-diesel'!R17,'BIFUbC-heavy-or-residual-oil'!R17,'BIFUbC-LPG-propane-or-butane'!R17,'BIFUbC-hydrogen'!R17)</f>
        <v>118460246837039.27</v>
      </c>
      <c r="S18" s="16">
        <f>SUM('BIFUbC-electricity'!S17,'BIFUbC-coal'!S17,'BIFUbC-natural-gas'!S17,'BIFUbC-biomass'!S17,'BIFUbC-heat'!S17,'BIFUbC-crude-oil'!S17,'BIFUbC-petroleum-diesel'!S17,'BIFUbC-heavy-or-residual-oil'!S17,'BIFUbC-LPG-propane-or-butane'!S17,'BIFUbC-hydrogen'!S17)</f>
        <v>118455548912583.19</v>
      </c>
      <c r="T18" s="16">
        <f>SUM('BIFUbC-electricity'!T17,'BIFUbC-coal'!T17,'BIFUbC-natural-gas'!T17,'BIFUbC-biomass'!T17,'BIFUbC-heat'!T17,'BIFUbC-crude-oil'!T17,'BIFUbC-petroleum-diesel'!T17,'BIFUbC-heavy-or-residual-oil'!T17,'BIFUbC-LPG-propane-or-butane'!T17,'BIFUbC-hydrogen'!T17)</f>
        <v>118450850988127.13</v>
      </c>
      <c r="U18" s="16">
        <f>SUM('BIFUbC-electricity'!U17,'BIFUbC-coal'!U17,'BIFUbC-natural-gas'!U17,'BIFUbC-biomass'!U17,'BIFUbC-heat'!U17,'BIFUbC-crude-oil'!U17,'BIFUbC-petroleum-diesel'!U17,'BIFUbC-heavy-or-residual-oil'!U17,'BIFUbC-LPG-propane-or-butane'!U17,'BIFUbC-hydrogen'!U17)</f>
        <v>118446153063671.03</v>
      </c>
      <c r="V18" s="16">
        <f>SUM('BIFUbC-electricity'!V17,'BIFUbC-coal'!V17,'BIFUbC-natural-gas'!V17,'BIFUbC-biomass'!V17,'BIFUbC-heat'!V17,'BIFUbC-crude-oil'!V17,'BIFUbC-petroleum-diesel'!V17,'BIFUbC-heavy-or-residual-oil'!V17,'BIFUbC-LPG-propane-or-butane'!V17,'BIFUbC-hydrogen'!V17)</f>
        <v>118441455139214.94</v>
      </c>
      <c r="W18" s="16">
        <f>SUM('BIFUbC-electricity'!W17,'BIFUbC-coal'!W17,'BIFUbC-natural-gas'!W17,'BIFUbC-biomass'!W17,'BIFUbC-heat'!W17,'BIFUbC-crude-oil'!W17,'BIFUbC-petroleum-diesel'!W17,'BIFUbC-heavy-or-residual-oil'!W17,'BIFUbC-LPG-propane-or-butane'!W17,'BIFUbC-hydrogen'!W17)</f>
        <v>117315013445712.97</v>
      </c>
      <c r="X18" s="16">
        <f>SUM('BIFUbC-electricity'!X17,'BIFUbC-coal'!X17,'BIFUbC-natural-gas'!X17,'BIFUbC-biomass'!X17,'BIFUbC-heat'!X17,'BIFUbC-crude-oil'!X17,'BIFUbC-petroleum-diesel'!X17,'BIFUbC-heavy-or-residual-oil'!X17,'BIFUbC-LPG-propane-or-butane'!X17,'BIFUbC-hydrogen'!X17)</f>
        <v>116188571752211</v>
      </c>
      <c r="Y18" s="16">
        <f>SUM('BIFUbC-electricity'!Y17,'BIFUbC-coal'!Y17,'BIFUbC-natural-gas'!Y17,'BIFUbC-biomass'!Y17,'BIFUbC-heat'!Y17,'BIFUbC-crude-oil'!Y17,'BIFUbC-petroleum-diesel'!Y17,'BIFUbC-heavy-or-residual-oil'!Y17,'BIFUbC-LPG-propane-or-butane'!Y17,'BIFUbC-hydrogen'!Y17)</f>
        <v>115062130058709.03</v>
      </c>
      <c r="Z18" s="16">
        <f>SUM('BIFUbC-electricity'!Z17,'BIFUbC-coal'!Z17,'BIFUbC-natural-gas'!Z17,'BIFUbC-biomass'!Z17,'BIFUbC-heat'!Z17,'BIFUbC-crude-oil'!Z17,'BIFUbC-petroleum-diesel'!Z17,'BIFUbC-heavy-or-residual-oil'!Z17,'BIFUbC-LPG-propane-or-butane'!Z17,'BIFUbC-hydrogen'!Z17)</f>
        <v>113935688365207.06</v>
      </c>
      <c r="AA18" s="16">
        <f>SUM('BIFUbC-electricity'!AA17,'BIFUbC-coal'!AA17,'BIFUbC-natural-gas'!AA17,'BIFUbC-biomass'!AA17,'BIFUbC-heat'!AA17,'BIFUbC-crude-oil'!AA17,'BIFUbC-petroleum-diesel'!AA17,'BIFUbC-heavy-or-residual-oil'!AA17,'BIFUbC-LPG-propane-or-butane'!AA17,'BIFUbC-hydrogen'!AA17)</f>
        <v>112809246671705.13</v>
      </c>
      <c r="AB18" s="16">
        <f>SUM('BIFUbC-electricity'!AB17,'BIFUbC-coal'!AB17,'BIFUbC-natural-gas'!AB17,'BIFUbC-biomass'!AB17,'BIFUbC-heat'!AB17,'BIFUbC-crude-oil'!AB17,'BIFUbC-petroleum-diesel'!AB17,'BIFUbC-heavy-or-residual-oil'!AB17,'BIFUbC-LPG-propane-or-butane'!AB17,'BIFUbC-hydrogen'!AB17)</f>
        <v>111682804978203.17</v>
      </c>
      <c r="AC18" s="16">
        <f>SUM('BIFUbC-electricity'!AC17,'BIFUbC-coal'!AC17,'BIFUbC-natural-gas'!AC17,'BIFUbC-biomass'!AC17,'BIFUbC-heat'!AC17,'BIFUbC-crude-oil'!AC17,'BIFUbC-petroleum-diesel'!AC17,'BIFUbC-heavy-or-residual-oil'!AC17,'BIFUbC-LPG-propane-or-butane'!AC17,'BIFUbC-hydrogen'!AC17)</f>
        <v>110556363284701.19</v>
      </c>
      <c r="AD18" s="16">
        <f>SUM('BIFUbC-electricity'!AD17,'BIFUbC-coal'!AD17,'BIFUbC-natural-gas'!AD17,'BIFUbC-biomass'!AD17,'BIFUbC-heat'!AD17,'BIFUbC-crude-oil'!AD17,'BIFUbC-petroleum-diesel'!AD17,'BIFUbC-heavy-or-residual-oil'!AD17,'BIFUbC-LPG-propane-or-butane'!AD17,'BIFUbC-hydrogen'!AD17)</f>
        <v>109429921591199.22</v>
      </c>
      <c r="AE18" s="16">
        <f>SUM('BIFUbC-electricity'!AE17,'BIFUbC-coal'!AE17,'BIFUbC-natural-gas'!AE17,'BIFUbC-biomass'!AE17,'BIFUbC-heat'!AE17,'BIFUbC-crude-oil'!AE17,'BIFUbC-petroleum-diesel'!AE17,'BIFUbC-heavy-or-residual-oil'!AE17,'BIFUbC-LPG-propane-or-butane'!AE17,'BIFUbC-hydrogen'!AE17)</f>
        <v>108303479897697.25</v>
      </c>
      <c r="AF18" s="16">
        <f>SUM('BIFUbC-electricity'!AF17,'BIFUbC-coal'!AF17,'BIFUbC-natural-gas'!AF17,'BIFUbC-biomass'!AF17,'BIFUbC-heat'!AF17,'BIFUbC-crude-oil'!AF17,'BIFUbC-petroleum-diesel'!AF17,'BIFUbC-heavy-or-residual-oil'!AF17,'BIFUbC-LPG-propane-or-butane'!AF17,'BIFUbC-hydrogen'!AF17)</f>
        <v>107177038204195.3</v>
      </c>
    </row>
    <row r="19" spans="1:32">
      <c r="A19" t="s">
        <v>67</v>
      </c>
      <c r="B19" s="16">
        <f>SUM('BIFUbC-electricity'!B18,'BIFUbC-coal'!B18,'BIFUbC-natural-gas'!B18,'BIFUbC-biomass'!B18,'BIFUbC-heat'!B18,'BIFUbC-crude-oil'!B18,'BIFUbC-petroleum-diesel'!B18,'BIFUbC-heavy-or-residual-oil'!B18,'BIFUbC-LPG-propane-or-butane'!B18,'BIFUbC-hydrogen'!B18)</f>
        <v>362254697028903.19</v>
      </c>
      <c r="C19" s="16">
        <f>SUM('BIFUbC-electricity'!C18,'BIFUbC-coal'!C18,'BIFUbC-natural-gas'!C18,'BIFUbC-biomass'!C18,'BIFUbC-heat'!C18,'BIFUbC-crude-oil'!C18,'BIFUbC-petroleum-diesel'!C18,'BIFUbC-heavy-or-residual-oil'!C18,'BIFUbC-LPG-propane-or-butane'!C18,'BIFUbC-hydrogen'!C18)</f>
        <v>374252708019867.63</v>
      </c>
      <c r="D19" s="16">
        <f>SUM('BIFUbC-electricity'!D18,'BIFUbC-coal'!D18,'BIFUbC-natural-gas'!D18,'BIFUbC-biomass'!D18,'BIFUbC-heat'!D18,'BIFUbC-crude-oil'!D18,'BIFUbC-petroleum-diesel'!D18,'BIFUbC-heavy-or-residual-oil'!D18,'BIFUbC-LPG-propane-or-butane'!D18,'BIFUbC-hydrogen'!D18)</f>
        <v>386250719010836.5</v>
      </c>
      <c r="E19" s="16">
        <f>SUM('BIFUbC-electricity'!E18,'BIFUbC-coal'!E18,'BIFUbC-natural-gas'!E18,'BIFUbC-biomass'!E18,'BIFUbC-heat'!E18,'BIFUbC-crude-oil'!E18,'BIFUbC-petroleum-diesel'!E18,'BIFUbC-heavy-or-residual-oil'!E18,'BIFUbC-LPG-propane-or-butane'!E18,'BIFUbC-hydrogen'!E18)</f>
        <v>398248730001803.06</v>
      </c>
      <c r="F19" s="16">
        <f>SUM('BIFUbC-electricity'!F18,'BIFUbC-coal'!F18,'BIFUbC-natural-gas'!F18,'BIFUbC-biomass'!F18,'BIFUbC-heat'!F18,'BIFUbC-crude-oil'!F18,'BIFUbC-petroleum-diesel'!F18,'BIFUbC-heavy-or-residual-oil'!F18,'BIFUbC-LPG-propane-or-butane'!F18,'BIFUbC-hydrogen'!F18)</f>
        <v>405005438262010.63</v>
      </c>
      <c r="G19" s="16">
        <f>SUM('BIFUbC-electricity'!G18,'BIFUbC-coal'!G18,'BIFUbC-natural-gas'!G18,'BIFUbC-biomass'!G18,'BIFUbC-heat'!G18,'BIFUbC-crude-oil'!G18,'BIFUbC-petroleum-diesel'!G18,'BIFUbC-heavy-or-residual-oil'!G18,'BIFUbC-LPG-propane-or-butane'!G18,'BIFUbC-hydrogen'!G18)</f>
        <v>411762146522218.06</v>
      </c>
      <c r="H19" s="16">
        <f>SUM('BIFUbC-electricity'!H18,'BIFUbC-coal'!H18,'BIFUbC-natural-gas'!H18,'BIFUbC-biomass'!H18,'BIFUbC-heat'!H18,'BIFUbC-crude-oil'!H18,'BIFUbC-petroleum-diesel'!H18,'BIFUbC-heavy-or-residual-oil'!H18,'BIFUbC-LPG-propane-or-butane'!H18,'BIFUbC-hydrogen'!H18)</f>
        <v>418518854782425.5</v>
      </c>
      <c r="I19" s="16">
        <f>SUM('BIFUbC-electricity'!I18,'BIFUbC-coal'!I18,'BIFUbC-natural-gas'!I18,'BIFUbC-biomass'!I18,'BIFUbC-heat'!I18,'BIFUbC-crude-oil'!I18,'BIFUbC-petroleum-diesel'!I18,'BIFUbC-heavy-or-residual-oil'!I18,'BIFUbC-LPG-propane-or-butane'!I18,'BIFUbC-hydrogen'!I18)</f>
        <v>425275563042633.06</v>
      </c>
      <c r="J19" s="16">
        <f>SUM('BIFUbC-electricity'!J18,'BIFUbC-coal'!J18,'BIFUbC-natural-gas'!J18,'BIFUbC-biomass'!J18,'BIFUbC-heat'!J18,'BIFUbC-crude-oil'!J18,'BIFUbC-petroleum-diesel'!J18,'BIFUbC-heavy-or-residual-oil'!J18,'BIFUbC-LPG-propane-or-butane'!J18,'BIFUbC-hydrogen'!J18)</f>
        <v>432032271302840.63</v>
      </c>
      <c r="K19" s="16">
        <f>SUM('BIFUbC-electricity'!K18,'BIFUbC-coal'!K18,'BIFUbC-natural-gas'!K18,'BIFUbC-biomass'!K18,'BIFUbC-heat'!K18,'BIFUbC-crude-oil'!K18,'BIFUbC-petroleum-diesel'!K18,'BIFUbC-heavy-or-residual-oil'!K18,'BIFUbC-LPG-propane-or-butane'!K18,'BIFUbC-hydrogen'!K18)</f>
        <v>438788979563048.25</v>
      </c>
      <c r="L19" s="16">
        <f>SUM('BIFUbC-electricity'!L18,'BIFUbC-coal'!L18,'BIFUbC-natural-gas'!L18,'BIFUbC-biomass'!L18,'BIFUbC-heat'!L18,'BIFUbC-crude-oil'!L18,'BIFUbC-petroleum-diesel'!L18,'BIFUbC-heavy-or-residual-oil'!L18,'BIFUbC-LPG-propane-or-butane'!L18,'BIFUbC-hydrogen'!L18)</f>
        <v>445545687823255.75</v>
      </c>
      <c r="M19" s="16">
        <f>SUM('BIFUbC-electricity'!M18,'BIFUbC-coal'!M18,'BIFUbC-natural-gas'!M18,'BIFUbC-biomass'!M18,'BIFUbC-heat'!M18,'BIFUbC-crude-oil'!M18,'BIFUbC-petroleum-diesel'!M18,'BIFUbC-heavy-or-residual-oil'!M18,'BIFUbC-LPG-propane-or-butane'!M18,'BIFUbC-hydrogen'!M18)</f>
        <v>448206670962663.88</v>
      </c>
      <c r="N19" s="16">
        <f>SUM('BIFUbC-electricity'!N18,'BIFUbC-coal'!N18,'BIFUbC-natural-gas'!N18,'BIFUbC-biomass'!N18,'BIFUbC-heat'!N18,'BIFUbC-crude-oil'!N18,'BIFUbC-petroleum-diesel'!N18,'BIFUbC-heavy-or-residual-oil'!N18,'BIFUbC-LPG-propane-or-butane'!N18,'BIFUbC-hydrogen'!N18)</f>
        <v>450867654102072.06</v>
      </c>
      <c r="O19" s="16">
        <f>SUM('BIFUbC-electricity'!O18,'BIFUbC-coal'!O18,'BIFUbC-natural-gas'!O18,'BIFUbC-biomass'!O18,'BIFUbC-heat'!O18,'BIFUbC-crude-oil'!O18,'BIFUbC-petroleum-diesel'!O18,'BIFUbC-heavy-or-residual-oil'!O18,'BIFUbC-LPG-propane-or-butane'!O18,'BIFUbC-hydrogen'!O18)</f>
        <v>453528637241480.19</v>
      </c>
      <c r="P19" s="16">
        <f>SUM('BIFUbC-electricity'!P18,'BIFUbC-coal'!P18,'BIFUbC-natural-gas'!P18,'BIFUbC-biomass'!P18,'BIFUbC-heat'!P18,'BIFUbC-crude-oil'!P18,'BIFUbC-petroleum-diesel'!P18,'BIFUbC-heavy-or-residual-oil'!P18,'BIFUbC-LPG-propane-or-butane'!P18,'BIFUbC-hydrogen'!P18)</f>
        <v>456189620380888.5</v>
      </c>
      <c r="Q19" s="16">
        <f>SUM('BIFUbC-electricity'!Q18,'BIFUbC-coal'!Q18,'BIFUbC-natural-gas'!Q18,'BIFUbC-biomass'!Q18,'BIFUbC-heat'!Q18,'BIFUbC-crude-oil'!Q18,'BIFUbC-petroleum-diesel'!Q18,'BIFUbC-heavy-or-residual-oil'!Q18,'BIFUbC-LPG-propane-or-butane'!Q18,'BIFUbC-hydrogen'!Q18)</f>
        <v>458850603520296.56</v>
      </c>
      <c r="R19" s="16">
        <f>SUM('BIFUbC-electricity'!R18,'BIFUbC-coal'!R18,'BIFUbC-natural-gas'!R18,'BIFUbC-biomass'!R18,'BIFUbC-heat'!R18,'BIFUbC-crude-oil'!R18,'BIFUbC-petroleum-diesel'!R18,'BIFUbC-heavy-or-residual-oil'!R18,'BIFUbC-LPG-propane-or-butane'!R18,'BIFUbC-hydrogen'!R18)</f>
        <v>461511586659704.88</v>
      </c>
      <c r="S19" s="16">
        <f>SUM('BIFUbC-electricity'!S18,'BIFUbC-coal'!S18,'BIFUbC-natural-gas'!S18,'BIFUbC-biomass'!S18,'BIFUbC-heat'!S18,'BIFUbC-crude-oil'!S18,'BIFUbC-petroleum-diesel'!S18,'BIFUbC-heavy-or-residual-oil'!S18,'BIFUbC-LPG-propane-or-butane'!S18,'BIFUbC-hydrogen'!S18)</f>
        <v>464172569799113</v>
      </c>
      <c r="T19" s="16">
        <f>SUM('BIFUbC-electricity'!T18,'BIFUbC-coal'!T18,'BIFUbC-natural-gas'!T18,'BIFUbC-biomass'!T18,'BIFUbC-heat'!T18,'BIFUbC-crude-oil'!T18,'BIFUbC-petroleum-diesel'!T18,'BIFUbC-heavy-or-residual-oil'!T18,'BIFUbC-LPG-propane-or-butane'!T18,'BIFUbC-hydrogen'!T18)</f>
        <v>466833552938521.38</v>
      </c>
      <c r="U19" s="16">
        <f>SUM('BIFUbC-electricity'!U18,'BIFUbC-coal'!U18,'BIFUbC-natural-gas'!U18,'BIFUbC-biomass'!U18,'BIFUbC-heat'!U18,'BIFUbC-crude-oil'!U18,'BIFUbC-petroleum-diesel'!U18,'BIFUbC-heavy-or-residual-oil'!U18,'BIFUbC-LPG-propane-or-butane'!U18,'BIFUbC-hydrogen'!U18)</f>
        <v>469494536077929.5</v>
      </c>
      <c r="V19" s="16">
        <f>SUM('BIFUbC-electricity'!V18,'BIFUbC-coal'!V18,'BIFUbC-natural-gas'!V18,'BIFUbC-biomass'!V18,'BIFUbC-heat'!V18,'BIFUbC-crude-oil'!V18,'BIFUbC-petroleum-diesel'!V18,'BIFUbC-heavy-or-residual-oil'!V18,'BIFUbC-LPG-propane-or-butane'!V18,'BIFUbC-hydrogen'!V18)</f>
        <v>472155519217337.75</v>
      </c>
      <c r="W19" s="16">
        <f>SUM('BIFUbC-electricity'!W18,'BIFUbC-coal'!W18,'BIFUbC-natural-gas'!W18,'BIFUbC-biomass'!W18,'BIFUbC-heat'!W18,'BIFUbC-crude-oil'!W18,'BIFUbC-petroleum-diesel'!W18,'BIFUbC-heavy-or-residual-oil'!W18,'BIFUbC-LPG-propane-or-butane'!W18,'BIFUbC-hydrogen'!W18)</f>
        <v>470826970706877.5</v>
      </c>
      <c r="X19" s="16">
        <f>SUM('BIFUbC-electricity'!X18,'BIFUbC-coal'!X18,'BIFUbC-natural-gas'!X18,'BIFUbC-biomass'!X18,'BIFUbC-heat'!X18,'BIFUbC-crude-oil'!X18,'BIFUbC-petroleum-diesel'!X18,'BIFUbC-heavy-or-residual-oil'!X18,'BIFUbC-LPG-propane-or-butane'!X18,'BIFUbC-hydrogen'!X18)</f>
        <v>469498422196417.38</v>
      </c>
      <c r="Y19" s="16">
        <f>SUM('BIFUbC-electricity'!Y18,'BIFUbC-coal'!Y18,'BIFUbC-natural-gas'!Y18,'BIFUbC-biomass'!Y18,'BIFUbC-heat'!Y18,'BIFUbC-crude-oil'!Y18,'BIFUbC-petroleum-diesel'!Y18,'BIFUbC-heavy-or-residual-oil'!Y18,'BIFUbC-LPG-propane-or-butane'!Y18,'BIFUbC-hydrogen'!Y18)</f>
        <v>468169873685957.38</v>
      </c>
      <c r="Z19" s="16">
        <f>SUM('BIFUbC-electricity'!Z18,'BIFUbC-coal'!Z18,'BIFUbC-natural-gas'!Z18,'BIFUbC-biomass'!Z18,'BIFUbC-heat'!Z18,'BIFUbC-crude-oil'!Z18,'BIFUbC-petroleum-diesel'!Z18,'BIFUbC-heavy-or-residual-oil'!Z18,'BIFUbC-LPG-propane-or-butane'!Z18,'BIFUbC-hydrogen'!Z18)</f>
        <v>466841325175497.38</v>
      </c>
      <c r="AA19" s="16">
        <f>SUM('BIFUbC-electricity'!AA18,'BIFUbC-coal'!AA18,'BIFUbC-natural-gas'!AA18,'BIFUbC-biomass'!AA18,'BIFUbC-heat'!AA18,'BIFUbC-crude-oil'!AA18,'BIFUbC-petroleum-diesel'!AA18,'BIFUbC-heavy-or-residual-oil'!AA18,'BIFUbC-LPG-propane-or-butane'!AA18,'BIFUbC-hydrogen'!AA18)</f>
        <v>465512776665037.31</v>
      </c>
      <c r="AB19" s="16">
        <f>SUM('BIFUbC-electricity'!AB18,'BIFUbC-coal'!AB18,'BIFUbC-natural-gas'!AB18,'BIFUbC-biomass'!AB18,'BIFUbC-heat'!AB18,'BIFUbC-crude-oil'!AB18,'BIFUbC-petroleum-diesel'!AB18,'BIFUbC-heavy-or-residual-oil'!AB18,'BIFUbC-LPG-propane-or-butane'!AB18,'BIFUbC-hydrogen'!AB18)</f>
        <v>464184228154577.31</v>
      </c>
      <c r="AC19" s="16">
        <f>SUM('BIFUbC-electricity'!AC18,'BIFUbC-coal'!AC18,'BIFUbC-natural-gas'!AC18,'BIFUbC-biomass'!AC18,'BIFUbC-heat'!AC18,'BIFUbC-crude-oil'!AC18,'BIFUbC-petroleum-diesel'!AC18,'BIFUbC-heavy-or-residual-oil'!AC18,'BIFUbC-LPG-propane-or-butane'!AC18,'BIFUbC-hydrogen'!AC18)</f>
        <v>462855679644117.31</v>
      </c>
      <c r="AD19" s="16">
        <f>SUM('BIFUbC-electricity'!AD18,'BIFUbC-coal'!AD18,'BIFUbC-natural-gas'!AD18,'BIFUbC-biomass'!AD18,'BIFUbC-heat'!AD18,'BIFUbC-crude-oil'!AD18,'BIFUbC-petroleum-diesel'!AD18,'BIFUbC-heavy-or-residual-oil'!AD18,'BIFUbC-LPG-propane-or-butane'!AD18,'BIFUbC-hydrogen'!AD18)</f>
        <v>461527131133657.38</v>
      </c>
      <c r="AE19" s="16">
        <f>SUM('BIFUbC-electricity'!AE18,'BIFUbC-coal'!AE18,'BIFUbC-natural-gas'!AE18,'BIFUbC-biomass'!AE18,'BIFUbC-heat'!AE18,'BIFUbC-crude-oil'!AE18,'BIFUbC-petroleum-diesel'!AE18,'BIFUbC-heavy-or-residual-oil'!AE18,'BIFUbC-LPG-propane-or-butane'!AE18,'BIFUbC-hydrogen'!AE18)</f>
        <v>460198582623197.44</v>
      </c>
      <c r="AF19" s="16">
        <f>SUM('BIFUbC-electricity'!AF18,'BIFUbC-coal'!AF18,'BIFUbC-natural-gas'!AF18,'BIFUbC-biomass'!AF18,'BIFUbC-heat'!AF18,'BIFUbC-crude-oil'!AF18,'BIFUbC-petroleum-diesel'!AF18,'BIFUbC-heavy-or-residual-oil'!AF18,'BIFUbC-LPG-propane-or-butane'!AF18,'BIFUbC-hydrogen'!AF18)</f>
        <v>458870034112737.88</v>
      </c>
    </row>
    <row r="20" spans="1:32">
      <c r="A20" t="s">
        <v>71</v>
      </c>
      <c r="B20" s="16">
        <f>SUM('BIFUbC-electricity'!B19,'BIFUbC-coal'!B19,'BIFUbC-natural-gas'!B19,'BIFUbC-biomass'!B19,'BIFUbC-heat'!B19,'BIFUbC-crude-oil'!B19,'BIFUbC-petroleum-diesel'!B19,'BIFUbC-heavy-or-residual-oil'!B19,'BIFUbC-LPG-propane-or-butane'!B19,'BIFUbC-hydrogen'!B19)</f>
        <v>60472921367544.805</v>
      </c>
      <c r="C20" s="16">
        <f>SUM('BIFUbC-electricity'!C19,'BIFUbC-coal'!C19,'BIFUbC-natural-gas'!C19,'BIFUbC-biomass'!C19,'BIFUbC-heat'!C19,'BIFUbC-crude-oil'!C19,'BIFUbC-petroleum-diesel'!C19,'BIFUbC-heavy-or-residual-oil'!C19,'BIFUbC-LPG-propane-or-butane'!C19,'BIFUbC-hydrogen'!C19)</f>
        <v>62475451876209.297</v>
      </c>
      <c r="D20" s="16">
        <f>SUM('BIFUbC-electricity'!D19,'BIFUbC-coal'!D19,'BIFUbC-natural-gas'!D19,'BIFUbC-biomass'!D19,'BIFUbC-heat'!D19,'BIFUbC-crude-oil'!D19,'BIFUbC-petroleum-diesel'!D19,'BIFUbC-heavy-or-residual-oil'!D19,'BIFUbC-LPG-propane-or-butane'!D19,'BIFUbC-hydrogen'!D19)</f>
        <v>64477982384874.563</v>
      </c>
      <c r="E20" s="16">
        <f>SUM('BIFUbC-electricity'!E19,'BIFUbC-coal'!E19,'BIFUbC-natural-gas'!E19,'BIFUbC-biomass'!E19,'BIFUbC-heat'!E19,'BIFUbC-crude-oil'!E19,'BIFUbC-petroleum-diesel'!E19,'BIFUbC-heavy-or-residual-oil'!E19,'BIFUbC-LPG-propane-or-butane'!E19,'BIFUbC-hydrogen'!E19)</f>
        <v>66480512893539.461</v>
      </c>
      <c r="F20" s="16">
        <f>SUM('BIFUbC-electricity'!F19,'BIFUbC-coal'!F19,'BIFUbC-natural-gas'!F19,'BIFUbC-biomass'!F19,'BIFUbC-heat'!F19,'BIFUbC-crude-oil'!F19,'BIFUbC-petroleum-diesel'!F19,'BIFUbC-heavy-or-residual-oil'!F19,'BIFUbC-LPG-propane-or-butane'!F19,'BIFUbC-hydrogen'!F19)</f>
        <v>67568292948762.555</v>
      </c>
      <c r="G20" s="16">
        <f>SUM('BIFUbC-electricity'!G19,'BIFUbC-coal'!G19,'BIFUbC-natural-gas'!G19,'BIFUbC-biomass'!G19,'BIFUbC-heat'!G19,'BIFUbC-crude-oil'!G19,'BIFUbC-petroleum-diesel'!G19,'BIFUbC-heavy-or-residual-oil'!G19,'BIFUbC-LPG-propane-or-butane'!G19,'BIFUbC-hydrogen'!G19)</f>
        <v>68656073003985.672</v>
      </c>
      <c r="H20" s="16">
        <f>SUM('BIFUbC-electricity'!H19,'BIFUbC-coal'!H19,'BIFUbC-natural-gas'!H19,'BIFUbC-biomass'!H19,'BIFUbC-heat'!H19,'BIFUbC-crude-oil'!H19,'BIFUbC-petroleum-diesel'!H19,'BIFUbC-heavy-or-residual-oil'!H19,'BIFUbC-LPG-propane-or-butane'!H19,'BIFUbC-hydrogen'!H19)</f>
        <v>69743853059208.797</v>
      </c>
      <c r="I20" s="16">
        <f>SUM('BIFUbC-electricity'!I19,'BIFUbC-coal'!I19,'BIFUbC-natural-gas'!I19,'BIFUbC-biomass'!I19,'BIFUbC-heat'!I19,'BIFUbC-crude-oil'!I19,'BIFUbC-petroleum-diesel'!I19,'BIFUbC-heavy-or-residual-oil'!I19,'BIFUbC-LPG-propane-or-butane'!I19,'BIFUbC-hydrogen'!I19)</f>
        <v>70831633114431.906</v>
      </c>
      <c r="J20" s="16">
        <f>SUM('BIFUbC-electricity'!J19,'BIFUbC-coal'!J19,'BIFUbC-natural-gas'!J19,'BIFUbC-biomass'!J19,'BIFUbC-heat'!J19,'BIFUbC-crude-oil'!J19,'BIFUbC-petroleum-diesel'!J19,'BIFUbC-heavy-or-residual-oil'!J19,'BIFUbC-LPG-propane-or-butane'!J19,'BIFUbC-hydrogen'!J19)</f>
        <v>71919413169655.047</v>
      </c>
      <c r="K20" s="16">
        <f>SUM('BIFUbC-electricity'!K19,'BIFUbC-coal'!K19,'BIFUbC-natural-gas'!K19,'BIFUbC-biomass'!K19,'BIFUbC-heat'!K19,'BIFUbC-crude-oil'!K19,'BIFUbC-petroleum-diesel'!K19,'BIFUbC-heavy-or-residual-oil'!K19,'BIFUbC-LPG-propane-or-butane'!K19,'BIFUbC-hydrogen'!K19)</f>
        <v>73007193224878.156</v>
      </c>
      <c r="L20" s="16">
        <f>SUM('BIFUbC-electricity'!L19,'BIFUbC-coal'!L19,'BIFUbC-natural-gas'!L19,'BIFUbC-biomass'!L19,'BIFUbC-heat'!L19,'BIFUbC-crude-oil'!L19,'BIFUbC-petroleum-diesel'!L19,'BIFUbC-heavy-or-residual-oil'!L19,'BIFUbC-LPG-propane-or-butane'!L19,'BIFUbC-hydrogen'!L19)</f>
        <v>74094973280101.297</v>
      </c>
      <c r="M20" s="16">
        <f>SUM('BIFUbC-electricity'!M19,'BIFUbC-coal'!M19,'BIFUbC-natural-gas'!M19,'BIFUbC-biomass'!M19,'BIFUbC-heat'!M19,'BIFUbC-crude-oil'!M19,'BIFUbC-petroleum-diesel'!M19,'BIFUbC-heavy-or-residual-oil'!M19,'BIFUbC-LPG-propane-or-butane'!M19,'BIFUbC-hydrogen'!M19)</f>
        <v>74528313314443.641</v>
      </c>
      <c r="N20" s="16">
        <f>SUM('BIFUbC-electricity'!N19,'BIFUbC-coal'!N19,'BIFUbC-natural-gas'!N19,'BIFUbC-biomass'!N19,'BIFUbC-heat'!N19,'BIFUbC-crude-oil'!N19,'BIFUbC-petroleum-diesel'!N19,'BIFUbC-heavy-or-residual-oil'!N19,'BIFUbC-LPG-propane-or-butane'!N19,'BIFUbC-hydrogen'!N19)</f>
        <v>74961653348786</v>
      </c>
      <c r="O20" s="16">
        <f>SUM('BIFUbC-electricity'!O19,'BIFUbC-coal'!O19,'BIFUbC-natural-gas'!O19,'BIFUbC-biomass'!O19,'BIFUbC-heat'!O19,'BIFUbC-crude-oil'!O19,'BIFUbC-petroleum-diesel'!O19,'BIFUbC-heavy-or-residual-oil'!O19,'BIFUbC-LPG-propane-or-butane'!O19,'BIFUbC-hydrogen'!O19)</f>
        <v>75394993383128.344</v>
      </c>
      <c r="P20" s="16">
        <f>SUM('BIFUbC-electricity'!P19,'BIFUbC-coal'!P19,'BIFUbC-natural-gas'!P19,'BIFUbC-biomass'!P19,'BIFUbC-heat'!P19,'BIFUbC-crude-oil'!P19,'BIFUbC-petroleum-diesel'!P19,'BIFUbC-heavy-or-residual-oil'!P19,'BIFUbC-LPG-propane-or-butane'!P19,'BIFUbC-hydrogen'!P19)</f>
        <v>75828333417470.719</v>
      </c>
      <c r="Q20" s="16">
        <f>SUM('BIFUbC-electricity'!Q19,'BIFUbC-coal'!Q19,'BIFUbC-natural-gas'!Q19,'BIFUbC-biomass'!Q19,'BIFUbC-heat'!Q19,'BIFUbC-crude-oil'!Q19,'BIFUbC-petroleum-diesel'!Q19,'BIFUbC-heavy-or-residual-oil'!Q19,'BIFUbC-LPG-propane-or-butane'!Q19,'BIFUbC-hydrogen'!Q19)</f>
        <v>76261673451813.063</v>
      </c>
      <c r="R20" s="16">
        <f>SUM('BIFUbC-electricity'!R19,'BIFUbC-coal'!R19,'BIFUbC-natural-gas'!R19,'BIFUbC-biomass'!R19,'BIFUbC-heat'!R19,'BIFUbC-crude-oil'!R19,'BIFUbC-petroleum-diesel'!R19,'BIFUbC-heavy-or-residual-oil'!R19,'BIFUbC-LPG-propane-or-butane'!R19,'BIFUbC-hydrogen'!R19)</f>
        <v>76695013486155.406</v>
      </c>
      <c r="S20" s="16">
        <f>SUM('BIFUbC-electricity'!S19,'BIFUbC-coal'!S19,'BIFUbC-natural-gas'!S19,'BIFUbC-biomass'!S19,'BIFUbC-heat'!S19,'BIFUbC-crude-oil'!S19,'BIFUbC-petroleum-diesel'!S19,'BIFUbC-heavy-or-residual-oil'!S19,'BIFUbC-LPG-propane-or-butane'!S19,'BIFUbC-hydrogen'!S19)</f>
        <v>77128353520497.766</v>
      </c>
      <c r="T20" s="16">
        <f>SUM('BIFUbC-electricity'!T19,'BIFUbC-coal'!T19,'BIFUbC-natural-gas'!T19,'BIFUbC-biomass'!T19,'BIFUbC-heat'!T19,'BIFUbC-crude-oil'!T19,'BIFUbC-petroleum-diesel'!T19,'BIFUbC-heavy-or-residual-oil'!T19,'BIFUbC-LPG-propane-or-butane'!T19,'BIFUbC-hydrogen'!T19)</f>
        <v>77561693554840.156</v>
      </c>
      <c r="U20" s="16">
        <f>SUM('BIFUbC-electricity'!U19,'BIFUbC-coal'!U19,'BIFUbC-natural-gas'!U19,'BIFUbC-biomass'!U19,'BIFUbC-heat'!U19,'BIFUbC-crude-oil'!U19,'BIFUbC-petroleum-diesel'!U19,'BIFUbC-heavy-or-residual-oil'!U19,'BIFUbC-LPG-propane-or-butane'!U19,'BIFUbC-hydrogen'!U19)</f>
        <v>77995033589182.516</v>
      </c>
      <c r="V20" s="16">
        <f>SUM('BIFUbC-electricity'!V19,'BIFUbC-coal'!V19,'BIFUbC-natural-gas'!V19,'BIFUbC-biomass'!V19,'BIFUbC-heat'!V19,'BIFUbC-crude-oil'!V19,'BIFUbC-petroleum-diesel'!V19,'BIFUbC-heavy-or-residual-oil'!V19,'BIFUbC-LPG-propane-or-butane'!V19,'BIFUbC-hydrogen'!V19)</f>
        <v>78428373623524.891</v>
      </c>
      <c r="W20" s="16">
        <f>SUM('BIFUbC-electricity'!W19,'BIFUbC-coal'!W19,'BIFUbC-natural-gas'!W19,'BIFUbC-biomass'!W19,'BIFUbC-heat'!W19,'BIFUbC-crude-oil'!W19,'BIFUbC-petroleum-diesel'!W19,'BIFUbC-heavy-or-residual-oil'!W19,'BIFUbC-LPG-propane-or-butane'!W19,'BIFUbC-hydrogen'!W19)</f>
        <v>78193305496002.516</v>
      </c>
      <c r="X20" s="16">
        <f>SUM('BIFUbC-electricity'!X19,'BIFUbC-coal'!X19,'BIFUbC-natural-gas'!X19,'BIFUbC-biomass'!X19,'BIFUbC-heat'!X19,'BIFUbC-crude-oil'!X19,'BIFUbC-petroleum-diesel'!X19,'BIFUbC-heavy-or-residual-oil'!X19,'BIFUbC-LPG-propane-or-butane'!X19,'BIFUbC-hydrogen'!X19)</f>
        <v>77958237368480.203</v>
      </c>
      <c r="Y20" s="16">
        <f>SUM('BIFUbC-electricity'!Y19,'BIFUbC-coal'!Y19,'BIFUbC-natural-gas'!Y19,'BIFUbC-biomass'!Y19,'BIFUbC-heat'!Y19,'BIFUbC-crude-oil'!Y19,'BIFUbC-petroleum-diesel'!Y19,'BIFUbC-heavy-or-residual-oil'!Y19,'BIFUbC-LPG-propane-or-butane'!Y19,'BIFUbC-hydrogen'!Y19)</f>
        <v>77723169240957.891</v>
      </c>
      <c r="Z20" s="16">
        <f>SUM('BIFUbC-electricity'!Z19,'BIFUbC-coal'!Z19,'BIFUbC-natural-gas'!Z19,'BIFUbC-biomass'!Z19,'BIFUbC-heat'!Z19,'BIFUbC-crude-oil'!Z19,'BIFUbC-petroleum-diesel'!Z19,'BIFUbC-heavy-or-residual-oil'!Z19,'BIFUbC-LPG-propane-or-butane'!Z19,'BIFUbC-hydrogen'!Z19)</f>
        <v>77488101113435.578</v>
      </c>
      <c r="AA20" s="16">
        <f>SUM('BIFUbC-electricity'!AA19,'BIFUbC-coal'!AA19,'BIFUbC-natural-gas'!AA19,'BIFUbC-biomass'!AA19,'BIFUbC-heat'!AA19,'BIFUbC-crude-oil'!AA19,'BIFUbC-petroleum-diesel'!AA19,'BIFUbC-heavy-or-residual-oil'!AA19,'BIFUbC-LPG-propane-or-butane'!AA19,'BIFUbC-hydrogen'!AA19)</f>
        <v>77253032985913.281</v>
      </c>
      <c r="AB20" s="16">
        <f>SUM('BIFUbC-electricity'!AB19,'BIFUbC-coal'!AB19,'BIFUbC-natural-gas'!AB19,'BIFUbC-biomass'!AB19,'BIFUbC-heat'!AB19,'BIFUbC-crude-oil'!AB19,'BIFUbC-petroleum-diesel'!AB19,'BIFUbC-heavy-or-residual-oil'!AB19,'BIFUbC-LPG-propane-or-butane'!AB19,'BIFUbC-hydrogen'!AB19)</f>
        <v>77017964858390.984</v>
      </c>
      <c r="AC20" s="16">
        <f>SUM('BIFUbC-electricity'!AC19,'BIFUbC-coal'!AC19,'BIFUbC-natural-gas'!AC19,'BIFUbC-biomass'!AC19,'BIFUbC-heat'!AC19,'BIFUbC-crude-oil'!AC19,'BIFUbC-petroleum-diesel'!AC19,'BIFUbC-heavy-or-residual-oil'!AC19,'BIFUbC-LPG-propane-or-butane'!AC19,'BIFUbC-hydrogen'!AC19)</f>
        <v>76782896730868.656</v>
      </c>
      <c r="AD20" s="16">
        <f>SUM('BIFUbC-electricity'!AD19,'BIFUbC-coal'!AD19,'BIFUbC-natural-gas'!AD19,'BIFUbC-biomass'!AD19,'BIFUbC-heat'!AD19,'BIFUbC-crude-oil'!AD19,'BIFUbC-petroleum-diesel'!AD19,'BIFUbC-heavy-or-residual-oil'!AD19,'BIFUbC-LPG-propane-or-butane'!AD19,'BIFUbC-hydrogen'!AD19)</f>
        <v>76547828603346.359</v>
      </c>
      <c r="AE20" s="16">
        <f>SUM('BIFUbC-electricity'!AE19,'BIFUbC-coal'!AE19,'BIFUbC-natural-gas'!AE19,'BIFUbC-biomass'!AE19,'BIFUbC-heat'!AE19,'BIFUbC-crude-oil'!AE19,'BIFUbC-petroleum-diesel'!AE19,'BIFUbC-heavy-or-residual-oil'!AE19,'BIFUbC-LPG-propane-or-butane'!AE19,'BIFUbC-hydrogen'!AE19)</f>
        <v>76312760475824.078</v>
      </c>
      <c r="AF20" s="16">
        <f>SUM('BIFUbC-electricity'!AF19,'BIFUbC-coal'!AF19,'BIFUbC-natural-gas'!AF19,'BIFUbC-biomass'!AF19,'BIFUbC-heat'!AF19,'BIFUbC-crude-oil'!AF19,'BIFUbC-petroleum-diesel'!AF19,'BIFUbC-heavy-or-residual-oil'!AF19,'BIFUbC-LPG-propane-or-butane'!AF19,'BIFUbC-hydrogen'!AF19)</f>
        <v>76077692348301.813</v>
      </c>
    </row>
    <row r="21" spans="1:32">
      <c r="A21" t="s">
        <v>73</v>
      </c>
      <c r="B21" s="16">
        <f>SUM('BIFUbC-electricity'!B20,'BIFUbC-coal'!B20,'BIFUbC-natural-gas'!B20,'BIFUbC-biomass'!B20,'BIFUbC-heat'!B20,'BIFUbC-crude-oil'!B20,'BIFUbC-petroleum-diesel'!B20,'BIFUbC-heavy-or-residual-oil'!B20,'BIFUbC-LPG-propane-or-butane'!B20,'BIFUbC-hydrogen'!B20)</f>
        <v>92432366228324.172</v>
      </c>
      <c r="C21" s="16">
        <f>SUM('BIFUbC-electricity'!C20,'BIFUbC-coal'!C20,'BIFUbC-natural-gas'!C20,'BIFUbC-biomass'!C20,'BIFUbC-heat'!C20,'BIFUbC-crude-oil'!C20,'BIFUbC-petroleum-diesel'!C20,'BIFUbC-heavy-or-residual-oil'!C20,'BIFUbC-LPG-propane-or-butane'!C20,'BIFUbC-hydrogen'!C20)</f>
        <v>95642405286004.328</v>
      </c>
      <c r="D21" s="16">
        <f>SUM('BIFUbC-electricity'!D20,'BIFUbC-coal'!D20,'BIFUbC-natural-gas'!D20,'BIFUbC-biomass'!D20,'BIFUbC-heat'!D20,'BIFUbC-crude-oil'!D20,'BIFUbC-petroleum-diesel'!D20,'BIFUbC-heavy-or-residual-oil'!D20,'BIFUbC-LPG-propane-or-butane'!D20,'BIFUbC-hydrogen'!D20)</f>
        <v>98852444343685.688</v>
      </c>
      <c r="E21" s="16">
        <f>SUM('BIFUbC-electricity'!E20,'BIFUbC-coal'!E20,'BIFUbC-natural-gas'!E20,'BIFUbC-biomass'!E20,'BIFUbC-heat'!E20,'BIFUbC-crude-oil'!E20,'BIFUbC-petroleum-diesel'!E20,'BIFUbC-heavy-or-residual-oil'!E20,'BIFUbC-LPG-propane-or-butane'!E20,'BIFUbC-hydrogen'!E20)</f>
        <v>102062483401366.44</v>
      </c>
      <c r="F21" s="16">
        <f>SUM('BIFUbC-electricity'!F20,'BIFUbC-coal'!F20,'BIFUbC-natural-gas'!F20,'BIFUbC-biomass'!F20,'BIFUbC-heat'!F20,'BIFUbC-crude-oil'!F20,'BIFUbC-petroleum-diesel'!F20,'BIFUbC-heavy-or-residual-oil'!F20,'BIFUbC-LPG-propane-or-butane'!F20,'BIFUbC-hydrogen'!F20)</f>
        <v>103847118554214.84</v>
      </c>
      <c r="G21" s="16">
        <f>SUM('BIFUbC-electricity'!G20,'BIFUbC-coal'!G20,'BIFUbC-natural-gas'!G20,'BIFUbC-biomass'!G20,'BIFUbC-heat'!G20,'BIFUbC-crude-oil'!G20,'BIFUbC-petroleum-diesel'!G20,'BIFUbC-heavy-or-residual-oil'!G20,'BIFUbC-LPG-propane-or-butane'!G20,'BIFUbC-hydrogen'!G20)</f>
        <v>105631753707063.19</v>
      </c>
      <c r="H21" s="16">
        <f>SUM('BIFUbC-electricity'!H20,'BIFUbC-coal'!H20,'BIFUbC-natural-gas'!H20,'BIFUbC-biomass'!H20,'BIFUbC-heat'!H20,'BIFUbC-crude-oil'!H20,'BIFUbC-petroleum-diesel'!H20,'BIFUbC-heavy-or-residual-oil'!H20,'BIFUbC-LPG-propane-or-butane'!H20,'BIFUbC-hydrogen'!H20)</f>
        <v>107416388859911.58</v>
      </c>
      <c r="I21" s="16">
        <f>SUM('BIFUbC-electricity'!I20,'BIFUbC-coal'!I20,'BIFUbC-natural-gas'!I20,'BIFUbC-biomass'!I20,'BIFUbC-heat'!I20,'BIFUbC-crude-oil'!I20,'BIFUbC-petroleum-diesel'!I20,'BIFUbC-heavy-or-residual-oil'!I20,'BIFUbC-LPG-propane-or-butane'!I20,'BIFUbC-hydrogen'!I20)</f>
        <v>109201024012759.95</v>
      </c>
      <c r="J21" s="16">
        <f>SUM('BIFUbC-electricity'!J20,'BIFUbC-coal'!J20,'BIFUbC-natural-gas'!J20,'BIFUbC-biomass'!J20,'BIFUbC-heat'!J20,'BIFUbC-crude-oil'!J20,'BIFUbC-petroleum-diesel'!J20,'BIFUbC-heavy-or-residual-oil'!J20,'BIFUbC-LPG-propane-or-butane'!J20,'BIFUbC-hydrogen'!J20)</f>
        <v>110985659165608.31</v>
      </c>
      <c r="K21" s="16">
        <f>SUM('BIFUbC-electricity'!K20,'BIFUbC-coal'!K20,'BIFUbC-natural-gas'!K20,'BIFUbC-biomass'!K20,'BIFUbC-heat'!K20,'BIFUbC-crude-oil'!K20,'BIFUbC-petroleum-diesel'!K20,'BIFUbC-heavy-or-residual-oil'!K20,'BIFUbC-LPG-propane-or-butane'!K20,'BIFUbC-hydrogen'!K20)</f>
        <v>112770294318456.67</v>
      </c>
      <c r="L21" s="16">
        <f>SUM('BIFUbC-electricity'!L20,'BIFUbC-coal'!L20,'BIFUbC-natural-gas'!L20,'BIFUbC-biomass'!L20,'BIFUbC-heat'!L20,'BIFUbC-crude-oil'!L20,'BIFUbC-petroleum-diesel'!L20,'BIFUbC-heavy-or-residual-oil'!L20,'BIFUbC-LPG-propane-or-butane'!L20,'BIFUbC-hydrogen'!L20)</f>
        <v>114554929471305.06</v>
      </c>
      <c r="M21" s="16">
        <f>SUM('BIFUbC-electricity'!M20,'BIFUbC-coal'!M20,'BIFUbC-natural-gas'!M20,'BIFUbC-biomass'!M20,'BIFUbC-heat'!M20,'BIFUbC-crude-oil'!M20,'BIFUbC-petroleum-diesel'!M20,'BIFUbC-heavy-or-residual-oil'!M20,'BIFUbC-LPG-propane-or-butane'!M20,'BIFUbC-hydrogen'!M20)</f>
        <v>115247233772351.91</v>
      </c>
      <c r="N21" s="16">
        <f>SUM('BIFUbC-electricity'!N20,'BIFUbC-coal'!N20,'BIFUbC-natural-gas'!N20,'BIFUbC-biomass'!N20,'BIFUbC-heat'!N20,'BIFUbC-crude-oil'!N20,'BIFUbC-petroleum-diesel'!N20,'BIFUbC-heavy-or-residual-oil'!N20,'BIFUbC-LPG-propane-or-butane'!N20,'BIFUbC-hydrogen'!N20)</f>
        <v>115939538073398.73</v>
      </c>
      <c r="O21" s="16">
        <f>SUM('BIFUbC-electricity'!O20,'BIFUbC-coal'!O20,'BIFUbC-natural-gas'!O20,'BIFUbC-biomass'!O20,'BIFUbC-heat'!O20,'BIFUbC-crude-oil'!O20,'BIFUbC-petroleum-diesel'!O20,'BIFUbC-heavy-or-residual-oil'!O20,'BIFUbC-LPG-propane-or-butane'!O20,'BIFUbC-hydrogen'!O20)</f>
        <v>116631842374445.59</v>
      </c>
      <c r="P21" s="16">
        <f>SUM('BIFUbC-electricity'!P20,'BIFUbC-coal'!P20,'BIFUbC-natural-gas'!P20,'BIFUbC-biomass'!P20,'BIFUbC-heat'!P20,'BIFUbC-crude-oil'!P20,'BIFUbC-petroleum-diesel'!P20,'BIFUbC-heavy-or-residual-oil'!P20,'BIFUbC-LPG-propane-or-butane'!P20,'BIFUbC-hydrogen'!P20)</f>
        <v>117324146675492.45</v>
      </c>
      <c r="Q21" s="16">
        <f>SUM('BIFUbC-electricity'!Q20,'BIFUbC-coal'!Q20,'BIFUbC-natural-gas'!Q20,'BIFUbC-biomass'!Q20,'BIFUbC-heat'!Q20,'BIFUbC-crude-oil'!Q20,'BIFUbC-petroleum-diesel'!Q20,'BIFUbC-heavy-or-residual-oil'!Q20,'BIFUbC-LPG-propane-or-butane'!Q20,'BIFUbC-hydrogen'!Q20)</f>
        <v>118016450976539.3</v>
      </c>
      <c r="R21" s="16">
        <f>SUM('BIFUbC-electricity'!R20,'BIFUbC-coal'!R20,'BIFUbC-natural-gas'!R20,'BIFUbC-biomass'!R20,'BIFUbC-heat'!R20,'BIFUbC-crude-oil'!R20,'BIFUbC-petroleum-diesel'!R20,'BIFUbC-heavy-or-residual-oil'!R20,'BIFUbC-LPG-propane-or-butane'!R20,'BIFUbC-hydrogen'!R20)</f>
        <v>118708755277586.17</v>
      </c>
      <c r="S21" s="16">
        <f>SUM('BIFUbC-electricity'!S20,'BIFUbC-coal'!S20,'BIFUbC-natural-gas'!S20,'BIFUbC-biomass'!S20,'BIFUbC-heat'!S20,'BIFUbC-crude-oil'!S20,'BIFUbC-petroleum-diesel'!S20,'BIFUbC-heavy-or-residual-oil'!S20,'BIFUbC-LPG-propane-or-butane'!S20,'BIFUbC-hydrogen'!S20)</f>
        <v>119401059578632.98</v>
      </c>
      <c r="T21" s="16">
        <f>SUM('BIFUbC-electricity'!T20,'BIFUbC-coal'!T20,'BIFUbC-natural-gas'!T20,'BIFUbC-biomass'!T20,'BIFUbC-heat'!T20,'BIFUbC-crude-oil'!T20,'BIFUbC-petroleum-diesel'!T20,'BIFUbC-heavy-or-residual-oil'!T20,'BIFUbC-LPG-propane-or-butane'!T20,'BIFUbC-hydrogen'!T20)</f>
        <v>120093363879679.84</v>
      </c>
      <c r="U21" s="16">
        <f>SUM('BIFUbC-electricity'!U20,'BIFUbC-coal'!U20,'BIFUbC-natural-gas'!U20,'BIFUbC-biomass'!U20,'BIFUbC-heat'!U20,'BIFUbC-crude-oil'!U20,'BIFUbC-petroleum-diesel'!U20,'BIFUbC-heavy-or-residual-oil'!U20,'BIFUbC-LPG-propane-or-butane'!U20,'BIFUbC-hydrogen'!U20)</f>
        <v>120785668180726.72</v>
      </c>
      <c r="V21" s="16">
        <f>SUM('BIFUbC-electricity'!V20,'BIFUbC-coal'!V20,'BIFUbC-natural-gas'!V20,'BIFUbC-biomass'!V20,'BIFUbC-heat'!V20,'BIFUbC-crude-oil'!V20,'BIFUbC-petroleum-diesel'!V20,'BIFUbC-heavy-or-residual-oil'!V20,'BIFUbC-LPG-propane-or-butane'!V20,'BIFUbC-hydrogen'!V20)</f>
        <v>121477972481773.52</v>
      </c>
      <c r="W21" s="16">
        <f>SUM('BIFUbC-electricity'!W20,'BIFUbC-coal'!W20,'BIFUbC-natural-gas'!W20,'BIFUbC-biomass'!W20,'BIFUbC-heat'!W20,'BIFUbC-crude-oil'!W20,'BIFUbC-petroleum-diesel'!W20,'BIFUbC-heavy-or-residual-oil'!W20,'BIFUbC-LPG-propane-or-butane'!W20,'BIFUbC-hydrogen'!W20)</f>
        <v>121136300684587.94</v>
      </c>
      <c r="X21" s="16">
        <f>SUM('BIFUbC-electricity'!X20,'BIFUbC-coal'!X20,'BIFUbC-natural-gas'!X20,'BIFUbC-biomass'!X20,'BIFUbC-heat'!X20,'BIFUbC-crude-oil'!X20,'BIFUbC-petroleum-diesel'!X20,'BIFUbC-heavy-or-residual-oil'!X20,'BIFUbC-LPG-propane-or-butane'!X20,'BIFUbC-hydrogen'!X20)</f>
        <v>120794628887402.39</v>
      </c>
      <c r="Y21" s="16">
        <f>SUM('BIFUbC-electricity'!Y20,'BIFUbC-coal'!Y20,'BIFUbC-natural-gas'!Y20,'BIFUbC-biomass'!Y20,'BIFUbC-heat'!Y20,'BIFUbC-crude-oil'!Y20,'BIFUbC-petroleum-diesel'!Y20,'BIFUbC-heavy-or-residual-oil'!Y20,'BIFUbC-LPG-propane-or-butane'!Y20,'BIFUbC-hydrogen'!Y20)</f>
        <v>120452957090216.86</v>
      </c>
      <c r="Z21" s="16">
        <f>SUM('BIFUbC-electricity'!Z20,'BIFUbC-coal'!Z20,'BIFUbC-natural-gas'!Z20,'BIFUbC-biomass'!Z20,'BIFUbC-heat'!Z20,'BIFUbC-crude-oil'!Z20,'BIFUbC-petroleum-diesel'!Z20,'BIFUbC-heavy-or-residual-oil'!Z20,'BIFUbC-LPG-propane-or-butane'!Z20,'BIFUbC-hydrogen'!Z20)</f>
        <v>120111285293031.33</v>
      </c>
      <c r="AA21" s="16">
        <f>SUM('BIFUbC-electricity'!AA20,'BIFUbC-coal'!AA20,'BIFUbC-natural-gas'!AA20,'BIFUbC-biomass'!AA20,'BIFUbC-heat'!AA20,'BIFUbC-crude-oil'!AA20,'BIFUbC-petroleum-diesel'!AA20,'BIFUbC-heavy-or-residual-oil'!AA20,'BIFUbC-LPG-propane-or-butane'!AA20,'BIFUbC-hydrogen'!AA20)</f>
        <v>119769613495845.78</v>
      </c>
      <c r="AB21" s="16">
        <f>SUM('BIFUbC-electricity'!AB20,'BIFUbC-coal'!AB20,'BIFUbC-natural-gas'!AB20,'BIFUbC-biomass'!AB20,'BIFUbC-heat'!AB20,'BIFUbC-crude-oil'!AB20,'BIFUbC-petroleum-diesel'!AB20,'BIFUbC-heavy-or-residual-oil'!AB20,'BIFUbC-LPG-propane-or-butane'!AB20,'BIFUbC-hydrogen'!AB20)</f>
        <v>119427941698660.28</v>
      </c>
      <c r="AC21" s="16">
        <f>SUM('BIFUbC-electricity'!AC20,'BIFUbC-coal'!AC20,'BIFUbC-natural-gas'!AC20,'BIFUbC-biomass'!AC20,'BIFUbC-heat'!AC20,'BIFUbC-crude-oil'!AC20,'BIFUbC-petroleum-diesel'!AC20,'BIFUbC-heavy-or-residual-oil'!AC20,'BIFUbC-LPG-propane-or-butane'!AC20,'BIFUbC-hydrogen'!AC20)</f>
        <v>119086269901474.73</v>
      </c>
      <c r="AD21" s="16">
        <f>SUM('BIFUbC-electricity'!AD20,'BIFUbC-coal'!AD20,'BIFUbC-natural-gas'!AD20,'BIFUbC-biomass'!AD20,'BIFUbC-heat'!AD20,'BIFUbC-crude-oil'!AD20,'BIFUbC-petroleum-diesel'!AD20,'BIFUbC-heavy-or-residual-oil'!AD20,'BIFUbC-LPG-propane-or-butane'!AD20,'BIFUbC-hydrogen'!AD20)</f>
        <v>118744598104289.2</v>
      </c>
      <c r="AE21" s="16">
        <f>SUM('BIFUbC-electricity'!AE20,'BIFUbC-coal'!AE20,'BIFUbC-natural-gas'!AE20,'BIFUbC-biomass'!AE20,'BIFUbC-heat'!AE20,'BIFUbC-crude-oil'!AE20,'BIFUbC-petroleum-diesel'!AE20,'BIFUbC-heavy-or-residual-oil'!AE20,'BIFUbC-LPG-propane-or-butane'!AE20,'BIFUbC-hydrogen'!AE20)</f>
        <v>118402926307103.69</v>
      </c>
      <c r="AF21" s="16">
        <f>SUM('BIFUbC-electricity'!AF20,'BIFUbC-coal'!AF20,'BIFUbC-natural-gas'!AF20,'BIFUbC-biomass'!AF20,'BIFUbC-heat'!AF20,'BIFUbC-crude-oil'!AF20,'BIFUbC-petroleum-diesel'!AF20,'BIFUbC-heavy-or-residual-oil'!AF20,'BIFUbC-LPG-propane-or-butane'!AF20,'BIFUbC-hydrogen'!AF20)</f>
        <v>118061254509918.23</v>
      </c>
    </row>
    <row r="22" spans="1:32">
      <c r="A22" t="s">
        <v>75</v>
      </c>
      <c r="B22" s="16">
        <f>SUM('BIFUbC-electricity'!B21,'BIFUbC-coal'!B21,'BIFUbC-natural-gas'!B21,'BIFUbC-biomass'!B21,'BIFUbC-heat'!B21,'BIFUbC-crude-oil'!B21,'BIFUbC-petroleum-diesel'!B21,'BIFUbC-heavy-or-residual-oil'!B21,'BIFUbC-LPG-propane-or-butane'!B21,'BIFUbC-hydrogen'!B21)</f>
        <v>115888360801983.77</v>
      </c>
      <c r="C22" s="16">
        <f>SUM('BIFUbC-electricity'!C21,'BIFUbC-coal'!C21,'BIFUbC-natural-gas'!C21,'BIFUbC-biomass'!C21,'BIFUbC-heat'!C21,'BIFUbC-crude-oil'!C21,'BIFUbC-petroleum-diesel'!C21,'BIFUbC-heavy-or-residual-oil'!C21,'BIFUbC-LPG-propane-or-butane'!C21,'BIFUbC-hydrogen'!C21)</f>
        <v>119412440615632</v>
      </c>
      <c r="D22" s="16">
        <f>SUM('BIFUbC-electricity'!D21,'BIFUbC-coal'!D21,'BIFUbC-natural-gas'!D21,'BIFUbC-biomass'!D21,'BIFUbC-heat'!D21,'BIFUbC-crude-oil'!D21,'BIFUbC-petroleum-diesel'!D21,'BIFUbC-heavy-or-residual-oil'!D21,'BIFUbC-LPG-propane-or-butane'!D21,'BIFUbC-hydrogen'!D21)</f>
        <v>122936520429281.45</v>
      </c>
      <c r="E22" s="16">
        <f>SUM('BIFUbC-electricity'!E21,'BIFUbC-coal'!E21,'BIFUbC-natural-gas'!E21,'BIFUbC-biomass'!E21,'BIFUbC-heat'!E21,'BIFUbC-crude-oil'!E21,'BIFUbC-petroleum-diesel'!E21,'BIFUbC-heavy-or-residual-oil'!E21,'BIFUbC-LPG-propane-or-butane'!E21,'BIFUbC-hydrogen'!E21)</f>
        <v>126460600242930.36</v>
      </c>
      <c r="F22" s="16">
        <f>SUM('BIFUbC-electricity'!F21,'BIFUbC-coal'!F21,'BIFUbC-natural-gas'!F21,'BIFUbC-biomass'!F21,'BIFUbC-heat'!F21,'BIFUbC-crude-oil'!F21,'BIFUbC-petroleum-diesel'!F21,'BIFUbC-heavy-or-residual-oil'!F21,'BIFUbC-LPG-propane-or-butane'!F21,'BIFUbC-hydrogen'!F21)</f>
        <v>128498350904859.42</v>
      </c>
      <c r="G22" s="16">
        <f>SUM('BIFUbC-electricity'!G21,'BIFUbC-coal'!G21,'BIFUbC-natural-gas'!G21,'BIFUbC-biomass'!G21,'BIFUbC-heat'!G21,'BIFUbC-crude-oil'!G21,'BIFUbC-petroleum-diesel'!G21,'BIFUbC-heavy-or-residual-oil'!G21,'BIFUbC-LPG-propane-or-butane'!G21,'BIFUbC-hydrogen'!G21)</f>
        <v>130536101566788.52</v>
      </c>
      <c r="H22" s="16">
        <f>SUM('BIFUbC-electricity'!H21,'BIFUbC-coal'!H21,'BIFUbC-natural-gas'!H21,'BIFUbC-biomass'!H21,'BIFUbC-heat'!H21,'BIFUbC-crude-oil'!H21,'BIFUbC-petroleum-diesel'!H21,'BIFUbC-heavy-or-residual-oil'!H21,'BIFUbC-LPG-propane-or-butane'!H21,'BIFUbC-hydrogen'!H21)</f>
        <v>132573852228717.61</v>
      </c>
      <c r="I22" s="16">
        <f>SUM('BIFUbC-electricity'!I21,'BIFUbC-coal'!I21,'BIFUbC-natural-gas'!I21,'BIFUbC-biomass'!I21,'BIFUbC-heat'!I21,'BIFUbC-crude-oil'!I21,'BIFUbC-petroleum-diesel'!I21,'BIFUbC-heavy-or-residual-oil'!I21,'BIFUbC-LPG-propane-or-butane'!I21,'BIFUbC-hydrogen'!I21)</f>
        <v>134611602890646.69</v>
      </c>
      <c r="J22" s="16">
        <f>SUM('BIFUbC-electricity'!J21,'BIFUbC-coal'!J21,'BIFUbC-natural-gas'!J21,'BIFUbC-biomass'!J21,'BIFUbC-heat'!J21,'BIFUbC-crude-oil'!J21,'BIFUbC-petroleum-diesel'!J21,'BIFUbC-heavy-or-residual-oil'!J21,'BIFUbC-LPG-propane-or-butane'!J21,'BIFUbC-hydrogen'!J21)</f>
        <v>136649353552575.78</v>
      </c>
      <c r="K22" s="16">
        <f>SUM('BIFUbC-electricity'!K21,'BIFUbC-coal'!K21,'BIFUbC-natural-gas'!K21,'BIFUbC-biomass'!K21,'BIFUbC-heat'!K21,'BIFUbC-crude-oil'!K21,'BIFUbC-petroleum-diesel'!K21,'BIFUbC-heavy-or-residual-oil'!K21,'BIFUbC-LPG-propane-or-butane'!K21,'BIFUbC-hydrogen'!K21)</f>
        <v>138687104214504.86</v>
      </c>
      <c r="L22" s="16">
        <f>SUM('BIFUbC-electricity'!L21,'BIFUbC-coal'!L21,'BIFUbC-natural-gas'!L21,'BIFUbC-biomass'!L21,'BIFUbC-heat'!L21,'BIFUbC-crude-oil'!L21,'BIFUbC-petroleum-diesel'!L21,'BIFUbC-heavy-or-residual-oil'!L21,'BIFUbC-LPG-propane-or-butane'!L21,'BIFUbC-hydrogen'!L21)</f>
        <v>140724854876433.95</v>
      </c>
      <c r="M22" s="16">
        <f>SUM('BIFUbC-electricity'!M21,'BIFUbC-coal'!M21,'BIFUbC-natural-gas'!M21,'BIFUbC-biomass'!M21,'BIFUbC-heat'!M21,'BIFUbC-crude-oil'!M21,'BIFUbC-petroleum-diesel'!M21,'BIFUbC-heavy-or-residual-oil'!M21,'BIFUbC-LPG-propane-or-butane'!M21,'BIFUbC-hydrogen'!M21)</f>
        <v>141549116912558.25</v>
      </c>
      <c r="N22" s="16">
        <f>SUM('BIFUbC-electricity'!N21,'BIFUbC-coal'!N21,'BIFUbC-natural-gas'!N21,'BIFUbC-biomass'!N21,'BIFUbC-heat'!N21,'BIFUbC-crude-oil'!N21,'BIFUbC-petroleum-diesel'!N21,'BIFUbC-heavy-or-residual-oil'!N21,'BIFUbC-LPG-propane-or-butane'!N21,'BIFUbC-hydrogen'!N21)</f>
        <v>142373378948682.59</v>
      </c>
      <c r="O22" s="16">
        <f>SUM('BIFUbC-electricity'!O21,'BIFUbC-coal'!O21,'BIFUbC-natural-gas'!O21,'BIFUbC-biomass'!O21,'BIFUbC-heat'!O21,'BIFUbC-crude-oil'!O21,'BIFUbC-petroleum-diesel'!O21,'BIFUbC-heavy-or-residual-oil'!O21,'BIFUbC-LPG-propane-or-butane'!O21,'BIFUbC-hydrogen'!O21)</f>
        <v>143197640984806.88</v>
      </c>
      <c r="P22" s="16">
        <f>SUM('BIFUbC-electricity'!P21,'BIFUbC-coal'!P21,'BIFUbC-natural-gas'!P21,'BIFUbC-biomass'!P21,'BIFUbC-heat'!P21,'BIFUbC-crude-oil'!P21,'BIFUbC-petroleum-diesel'!P21,'BIFUbC-heavy-or-residual-oil'!P21,'BIFUbC-LPG-propane-or-butane'!P21,'BIFUbC-hydrogen'!P21)</f>
        <v>144021903020931.19</v>
      </c>
      <c r="Q22" s="16">
        <f>SUM('BIFUbC-electricity'!Q21,'BIFUbC-coal'!Q21,'BIFUbC-natural-gas'!Q21,'BIFUbC-biomass'!Q21,'BIFUbC-heat'!Q21,'BIFUbC-crude-oil'!Q21,'BIFUbC-petroleum-diesel'!Q21,'BIFUbC-heavy-or-residual-oil'!Q21,'BIFUbC-LPG-propane-or-butane'!Q21,'BIFUbC-hydrogen'!Q21)</f>
        <v>144846165057055.53</v>
      </c>
      <c r="R22" s="16">
        <f>SUM('BIFUbC-electricity'!R21,'BIFUbC-coal'!R21,'BIFUbC-natural-gas'!R21,'BIFUbC-biomass'!R21,'BIFUbC-heat'!R21,'BIFUbC-crude-oil'!R21,'BIFUbC-petroleum-diesel'!R21,'BIFUbC-heavy-or-residual-oil'!R21,'BIFUbC-LPG-propane-or-butane'!R21,'BIFUbC-hydrogen'!R21)</f>
        <v>145670427093179.81</v>
      </c>
      <c r="S22" s="16">
        <f>SUM('BIFUbC-electricity'!S21,'BIFUbC-coal'!S21,'BIFUbC-natural-gas'!S21,'BIFUbC-biomass'!S21,'BIFUbC-heat'!S21,'BIFUbC-crude-oil'!S21,'BIFUbC-petroleum-diesel'!S21,'BIFUbC-heavy-or-residual-oil'!S21,'BIFUbC-LPG-propane-or-butane'!S21,'BIFUbC-hydrogen'!S21)</f>
        <v>146494689129304.16</v>
      </c>
      <c r="T22" s="16">
        <f>SUM('BIFUbC-electricity'!T21,'BIFUbC-coal'!T21,'BIFUbC-natural-gas'!T21,'BIFUbC-biomass'!T21,'BIFUbC-heat'!T21,'BIFUbC-crude-oil'!T21,'BIFUbC-petroleum-diesel'!T21,'BIFUbC-heavy-or-residual-oil'!T21,'BIFUbC-LPG-propane-or-butane'!T21,'BIFUbC-hydrogen'!T21)</f>
        <v>147318951165428.47</v>
      </c>
      <c r="U22" s="16">
        <f>SUM('BIFUbC-electricity'!U21,'BIFUbC-coal'!U21,'BIFUbC-natural-gas'!U21,'BIFUbC-biomass'!U21,'BIFUbC-heat'!U21,'BIFUbC-crude-oil'!U21,'BIFUbC-petroleum-diesel'!U21,'BIFUbC-heavy-or-residual-oil'!U21,'BIFUbC-LPG-propane-or-butane'!U21,'BIFUbC-hydrogen'!U21)</f>
        <v>148143213201552.72</v>
      </c>
      <c r="V22" s="16">
        <f>SUM('BIFUbC-electricity'!V21,'BIFUbC-coal'!V21,'BIFUbC-natural-gas'!V21,'BIFUbC-biomass'!V21,'BIFUbC-heat'!V21,'BIFUbC-crude-oil'!V21,'BIFUbC-petroleum-diesel'!V21,'BIFUbC-heavy-or-residual-oil'!V21,'BIFUbC-LPG-propane-or-butane'!V21,'BIFUbC-hydrogen'!V21)</f>
        <v>148967475237677.06</v>
      </c>
      <c r="W22" s="16">
        <f>SUM('BIFUbC-electricity'!W21,'BIFUbC-coal'!W21,'BIFUbC-natural-gas'!W21,'BIFUbC-biomass'!W21,'BIFUbC-heat'!W21,'BIFUbC-crude-oil'!W21,'BIFUbC-petroleum-diesel'!W21,'BIFUbC-heavy-or-residual-oil'!W21,'BIFUbC-LPG-propane-or-butane'!W21,'BIFUbC-hydrogen'!W21)</f>
        <v>148549563742111.44</v>
      </c>
      <c r="X22" s="16">
        <f>SUM('BIFUbC-electricity'!X21,'BIFUbC-coal'!X21,'BIFUbC-natural-gas'!X21,'BIFUbC-biomass'!X21,'BIFUbC-heat'!X21,'BIFUbC-crude-oil'!X21,'BIFUbC-petroleum-diesel'!X21,'BIFUbC-heavy-or-residual-oil'!X21,'BIFUbC-LPG-propane-or-butane'!X21,'BIFUbC-hydrogen'!X21)</f>
        <v>148131652246545.84</v>
      </c>
      <c r="Y22" s="16">
        <f>SUM('BIFUbC-electricity'!Y21,'BIFUbC-coal'!Y21,'BIFUbC-natural-gas'!Y21,'BIFUbC-biomass'!Y21,'BIFUbC-heat'!Y21,'BIFUbC-crude-oil'!Y21,'BIFUbC-petroleum-diesel'!Y21,'BIFUbC-heavy-or-residual-oil'!Y21,'BIFUbC-LPG-propane-or-butane'!Y21,'BIFUbC-hydrogen'!Y21)</f>
        <v>147713740750980.25</v>
      </c>
      <c r="Z22" s="16">
        <f>SUM('BIFUbC-electricity'!Z21,'BIFUbC-coal'!Z21,'BIFUbC-natural-gas'!Z21,'BIFUbC-biomass'!Z21,'BIFUbC-heat'!Z21,'BIFUbC-crude-oil'!Z21,'BIFUbC-petroleum-diesel'!Z21,'BIFUbC-heavy-or-residual-oil'!Z21,'BIFUbC-LPG-propane-or-butane'!Z21,'BIFUbC-hydrogen'!Z21)</f>
        <v>147295829255414.63</v>
      </c>
      <c r="AA22" s="16">
        <f>SUM('BIFUbC-electricity'!AA21,'BIFUbC-coal'!AA21,'BIFUbC-natural-gas'!AA21,'BIFUbC-biomass'!AA21,'BIFUbC-heat'!AA21,'BIFUbC-crude-oil'!AA21,'BIFUbC-petroleum-diesel'!AA21,'BIFUbC-heavy-or-residual-oil'!AA21,'BIFUbC-LPG-propane-or-butane'!AA21,'BIFUbC-hydrogen'!AA21)</f>
        <v>146877917759849.06</v>
      </c>
      <c r="AB22" s="16">
        <f>SUM('BIFUbC-electricity'!AB21,'BIFUbC-coal'!AB21,'BIFUbC-natural-gas'!AB21,'BIFUbC-biomass'!AB21,'BIFUbC-heat'!AB21,'BIFUbC-crude-oil'!AB21,'BIFUbC-petroleum-diesel'!AB21,'BIFUbC-heavy-or-residual-oil'!AB21,'BIFUbC-LPG-propane-or-butane'!AB21,'BIFUbC-hydrogen'!AB21)</f>
        <v>146460006264283.47</v>
      </c>
      <c r="AC22" s="16">
        <f>SUM('BIFUbC-electricity'!AC21,'BIFUbC-coal'!AC21,'BIFUbC-natural-gas'!AC21,'BIFUbC-biomass'!AC21,'BIFUbC-heat'!AC21,'BIFUbC-crude-oil'!AC21,'BIFUbC-petroleum-diesel'!AC21,'BIFUbC-heavy-or-residual-oil'!AC21,'BIFUbC-LPG-propane-or-butane'!AC21,'BIFUbC-hydrogen'!AC21)</f>
        <v>146042094768717.88</v>
      </c>
      <c r="AD22" s="16">
        <f>SUM('BIFUbC-electricity'!AD21,'BIFUbC-coal'!AD21,'BIFUbC-natural-gas'!AD21,'BIFUbC-biomass'!AD21,'BIFUbC-heat'!AD21,'BIFUbC-crude-oil'!AD21,'BIFUbC-petroleum-diesel'!AD21,'BIFUbC-heavy-or-residual-oil'!AD21,'BIFUbC-LPG-propane-or-butane'!AD21,'BIFUbC-hydrogen'!AD21)</f>
        <v>145624183273152.28</v>
      </c>
      <c r="AE22" s="16">
        <f>SUM('BIFUbC-electricity'!AE21,'BIFUbC-coal'!AE21,'BIFUbC-natural-gas'!AE21,'BIFUbC-biomass'!AE21,'BIFUbC-heat'!AE21,'BIFUbC-crude-oil'!AE21,'BIFUbC-petroleum-diesel'!AE21,'BIFUbC-heavy-or-residual-oil'!AE21,'BIFUbC-LPG-propane-or-butane'!AE21,'BIFUbC-hydrogen'!AE21)</f>
        <v>145206271777586.69</v>
      </c>
      <c r="AF22" s="16">
        <f>SUM('BIFUbC-electricity'!AF21,'BIFUbC-coal'!AF21,'BIFUbC-natural-gas'!AF21,'BIFUbC-biomass'!AF21,'BIFUbC-heat'!AF21,'BIFUbC-crude-oil'!AF21,'BIFUbC-petroleum-diesel'!AF21,'BIFUbC-heavy-or-residual-oil'!AF21,'BIFUbC-LPG-propane-or-butane'!AF21,'BIFUbC-hydrogen'!AF21)</f>
        <v>144788360282021.22</v>
      </c>
    </row>
    <row r="23" spans="1:32">
      <c r="A23" t="s">
        <v>78</v>
      </c>
      <c r="B23" s="16">
        <f>SUM('BIFUbC-electricity'!B22,'BIFUbC-coal'!B22,'BIFUbC-natural-gas'!B22,'BIFUbC-biomass'!B22,'BIFUbC-heat'!B22,'BIFUbC-crude-oil'!B22,'BIFUbC-petroleum-diesel'!B22,'BIFUbC-heavy-or-residual-oil'!B22,'BIFUbC-LPG-propane-or-butane'!B22,'BIFUbC-hydrogen'!B22)</f>
        <v>30380564363683.578</v>
      </c>
      <c r="C23" s="16">
        <f>SUM('BIFUbC-electricity'!C22,'BIFUbC-coal'!C22,'BIFUbC-natural-gas'!C22,'BIFUbC-biomass'!C22,'BIFUbC-heat'!C22,'BIFUbC-crude-oil'!C22,'BIFUbC-petroleum-diesel'!C22,'BIFUbC-heavy-or-residual-oil'!C22,'BIFUbC-LPG-propane-or-butane'!C22,'BIFUbC-hydrogen'!C22)</f>
        <v>31462057483158.195</v>
      </c>
      <c r="D23" s="16">
        <f>SUM('BIFUbC-electricity'!D22,'BIFUbC-coal'!D22,'BIFUbC-natural-gas'!D22,'BIFUbC-biomass'!D22,'BIFUbC-heat'!D22,'BIFUbC-crude-oil'!D22,'BIFUbC-petroleum-diesel'!D22,'BIFUbC-heavy-or-residual-oil'!D22,'BIFUbC-LPG-propane-or-butane'!D22,'BIFUbC-hydrogen'!D22)</f>
        <v>32543550602633.141</v>
      </c>
      <c r="E23" s="16">
        <f>SUM('BIFUbC-electricity'!E22,'BIFUbC-coal'!E22,'BIFUbC-natural-gas'!E22,'BIFUbC-biomass'!E22,'BIFUbC-heat'!E22,'BIFUbC-crude-oil'!E22,'BIFUbC-petroleum-diesel'!E22,'BIFUbC-heavy-or-residual-oil'!E22,'BIFUbC-LPG-propane-or-butane'!E22,'BIFUbC-hydrogen'!E22)</f>
        <v>33625043722107.918</v>
      </c>
      <c r="F23" s="16">
        <f>SUM('BIFUbC-electricity'!F22,'BIFUbC-coal'!F22,'BIFUbC-natural-gas'!F22,'BIFUbC-biomass'!F22,'BIFUbC-heat'!F22,'BIFUbC-crude-oil'!F22,'BIFUbC-petroleum-diesel'!F22,'BIFUbC-heavy-or-residual-oil'!F22,'BIFUbC-LPG-propane-or-butane'!F22,'BIFUbC-hydrogen'!F22)</f>
        <v>34330806739345.508</v>
      </c>
      <c r="G23" s="16">
        <f>SUM('BIFUbC-electricity'!G22,'BIFUbC-coal'!G22,'BIFUbC-natural-gas'!G22,'BIFUbC-biomass'!G22,'BIFUbC-heat'!G22,'BIFUbC-crude-oil'!G22,'BIFUbC-petroleum-diesel'!G22,'BIFUbC-heavy-or-residual-oil'!G22,'BIFUbC-LPG-propane-or-butane'!G22,'BIFUbC-hydrogen'!G22)</f>
        <v>35036569756583.09</v>
      </c>
      <c r="H23" s="16">
        <f>SUM('BIFUbC-electricity'!H22,'BIFUbC-coal'!H22,'BIFUbC-natural-gas'!H22,'BIFUbC-biomass'!H22,'BIFUbC-heat'!H22,'BIFUbC-crude-oil'!H22,'BIFUbC-petroleum-diesel'!H22,'BIFUbC-heavy-or-residual-oil'!H22,'BIFUbC-LPG-propane-or-butane'!H22,'BIFUbC-hydrogen'!H22)</f>
        <v>35742332773820.688</v>
      </c>
      <c r="I23" s="16">
        <f>SUM('BIFUbC-electricity'!I22,'BIFUbC-coal'!I22,'BIFUbC-natural-gas'!I22,'BIFUbC-biomass'!I22,'BIFUbC-heat'!I22,'BIFUbC-crude-oil'!I22,'BIFUbC-petroleum-diesel'!I22,'BIFUbC-heavy-or-residual-oil'!I22,'BIFUbC-LPG-propane-or-butane'!I22,'BIFUbC-hydrogen'!I22)</f>
        <v>36448095791058.266</v>
      </c>
      <c r="J23" s="16">
        <f>SUM('BIFUbC-electricity'!J22,'BIFUbC-coal'!J22,'BIFUbC-natural-gas'!J22,'BIFUbC-biomass'!J22,'BIFUbC-heat'!J22,'BIFUbC-crude-oil'!J22,'BIFUbC-petroleum-diesel'!J22,'BIFUbC-heavy-or-residual-oil'!J22,'BIFUbC-LPG-propane-or-butane'!J22,'BIFUbC-hydrogen'!J22)</f>
        <v>37153858808295.844</v>
      </c>
      <c r="K23" s="16">
        <f>SUM('BIFUbC-electricity'!K22,'BIFUbC-coal'!K22,'BIFUbC-natural-gas'!K22,'BIFUbC-biomass'!K22,'BIFUbC-heat'!K22,'BIFUbC-crude-oil'!K22,'BIFUbC-petroleum-diesel'!K22,'BIFUbC-heavy-or-residual-oil'!K22,'BIFUbC-LPG-propane-or-butane'!K22,'BIFUbC-hydrogen'!K22)</f>
        <v>37859621825533.438</v>
      </c>
      <c r="L23" s="16">
        <f>SUM('BIFUbC-electricity'!L22,'BIFUbC-coal'!L22,'BIFUbC-natural-gas'!L22,'BIFUbC-biomass'!L22,'BIFUbC-heat'!L22,'BIFUbC-crude-oil'!L22,'BIFUbC-petroleum-diesel'!L22,'BIFUbC-heavy-or-residual-oil'!L22,'BIFUbC-LPG-propane-or-butane'!L22,'BIFUbC-hydrogen'!L22)</f>
        <v>38565384842771.008</v>
      </c>
      <c r="M23" s="16">
        <f>SUM('BIFUbC-electricity'!M22,'BIFUbC-coal'!M22,'BIFUbC-natural-gas'!M22,'BIFUbC-biomass'!M22,'BIFUbC-heat'!M22,'BIFUbC-crude-oil'!M22,'BIFUbC-petroleum-diesel'!M22,'BIFUbC-heavy-or-residual-oil'!M22,'BIFUbC-LPG-propane-or-butane'!M22,'BIFUbC-hydrogen'!M22)</f>
        <v>38824675089713.492</v>
      </c>
      <c r="N23" s="16">
        <f>SUM('BIFUbC-electricity'!N22,'BIFUbC-coal'!N22,'BIFUbC-natural-gas'!N22,'BIFUbC-biomass'!N22,'BIFUbC-heat'!N22,'BIFUbC-crude-oil'!N22,'BIFUbC-petroleum-diesel'!N22,'BIFUbC-heavy-or-residual-oil'!N22,'BIFUbC-LPG-propane-or-butane'!N22,'BIFUbC-hydrogen'!N22)</f>
        <v>39083965336655.969</v>
      </c>
      <c r="O23" s="16">
        <f>SUM('BIFUbC-electricity'!O22,'BIFUbC-coal'!O22,'BIFUbC-natural-gas'!O22,'BIFUbC-biomass'!O22,'BIFUbC-heat'!O22,'BIFUbC-crude-oil'!O22,'BIFUbC-petroleum-diesel'!O22,'BIFUbC-heavy-or-residual-oil'!O22,'BIFUbC-LPG-propane-or-butane'!O22,'BIFUbC-hydrogen'!O22)</f>
        <v>39343255583598.445</v>
      </c>
      <c r="P23" s="16">
        <f>SUM('BIFUbC-electricity'!P22,'BIFUbC-coal'!P22,'BIFUbC-natural-gas'!P22,'BIFUbC-biomass'!P22,'BIFUbC-heat'!P22,'BIFUbC-crude-oil'!P22,'BIFUbC-petroleum-diesel'!P22,'BIFUbC-heavy-or-residual-oil'!P22,'BIFUbC-LPG-propane-or-butane'!P22,'BIFUbC-hydrogen'!P22)</f>
        <v>39602545830540.914</v>
      </c>
      <c r="Q23" s="16">
        <f>SUM('BIFUbC-electricity'!Q22,'BIFUbC-coal'!Q22,'BIFUbC-natural-gas'!Q22,'BIFUbC-biomass'!Q22,'BIFUbC-heat'!Q22,'BIFUbC-crude-oil'!Q22,'BIFUbC-petroleum-diesel'!Q22,'BIFUbC-heavy-or-residual-oil'!Q22,'BIFUbC-LPG-propane-or-butane'!Q22,'BIFUbC-hydrogen'!Q22)</f>
        <v>39861836077483.383</v>
      </c>
      <c r="R23" s="16">
        <f>SUM('BIFUbC-electricity'!R22,'BIFUbC-coal'!R22,'BIFUbC-natural-gas'!R22,'BIFUbC-biomass'!R22,'BIFUbC-heat'!R22,'BIFUbC-crude-oil'!R22,'BIFUbC-petroleum-diesel'!R22,'BIFUbC-heavy-or-residual-oil'!R22,'BIFUbC-LPG-propane-or-butane'!R22,'BIFUbC-hydrogen'!R22)</f>
        <v>40121126324425.867</v>
      </c>
      <c r="S23" s="16">
        <f>SUM('BIFUbC-electricity'!S22,'BIFUbC-coal'!S22,'BIFUbC-natural-gas'!S22,'BIFUbC-biomass'!S22,'BIFUbC-heat'!S22,'BIFUbC-crude-oil'!S22,'BIFUbC-petroleum-diesel'!S22,'BIFUbC-heavy-or-residual-oil'!S22,'BIFUbC-LPG-propane-or-butane'!S22,'BIFUbC-hydrogen'!S22)</f>
        <v>40380416571368.336</v>
      </c>
      <c r="T23" s="16">
        <f>SUM('BIFUbC-electricity'!T22,'BIFUbC-coal'!T22,'BIFUbC-natural-gas'!T22,'BIFUbC-biomass'!T22,'BIFUbC-heat'!T22,'BIFUbC-crude-oil'!T22,'BIFUbC-petroleum-diesel'!T22,'BIFUbC-heavy-or-residual-oil'!T22,'BIFUbC-LPG-propane-or-butane'!T22,'BIFUbC-hydrogen'!T22)</f>
        <v>40639706818310.805</v>
      </c>
      <c r="U23" s="16">
        <f>SUM('BIFUbC-electricity'!U22,'BIFUbC-coal'!U22,'BIFUbC-natural-gas'!U22,'BIFUbC-biomass'!U22,'BIFUbC-heat'!U22,'BIFUbC-crude-oil'!U22,'BIFUbC-petroleum-diesel'!U22,'BIFUbC-heavy-or-residual-oil'!U22,'BIFUbC-LPG-propane-or-butane'!U22,'BIFUbC-hydrogen'!U22)</f>
        <v>40898997065253.281</v>
      </c>
      <c r="V23" s="16">
        <f>SUM('BIFUbC-electricity'!V22,'BIFUbC-coal'!V22,'BIFUbC-natural-gas'!V22,'BIFUbC-biomass'!V22,'BIFUbC-heat'!V22,'BIFUbC-crude-oil'!V22,'BIFUbC-petroleum-diesel'!V22,'BIFUbC-heavy-or-residual-oil'!V22,'BIFUbC-LPG-propane-or-butane'!V22,'BIFUbC-hydrogen'!V22)</f>
        <v>41158287312195.75</v>
      </c>
      <c r="W23" s="16">
        <f>SUM('BIFUbC-electricity'!W22,'BIFUbC-coal'!W22,'BIFUbC-natural-gas'!W22,'BIFUbC-biomass'!W22,'BIFUbC-heat'!W22,'BIFUbC-crude-oil'!W22,'BIFUbC-petroleum-diesel'!W22,'BIFUbC-heavy-or-residual-oil'!W22,'BIFUbC-LPG-propane-or-butane'!W22,'BIFUbC-hydrogen'!W22)</f>
        <v>41081537759616.578</v>
      </c>
      <c r="X23" s="16">
        <f>SUM('BIFUbC-electricity'!X22,'BIFUbC-coal'!X22,'BIFUbC-natural-gas'!X22,'BIFUbC-biomass'!X22,'BIFUbC-heat'!X22,'BIFUbC-crude-oil'!X22,'BIFUbC-petroleum-diesel'!X22,'BIFUbC-heavy-or-residual-oil'!X22,'BIFUbC-LPG-propane-or-butane'!X22,'BIFUbC-hydrogen'!X22)</f>
        <v>41004788207037.422</v>
      </c>
      <c r="Y23" s="16">
        <f>SUM('BIFUbC-electricity'!Y22,'BIFUbC-coal'!Y22,'BIFUbC-natural-gas'!Y22,'BIFUbC-biomass'!Y22,'BIFUbC-heat'!Y22,'BIFUbC-crude-oil'!Y22,'BIFUbC-petroleum-diesel'!Y22,'BIFUbC-heavy-or-residual-oil'!Y22,'BIFUbC-LPG-propane-or-butane'!Y22,'BIFUbC-hydrogen'!Y22)</f>
        <v>40928038654458.266</v>
      </c>
      <c r="Z23" s="16">
        <f>SUM('BIFUbC-electricity'!Z22,'BIFUbC-coal'!Z22,'BIFUbC-natural-gas'!Z22,'BIFUbC-biomass'!Z22,'BIFUbC-heat'!Z22,'BIFUbC-crude-oil'!Z22,'BIFUbC-petroleum-diesel'!Z22,'BIFUbC-heavy-or-residual-oil'!Z22,'BIFUbC-LPG-propane-or-butane'!Z22,'BIFUbC-hydrogen'!Z22)</f>
        <v>40851289101879.102</v>
      </c>
      <c r="AA23" s="16">
        <f>SUM('BIFUbC-electricity'!AA22,'BIFUbC-coal'!AA22,'BIFUbC-natural-gas'!AA22,'BIFUbC-biomass'!AA22,'BIFUbC-heat'!AA22,'BIFUbC-crude-oil'!AA22,'BIFUbC-petroleum-diesel'!AA22,'BIFUbC-heavy-or-residual-oil'!AA22,'BIFUbC-LPG-propane-or-butane'!AA22,'BIFUbC-hydrogen'!AA22)</f>
        <v>40774539549299.945</v>
      </c>
      <c r="AB23" s="16">
        <f>SUM('BIFUbC-electricity'!AB22,'BIFUbC-coal'!AB22,'BIFUbC-natural-gas'!AB22,'BIFUbC-biomass'!AB22,'BIFUbC-heat'!AB22,'BIFUbC-crude-oil'!AB22,'BIFUbC-petroleum-diesel'!AB22,'BIFUbC-heavy-or-residual-oil'!AB22,'BIFUbC-LPG-propane-or-butane'!AB22,'BIFUbC-hydrogen'!AB22)</f>
        <v>40697789996720.789</v>
      </c>
      <c r="AC23" s="16">
        <f>SUM('BIFUbC-electricity'!AC22,'BIFUbC-coal'!AC22,'BIFUbC-natural-gas'!AC22,'BIFUbC-biomass'!AC22,'BIFUbC-heat'!AC22,'BIFUbC-crude-oil'!AC22,'BIFUbC-petroleum-diesel'!AC22,'BIFUbC-heavy-or-residual-oil'!AC22,'BIFUbC-LPG-propane-or-butane'!AC22,'BIFUbC-hydrogen'!AC22)</f>
        <v>40621040444141.633</v>
      </c>
      <c r="AD23" s="16">
        <f>SUM('BIFUbC-electricity'!AD22,'BIFUbC-coal'!AD22,'BIFUbC-natural-gas'!AD22,'BIFUbC-biomass'!AD22,'BIFUbC-heat'!AD22,'BIFUbC-crude-oil'!AD22,'BIFUbC-petroleum-diesel'!AD22,'BIFUbC-heavy-or-residual-oil'!AD22,'BIFUbC-LPG-propane-or-butane'!AD22,'BIFUbC-hydrogen'!AD22)</f>
        <v>40544290891562.461</v>
      </c>
      <c r="AE23" s="16">
        <f>SUM('BIFUbC-electricity'!AE22,'BIFUbC-coal'!AE22,'BIFUbC-natural-gas'!AE22,'BIFUbC-biomass'!AE22,'BIFUbC-heat'!AE22,'BIFUbC-crude-oil'!AE22,'BIFUbC-petroleum-diesel'!AE22,'BIFUbC-heavy-or-residual-oil'!AE22,'BIFUbC-LPG-propane-or-butane'!AE22,'BIFUbC-hydrogen'!AE22)</f>
        <v>40467541338983.305</v>
      </c>
      <c r="AF23" s="16">
        <f>SUM('BIFUbC-electricity'!AF22,'BIFUbC-coal'!AF22,'BIFUbC-natural-gas'!AF22,'BIFUbC-biomass'!AF22,'BIFUbC-heat'!AF22,'BIFUbC-crude-oil'!AF22,'BIFUbC-petroleum-diesel'!AF22,'BIFUbC-heavy-or-residual-oil'!AF22,'BIFUbC-LPG-propane-or-butane'!AF22,'BIFUbC-hydrogen'!AF22)</f>
        <v>40390791786404.172</v>
      </c>
    </row>
    <row r="24" spans="1:32">
      <c r="A24" t="s">
        <v>80</v>
      </c>
      <c r="B24" s="16">
        <f>SUM('BIFUbC-electricity'!B23,'BIFUbC-coal'!B23,'BIFUbC-natural-gas'!B23,'BIFUbC-biomass'!B23,'BIFUbC-heat'!B23,'BIFUbC-crude-oil'!B23,'BIFUbC-petroleum-diesel'!B23,'BIFUbC-heavy-or-residual-oil'!B23,'BIFUbC-LPG-propane-or-butane'!B23,'BIFUbC-hydrogen'!B23)</f>
        <v>19245534503987.199</v>
      </c>
      <c r="C24" s="16">
        <f>SUM('BIFUbC-electricity'!C23,'BIFUbC-coal'!C23,'BIFUbC-natural-gas'!C23,'BIFUbC-biomass'!C23,'BIFUbC-heat'!C23,'BIFUbC-crude-oil'!C23,'BIFUbC-petroleum-diesel'!C23,'BIFUbC-heavy-or-residual-oil'!C23,'BIFUbC-LPG-propane-or-butane'!C23,'BIFUbC-hydrogen'!C23)</f>
        <v>19143848873808.316</v>
      </c>
      <c r="D24" s="16">
        <f>SUM('BIFUbC-electricity'!D23,'BIFUbC-coal'!D23,'BIFUbC-natural-gas'!D23,'BIFUbC-biomass'!D23,'BIFUbC-heat'!D23,'BIFUbC-crude-oil'!D23,'BIFUbC-petroleum-diesel'!D23,'BIFUbC-heavy-or-residual-oil'!D23,'BIFUbC-LPG-propane-or-butane'!D23,'BIFUbC-hydrogen'!D23)</f>
        <v>19042163243629.414</v>
      </c>
      <c r="E24" s="16">
        <f>SUM('BIFUbC-electricity'!E23,'BIFUbC-coal'!E23,'BIFUbC-natural-gas'!E23,'BIFUbC-biomass'!E23,'BIFUbC-heat'!E23,'BIFUbC-crude-oil'!E23,'BIFUbC-petroleum-diesel'!E23,'BIFUbC-heavy-or-residual-oil'!E23,'BIFUbC-LPG-propane-or-butane'!E23,'BIFUbC-hydrogen'!E23)</f>
        <v>18940477613450.516</v>
      </c>
      <c r="F24" s="16">
        <f>SUM('BIFUbC-electricity'!F23,'BIFUbC-coal'!F23,'BIFUbC-natural-gas'!F23,'BIFUbC-biomass'!F23,'BIFUbC-heat'!F23,'BIFUbC-crude-oil'!F23,'BIFUbC-petroleum-diesel'!F23,'BIFUbC-heavy-or-residual-oil'!F23,'BIFUbC-LPG-propane-or-butane'!F23,'BIFUbC-hydrogen'!F23)</f>
        <v>18962440725697.305</v>
      </c>
      <c r="G24" s="16">
        <f>SUM('BIFUbC-electricity'!G23,'BIFUbC-coal'!G23,'BIFUbC-natural-gas'!G23,'BIFUbC-biomass'!G23,'BIFUbC-heat'!G23,'BIFUbC-crude-oil'!G23,'BIFUbC-petroleum-diesel'!G23,'BIFUbC-heavy-or-residual-oil'!G23,'BIFUbC-LPG-propane-or-butane'!G23,'BIFUbC-hydrogen'!G23)</f>
        <v>18984403837944.078</v>
      </c>
      <c r="H24" s="16">
        <f>SUM('BIFUbC-electricity'!H23,'BIFUbC-coal'!H23,'BIFUbC-natural-gas'!H23,'BIFUbC-biomass'!H23,'BIFUbC-heat'!H23,'BIFUbC-crude-oil'!H23,'BIFUbC-petroleum-diesel'!H23,'BIFUbC-heavy-or-residual-oil'!H23,'BIFUbC-LPG-propane-or-butane'!H23,'BIFUbC-hydrogen'!H23)</f>
        <v>19006366950190.852</v>
      </c>
      <c r="I24" s="16">
        <f>SUM('BIFUbC-electricity'!I23,'BIFUbC-coal'!I23,'BIFUbC-natural-gas'!I23,'BIFUbC-biomass'!I23,'BIFUbC-heat'!I23,'BIFUbC-crude-oil'!I23,'BIFUbC-petroleum-diesel'!I23,'BIFUbC-heavy-or-residual-oil'!I23,'BIFUbC-LPG-propane-or-butane'!I23,'BIFUbC-hydrogen'!I23)</f>
        <v>19028330062437.629</v>
      </c>
      <c r="J24" s="16">
        <f>SUM('BIFUbC-electricity'!J23,'BIFUbC-coal'!J23,'BIFUbC-natural-gas'!J23,'BIFUbC-biomass'!J23,'BIFUbC-heat'!J23,'BIFUbC-crude-oil'!J23,'BIFUbC-petroleum-diesel'!J23,'BIFUbC-heavy-or-residual-oil'!J23,'BIFUbC-LPG-propane-or-butane'!J23,'BIFUbC-hydrogen'!J23)</f>
        <v>19050293174684.402</v>
      </c>
      <c r="K24" s="16">
        <f>SUM('BIFUbC-electricity'!K23,'BIFUbC-coal'!K23,'BIFUbC-natural-gas'!K23,'BIFUbC-biomass'!K23,'BIFUbC-heat'!K23,'BIFUbC-crude-oil'!K23,'BIFUbC-petroleum-diesel'!K23,'BIFUbC-heavy-or-residual-oil'!K23,'BIFUbC-LPG-propane-or-butane'!K23,'BIFUbC-hydrogen'!K23)</f>
        <v>19072256286931.18</v>
      </c>
      <c r="L24" s="16">
        <f>SUM('BIFUbC-electricity'!L23,'BIFUbC-coal'!L23,'BIFUbC-natural-gas'!L23,'BIFUbC-biomass'!L23,'BIFUbC-heat'!L23,'BIFUbC-crude-oil'!L23,'BIFUbC-petroleum-diesel'!L23,'BIFUbC-heavy-or-residual-oil'!L23,'BIFUbC-LPG-propane-or-butane'!L23,'BIFUbC-hydrogen'!L23)</f>
        <v>19094219399177.957</v>
      </c>
      <c r="M24" s="16">
        <f>SUM('BIFUbC-electricity'!M23,'BIFUbC-coal'!M23,'BIFUbC-natural-gas'!M23,'BIFUbC-biomass'!M23,'BIFUbC-heat'!M23,'BIFUbC-crude-oil'!M23,'BIFUbC-petroleum-diesel'!M23,'BIFUbC-heavy-or-residual-oil'!M23,'BIFUbC-LPG-propane-or-butane'!M23,'BIFUbC-hydrogen'!M23)</f>
        <v>19098735276568.418</v>
      </c>
      <c r="N24" s="16">
        <f>SUM('BIFUbC-electricity'!N23,'BIFUbC-coal'!N23,'BIFUbC-natural-gas'!N23,'BIFUbC-biomass'!N23,'BIFUbC-heat'!N23,'BIFUbC-crude-oil'!N23,'BIFUbC-petroleum-diesel'!N23,'BIFUbC-heavy-or-residual-oil'!N23,'BIFUbC-LPG-propane-or-butane'!N23,'BIFUbC-hydrogen'!N23)</f>
        <v>19103251153958.875</v>
      </c>
      <c r="O24" s="16">
        <f>SUM('BIFUbC-electricity'!O23,'BIFUbC-coal'!O23,'BIFUbC-natural-gas'!O23,'BIFUbC-biomass'!O23,'BIFUbC-heat'!O23,'BIFUbC-crude-oil'!O23,'BIFUbC-petroleum-diesel'!O23,'BIFUbC-heavy-or-residual-oil'!O23,'BIFUbC-LPG-propane-or-butane'!O23,'BIFUbC-hydrogen'!O23)</f>
        <v>19107767031349.332</v>
      </c>
      <c r="P24" s="16">
        <f>SUM('BIFUbC-electricity'!P23,'BIFUbC-coal'!P23,'BIFUbC-natural-gas'!P23,'BIFUbC-biomass'!P23,'BIFUbC-heat'!P23,'BIFUbC-crude-oil'!P23,'BIFUbC-petroleum-diesel'!P23,'BIFUbC-heavy-or-residual-oil'!P23,'BIFUbC-LPG-propane-or-butane'!P23,'BIFUbC-hydrogen'!P23)</f>
        <v>19112282908739.793</v>
      </c>
      <c r="Q24" s="16">
        <f>SUM('BIFUbC-electricity'!Q23,'BIFUbC-coal'!Q23,'BIFUbC-natural-gas'!Q23,'BIFUbC-biomass'!Q23,'BIFUbC-heat'!Q23,'BIFUbC-crude-oil'!Q23,'BIFUbC-petroleum-diesel'!Q23,'BIFUbC-heavy-or-residual-oil'!Q23,'BIFUbC-LPG-propane-or-butane'!Q23,'BIFUbC-hydrogen'!Q23)</f>
        <v>19116798786130.254</v>
      </c>
      <c r="R24" s="16">
        <f>SUM('BIFUbC-electricity'!R23,'BIFUbC-coal'!R23,'BIFUbC-natural-gas'!R23,'BIFUbC-biomass'!R23,'BIFUbC-heat'!R23,'BIFUbC-crude-oil'!R23,'BIFUbC-petroleum-diesel'!R23,'BIFUbC-heavy-or-residual-oil'!R23,'BIFUbC-LPG-propane-or-butane'!R23,'BIFUbC-hydrogen'!R23)</f>
        <v>19121314663520.711</v>
      </c>
      <c r="S24" s="16">
        <f>SUM('BIFUbC-electricity'!S23,'BIFUbC-coal'!S23,'BIFUbC-natural-gas'!S23,'BIFUbC-biomass'!S23,'BIFUbC-heat'!S23,'BIFUbC-crude-oil'!S23,'BIFUbC-petroleum-diesel'!S23,'BIFUbC-heavy-or-residual-oil'!S23,'BIFUbC-LPG-propane-or-butane'!S23,'BIFUbC-hydrogen'!S23)</f>
        <v>19125830540911.172</v>
      </c>
      <c r="T24" s="16">
        <f>SUM('BIFUbC-electricity'!T23,'BIFUbC-coal'!T23,'BIFUbC-natural-gas'!T23,'BIFUbC-biomass'!T23,'BIFUbC-heat'!T23,'BIFUbC-crude-oil'!T23,'BIFUbC-petroleum-diesel'!T23,'BIFUbC-heavy-or-residual-oil'!T23,'BIFUbC-LPG-propane-or-butane'!T23,'BIFUbC-hydrogen'!T23)</f>
        <v>19130346418301.633</v>
      </c>
      <c r="U24" s="16">
        <f>SUM('BIFUbC-electricity'!U23,'BIFUbC-coal'!U23,'BIFUbC-natural-gas'!U23,'BIFUbC-biomass'!U23,'BIFUbC-heat'!U23,'BIFUbC-crude-oil'!U23,'BIFUbC-petroleum-diesel'!U23,'BIFUbC-heavy-or-residual-oil'!U23,'BIFUbC-LPG-propane-or-butane'!U23,'BIFUbC-hydrogen'!U23)</f>
        <v>19134862295692.09</v>
      </c>
      <c r="V24" s="16">
        <f>SUM('BIFUbC-electricity'!V23,'BIFUbC-coal'!V23,'BIFUbC-natural-gas'!V23,'BIFUbC-biomass'!V23,'BIFUbC-heat'!V23,'BIFUbC-crude-oil'!V23,'BIFUbC-petroleum-diesel'!V23,'BIFUbC-heavy-or-residual-oil'!V23,'BIFUbC-LPG-propane-or-butane'!V23,'BIFUbC-hydrogen'!V23)</f>
        <v>19139378173082.551</v>
      </c>
      <c r="W24" s="16">
        <f>SUM('BIFUbC-electricity'!W23,'BIFUbC-coal'!W23,'BIFUbC-natural-gas'!W23,'BIFUbC-biomass'!W23,'BIFUbC-heat'!W23,'BIFUbC-crude-oil'!W23,'BIFUbC-petroleum-diesel'!W23,'BIFUbC-heavy-or-residual-oil'!W23,'BIFUbC-LPG-propane-or-butane'!W23,'BIFUbC-hydrogen'!W23)</f>
        <v>19002480248498.977</v>
      </c>
      <c r="X24" s="16">
        <f>SUM('BIFUbC-electricity'!X23,'BIFUbC-coal'!X23,'BIFUbC-natural-gas'!X23,'BIFUbC-biomass'!X23,'BIFUbC-heat'!X23,'BIFUbC-crude-oil'!X23,'BIFUbC-petroleum-diesel'!X23,'BIFUbC-heavy-or-residual-oil'!X23,'BIFUbC-LPG-propane-or-butane'!X23,'BIFUbC-hydrogen'!X23)</f>
        <v>18865582323915.402</v>
      </c>
      <c r="Y24" s="16">
        <f>SUM('BIFUbC-electricity'!Y23,'BIFUbC-coal'!Y23,'BIFUbC-natural-gas'!Y23,'BIFUbC-biomass'!Y23,'BIFUbC-heat'!Y23,'BIFUbC-crude-oil'!Y23,'BIFUbC-petroleum-diesel'!Y23,'BIFUbC-heavy-or-residual-oil'!Y23,'BIFUbC-LPG-propane-or-butane'!Y23,'BIFUbC-hydrogen'!Y23)</f>
        <v>18728684399331.828</v>
      </c>
      <c r="Z24" s="16">
        <f>SUM('BIFUbC-electricity'!Z23,'BIFUbC-coal'!Z23,'BIFUbC-natural-gas'!Z23,'BIFUbC-biomass'!Z23,'BIFUbC-heat'!Z23,'BIFUbC-crude-oil'!Z23,'BIFUbC-petroleum-diesel'!Z23,'BIFUbC-heavy-or-residual-oil'!Z23,'BIFUbC-LPG-propane-or-butane'!Z23,'BIFUbC-hydrogen'!Z23)</f>
        <v>18591786474748.25</v>
      </c>
      <c r="AA24" s="16">
        <f>SUM('BIFUbC-electricity'!AA23,'BIFUbC-coal'!AA23,'BIFUbC-natural-gas'!AA23,'BIFUbC-biomass'!AA23,'BIFUbC-heat'!AA23,'BIFUbC-crude-oil'!AA23,'BIFUbC-petroleum-diesel'!AA23,'BIFUbC-heavy-or-residual-oil'!AA23,'BIFUbC-LPG-propane-or-butane'!AA23,'BIFUbC-hydrogen'!AA23)</f>
        <v>18454888550164.672</v>
      </c>
      <c r="AB24" s="16">
        <f>SUM('BIFUbC-electricity'!AB23,'BIFUbC-coal'!AB23,'BIFUbC-natural-gas'!AB23,'BIFUbC-biomass'!AB23,'BIFUbC-heat'!AB23,'BIFUbC-crude-oil'!AB23,'BIFUbC-petroleum-diesel'!AB23,'BIFUbC-heavy-or-residual-oil'!AB23,'BIFUbC-LPG-propane-or-butane'!AB23,'BIFUbC-hydrogen'!AB23)</f>
        <v>18317990625581.098</v>
      </c>
      <c r="AC24" s="16">
        <f>SUM('BIFUbC-electricity'!AC23,'BIFUbC-coal'!AC23,'BIFUbC-natural-gas'!AC23,'BIFUbC-biomass'!AC23,'BIFUbC-heat'!AC23,'BIFUbC-crude-oil'!AC23,'BIFUbC-petroleum-diesel'!AC23,'BIFUbC-heavy-or-residual-oil'!AC23,'BIFUbC-LPG-propane-or-butane'!AC23,'BIFUbC-hydrogen'!AC23)</f>
        <v>18181092700997.523</v>
      </c>
      <c r="AD24" s="16">
        <f>SUM('BIFUbC-electricity'!AD23,'BIFUbC-coal'!AD23,'BIFUbC-natural-gas'!AD23,'BIFUbC-biomass'!AD23,'BIFUbC-heat'!AD23,'BIFUbC-crude-oil'!AD23,'BIFUbC-petroleum-diesel'!AD23,'BIFUbC-heavy-or-residual-oil'!AD23,'BIFUbC-LPG-propane-or-butane'!AD23,'BIFUbC-hydrogen'!AD23)</f>
        <v>18044194776413.949</v>
      </c>
      <c r="AE24" s="16">
        <f>SUM('BIFUbC-electricity'!AE23,'BIFUbC-coal'!AE23,'BIFUbC-natural-gas'!AE23,'BIFUbC-biomass'!AE23,'BIFUbC-heat'!AE23,'BIFUbC-crude-oil'!AE23,'BIFUbC-petroleum-diesel'!AE23,'BIFUbC-heavy-or-residual-oil'!AE23,'BIFUbC-LPG-propane-or-butane'!AE23,'BIFUbC-hydrogen'!AE23)</f>
        <v>17907296851830.375</v>
      </c>
      <c r="AF24" s="16">
        <f>SUM('BIFUbC-electricity'!AF23,'BIFUbC-coal'!AF23,'BIFUbC-natural-gas'!AF23,'BIFUbC-biomass'!AF23,'BIFUbC-heat'!AF23,'BIFUbC-crude-oil'!AF23,'BIFUbC-petroleum-diesel'!AF23,'BIFUbC-heavy-or-residual-oil'!AF23,'BIFUbC-LPG-propane-or-butane'!AF23,'BIFUbC-hydrogen'!AF23)</f>
        <v>17770398927246.797</v>
      </c>
    </row>
    <row r="25" spans="1:32">
      <c r="A25" t="s">
        <v>82</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40318766250855.133</v>
      </c>
      <c r="E25" s="16">
        <f>SUM('BIFUbC-electricity'!E24,'BIFUbC-coal'!E24,'BIFUbC-natural-gas'!E24,'BIFUbC-biomass'!E24,'BIFUbC-heat'!E24,'BIFUbC-crude-oil'!E24,'BIFUbC-petroleum-diesel'!E24,'BIFUbC-heavy-or-residual-oil'!E24,'BIFUbC-LPG-propane-or-butane'!E24,'BIFUbC-hydrogen'!E24)</f>
        <v>52568394959142.859</v>
      </c>
      <c r="F25" s="16">
        <f>SUM('BIFUbC-electricity'!F24,'BIFUbC-coal'!F24,'BIFUbC-natural-gas'!F24,'BIFUbC-biomass'!F24,'BIFUbC-heat'!F24,'BIFUbC-crude-oil'!F24,'BIFUbC-petroleum-diesel'!F24,'BIFUbC-heavy-or-residual-oil'!F24,'BIFUbC-LPG-propane-or-butane'!F24,'BIFUbC-hydrogen'!F24)</f>
        <v>53926564047915.07</v>
      </c>
      <c r="G25" s="16">
        <f>SUM('BIFUbC-electricity'!G24,'BIFUbC-coal'!G24,'BIFUbC-natural-gas'!G24,'BIFUbC-biomass'!G24,'BIFUbC-heat'!G24,'BIFUbC-crude-oil'!G24,'BIFUbC-petroleum-diesel'!G24,'BIFUbC-heavy-or-residual-oil'!G24,'BIFUbC-LPG-propane-or-butane'!G24,'BIFUbC-hydrogen'!G24)</f>
        <v>55284733136687.633</v>
      </c>
      <c r="H25" s="16">
        <f>SUM('BIFUbC-electricity'!H24,'BIFUbC-coal'!H24,'BIFUbC-natural-gas'!H24,'BIFUbC-biomass'!H24,'BIFUbC-heat'!H24,'BIFUbC-crude-oil'!H24,'BIFUbC-petroleum-diesel'!H24,'BIFUbC-heavy-or-residual-oil'!H24,'BIFUbC-LPG-propane-or-butane'!H24,'BIFUbC-hydrogen'!H24)</f>
        <v>56642902225459.852</v>
      </c>
      <c r="I25" s="16">
        <f>SUM('BIFUbC-electricity'!I24,'BIFUbC-coal'!I24,'BIFUbC-natural-gas'!I24,'BIFUbC-biomass'!I24,'BIFUbC-heat'!I24,'BIFUbC-crude-oil'!I24,'BIFUbC-petroleum-diesel'!I24,'BIFUbC-heavy-or-residual-oil'!I24,'BIFUbC-LPG-propane-or-butane'!I24,'BIFUbC-hydrogen'!I24)</f>
        <v>58001071314232.414</v>
      </c>
      <c r="J25" s="16">
        <f>SUM('BIFUbC-electricity'!J24,'BIFUbC-coal'!J24,'BIFUbC-natural-gas'!J24,'BIFUbC-biomass'!J24,'BIFUbC-heat'!J24,'BIFUbC-crude-oil'!J24,'BIFUbC-petroleum-diesel'!J24,'BIFUbC-heavy-or-residual-oil'!J24,'BIFUbC-LPG-propane-or-butane'!J24,'BIFUbC-hydrogen'!J24)</f>
        <v>59359240403004.633</v>
      </c>
      <c r="K25" s="16">
        <f>SUM('BIFUbC-electricity'!K24,'BIFUbC-coal'!K24,'BIFUbC-natural-gas'!K24,'BIFUbC-biomass'!K24,'BIFUbC-heat'!K24,'BIFUbC-crude-oil'!K24,'BIFUbC-petroleum-diesel'!K24,'BIFUbC-heavy-or-residual-oil'!K24,'BIFUbC-LPG-propane-or-butane'!K24,'BIFUbC-hydrogen'!K24)</f>
        <v>60717409491777.195</v>
      </c>
      <c r="L25" s="16">
        <f>SUM('BIFUbC-electricity'!L24,'BIFUbC-coal'!L24,'BIFUbC-natural-gas'!L24,'BIFUbC-biomass'!L24,'BIFUbC-heat'!L24,'BIFUbC-crude-oil'!L24,'BIFUbC-petroleum-diesel'!L24,'BIFUbC-heavy-or-residual-oil'!L24,'BIFUbC-LPG-propane-or-butane'!L24,'BIFUbC-hydrogen'!L24)</f>
        <v>62075578580549.578</v>
      </c>
      <c r="M25" s="16">
        <f>SUM('BIFUbC-electricity'!M24,'BIFUbC-coal'!M24,'BIFUbC-natural-gas'!M24,'BIFUbC-biomass'!M24,'BIFUbC-heat'!M24,'BIFUbC-crude-oil'!M24,'BIFUbC-petroleum-diesel'!M24,'BIFUbC-heavy-or-residual-oil'!M24,'BIFUbC-LPG-propane-or-butane'!M24,'BIFUbC-hydrogen'!M24)</f>
        <v>63205663723085.039</v>
      </c>
      <c r="N25" s="16">
        <f>SUM('BIFUbC-electricity'!N24,'BIFUbC-coal'!N24,'BIFUbC-natural-gas'!N24,'BIFUbC-biomass'!N24,'BIFUbC-heat'!N24,'BIFUbC-crude-oil'!N24,'BIFUbC-petroleum-diesel'!N24,'BIFUbC-heavy-or-residual-oil'!N24,'BIFUbC-LPG-propane-or-butane'!N24,'BIFUbC-hydrogen'!N24)</f>
        <v>64335748865620.656</v>
      </c>
      <c r="O25" s="16">
        <f>SUM('BIFUbC-electricity'!O24,'BIFUbC-coal'!O24,'BIFUbC-natural-gas'!O24,'BIFUbC-biomass'!O24,'BIFUbC-heat'!O24,'BIFUbC-crude-oil'!O24,'BIFUbC-petroleum-diesel'!O24,'BIFUbC-heavy-or-residual-oil'!O24,'BIFUbC-LPG-propane-or-butane'!O24,'BIFUbC-hydrogen'!O24)</f>
        <v>65465834008156.273</v>
      </c>
      <c r="P25" s="16">
        <f>SUM('BIFUbC-electricity'!P24,'BIFUbC-coal'!P24,'BIFUbC-natural-gas'!P24,'BIFUbC-biomass'!P24,'BIFUbC-heat'!P24,'BIFUbC-crude-oil'!P24,'BIFUbC-petroleum-diesel'!P24,'BIFUbC-heavy-or-residual-oil'!P24,'BIFUbC-LPG-propane-or-butane'!P24,'BIFUbC-hydrogen'!P24)</f>
        <v>66595919150691.555</v>
      </c>
      <c r="Q25" s="16">
        <f>SUM('BIFUbC-electricity'!Q24,'BIFUbC-coal'!Q24,'BIFUbC-natural-gas'!Q24,'BIFUbC-biomass'!Q24,'BIFUbC-heat'!Q24,'BIFUbC-crude-oil'!Q24,'BIFUbC-petroleum-diesel'!Q24,'BIFUbC-heavy-or-residual-oil'!Q24,'BIFUbC-LPG-propane-or-butane'!Q24,'BIFUbC-hydrogen'!Q24)</f>
        <v>67726004293227.172</v>
      </c>
      <c r="R25" s="16">
        <f>SUM('BIFUbC-electricity'!R24,'BIFUbC-coal'!R24,'BIFUbC-natural-gas'!R24,'BIFUbC-biomass'!R24,'BIFUbC-heat'!R24,'BIFUbC-crude-oil'!R24,'BIFUbC-petroleum-diesel'!R24,'BIFUbC-heavy-or-residual-oil'!R24,'BIFUbC-LPG-propane-or-butane'!R24,'BIFUbC-hydrogen'!R24)</f>
        <v>68856089435762.789</v>
      </c>
      <c r="S25" s="16">
        <f>SUM('BIFUbC-electricity'!S24,'BIFUbC-coal'!S24,'BIFUbC-natural-gas'!S24,'BIFUbC-biomass'!S24,'BIFUbC-heat'!S24,'BIFUbC-crude-oil'!S24,'BIFUbC-petroleum-diesel'!S24,'BIFUbC-heavy-or-residual-oil'!S24,'BIFUbC-LPG-propane-or-butane'!S24,'BIFUbC-hydrogen'!S24)</f>
        <v>69986174578298.063</v>
      </c>
      <c r="T25" s="16">
        <f>SUM('BIFUbC-electricity'!T24,'BIFUbC-coal'!T24,'BIFUbC-natural-gas'!T24,'BIFUbC-biomass'!T24,'BIFUbC-heat'!T24,'BIFUbC-crude-oil'!T24,'BIFUbC-petroleum-diesel'!T24,'BIFUbC-heavy-or-residual-oil'!T24,'BIFUbC-LPG-propane-or-butane'!T24,'BIFUbC-hydrogen'!T24)</f>
        <v>71116259720833.688</v>
      </c>
      <c r="U25" s="16">
        <f>SUM('BIFUbC-electricity'!U24,'BIFUbC-coal'!U24,'BIFUbC-natural-gas'!U24,'BIFUbC-biomass'!U24,'BIFUbC-heat'!U24,'BIFUbC-crude-oil'!U24,'BIFUbC-petroleum-diesel'!U24,'BIFUbC-heavy-or-residual-oil'!U24,'BIFUbC-LPG-propane-or-butane'!U24,'BIFUbC-hydrogen'!U24)</f>
        <v>72246344863368.969</v>
      </c>
      <c r="V25" s="16">
        <f>SUM('BIFUbC-electricity'!V24,'BIFUbC-coal'!V24,'BIFUbC-natural-gas'!V24,'BIFUbC-biomass'!V24,'BIFUbC-heat'!V24,'BIFUbC-crude-oil'!V24,'BIFUbC-petroleum-diesel'!V24,'BIFUbC-heavy-or-residual-oil'!V24,'BIFUbC-LPG-propane-or-butane'!V24,'BIFUbC-hydrogen'!V24)</f>
        <v>73376430005904.5</v>
      </c>
      <c r="W25" s="16">
        <f>SUM('BIFUbC-electricity'!W24,'BIFUbC-coal'!W24,'BIFUbC-natural-gas'!W24,'BIFUbC-biomass'!W24,'BIFUbC-heat'!W24,'BIFUbC-crude-oil'!W24,'BIFUbC-petroleum-diesel'!W24,'BIFUbC-heavy-or-residual-oil'!W24,'BIFUbC-LPG-propane-or-butane'!W24,'BIFUbC-hydrogen'!W24)</f>
        <v>73890947921546</v>
      </c>
      <c r="X25" s="16">
        <f>SUM('BIFUbC-electricity'!X24,'BIFUbC-coal'!X24,'BIFUbC-natural-gas'!X24,'BIFUbC-biomass'!X24,'BIFUbC-heat'!X24,'BIFUbC-crude-oil'!X24,'BIFUbC-petroleum-diesel'!X24,'BIFUbC-heavy-or-residual-oil'!X24,'BIFUbC-LPG-propane-or-butane'!X24,'BIFUbC-hydrogen'!X24)</f>
        <v>74405465837187.406</v>
      </c>
      <c r="Y25" s="16">
        <f>SUM('BIFUbC-electricity'!Y24,'BIFUbC-coal'!Y24,'BIFUbC-natural-gas'!Y24,'BIFUbC-biomass'!Y24,'BIFUbC-heat'!Y24,'BIFUbC-crude-oil'!Y24,'BIFUbC-petroleum-diesel'!Y24,'BIFUbC-heavy-or-residual-oil'!Y24,'BIFUbC-LPG-propane-or-butane'!Y24,'BIFUbC-hydrogen'!Y24)</f>
        <v>74919983752828.828</v>
      </c>
      <c r="Z25" s="16">
        <f>SUM('BIFUbC-electricity'!Z24,'BIFUbC-coal'!Z24,'BIFUbC-natural-gas'!Z24,'BIFUbC-biomass'!Z24,'BIFUbC-heat'!Z24,'BIFUbC-crude-oil'!Z24,'BIFUbC-petroleum-diesel'!Z24,'BIFUbC-heavy-or-residual-oil'!Z24,'BIFUbC-LPG-propane-or-butane'!Z24,'BIFUbC-hydrogen'!Z24)</f>
        <v>75434501668470.078</v>
      </c>
      <c r="AA25" s="16">
        <f>SUM('BIFUbC-electricity'!AA24,'BIFUbC-coal'!AA24,'BIFUbC-natural-gas'!AA24,'BIFUbC-biomass'!AA24,'BIFUbC-heat'!AA24,'BIFUbC-crude-oil'!AA24,'BIFUbC-petroleum-diesel'!AA24,'BIFUbC-heavy-or-residual-oil'!AA24,'BIFUbC-LPG-propane-or-butane'!AA24,'BIFUbC-hydrogen'!AA24)</f>
        <v>75949019584111.516</v>
      </c>
      <c r="AB25" s="16">
        <f>SUM('BIFUbC-electricity'!AB24,'BIFUbC-coal'!AB24,'BIFUbC-natural-gas'!AB24,'BIFUbC-biomass'!AB24,'BIFUbC-heat'!AB24,'BIFUbC-crude-oil'!AB24,'BIFUbC-petroleum-diesel'!AB24,'BIFUbC-heavy-or-residual-oil'!AB24,'BIFUbC-LPG-propane-or-butane'!AB24,'BIFUbC-hydrogen'!AB24)</f>
        <v>76463537499752.938</v>
      </c>
      <c r="AC25" s="16">
        <f>SUM('BIFUbC-electricity'!AC24,'BIFUbC-coal'!AC24,'BIFUbC-natural-gas'!AC24,'BIFUbC-biomass'!AC24,'BIFUbC-heat'!AC24,'BIFUbC-crude-oil'!AC24,'BIFUbC-petroleum-diesel'!AC24,'BIFUbC-heavy-or-residual-oil'!AC24,'BIFUbC-LPG-propane-or-butane'!AC24,'BIFUbC-hydrogen'!AC24)</f>
        <v>76978055415394.344</v>
      </c>
      <c r="AD25" s="16">
        <f>SUM('BIFUbC-electricity'!AD24,'BIFUbC-coal'!AD24,'BIFUbC-natural-gas'!AD24,'BIFUbC-biomass'!AD24,'BIFUbC-heat'!AD24,'BIFUbC-crude-oil'!AD24,'BIFUbC-petroleum-diesel'!AD24,'BIFUbC-heavy-or-residual-oil'!AD24,'BIFUbC-LPG-propane-or-butane'!AD24,'BIFUbC-hydrogen'!AD24)</f>
        <v>77492573331035.766</v>
      </c>
      <c r="AE25" s="16">
        <f>SUM('BIFUbC-electricity'!AE24,'BIFUbC-coal'!AE24,'BIFUbC-natural-gas'!AE24,'BIFUbC-biomass'!AE24,'BIFUbC-heat'!AE24,'BIFUbC-crude-oil'!AE24,'BIFUbC-petroleum-diesel'!AE24,'BIFUbC-heavy-or-residual-oil'!AE24,'BIFUbC-LPG-propane-or-butane'!AE24,'BIFUbC-hydrogen'!AE24)</f>
        <v>78007091246677.188</v>
      </c>
      <c r="AF25" s="16">
        <f>SUM('BIFUbC-electricity'!AF24,'BIFUbC-coal'!AF24,'BIFUbC-natural-gas'!AF24,'BIFUbC-biomass'!AF24,'BIFUbC-heat'!AF24,'BIFUbC-crude-oil'!AF24,'BIFUbC-petroleum-diesel'!AF24,'BIFUbC-heavy-or-residual-oil'!AF24,'BIFUbC-LPG-propane-or-butane'!AF24,'BIFUbC-hydrogen'!AF24)</f>
        <v>78521609162318.5</v>
      </c>
    </row>
    <row r="26" spans="1:32">
      <c r="A26" t="s">
        <v>85</v>
      </c>
      <c r="B26" s="16">
        <f>SUM('BIFUbC-electricity'!B25,'BIFUbC-coal'!B25,'BIFUbC-natural-gas'!B25,'BIFUbC-biomass'!B25,'BIFUbC-heat'!B25,'BIFUbC-crude-oil'!B25,'BIFUbC-petroleum-diesel'!B25,'BIFUbC-heavy-or-residual-oil'!B25,'BIFUbC-LPG-propane-or-butane'!B25,'BIFUbC-hydrogen'!B25)</f>
        <v>14042830073637.068</v>
      </c>
      <c r="C26" s="16">
        <f>SUM('BIFUbC-electricity'!C25,'BIFUbC-coal'!C25,'BIFUbC-natural-gas'!C25,'BIFUbC-biomass'!C25,'BIFUbC-heat'!C25,'BIFUbC-crude-oil'!C25,'BIFUbC-petroleum-diesel'!C25,'BIFUbC-heavy-or-residual-oil'!C25,'BIFUbC-LPG-propane-or-butane'!C25,'BIFUbC-hydrogen'!C25)</f>
        <v>14056872903710.703</v>
      </c>
      <c r="D26" s="16">
        <f>SUM('BIFUbC-electricity'!D25,'BIFUbC-coal'!D25,'BIFUbC-natural-gas'!D25,'BIFUbC-biomass'!D25,'BIFUbC-heat'!D25,'BIFUbC-crude-oil'!D25,'BIFUbC-petroleum-diesel'!D25,'BIFUbC-heavy-or-residual-oil'!D25,'BIFUbC-LPG-propane-or-butane'!D25,'BIFUbC-hydrogen'!D25)</f>
        <v>14070929776614.41</v>
      </c>
      <c r="E26" s="16">
        <f>SUM('BIFUbC-electricity'!E25,'BIFUbC-coal'!E25,'BIFUbC-natural-gas'!E25,'BIFUbC-biomass'!E25,'BIFUbC-heat'!E25,'BIFUbC-crude-oil'!E25,'BIFUbC-petroleum-diesel'!E25,'BIFUbC-heavy-or-residual-oil'!E25,'BIFUbC-LPG-propane-or-butane'!E25,'BIFUbC-hydrogen'!E25)</f>
        <v>14085000706391.023</v>
      </c>
      <c r="F26" s="16">
        <f>SUM('BIFUbC-electricity'!F25,'BIFUbC-coal'!F25,'BIFUbC-natural-gas'!F25,'BIFUbC-biomass'!F25,'BIFUbC-heat'!F25,'BIFUbC-crude-oil'!F25,'BIFUbC-petroleum-diesel'!F25,'BIFUbC-heavy-or-residual-oil'!F25,'BIFUbC-LPG-propane-or-butane'!F25,'BIFUbC-hydrogen'!F25)</f>
        <v>14099085707097.412</v>
      </c>
      <c r="G26" s="16">
        <f>SUM('BIFUbC-electricity'!G25,'BIFUbC-coal'!G25,'BIFUbC-natural-gas'!G25,'BIFUbC-biomass'!G25,'BIFUbC-heat'!G25,'BIFUbC-crude-oil'!G25,'BIFUbC-petroleum-diesel'!G25,'BIFUbC-heavy-or-residual-oil'!G25,'BIFUbC-LPG-propane-or-butane'!G25,'BIFUbC-hydrogen'!G25)</f>
        <v>14113184792804.508</v>
      </c>
      <c r="H26" s="16">
        <f>SUM('BIFUbC-electricity'!H25,'BIFUbC-coal'!H25,'BIFUbC-natural-gas'!H25,'BIFUbC-biomass'!H25,'BIFUbC-heat'!H25,'BIFUbC-crude-oil'!H25,'BIFUbC-petroleum-diesel'!H25,'BIFUbC-heavy-or-residual-oil'!H25,'BIFUbC-LPG-propane-or-butane'!H25,'BIFUbC-hydrogen'!H25)</f>
        <v>14127297977597.313</v>
      </c>
      <c r="I26" s="16">
        <f>SUM('BIFUbC-electricity'!I25,'BIFUbC-coal'!I25,'BIFUbC-natural-gas'!I25,'BIFUbC-biomass'!I25,'BIFUbC-heat'!I25,'BIFUbC-crude-oil'!I25,'BIFUbC-petroleum-diesel'!I25,'BIFUbC-heavy-or-residual-oil'!I25,'BIFUbC-LPG-propane-or-butane'!I25,'BIFUbC-hydrogen'!I25)</f>
        <v>14141425275574.91</v>
      </c>
      <c r="J26" s="16">
        <f>SUM('BIFUbC-electricity'!J25,'BIFUbC-coal'!J25,'BIFUbC-natural-gas'!J25,'BIFUbC-biomass'!J25,'BIFUbC-heat'!J25,'BIFUbC-crude-oil'!J25,'BIFUbC-petroleum-diesel'!J25,'BIFUbC-heavy-or-residual-oil'!J25,'BIFUbC-LPG-propane-or-butane'!J25,'BIFUbC-hydrogen'!J25)</f>
        <v>14155566700850.48</v>
      </c>
      <c r="K26" s="16">
        <f>SUM('BIFUbC-electricity'!K25,'BIFUbC-coal'!K25,'BIFUbC-natural-gas'!K25,'BIFUbC-biomass'!K25,'BIFUbC-heat'!K25,'BIFUbC-crude-oil'!K25,'BIFUbC-petroleum-diesel'!K25,'BIFUbC-heavy-or-residual-oil'!K25,'BIFUbC-LPG-propane-or-butane'!K25,'BIFUbC-hydrogen'!K25)</f>
        <v>14169722267551.33</v>
      </c>
      <c r="L26" s="16">
        <f>SUM('BIFUbC-electricity'!L25,'BIFUbC-coal'!L25,'BIFUbC-natural-gas'!L25,'BIFUbC-biomass'!L25,'BIFUbC-heat'!L25,'BIFUbC-crude-oil'!L25,'BIFUbC-petroleum-diesel'!L25,'BIFUbC-heavy-or-residual-oil'!L25,'BIFUbC-LPG-propane-or-butane'!L25,'BIFUbC-hydrogen'!L25)</f>
        <v>14183891989818.883</v>
      </c>
      <c r="M26" s="16">
        <f>SUM('BIFUbC-electricity'!M25,'BIFUbC-coal'!M25,'BIFUbC-natural-gas'!M25,'BIFUbC-biomass'!M25,'BIFUbC-heat'!M25,'BIFUbC-crude-oil'!M25,'BIFUbC-petroleum-diesel'!M25,'BIFUbC-heavy-or-residual-oil'!M25,'BIFUbC-LPG-propane-or-butane'!M25,'BIFUbC-hydrogen'!M25)</f>
        <v>14198075881808.699</v>
      </c>
      <c r="N26" s="16">
        <f>SUM('BIFUbC-electricity'!N25,'BIFUbC-coal'!N25,'BIFUbC-natural-gas'!N25,'BIFUbC-biomass'!N25,'BIFUbC-heat'!N25,'BIFUbC-crude-oil'!N25,'BIFUbC-petroleum-diesel'!N25,'BIFUbC-heavy-or-residual-oil'!N25,'BIFUbC-LPG-propane-or-butane'!N25,'BIFUbC-hydrogen'!N25)</f>
        <v>14212273957690.506</v>
      </c>
      <c r="O26" s="16">
        <f>SUM('BIFUbC-electricity'!O25,'BIFUbC-coal'!O25,'BIFUbC-natural-gas'!O25,'BIFUbC-biomass'!O25,'BIFUbC-heat'!O25,'BIFUbC-crude-oil'!O25,'BIFUbC-petroleum-diesel'!O25,'BIFUbC-heavy-or-residual-oil'!O25,'BIFUbC-LPG-propane-or-butane'!O25,'BIFUbC-hydrogen'!O25)</f>
        <v>14226486231648.193</v>
      </c>
      <c r="P26" s="16">
        <f>SUM('BIFUbC-electricity'!P25,'BIFUbC-coal'!P25,'BIFUbC-natural-gas'!P25,'BIFUbC-biomass'!P25,'BIFUbC-heat'!P25,'BIFUbC-crude-oil'!P25,'BIFUbC-petroleum-diesel'!P25,'BIFUbC-heavy-or-residual-oil'!P25,'BIFUbC-LPG-propane-or-butane'!P25,'BIFUbC-hydrogen'!P25)</f>
        <v>14240712717879.84</v>
      </c>
      <c r="Q26" s="16">
        <f>SUM('BIFUbC-electricity'!Q25,'BIFUbC-coal'!Q25,'BIFUbC-natural-gas'!Q25,'BIFUbC-biomass'!Q25,'BIFUbC-heat'!Q25,'BIFUbC-crude-oil'!Q25,'BIFUbC-petroleum-diesel'!Q25,'BIFUbC-heavy-or-residual-oil'!Q25,'BIFUbC-LPG-propane-or-butane'!Q25,'BIFUbC-hydrogen'!Q25)</f>
        <v>14254953430597.717</v>
      </c>
      <c r="R26" s="16">
        <f>SUM('BIFUbC-electricity'!R25,'BIFUbC-coal'!R25,'BIFUbC-natural-gas'!R25,'BIFUbC-biomass'!R25,'BIFUbC-heat'!R25,'BIFUbC-crude-oil'!R25,'BIFUbC-petroleum-diesel'!R25,'BIFUbC-heavy-or-residual-oil'!R25,'BIFUbC-LPG-propane-or-butane'!R25,'BIFUbC-hydrogen'!R25)</f>
        <v>14269208384028.314</v>
      </c>
      <c r="S26" s="16">
        <f>SUM('BIFUbC-electricity'!S25,'BIFUbC-coal'!S25,'BIFUbC-natural-gas'!S25,'BIFUbC-biomass'!S25,'BIFUbC-heat'!S25,'BIFUbC-crude-oil'!S25,'BIFUbC-petroleum-diesel'!S25,'BIFUbC-heavy-or-residual-oil'!S25,'BIFUbC-LPG-propane-or-butane'!S25,'BIFUbC-hydrogen'!S25)</f>
        <v>14283477592412.34</v>
      </c>
      <c r="T26" s="16">
        <f>SUM('BIFUbC-electricity'!T25,'BIFUbC-coal'!T25,'BIFUbC-natural-gas'!T25,'BIFUbC-biomass'!T25,'BIFUbC-heat'!T25,'BIFUbC-crude-oil'!T25,'BIFUbC-petroleum-diesel'!T25,'BIFUbC-heavy-or-residual-oil'!T25,'BIFUbC-LPG-propane-or-butane'!T25,'BIFUbC-hydrogen'!T25)</f>
        <v>14297761070004.75</v>
      </c>
      <c r="U26" s="16">
        <f>SUM('BIFUbC-electricity'!U25,'BIFUbC-coal'!U25,'BIFUbC-natural-gas'!U25,'BIFUbC-biomass'!U25,'BIFUbC-heat'!U25,'BIFUbC-crude-oil'!U25,'BIFUbC-petroleum-diesel'!U25,'BIFUbC-heavy-or-residual-oil'!U25,'BIFUbC-LPG-propane-or-butane'!U25,'BIFUbC-hydrogen'!U25)</f>
        <v>14312058831074.754</v>
      </c>
      <c r="V26" s="16">
        <f>SUM('BIFUbC-electricity'!V25,'BIFUbC-coal'!V25,'BIFUbC-natural-gas'!V25,'BIFUbC-biomass'!V25,'BIFUbC-heat'!V25,'BIFUbC-crude-oil'!V25,'BIFUbC-petroleum-diesel'!V25,'BIFUbC-heavy-or-residual-oil'!V25,'BIFUbC-LPG-propane-or-butane'!V25,'BIFUbC-hydrogen'!V25)</f>
        <v>14326370889905.83</v>
      </c>
      <c r="W26" s="16">
        <f>SUM('BIFUbC-electricity'!W25,'BIFUbC-coal'!W25,'BIFUbC-natural-gas'!W25,'BIFUbC-biomass'!W25,'BIFUbC-heat'!W25,'BIFUbC-crude-oil'!W25,'BIFUbC-petroleum-diesel'!W25,'BIFUbC-heavy-or-residual-oil'!W25,'BIFUbC-LPG-propane-or-butane'!W25,'BIFUbC-hydrogen'!W25)</f>
        <v>14254739035456.299</v>
      </c>
      <c r="X26" s="16">
        <f>SUM('BIFUbC-electricity'!X25,'BIFUbC-coal'!X25,'BIFUbC-natural-gas'!X25,'BIFUbC-biomass'!X25,'BIFUbC-heat'!X25,'BIFUbC-crude-oil'!X25,'BIFUbC-petroleum-diesel'!X25,'BIFUbC-heavy-or-residual-oil'!X25,'BIFUbC-LPG-propane-or-butane'!X25,'BIFUbC-hydrogen'!X25)</f>
        <v>14183465340279.02</v>
      </c>
      <c r="Y26" s="16">
        <f>SUM('BIFUbC-electricity'!Y25,'BIFUbC-coal'!Y25,'BIFUbC-natural-gas'!Y25,'BIFUbC-biomass'!Y25,'BIFUbC-heat'!Y25,'BIFUbC-crude-oil'!Y25,'BIFUbC-petroleum-diesel'!Y25,'BIFUbC-heavy-or-residual-oil'!Y25,'BIFUbC-LPG-propane-or-butane'!Y25,'BIFUbC-hydrogen'!Y25)</f>
        <v>14112548013577.623</v>
      </c>
      <c r="Z26" s="16">
        <f>SUM('BIFUbC-electricity'!Z25,'BIFUbC-coal'!Z25,'BIFUbC-natural-gas'!Z25,'BIFUbC-biomass'!Z25,'BIFUbC-heat'!Z25,'BIFUbC-crude-oil'!Z25,'BIFUbC-petroleum-diesel'!Z25,'BIFUbC-heavy-or-residual-oil'!Z25,'BIFUbC-LPG-propane-or-butane'!Z25,'BIFUbC-hydrogen'!Z25)</f>
        <v>14041985273509.734</v>
      </c>
      <c r="AA26" s="16">
        <f>SUM('BIFUbC-electricity'!AA25,'BIFUbC-coal'!AA25,'BIFUbC-natural-gas'!AA25,'BIFUbC-biomass'!AA25,'BIFUbC-heat'!AA25,'BIFUbC-crude-oil'!AA25,'BIFUbC-petroleum-diesel'!AA25,'BIFUbC-heavy-or-residual-oil'!AA25,'BIFUbC-LPG-propane-or-butane'!AA25,'BIFUbC-hydrogen'!AA25)</f>
        <v>13971775347142.184</v>
      </c>
      <c r="AB26" s="16">
        <f>SUM('BIFUbC-electricity'!AB25,'BIFUbC-coal'!AB25,'BIFUbC-natural-gas'!AB25,'BIFUbC-biomass'!AB25,'BIFUbC-heat'!AB25,'BIFUbC-crude-oil'!AB25,'BIFUbC-petroleum-diesel'!AB25,'BIFUbC-heavy-or-residual-oil'!AB25,'BIFUbC-LPG-propane-or-butane'!AB25,'BIFUbC-hydrogen'!AB25)</f>
        <v>13901916470406.473</v>
      </c>
      <c r="AC26" s="16">
        <f>SUM('BIFUbC-electricity'!AC25,'BIFUbC-coal'!AC25,'BIFUbC-natural-gas'!AC25,'BIFUbC-biomass'!AC25,'BIFUbC-heat'!AC25,'BIFUbC-crude-oil'!AC25,'BIFUbC-petroleum-diesel'!AC25,'BIFUbC-heavy-or-residual-oil'!AC25,'BIFUbC-LPG-propane-or-butane'!AC25,'BIFUbC-hydrogen'!AC25)</f>
        <v>13832406888054.445</v>
      </c>
      <c r="AD26" s="16">
        <f>SUM('BIFUbC-electricity'!AD25,'BIFUbC-coal'!AD25,'BIFUbC-natural-gas'!AD25,'BIFUbC-biomass'!AD25,'BIFUbC-heat'!AD25,'BIFUbC-crude-oil'!AD25,'BIFUbC-petroleum-diesel'!AD25,'BIFUbC-heavy-or-residual-oil'!AD25,'BIFUbC-LPG-propane-or-butane'!AD25,'BIFUbC-hydrogen'!AD25)</f>
        <v>13763244853614.17</v>
      </c>
      <c r="AE26" s="16">
        <f>SUM('BIFUbC-electricity'!AE25,'BIFUbC-coal'!AE25,'BIFUbC-natural-gas'!AE25,'BIFUbC-biomass'!AE25,'BIFUbC-heat'!AE25,'BIFUbC-crude-oil'!AE25,'BIFUbC-petroleum-diesel'!AE25,'BIFUbC-heavy-or-residual-oil'!AE25,'BIFUbC-LPG-propane-or-butane'!AE25,'BIFUbC-hydrogen'!AE25)</f>
        <v>13694428629346.1</v>
      </c>
      <c r="AF26" s="16">
        <f>SUM('BIFUbC-electricity'!AF25,'BIFUbC-coal'!AF25,'BIFUbC-natural-gas'!AF25,'BIFUbC-biomass'!AF25,'BIFUbC-heat'!AF25,'BIFUbC-crude-oil'!AF25,'BIFUbC-petroleum-diesel'!AF25,'BIFUbC-heavy-or-residual-oil'!AF25,'BIFUbC-LPG-propane-or-butane'!AF25,'BIFUbC-hydrogen'!AF25)</f>
        <v>13625956486199.369</v>
      </c>
    </row>
    <row r="27" spans="1:32">
      <c r="A27" t="s">
        <v>89</v>
      </c>
      <c r="B27" s="16">
        <f>SUM('BIFUbC-electricity'!B26,'BIFUbC-coal'!B26,'BIFUbC-natural-gas'!B26,'BIFUbC-biomass'!B26,'BIFUbC-heat'!B26,'BIFUbC-crude-oil'!B26,'BIFUbC-petroleum-diesel'!B26,'BIFUbC-heavy-or-residual-oil'!B26,'BIFUbC-LPG-propane-or-butane'!B26,'BIFUbC-hydrogen'!B26)</f>
        <v>3097604833193.9087</v>
      </c>
      <c r="C27" s="16">
        <f>SUM('BIFUbC-electricity'!C26,'BIFUbC-coal'!C26,'BIFUbC-natural-gas'!C26,'BIFUbC-biomass'!C26,'BIFUbC-heat'!C26,'BIFUbC-crude-oil'!C26,'BIFUbC-petroleum-diesel'!C26,'BIFUbC-heavy-or-residual-oil'!C26,'BIFUbC-LPG-propane-or-butane'!C26,'BIFUbC-hydrogen'!C26)</f>
        <v>2877003192018.4326</v>
      </c>
      <c r="D27" s="16">
        <f>SUM('BIFUbC-electricity'!D26,'BIFUbC-coal'!D26,'BIFUbC-natural-gas'!D26,'BIFUbC-biomass'!D26,'BIFUbC-heat'!D26,'BIFUbC-crude-oil'!D26,'BIFUbC-petroleum-diesel'!D26,'BIFUbC-heavy-or-residual-oil'!D26,'BIFUbC-LPG-propane-or-butane'!D26,'BIFUbC-hydrogen'!D26)</f>
        <v>2656401550842.9575</v>
      </c>
      <c r="E27" s="16">
        <f>SUM('BIFUbC-electricity'!E26,'BIFUbC-coal'!E26,'BIFUbC-natural-gas'!E26,'BIFUbC-biomass'!E26,'BIFUbC-heat'!E26,'BIFUbC-crude-oil'!E26,'BIFUbC-petroleum-diesel'!E26,'BIFUbC-heavy-or-residual-oil'!E26,'BIFUbC-LPG-propane-or-butane'!E26,'BIFUbC-hydrogen'!E26)</f>
        <v>2435799909667.4814</v>
      </c>
      <c r="F27" s="16">
        <f>SUM('BIFUbC-electricity'!F26,'BIFUbC-coal'!F26,'BIFUbC-natural-gas'!F26,'BIFUbC-biomass'!F26,'BIFUbC-heat'!F26,'BIFUbC-crude-oil'!F26,'BIFUbC-petroleum-diesel'!F26,'BIFUbC-heavy-or-residual-oil'!F26,'BIFUbC-LPG-propane-or-butane'!F26,'BIFUbC-hydrogen'!F26)</f>
        <v>2394902610604.1128</v>
      </c>
      <c r="G27" s="16">
        <f>SUM('BIFUbC-electricity'!G26,'BIFUbC-coal'!G26,'BIFUbC-natural-gas'!G26,'BIFUbC-biomass'!G26,'BIFUbC-heat'!G26,'BIFUbC-crude-oil'!G26,'BIFUbC-petroleum-diesel'!G26,'BIFUbC-heavy-or-residual-oil'!G26,'BIFUbC-LPG-propane-or-butane'!G26,'BIFUbC-hydrogen'!G26)</f>
        <v>2354005311540.7441</v>
      </c>
      <c r="H27" s="16">
        <f>SUM('BIFUbC-electricity'!H26,'BIFUbC-coal'!H26,'BIFUbC-natural-gas'!H26,'BIFUbC-biomass'!H26,'BIFUbC-heat'!H26,'BIFUbC-crude-oil'!H26,'BIFUbC-petroleum-diesel'!H26,'BIFUbC-heavy-or-residual-oil'!H26,'BIFUbC-LPG-propane-or-butane'!H26,'BIFUbC-hydrogen'!H26)</f>
        <v>2313108012477.3755</v>
      </c>
      <c r="I27" s="16">
        <f>SUM('BIFUbC-electricity'!I26,'BIFUbC-coal'!I26,'BIFUbC-natural-gas'!I26,'BIFUbC-biomass'!I26,'BIFUbC-heat'!I26,'BIFUbC-crude-oil'!I26,'BIFUbC-petroleum-diesel'!I26,'BIFUbC-heavy-or-residual-oil'!I26,'BIFUbC-LPG-propane-or-butane'!I26,'BIFUbC-hydrogen'!I26)</f>
        <v>2272210713414.0068</v>
      </c>
      <c r="J27" s="16">
        <f>SUM('BIFUbC-electricity'!J26,'BIFUbC-coal'!J26,'BIFUbC-natural-gas'!J26,'BIFUbC-biomass'!J26,'BIFUbC-heat'!J26,'BIFUbC-crude-oil'!J26,'BIFUbC-petroleum-diesel'!J26,'BIFUbC-heavy-or-residual-oil'!J26,'BIFUbC-LPG-propane-or-butane'!J26,'BIFUbC-hydrogen'!J26)</f>
        <v>2231313414350.6382</v>
      </c>
      <c r="K27" s="16">
        <f>SUM('BIFUbC-electricity'!K26,'BIFUbC-coal'!K26,'BIFUbC-natural-gas'!K26,'BIFUbC-biomass'!K26,'BIFUbC-heat'!K26,'BIFUbC-crude-oil'!K26,'BIFUbC-petroleum-diesel'!K26,'BIFUbC-heavy-or-residual-oil'!K26,'BIFUbC-LPG-propane-or-butane'!K26,'BIFUbC-hydrogen'!K26)</f>
        <v>2190416115287.2693</v>
      </c>
      <c r="L27" s="16">
        <f>SUM('BIFUbC-electricity'!L26,'BIFUbC-coal'!L26,'BIFUbC-natural-gas'!L26,'BIFUbC-biomass'!L26,'BIFUbC-heat'!L26,'BIFUbC-crude-oil'!L26,'BIFUbC-petroleum-diesel'!L26,'BIFUbC-heavy-or-residual-oil'!L26,'BIFUbC-LPG-propane-or-butane'!L26,'BIFUbC-hydrogen'!L26)</f>
        <v>2149518816223.9006</v>
      </c>
      <c r="M27" s="16">
        <f>SUM('BIFUbC-electricity'!M26,'BIFUbC-coal'!M26,'BIFUbC-natural-gas'!M26,'BIFUbC-biomass'!M26,'BIFUbC-heat'!M26,'BIFUbC-crude-oil'!M26,'BIFUbC-petroleum-diesel'!M26,'BIFUbC-heavy-or-residual-oil'!M26,'BIFUbC-LPG-propane-or-butane'!M26,'BIFUbC-hydrogen'!M26)</f>
        <v>2144578701358.8164</v>
      </c>
      <c r="N27" s="16">
        <f>SUM('BIFUbC-electricity'!N26,'BIFUbC-coal'!N26,'BIFUbC-natural-gas'!N26,'BIFUbC-biomass'!N26,'BIFUbC-heat'!N26,'BIFUbC-crude-oil'!N26,'BIFUbC-petroleum-diesel'!N26,'BIFUbC-heavy-or-residual-oil'!N26,'BIFUbC-LPG-propane-or-butane'!N26,'BIFUbC-hydrogen'!N26)</f>
        <v>2139638586493.7317</v>
      </c>
      <c r="O27" s="16">
        <f>SUM('BIFUbC-electricity'!O26,'BIFUbC-coal'!O26,'BIFUbC-natural-gas'!O26,'BIFUbC-biomass'!O26,'BIFUbC-heat'!O26,'BIFUbC-crude-oil'!O26,'BIFUbC-petroleum-diesel'!O26,'BIFUbC-heavy-or-residual-oil'!O26,'BIFUbC-LPG-propane-or-butane'!O26,'BIFUbC-hydrogen'!O26)</f>
        <v>2134698471628.6472</v>
      </c>
      <c r="P27" s="16">
        <f>SUM('BIFUbC-electricity'!P26,'BIFUbC-coal'!P26,'BIFUbC-natural-gas'!P26,'BIFUbC-biomass'!P26,'BIFUbC-heat'!P26,'BIFUbC-crude-oil'!P26,'BIFUbC-petroleum-diesel'!P26,'BIFUbC-heavy-or-residual-oil'!P26,'BIFUbC-LPG-propane-or-butane'!P26,'BIFUbC-hydrogen'!P26)</f>
        <v>2129758356763.5627</v>
      </c>
      <c r="Q27" s="16">
        <f>SUM('BIFUbC-electricity'!Q26,'BIFUbC-coal'!Q26,'BIFUbC-natural-gas'!Q26,'BIFUbC-biomass'!Q26,'BIFUbC-heat'!Q26,'BIFUbC-crude-oil'!Q26,'BIFUbC-petroleum-diesel'!Q26,'BIFUbC-heavy-or-residual-oil'!Q26,'BIFUbC-LPG-propane-or-butane'!Q26,'BIFUbC-hydrogen'!Q26)</f>
        <v>2124818241898.478</v>
      </c>
      <c r="R27" s="16">
        <f>SUM('BIFUbC-electricity'!R26,'BIFUbC-coal'!R26,'BIFUbC-natural-gas'!R26,'BIFUbC-biomass'!R26,'BIFUbC-heat'!R26,'BIFUbC-crude-oil'!R26,'BIFUbC-petroleum-diesel'!R26,'BIFUbC-heavy-or-residual-oil'!R26,'BIFUbC-LPG-propane-or-butane'!R26,'BIFUbC-hydrogen'!R26)</f>
        <v>2119878127033.3938</v>
      </c>
      <c r="S27" s="16">
        <f>SUM('BIFUbC-electricity'!S26,'BIFUbC-coal'!S26,'BIFUbC-natural-gas'!S26,'BIFUbC-biomass'!S26,'BIFUbC-heat'!S26,'BIFUbC-crude-oil'!S26,'BIFUbC-petroleum-diesel'!S26,'BIFUbC-heavy-or-residual-oil'!S26,'BIFUbC-LPG-propane-or-butane'!S26,'BIFUbC-hydrogen'!S26)</f>
        <v>2114938012168.3093</v>
      </c>
      <c r="T27" s="16">
        <f>SUM('BIFUbC-electricity'!T26,'BIFUbC-coal'!T26,'BIFUbC-natural-gas'!T26,'BIFUbC-biomass'!T26,'BIFUbC-heat'!T26,'BIFUbC-crude-oil'!T26,'BIFUbC-petroleum-diesel'!T26,'BIFUbC-heavy-or-residual-oil'!T26,'BIFUbC-LPG-propane-or-butane'!T26,'BIFUbC-hydrogen'!T26)</f>
        <v>2109997897303.2249</v>
      </c>
      <c r="U27" s="16">
        <f>SUM('BIFUbC-electricity'!U26,'BIFUbC-coal'!U26,'BIFUbC-natural-gas'!U26,'BIFUbC-biomass'!U26,'BIFUbC-heat'!U26,'BIFUbC-crude-oil'!U26,'BIFUbC-petroleum-diesel'!U26,'BIFUbC-heavy-or-residual-oil'!U26,'BIFUbC-LPG-propane-or-butane'!U26,'BIFUbC-hydrogen'!U26)</f>
        <v>2105057782438.1401</v>
      </c>
      <c r="V27" s="16">
        <f>SUM('BIFUbC-electricity'!V26,'BIFUbC-coal'!V26,'BIFUbC-natural-gas'!V26,'BIFUbC-biomass'!V26,'BIFUbC-heat'!V26,'BIFUbC-crude-oil'!V26,'BIFUbC-petroleum-diesel'!V26,'BIFUbC-heavy-or-residual-oil'!V26,'BIFUbC-LPG-propane-or-butane'!V26,'BIFUbC-hydrogen'!V26)</f>
        <v>2100117667573.0557</v>
      </c>
      <c r="W27" s="16">
        <f>SUM('BIFUbC-electricity'!W26,'BIFUbC-coal'!W26,'BIFUbC-natural-gas'!W26,'BIFUbC-biomass'!W26,'BIFUbC-heat'!W26,'BIFUbC-crude-oil'!W26,'BIFUbC-petroleum-diesel'!W26,'BIFUbC-heavy-or-residual-oil'!W26,'BIFUbC-LPG-propane-or-butane'!W26,'BIFUbC-hydrogen'!W26)</f>
        <v>2080011943969.1377</v>
      </c>
      <c r="X27" s="16">
        <f>SUM('BIFUbC-electricity'!X26,'BIFUbC-coal'!X26,'BIFUbC-natural-gas'!X26,'BIFUbC-biomass'!X26,'BIFUbC-heat'!X26,'BIFUbC-crude-oil'!X26,'BIFUbC-petroleum-diesel'!X26,'BIFUbC-heavy-or-residual-oil'!X26,'BIFUbC-LPG-propane-or-butane'!X26,'BIFUbC-hydrogen'!X26)</f>
        <v>2059906220365.22</v>
      </c>
      <c r="Y27" s="16">
        <f>SUM('BIFUbC-electricity'!Y26,'BIFUbC-coal'!Y26,'BIFUbC-natural-gas'!Y26,'BIFUbC-biomass'!Y26,'BIFUbC-heat'!Y26,'BIFUbC-crude-oil'!Y26,'BIFUbC-petroleum-diesel'!Y26,'BIFUbC-heavy-or-residual-oil'!Y26,'BIFUbC-LPG-propane-or-butane'!Y26,'BIFUbC-hydrogen'!Y26)</f>
        <v>2039800496761.302</v>
      </c>
      <c r="Z27" s="16">
        <f>SUM('BIFUbC-electricity'!Z26,'BIFUbC-coal'!Z26,'BIFUbC-natural-gas'!Z26,'BIFUbC-biomass'!Z26,'BIFUbC-heat'!Z26,'BIFUbC-crude-oil'!Z26,'BIFUbC-petroleum-diesel'!Z26,'BIFUbC-heavy-or-residual-oil'!Z26,'BIFUbC-LPG-propane-or-butane'!Z26,'BIFUbC-hydrogen'!Z26)</f>
        <v>2019694773157.3838</v>
      </c>
      <c r="AA27" s="16">
        <f>SUM('BIFUbC-electricity'!AA26,'BIFUbC-coal'!AA26,'BIFUbC-natural-gas'!AA26,'BIFUbC-biomass'!AA26,'BIFUbC-heat'!AA26,'BIFUbC-crude-oil'!AA26,'BIFUbC-petroleum-diesel'!AA26,'BIFUbC-heavy-or-residual-oil'!AA26,'BIFUbC-LPG-propane-or-butane'!AA26,'BIFUbC-hydrogen'!AA26)</f>
        <v>1999589049553.4658</v>
      </c>
      <c r="AB27" s="16">
        <f>SUM('BIFUbC-electricity'!AB26,'BIFUbC-coal'!AB26,'BIFUbC-natural-gas'!AB26,'BIFUbC-biomass'!AB26,'BIFUbC-heat'!AB26,'BIFUbC-crude-oil'!AB26,'BIFUbC-petroleum-diesel'!AB26,'BIFUbC-heavy-or-residual-oil'!AB26,'BIFUbC-LPG-propane-or-butane'!AB26,'BIFUbC-hydrogen'!AB26)</f>
        <v>1979483325949.5481</v>
      </c>
      <c r="AC27" s="16">
        <f>SUM('BIFUbC-electricity'!AC26,'BIFUbC-coal'!AC26,'BIFUbC-natural-gas'!AC26,'BIFUbC-biomass'!AC26,'BIFUbC-heat'!AC26,'BIFUbC-crude-oil'!AC26,'BIFUbC-petroleum-diesel'!AC26,'BIFUbC-heavy-or-residual-oil'!AC26,'BIFUbC-LPG-propane-or-butane'!AC26,'BIFUbC-hydrogen'!AC26)</f>
        <v>1959377602345.6299</v>
      </c>
      <c r="AD27" s="16">
        <f>SUM('BIFUbC-electricity'!AD26,'BIFUbC-coal'!AD26,'BIFUbC-natural-gas'!AD26,'BIFUbC-biomass'!AD26,'BIFUbC-heat'!AD26,'BIFUbC-crude-oil'!AD26,'BIFUbC-petroleum-diesel'!AD26,'BIFUbC-heavy-or-residual-oil'!AD26,'BIFUbC-LPG-propane-or-butane'!AD26,'BIFUbC-hydrogen'!AD26)</f>
        <v>1939271878741.7122</v>
      </c>
      <c r="AE27" s="16">
        <f>SUM('BIFUbC-electricity'!AE26,'BIFUbC-coal'!AE26,'BIFUbC-natural-gas'!AE26,'BIFUbC-biomass'!AE26,'BIFUbC-heat'!AE26,'BIFUbC-crude-oil'!AE26,'BIFUbC-petroleum-diesel'!AE26,'BIFUbC-heavy-or-residual-oil'!AE26,'BIFUbC-LPG-propane-or-butane'!AE26,'BIFUbC-hydrogen'!AE26)</f>
        <v>1919166155137.7942</v>
      </c>
      <c r="AF27" s="16">
        <f>SUM('BIFUbC-electricity'!AF26,'BIFUbC-coal'!AF26,'BIFUbC-natural-gas'!AF26,'BIFUbC-biomass'!AF26,'BIFUbC-heat'!AF26,'BIFUbC-crude-oil'!AF26,'BIFUbC-petroleum-diesel'!AF26,'BIFUbC-heavy-or-residual-oil'!AF26,'BIFUbC-LPG-propane-or-butane'!AF26,'BIFUbC-hydrogen'!AF26)</f>
        <v>1899060431533.8765</v>
      </c>
    </row>
    <row r="29" spans="1:32" s="387" customFormat="1">
      <c r="A29" s="386" t="s">
        <v>1030</v>
      </c>
    </row>
    <row r="30" spans="1:32">
      <c r="A30" t="s">
        <v>1028</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25</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28</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32</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34</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36</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38</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40</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42</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44</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47</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51</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53</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56</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58</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61</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65</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67</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71</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73</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75</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78</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80</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82</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85</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89</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389" t="s">
        <v>1031</v>
      </c>
      <c r="B57" s="390"/>
      <c r="C57" s="390"/>
      <c r="D57" s="390"/>
      <c r="E57" s="390"/>
      <c r="F57" s="390"/>
      <c r="G57" s="390"/>
      <c r="H57" s="390"/>
      <c r="I57" s="390"/>
      <c r="J57" s="390"/>
      <c r="K57" s="390"/>
      <c r="L57" s="390"/>
    </row>
    <row r="58" spans="1:32">
      <c r="A58" t="s">
        <v>1028</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25</v>
      </c>
      <c r="B59" s="388">
        <f>(B3-B31)/B31</f>
        <v>-0.75281504320481196</v>
      </c>
      <c r="C59" s="388">
        <f t="shared" ref="C59:AF67" si="0">(C3-C31)/C31</f>
        <v>-0.75287442737432986</v>
      </c>
      <c r="D59" s="388">
        <f t="shared" si="0"/>
        <v>-0.75293196762247661</v>
      </c>
      <c r="E59" s="388">
        <f t="shared" si="0"/>
        <v>-0.75298774851891559</v>
      </c>
      <c r="F59" s="388">
        <f t="shared" si="0"/>
        <v>-0.75448936177980697</v>
      </c>
      <c r="G59" s="21">
        <f t="shared" si="0"/>
        <v>-0.75594642388246347</v>
      </c>
      <c r="H59" s="21">
        <f t="shared" si="0"/>
        <v>-0.75665214738928521</v>
      </c>
      <c r="I59" s="21">
        <f t="shared" si="0"/>
        <v>-0.75734149372860993</v>
      </c>
      <c r="J59" s="21">
        <f t="shared" si="0"/>
        <v>-0.75801502643960195</v>
      </c>
      <c r="K59" s="21">
        <f t="shared" si="0"/>
        <v>-0.7586732834994081</v>
      </c>
      <c r="L59" s="21">
        <f t="shared" si="0"/>
        <v>-0.75931677875626358</v>
      </c>
      <c r="M59" s="21">
        <f t="shared" si="0"/>
        <v>-0.76122235573233432</v>
      </c>
      <c r="N59" s="21">
        <f t="shared" si="0"/>
        <v>-0.76309704817406399</v>
      </c>
      <c r="O59" s="21">
        <f t="shared" si="0"/>
        <v>-0.76494160088486762</v>
      </c>
      <c r="P59" s="21">
        <f t="shared" si="0"/>
        <v>-0.76675673491049001</v>
      </c>
      <c r="Q59" s="21">
        <f t="shared" si="0"/>
        <v>-0.7685431484787868</v>
      </c>
      <c r="R59" s="21">
        <f t="shared" si="0"/>
        <v>-0.77007629069253847</v>
      </c>
      <c r="S59" s="21">
        <f t="shared" si="0"/>
        <v>-0.77158849175216793</v>
      </c>
      <c r="T59" s="21">
        <f t="shared" si="0"/>
        <v>-0.7730801777994567</v>
      </c>
      <c r="U59" s="21">
        <f t="shared" si="0"/>
        <v>-0.7745517634917306</v>
      </c>
      <c r="V59" s="21">
        <f t="shared" si="0"/>
        <v>-0.77600365238614977</v>
      </c>
      <c r="W59" s="21">
        <f t="shared" si="0"/>
        <v>-0.77931267820366457</v>
      </c>
      <c r="X59" s="21">
        <f t="shared" si="0"/>
        <v>-0.78238399057370211</v>
      </c>
      <c r="Y59" s="21">
        <f t="shared" si="0"/>
        <v>-0.78541265248122916</v>
      </c>
      <c r="Z59" s="21">
        <f t="shared" si="0"/>
        <v>-0.78839954621291441</v>
      </c>
      <c r="AA59" s="21">
        <f t="shared" si="0"/>
        <v>-0.7913455298869092</v>
      </c>
      <c r="AB59" s="21">
        <f t="shared" si="0"/>
        <v>-0.79425143827477762</v>
      </c>
      <c r="AC59" s="21">
        <f t="shared" si="0"/>
        <v>-0.79711808359011516</v>
      </c>
      <c r="AD59" s="21">
        <f t="shared" si="0"/>
        <v>-0.79994625624541216</v>
      </c>
      <c r="AE59" s="21">
        <f t="shared" si="0"/>
        <v>-0.80273672557864828</v>
      </c>
      <c r="AF59" s="21">
        <f t="shared" si="0"/>
        <v>-0.80549024055102147</v>
      </c>
    </row>
    <row r="60" spans="1:32">
      <c r="A60" t="s">
        <v>28</v>
      </c>
      <c r="B60" s="388">
        <f t="shared" ref="B60:Q83" si="1">(B4-B32)/B32</f>
        <v>-4.8146525628283816E-2</v>
      </c>
      <c r="C60" s="388">
        <f t="shared" si="1"/>
        <v>-9.5171725650208441E-2</v>
      </c>
      <c r="D60" s="388">
        <f t="shared" si="1"/>
        <v>-0.20192831093251087</v>
      </c>
      <c r="E60" s="388">
        <f t="shared" si="1"/>
        <v>-0.22609256359111302</v>
      </c>
      <c r="F60" s="388">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32</v>
      </c>
      <c r="B61" s="388">
        <f t="shared" si="1"/>
        <v>4.1314066616152181E-2</v>
      </c>
      <c r="C61" s="388">
        <f t="shared" si="0"/>
        <v>8.5673911015757637E-2</v>
      </c>
      <c r="D61" s="388">
        <f t="shared" si="0"/>
        <v>0.13342923744388144</v>
      </c>
      <c r="E61" s="388">
        <f t="shared" si="0"/>
        <v>0.17701403274580454</v>
      </c>
      <c r="F61" s="388">
        <f t="shared" si="0"/>
        <v>0.22421151430069361</v>
      </c>
      <c r="G61" s="21">
        <f t="shared" si="0"/>
        <v>0.27549027900298212</v>
      </c>
      <c r="H61" s="21">
        <f t="shared" si="0"/>
        <v>0.27012967085311379</v>
      </c>
      <c r="I61" s="21">
        <f t="shared" si="0"/>
        <v>0.26480018933490845</v>
      </c>
      <c r="J61" s="21">
        <f t="shared" si="0"/>
        <v>0.25950156412574055</v>
      </c>
      <c r="K61" s="21">
        <f t="shared" si="0"/>
        <v>0.25423352802413918</v>
      </c>
      <c r="L61" s="21">
        <f t="shared" si="0"/>
        <v>0.24899581690488268</v>
      </c>
      <c r="M61" s="21">
        <f t="shared" si="0"/>
        <v>0.2431903806877935</v>
      </c>
      <c r="N61" s="21">
        <f t="shared" si="0"/>
        <v>0.2373788918809967</v>
      </c>
      <c r="O61" s="21">
        <f t="shared" si="0"/>
        <v>0.23156134101415873</v>
      </c>
      <c r="P61" s="21">
        <f t="shared" si="0"/>
        <v>0.2257377185971767</v>
      </c>
      <c r="Q61" s="21">
        <f t="shared" si="0"/>
        <v>0.21990801512012961</v>
      </c>
      <c r="R61" s="21">
        <f t="shared" si="0"/>
        <v>0.21612729819530027</v>
      </c>
      <c r="S61" s="21">
        <f t="shared" si="0"/>
        <v>0.21232978811702974</v>
      </c>
      <c r="T61" s="21">
        <f t="shared" si="0"/>
        <v>0.2085153727487668</v>
      </c>
      <c r="U61" s="21">
        <f t="shared" si="0"/>
        <v>0.20468393895333906</v>
      </c>
      <c r="V61" s="21">
        <f t="shared" si="0"/>
        <v>0.20083537258176901</v>
      </c>
      <c r="W61" s="21">
        <f t="shared" si="0"/>
        <v>0.19027890931447708</v>
      </c>
      <c r="X61" s="21">
        <f t="shared" si="0"/>
        <v>0.1815576453362146</v>
      </c>
      <c r="Y61" s="21">
        <f t="shared" si="0"/>
        <v>0.17280994254827495</v>
      </c>
      <c r="Z61" s="21">
        <f t="shared" si="0"/>
        <v>0.16403568054291498</v>
      </c>
      <c r="AA61" s="21">
        <f t="shared" si="0"/>
        <v>0.15523473818013389</v>
      </c>
      <c r="AB61" s="21">
        <f t="shared" si="0"/>
        <v>0.14640699358209305</v>
      </c>
      <c r="AC61" s="21">
        <f t="shared" si="0"/>
        <v>0.13755232412749366</v>
      </c>
      <c r="AD61" s="21">
        <f t="shared" si="0"/>
        <v>0.12867060644589765</v>
      </c>
      <c r="AE61" s="21">
        <f t="shared" si="0"/>
        <v>0.1197617164119988</v>
      </c>
      <c r="AF61" s="21">
        <f t="shared" si="0"/>
        <v>0.11082552913983994</v>
      </c>
    </row>
    <row r="62" spans="1:32">
      <c r="A62" t="s">
        <v>34</v>
      </c>
      <c r="B62" s="388">
        <f t="shared" si="1"/>
        <v>-0.56538645905188367</v>
      </c>
      <c r="C62" s="388">
        <f t="shared" si="0"/>
        <v>-0.56174706132884045</v>
      </c>
      <c r="D62" s="388">
        <f t="shared" si="0"/>
        <v>-0.55821373526694584</v>
      </c>
      <c r="E62" s="388">
        <f t="shared" si="0"/>
        <v>-0.5547819102231013</v>
      </c>
      <c r="F62" s="388">
        <f t="shared" si="0"/>
        <v>-0.55633262084141888</v>
      </c>
      <c r="G62" s="21">
        <f t="shared" si="0"/>
        <v>-0.55784002851767356</v>
      </c>
      <c r="H62" s="21">
        <f t="shared" si="0"/>
        <v>-0.55690483388976164</v>
      </c>
      <c r="I62" s="21">
        <f t="shared" si="0"/>
        <v>-0.55598521345683494</v>
      </c>
      <c r="J62" s="21">
        <f t="shared" si="0"/>
        <v>-0.55508078138604622</v>
      </c>
      <c r="K62" s="21">
        <f t="shared" si="0"/>
        <v>-0.55419116448492045</v>
      </c>
      <c r="L62" s="21">
        <f t="shared" si="0"/>
        <v>-0.55331600168791761</v>
      </c>
      <c r="M62" s="21">
        <f t="shared" si="0"/>
        <v>-0.55530259343248534</v>
      </c>
      <c r="N62" s="21">
        <f t="shared" si="0"/>
        <v>-0.55727015869541152</v>
      </c>
      <c r="O62" s="21">
        <f t="shared" si="0"/>
        <v>-0.55921896951173844</v>
      </c>
      <c r="P62" s="21">
        <f t="shared" si="0"/>
        <v>-0.5611492927551387</v>
      </c>
      <c r="Q62" s="21">
        <f t="shared" si="0"/>
        <v>-0.563061390259745</v>
      </c>
      <c r="R62" s="21">
        <f t="shared" si="0"/>
        <v>-0.56443719092988975</v>
      </c>
      <c r="S62" s="21">
        <f t="shared" si="0"/>
        <v>-0.56580335938461002</v>
      </c>
      <c r="T62" s="21">
        <f t="shared" si="0"/>
        <v>-0.56715999642621662</v>
      </c>
      <c r="U62" s="21">
        <f t="shared" si="0"/>
        <v>-0.56850720145536493</v>
      </c>
      <c r="V62" s="21">
        <f t="shared" si="0"/>
        <v>-0.56984507249533256</v>
      </c>
      <c r="W62" s="21">
        <f t="shared" si="0"/>
        <v>-0.57492034376952994</v>
      </c>
      <c r="X62" s="21">
        <f t="shared" si="0"/>
        <v>-0.57950039043644352</v>
      </c>
      <c r="Y62" s="21">
        <f t="shared" si="0"/>
        <v>-0.58404460304516392</v>
      </c>
      <c r="Z62" s="21">
        <f t="shared" si="0"/>
        <v>-0.58855340050278038</v>
      </c>
      <c r="AA62" s="21">
        <f t="shared" si="0"/>
        <v>-0.59302719521225378</v>
      </c>
      <c r="AB62" s="21">
        <f t="shared" si="0"/>
        <v>-0.59746639319816053</v>
      </c>
      <c r="AC62" s="21">
        <f t="shared" si="0"/>
        <v>-0.60187139422953151</v>
      </c>
      <c r="AD62" s="21">
        <f t="shared" si="0"/>
        <v>-0.60624259193986074</v>
      </c>
      <c r="AE62" s="21">
        <f t="shared" si="0"/>
        <v>-0.61058037394436493</v>
      </c>
      <c r="AF62" s="21">
        <f t="shared" si="0"/>
        <v>-0.6148851219545628</v>
      </c>
    </row>
    <row r="63" spans="1:32">
      <c r="A63" t="s">
        <v>36</v>
      </c>
      <c r="B63" s="388">
        <f t="shared" si="1"/>
        <v>-0.57081287470077102</v>
      </c>
      <c r="C63" s="388">
        <f t="shared" si="0"/>
        <v>-0.57063637958123137</v>
      </c>
      <c r="D63" s="388">
        <f t="shared" si="0"/>
        <v>-0.57046606549853396</v>
      </c>
      <c r="E63" s="388">
        <f t="shared" si="0"/>
        <v>-0.57030161334127638</v>
      </c>
      <c r="F63" s="388">
        <f t="shared" si="0"/>
        <v>-0.57460682809774855</v>
      </c>
      <c r="G63" s="21">
        <f t="shared" si="0"/>
        <v>-0.5787687949275061</v>
      </c>
      <c r="H63" s="21">
        <f t="shared" si="0"/>
        <v>-0.58133755199663739</v>
      </c>
      <c r="I63" s="21">
        <f t="shared" si="0"/>
        <v>-0.58384073300372341</v>
      </c>
      <c r="J63" s="21">
        <f t="shared" si="0"/>
        <v>-0.58628081737142279</v>
      </c>
      <c r="K63" s="21">
        <f t="shared" si="0"/>
        <v>-0.58866016108259789</v>
      </c>
      <c r="L63" s="21">
        <f t="shared" si="0"/>
        <v>-0.59098100426779665</v>
      </c>
      <c r="M63" s="21">
        <f t="shared" si="0"/>
        <v>-0.5949227928391253</v>
      </c>
      <c r="N63" s="21">
        <f t="shared" si="0"/>
        <v>-0.59878537339887172</v>
      </c>
      <c r="O63" s="21">
        <f t="shared" si="0"/>
        <v>-0.6025711096585934</v>
      </c>
      <c r="P63" s="21">
        <f t="shared" si="0"/>
        <v>-0.60628227220622</v>
      </c>
      <c r="Q63" s="21">
        <f t="shared" si="0"/>
        <v>-0.60992104304734085</v>
      </c>
      <c r="R63" s="21">
        <f t="shared" si="0"/>
        <v>-0.61353160280150665</v>
      </c>
      <c r="S63" s="21">
        <f t="shared" si="0"/>
        <v>-0.61707231707020993</v>
      </c>
      <c r="T63" s="21">
        <f t="shared" si="0"/>
        <v>-0.62054519315639745</v>
      </c>
      <c r="U63" s="21">
        <f t="shared" si="0"/>
        <v>-0.62395216217518423</v>
      </c>
      <c r="V63" s="21">
        <f t="shared" si="0"/>
        <v>-0.62729508263454259</v>
      </c>
      <c r="W63" s="21">
        <f t="shared" si="0"/>
        <v>-0.63328344041911799</v>
      </c>
      <c r="X63" s="21">
        <f t="shared" si="0"/>
        <v>-0.63919665626370403</v>
      </c>
      <c r="Y63" s="21">
        <f t="shared" si="0"/>
        <v>-0.64500224404268602</v>
      </c>
      <c r="Z63" s="21">
        <f t="shared" si="0"/>
        <v>-0.65070311570742134</v>
      </c>
      <c r="AA63" s="21">
        <f t="shared" si="0"/>
        <v>-0.65630207910170746</v>
      </c>
      <c r="AB63" s="21">
        <f t="shared" si="0"/>
        <v>-0.66180184257310437</v>
      </c>
      <c r="AC63" s="21">
        <f t="shared" si="0"/>
        <v>-0.66720501934131582</v>
      </c>
      <c r="AD63" s="21">
        <f t="shared" si="0"/>
        <v>-0.67251413163841167</v>
      </c>
      <c r="AE63" s="21">
        <f t="shared" si="0"/>
        <v>-0.67773161463469112</v>
      </c>
      <c r="AF63" s="21">
        <f t="shared" si="0"/>
        <v>-0.68285982016301328</v>
      </c>
    </row>
    <row r="64" spans="1:32">
      <c r="A64" t="s">
        <v>38</v>
      </c>
      <c r="B64" s="388">
        <f t="shared" si="1"/>
        <v>-0.69995010911747912</v>
      </c>
      <c r="C64" s="388">
        <f t="shared" si="0"/>
        <v>-0.70103041495313079</v>
      </c>
      <c r="D64" s="388">
        <f t="shared" si="0"/>
        <v>-0.70205464011449537</v>
      </c>
      <c r="E64" s="388">
        <f t="shared" si="0"/>
        <v>-0.70302704100012436</v>
      </c>
      <c r="F64" s="388">
        <f t="shared" si="0"/>
        <v>-0.70760661330280472</v>
      </c>
      <c r="G64" s="21">
        <f t="shared" si="0"/>
        <v>-0.71196562602003888</v>
      </c>
      <c r="H64" s="21">
        <f t="shared" si="0"/>
        <v>-0.71420000157513863</v>
      </c>
      <c r="I64" s="21">
        <f t="shared" si="0"/>
        <v>-0.71636006094047522</v>
      </c>
      <c r="J64" s="21">
        <f t="shared" si="0"/>
        <v>-0.71844945114284497</v>
      </c>
      <c r="K64" s="21">
        <f t="shared" si="0"/>
        <v>-0.72047158441534809</v>
      </c>
      <c r="L64" s="21">
        <f t="shared" si="0"/>
        <v>-0.72242965679296323</v>
      </c>
      <c r="M64" s="21">
        <f t="shared" si="0"/>
        <v>-0.72567285455267971</v>
      </c>
      <c r="N64" s="21">
        <f t="shared" si="0"/>
        <v>-0.72883785797018963</v>
      </c>
      <c r="O64" s="21">
        <f t="shared" si="0"/>
        <v>-0.73192746128943698</v>
      </c>
      <c r="P64" s="21">
        <f t="shared" si="0"/>
        <v>-0.7349443271865993</v>
      </c>
      <c r="Q64" s="21">
        <f t="shared" si="0"/>
        <v>-0.73789099442363026</v>
      </c>
      <c r="R64" s="21">
        <f t="shared" si="0"/>
        <v>-0.74045861944267888</v>
      </c>
      <c r="S64" s="21">
        <f t="shared" si="0"/>
        <v>-0.74297382198109263</v>
      </c>
      <c r="T64" s="21">
        <f t="shared" si="0"/>
        <v>-0.74543819125819777</v>
      </c>
      <c r="U64" s="21">
        <f t="shared" si="0"/>
        <v>-0.74785325289842963</v>
      </c>
      <c r="V64" s="21">
        <f t="shared" si="0"/>
        <v>-0.75022047208087173</v>
      </c>
      <c r="W64" s="21">
        <f t="shared" si="0"/>
        <v>-0.75472075209691514</v>
      </c>
      <c r="X64" s="21">
        <f t="shared" si="0"/>
        <v>-0.75887322306248028</v>
      </c>
      <c r="Y64" s="21">
        <f t="shared" si="0"/>
        <v>-0.76294206591948166</v>
      </c>
      <c r="Z64" s="21">
        <f t="shared" si="0"/>
        <v>-0.76692978180714977</v>
      </c>
      <c r="AA64" s="21">
        <f t="shared" si="0"/>
        <v>-0.77083877311086979</v>
      </c>
      <c r="AB64" s="21">
        <f t="shared" si="0"/>
        <v>-0.77467134828847573</v>
      </c>
      <c r="AC64" s="21">
        <f t="shared" si="0"/>
        <v>-0.77842972641625019</v>
      </c>
      <c r="AD64" s="21">
        <f t="shared" si="0"/>
        <v>-0.78211604147342251</v>
      </c>
      <c r="AE64" s="21">
        <f t="shared" si="0"/>
        <v>-0.78573234638255729</v>
      </c>
      <c r="AF64" s="21">
        <f t="shared" si="0"/>
        <v>-0.78928061682190365</v>
      </c>
    </row>
    <row r="65" spans="1:32">
      <c r="A65" t="s">
        <v>40</v>
      </c>
      <c r="B65" s="388">
        <f t="shared" si="1"/>
        <v>-0.7944722948369155</v>
      </c>
      <c r="C65" s="388">
        <f t="shared" si="0"/>
        <v>-0.79453050986928297</v>
      </c>
      <c r="D65" s="388">
        <f t="shared" si="0"/>
        <v>-0.79458581870080192</v>
      </c>
      <c r="E65" s="388">
        <f t="shared" si="0"/>
        <v>-0.79463843365594899</v>
      </c>
      <c r="F65" s="388">
        <f t="shared" si="0"/>
        <v>-0.79744448489962627</v>
      </c>
      <c r="G65" s="21">
        <f t="shared" si="0"/>
        <v>-0.80012021196674243</v>
      </c>
      <c r="H65" s="21">
        <f t="shared" si="0"/>
        <v>-0.80223655461480514</v>
      </c>
      <c r="I65" s="21">
        <f t="shared" si="0"/>
        <v>-0.80426776464262351</v>
      </c>
      <c r="J65" s="21">
        <f t="shared" si="0"/>
        <v>-0.80621887762360622</v>
      </c>
      <c r="K65" s="21">
        <f t="shared" si="0"/>
        <v>-0.80809453967272848</v>
      </c>
      <c r="L65" s="21">
        <f t="shared" si="0"/>
        <v>-0.80989904438391502</v>
      </c>
      <c r="M65" s="21">
        <f t="shared" si="0"/>
        <v>-0.81282612595841408</v>
      </c>
      <c r="N65" s="21">
        <f t="shared" si="0"/>
        <v>-0.81566082969970544</v>
      </c>
      <c r="O65" s="21">
        <f t="shared" si="0"/>
        <v>-0.81840746079836868</v>
      </c>
      <c r="P65" s="21">
        <f t="shared" si="0"/>
        <v>-0.82107006101757518</v>
      </c>
      <c r="Q65" s="21">
        <f t="shared" si="0"/>
        <v>-0.82365242853787934</v>
      </c>
      <c r="R65" s="21">
        <f t="shared" si="0"/>
        <v>-0.82617237123764387</v>
      </c>
      <c r="S65" s="21">
        <f t="shared" si="0"/>
        <v>-0.82861820643760109</v>
      </c>
      <c r="T65" s="21">
        <f t="shared" si="0"/>
        <v>-0.8309931558404211</v>
      </c>
      <c r="U65" s="21">
        <f t="shared" si="0"/>
        <v>-0.83330025707189903</v>
      </c>
      <c r="V65" s="21">
        <f t="shared" si="0"/>
        <v>-0.83554237664269249</v>
      </c>
      <c r="W65" s="21">
        <f t="shared" si="0"/>
        <v>-0.83887020040647831</v>
      </c>
      <c r="X65" s="21">
        <f t="shared" si="0"/>
        <v>-0.84211829868096211</v>
      </c>
      <c r="Y65" s="21">
        <f t="shared" si="0"/>
        <v>-0.84527880988670501</v>
      </c>
      <c r="Z65" s="21">
        <f t="shared" si="0"/>
        <v>-0.84835522965557564</v>
      </c>
      <c r="AA65" s="21">
        <f t="shared" si="0"/>
        <v>-0.85135087004568477</v>
      </c>
      <c r="AB65" s="21">
        <f t="shared" si="0"/>
        <v>-0.85426887143573649</v>
      </c>
      <c r="AC65" s="21">
        <f t="shared" si="0"/>
        <v>-0.85711221350640587</v>
      </c>
      <c r="AD65" s="21">
        <f t="shared" si="0"/>
        <v>-0.85988372538946156</v>
      </c>
      <c r="AE65" s="21">
        <f t="shared" si="0"/>
        <v>-0.86258609505729844</v>
      </c>
      <c r="AF65" s="21">
        <f t="shared" si="0"/>
        <v>-0.86522187801839989</v>
      </c>
    </row>
    <row r="66" spans="1:32">
      <c r="A66" t="s">
        <v>42</v>
      </c>
      <c r="B66" s="388">
        <f t="shared" si="1"/>
        <v>-0.84158564854925899</v>
      </c>
      <c r="C66" s="388">
        <f t="shared" si="0"/>
        <v>-0.84207197656095367</v>
      </c>
      <c r="D66" s="388">
        <f t="shared" si="0"/>
        <v>-0.84253330808575211</v>
      </c>
      <c r="E66" s="388">
        <f t="shared" si="0"/>
        <v>-0.84297152200738612</v>
      </c>
      <c r="F66" s="388">
        <f t="shared" si="0"/>
        <v>-0.84539740363072813</v>
      </c>
      <c r="G66" s="21">
        <f t="shared" si="0"/>
        <v>-0.84770752373143321</v>
      </c>
      <c r="H66" s="21">
        <f t="shared" si="0"/>
        <v>-0.8496847081916501</v>
      </c>
      <c r="I66" s="21">
        <f t="shared" si="0"/>
        <v>-0.85157738358552115</v>
      </c>
      <c r="J66" s="21">
        <f t="shared" si="0"/>
        <v>-0.85339085469000475</v>
      </c>
      <c r="K66" s="21">
        <f t="shared" si="0"/>
        <v>-0.85512999139516643</v>
      </c>
      <c r="L66" s="21">
        <f t="shared" si="0"/>
        <v>-0.85679927237431686</v>
      </c>
      <c r="M66" s="21">
        <f t="shared" si="0"/>
        <v>-0.85916507902579531</v>
      </c>
      <c r="N66" s="21">
        <f t="shared" si="0"/>
        <v>-0.86145067213863546</v>
      </c>
      <c r="O66" s="21">
        <f t="shared" si="0"/>
        <v>-0.86366006321116962</v>
      </c>
      <c r="P66" s="21">
        <f t="shared" si="0"/>
        <v>-0.86579700063966591</v>
      </c>
      <c r="Q66" s="21">
        <f t="shared" si="0"/>
        <v>-0.867864990940448</v>
      </c>
      <c r="R66" s="21">
        <f t="shared" si="0"/>
        <v>-0.86989579204223055</v>
      </c>
      <c r="S66" s="21">
        <f t="shared" si="0"/>
        <v>-0.87186227112492831</v>
      </c>
      <c r="T66" s="21">
        <f t="shared" si="0"/>
        <v>-0.87376743647607802</v>
      </c>
      <c r="U66" s="21">
        <f t="shared" si="0"/>
        <v>-0.87561411166936831</v>
      </c>
      <c r="V66" s="21">
        <f t="shared" si="0"/>
        <v>-0.8774049495274715</v>
      </c>
      <c r="W66" s="21">
        <f t="shared" si="0"/>
        <v>-0.87998004522018924</v>
      </c>
      <c r="X66" s="21">
        <f t="shared" si="0"/>
        <v>-0.88250222021582714</v>
      </c>
      <c r="Y66" s="21">
        <f t="shared" si="0"/>
        <v>-0.88495183152144496</v>
      </c>
      <c r="Z66" s="21">
        <f t="shared" si="0"/>
        <v>-0.88733196624546573</v>
      </c>
      <c r="AA66" s="21">
        <f t="shared" si="0"/>
        <v>-0.88964553883000275</v>
      </c>
      <c r="AB66" s="21">
        <f t="shared" si="0"/>
        <v>-0.89189530295622232</v>
      </c>
      <c r="AC66" s="21">
        <f t="shared" si="0"/>
        <v>-0.89408386247805838</v>
      </c>
      <c r="AD66" s="21">
        <f t="shared" si="0"/>
        <v>-0.89621368147555025</v>
      </c>
      <c r="AE66" s="21">
        <f t="shared" si="0"/>
        <v>-0.89828709350940683</v>
      </c>
      <c r="AF66" s="21">
        <f t="shared" si="0"/>
        <v>-0.90030631014988072</v>
      </c>
    </row>
    <row r="67" spans="1:32">
      <c r="A67" t="s">
        <v>44</v>
      </c>
      <c r="B67" s="388">
        <f t="shared" si="1"/>
        <v>4.1314066616152056E-2</v>
      </c>
      <c r="C67" s="388">
        <f t="shared" si="0"/>
        <v>8.567391101575729E-2</v>
      </c>
      <c r="D67" s="388">
        <f t="shared" si="0"/>
        <v>0.13342923743614371</v>
      </c>
      <c r="E67" s="388">
        <f t="shared" si="0"/>
        <v>0.17701403272971356</v>
      </c>
      <c r="F67" s="388">
        <f t="shared" si="0"/>
        <v>0.22421151427555697</v>
      </c>
      <c r="G67" s="21">
        <f t="shared" si="0"/>
        <v>0.2754902789680177</v>
      </c>
      <c r="H67" s="21">
        <f t="shared" si="0"/>
        <v>0.27012967080953559</v>
      </c>
      <c r="I67" s="21">
        <f t="shared" si="0"/>
        <v>0.2648001892827665</v>
      </c>
      <c r="J67" s="21">
        <f t="shared" si="0"/>
        <v>0.25950156406508451</v>
      </c>
      <c r="K67" s="21">
        <f t="shared" si="0"/>
        <v>0.25423352795501841</v>
      </c>
      <c r="L67" s="21">
        <f t="shared" si="0"/>
        <v>0.24899581682734578</v>
      </c>
      <c r="M67" s="21">
        <f t="shared" si="0"/>
        <v>0.24319038060159653</v>
      </c>
      <c r="N67" s="21">
        <f t="shared" si="0"/>
        <v>0.23737889178613089</v>
      </c>
      <c r="O67" s="21">
        <f t="shared" si="0"/>
        <v>0.23156134091061481</v>
      </c>
      <c r="P67" s="21">
        <f t="shared" si="0"/>
        <v>0.2257377184849457</v>
      </c>
      <c r="Q67" s="21">
        <f t="shared" si="0"/>
        <v>0.21990801499920226</v>
      </c>
      <c r="R67" s="21">
        <f t="shared" si="0"/>
        <v>0.21612729806544809</v>
      </c>
      <c r="S67" s="21">
        <f t="shared" si="0"/>
        <v>0.21232978797821322</v>
      </c>
      <c r="T67" s="21">
        <f t="shared" si="0"/>
        <v>0.20851537260094602</v>
      </c>
      <c r="U67" s="21">
        <f t="shared" si="0"/>
        <v>0.2046839387964739</v>
      </c>
      <c r="V67" s="21">
        <f t="shared" si="0"/>
        <v>0.20083537241581897</v>
      </c>
      <c r="W67" s="21">
        <f t="shared" si="0"/>
        <v>0.19027890913980003</v>
      </c>
      <c r="X67" s="21">
        <f t="shared" si="0"/>
        <v>0.18155764515252606</v>
      </c>
      <c r="Y67" s="21">
        <f t="shared" si="0"/>
        <v>0.17280994235554742</v>
      </c>
      <c r="Z67" s="21">
        <f t="shared" si="0"/>
        <v>0.16403568034112134</v>
      </c>
      <c r="AA67" s="21">
        <f t="shared" si="0"/>
        <v>0.15523473796924628</v>
      </c>
      <c r="AB67" s="21">
        <f t="shared" si="0"/>
        <v>0.14640699336208393</v>
      </c>
      <c r="AC67" s="21">
        <f t="shared" si="0"/>
        <v>0.13755232389833519</v>
      </c>
      <c r="AD67" s="21">
        <f t="shared" si="0"/>
        <v>0.12867060620755646</v>
      </c>
      <c r="AE67" s="21">
        <f t="shared" si="0"/>
        <v>0.11976171616445225</v>
      </c>
      <c r="AF67" s="21">
        <f t="shared" si="0"/>
        <v>0.1108255288830597</v>
      </c>
    </row>
    <row r="68" spans="1:32">
      <c r="A68" t="s">
        <v>47</v>
      </c>
      <c r="B68" s="388">
        <f t="shared" si="1"/>
        <v>-0.16558275466725733</v>
      </c>
      <c r="C68" s="388">
        <f t="shared" ref="C68:AF76" si="2">(C12-C40)/C40</f>
        <v>-0.16115656444950635</v>
      </c>
      <c r="D68" s="388">
        <f t="shared" si="2"/>
        <v>-0.15688364135285215</v>
      </c>
      <c r="E68" s="388">
        <f t="shared" si="2"/>
        <v>-0.152756160017611</v>
      </c>
      <c r="F68" s="388">
        <f t="shared" si="2"/>
        <v>-0.14639476680644678</v>
      </c>
      <c r="G68" s="21">
        <f t="shared" si="2"/>
        <v>-0.14024277509638511</v>
      </c>
      <c r="H68" s="21">
        <f t="shared" si="2"/>
        <v>-0.12672361186858905</v>
      </c>
      <c r="I68" s="21">
        <f t="shared" si="2"/>
        <v>-0.11340822174513694</v>
      </c>
      <c r="J68" s="21">
        <f t="shared" si="2"/>
        <v>-0.10029203200820322</v>
      </c>
      <c r="K68" s="21">
        <f t="shared" si="2"/>
        <v>-8.7370605741348278E-2</v>
      </c>
      <c r="L68" s="21">
        <f t="shared" si="2"/>
        <v>-7.4639636825373584E-2</v>
      </c>
      <c r="M68" s="21">
        <f t="shared" si="2"/>
        <v>-6.7206494325584148E-2</v>
      </c>
      <c r="N68" s="21">
        <f t="shared" si="2"/>
        <v>-5.9830526776961566E-2</v>
      </c>
      <c r="O68" s="21">
        <f t="shared" si="2"/>
        <v>-5.2511077031283784E-2</v>
      </c>
      <c r="P68" s="21">
        <f t="shared" si="2"/>
        <v>-4.5247497972600588E-2</v>
      </c>
      <c r="Q68" s="21">
        <f t="shared" si="2"/>
        <v>-3.8039152326497384E-2</v>
      </c>
      <c r="R68" s="21">
        <f t="shared" si="2"/>
        <v>-2.9351044703470112E-2</v>
      </c>
      <c r="S68" s="21">
        <f t="shared" si="2"/>
        <v>-2.0701260892314454E-2</v>
      </c>
      <c r="T68" s="21">
        <f t="shared" si="2"/>
        <v>-1.2089547877801076E-2</v>
      </c>
      <c r="U68" s="21">
        <f t="shared" si="2"/>
        <v>-3.5156548670222838E-3</v>
      </c>
      <c r="V68" s="21">
        <f t="shared" si="2"/>
        <v>5.0206667349375171E-3</v>
      </c>
      <c r="W68" s="21">
        <f t="shared" si="2"/>
        <v>5.7729753741510466E-3</v>
      </c>
      <c r="X68" s="21">
        <f t="shared" si="2"/>
        <v>7.9447329149735148E-3</v>
      </c>
      <c r="Y68" s="21">
        <f t="shared" si="2"/>
        <v>1.0104204561488396E-2</v>
      </c>
      <c r="Z68" s="21">
        <f t="shared" si="2"/>
        <v>1.225149427381699E-2</v>
      </c>
      <c r="AA68" s="21">
        <f t="shared" si="2"/>
        <v>1.4386704842466895E-2</v>
      </c>
      <c r="AB68" s="21">
        <f t="shared" si="2"/>
        <v>1.6509937904734675E-2</v>
      </c>
      <c r="AC68" s="21">
        <f t="shared" si="2"/>
        <v>1.862129396083358E-2</v>
      </c>
      <c r="AD68" s="21">
        <f t="shared" si="2"/>
        <v>2.0720872389751614E-2</v>
      </c>
      <c r="AE68" s="21">
        <f t="shared" si="2"/>
        <v>2.2808771464841143E-2</v>
      </c>
      <c r="AF68" s="21">
        <f t="shared" si="2"/>
        <v>2.4885088369155327E-2</v>
      </c>
    </row>
    <row r="69" spans="1:32">
      <c r="A69" t="s">
        <v>51</v>
      </c>
      <c r="B69" s="388">
        <f t="shared" si="1"/>
        <v>-0.15184724725897383</v>
      </c>
      <c r="C69" s="388">
        <f t="shared" si="2"/>
        <v>-0.14719842897920751</v>
      </c>
      <c r="D69" s="388">
        <f t="shared" si="2"/>
        <v>-0.1427203791636269</v>
      </c>
      <c r="E69" s="388">
        <f t="shared" si="2"/>
        <v>-0.13840385807175462</v>
      </c>
      <c r="F69" s="388">
        <f t="shared" si="2"/>
        <v>-0.13055892660324764</v>
      </c>
      <c r="G69" s="21">
        <f t="shared" si="2"/>
        <v>-0.12298711946209061</v>
      </c>
      <c r="H69" s="21">
        <f t="shared" si="2"/>
        <v>-0.10812519227475821</v>
      </c>
      <c r="I69" s="21">
        <f t="shared" si="2"/>
        <v>-9.3520193378448135E-2</v>
      </c>
      <c r="J69" s="21">
        <f t="shared" si="2"/>
        <v>-7.9165517327181828E-2</v>
      </c>
      <c r="K69" s="21">
        <f t="shared" si="2"/>
        <v>-6.5054783179531353E-2</v>
      </c>
      <c r="L69" s="21">
        <f t="shared" si="2"/>
        <v>-5.1181825040979595E-2</v>
      </c>
      <c r="M69" s="21">
        <f t="shared" si="2"/>
        <v>-4.3810399270603761E-2</v>
      </c>
      <c r="N69" s="21">
        <f t="shared" si="2"/>
        <v>-3.6506892741662932E-2</v>
      </c>
      <c r="O69" s="21">
        <f t="shared" si="2"/>
        <v>-2.9270371061861148E-2</v>
      </c>
      <c r="P69" s="21">
        <f t="shared" si="2"/>
        <v>-2.2099916900416249E-2</v>
      </c>
      <c r="Q69" s="21">
        <f t="shared" si="2"/>
        <v>-1.4994629600395978E-2</v>
      </c>
      <c r="R69" s="21">
        <f t="shared" si="2"/>
        <v>-6.1927700494834583E-3</v>
      </c>
      <c r="S69" s="21">
        <f t="shared" si="2"/>
        <v>2.5606960511155479E-3</v>
      </c>
      <c r="T69" s="21">
        <f t="shared" si="2"/>
        <v>1.1266166714840415E-2</v>
      </c>
      <c r="U69" s="21">
        <f t="shared" si="2"/>
        <v>1.992403560244034E-2</v>
      </c>
      <c r="V69" s="21">
        <f t="shared" si="2"/>
        <v>2.8534692081296543E-2</v>
      </c>
      <c r="W69" s="21">
        <f t="shared" si="2"/>
        <v>2.8861499557881577E-2</v>
      </c>
      <c r="X69" s="21">
        <f t="shared" si="2"/>
        <v>3.0813713565123656E-2</v>
      </c>
      <c r="Y69" s="21">
        <f t="shared" si="2"/>
        <v>3.2752534721267323E-2</v>
      </c>
      <c r="Z69" s="21">
        <f t="shared" si="2"/>
        <v>3.4678100374445665E-2</v>
      </c>
      <c r="AA69" s="21">
        <f t="shared" si="2"/>
        <v>3.6590546001121771E-2</v>
      </c>
      <c r="AB69" s="21">
        <f t="shared" si="2"/>
        <v>3.8490005237864305E-2</v>
      </c>
      <c r="AC69" s="21">
        <f t="shared" si="2"/>
        <v>4.0376609912473334E-2</v>
      </c>
      <c r="AD69" s="21">
        <f t="shared" si="2"/>
        <v>4.2250490074483213E-2</v>
      </c>
      <c r="AE69" s="21">
        <f t="shared" si="2"/>
        <v>4.411177402504203E-2</v>
      </c>
      <c r="AF69" s="21">
        <f t="shared" si="2"/>
        <v>4.5960588346195895E-2</v>
      </c>
    </row>
    <row r="70" spans="1:32">
      <c r="A70" t="s">
        <v>53</v>
      </c>
      <c r="B70" s="388">
        <f t="shared" si="1"/>
        <v>-0.68700091483049464</v>
      </c>
      <c r="C70" s="388">
        <f t="shared" si="2"/>
        <v>-0.68808226615764145</v>
      </c>
      <c r="D70" s="388">
        <f t="shared" si="2"/>
        <v>-0.68913472205498638</v>
      </c>
      <c r="E70" s="388">
        <f t="shared" si="2"/>
        <v>-0.69015942544997133</v>
      </c>
      <c r="F70" s="388">
        <f t="shared" si="2"/>
        <v>-0.69267643836926562</v>
      </c>
      <c r="G70" s="21">
        <f t="shared" si="2"/>
        <v>-0.6951287846862616</v>
      </c>
      <c r="H70" s="21">
        <f t="shared" si="2"/>
        <v>-0.69689346462807567</v>
      </c>
      <c r="I70" s="21">
        <f t="shared" si="2"/>
        <v>-0.6986209825679538</v>
      </c>
      <c r="J70" s="21">
        <f t="shared" si="2"/>
        <v>-0.70031250015393831</v>
      </c>
      <c r="K70" s="21">
        <f t="shared" si="2"/>
        <v>-0.70196913111736292</v>
      </c>
      <c r="L70" s="21">
        <f t="shared" si="2"/>
        <v>-0.70359194371827616</v>
      </c>
      <c r="M70" s="21">
        <f t="shared" si="2"/>
        <v>-0.70587576381048334</v>
      </c>
      <c r="N70" s="21">
        <f t="shared" si="2"/>
        <v>-0.70812306406795233</v>
      </c>
      <c r="O70" s="21">
        <f t="shared" si="2"/>
        <v>-0.71033471350804367</v>
      </c>
      <c r="P70" s="21">
        <f t="shared" si="2"/>
        <v>-0.71251155379318631</v>
      </c>
      <c r="Q70" s="21">
        <f t="shared" si="2"/>
        <v>-0.71465440029882088</v>
      </c>
      <c r="R70" s="21">
        <f t="shared" si="2"/>
        <v>-0.7166624968634201</v>
      </c>
      <c r="S70" s="21">
        <f t="shared" si="2"/>
        <v>-0.7186411242900167</v>
      </c>
      <c r="T70" s="21">
        <f t="shared" si="2"/>
        <v>-0.72059092654988521</v>
      </c>
      <c r="U70" s="21">
        <f t="shared" si="2"/>
        <v>-0.72251252898689666</v>
      </c>
      <c r="V70" s="21">
        <f t="shared" si="2"/>
        <v>-0.72440653898620033</v>
      </c>
      <c r="W70" s="21">
        <f t="shared" si="2"/>
        <v>-0.72845431007606243</v>
      </c>
      <c r="X70" s="21">
        <f t="shared" si="2"/>
        <v>-0.73235768047256011</v>
      </c>
      <c r="Y70" s="21">
        <f t="shared" si="2"/>
        <v>-0.73620509645860699</v>
      </c>
      <c r="Z70" s="21">
        <f t="shared" si="2"/>
        <v>-0.73999775262306788</v>
      </c>
      <c r="AA70" s="21">
        <f t="shared" si="2"/>
        <v>-0.7437368097902064</v>
      </c>
      <c r="AB70" s="21">
        <f t="shared" si="2"/>
        <v>-0.7474233962042407</v>
      </c>
      <c r="AC70" s="21">
        <f t="shared" si="2"/>
        <v>-0.75105860866438423</v>
      </c>
      <c r="AD70" s="21">
        <f t="shared" si="2"/>
        <v>-0.75464351361275661</v>
      </c>
      <c r="AE70" s="21">
        <f t="shared" si="2"/>
        <v>-0.75817914817744536</v>
      </c>
      <c r="AF70" s="21">
        <f t="shared" si="2"/>
        <v>-0.7616665211728485</v>
      </c>
    </row>
    <row r="71" spans="1:32">
      <c r="A71" t="s">
        <v>56</v>
      </c>
      <c r="B71" s="388">
        <f t="shared" si="1"/>
        <v>-0.91210226910309067</v>
      </c>
      <c r="C71" s="388">
        <f t="shared" si="2"/>
        <v>-0.91333016096719455</v>
      </c>
      <c r="D71" s="388">
        <f t="shared" si="2"/>
        <v>-0.91447946449327211</v>
      </c>
      <c r="E71" s="388">
        <f t="shared" si="2"/>
        <v>-0.91555749051814539</v>
      </c>
      <c r="F71" s="388">
        <f t="shared" si="2"/>
        <v>-0.91746173798778341</v>
      </c>
      <c r="G71" s="21">
        <f t="shared" si="2"/>
        <v>-0.91925478431773788</v>
      </c>
      <c r="H71" s="21">
        <f t="shared" si="2"/>
        <v>-0.9204491697272108</v>
      </c>
      <c r="I71" s="21">
        <f t="shared" si="2"/>
        <v>-0.92159153377038872</v>
      </c>
      <c r="J71" s="21">
        <f t="shared" si="2"/>
        <v>-0.92268520269016185</v>
      </c>
      <c r="K71" s="21">
        <f t="shared" si="2"/>
        <v>-0.92373322507415989</v>
      </c>
      <c r="L71" s="21">
        <f t="shared" si="2"/>
        <v>-0.92473840023381204</v>
      </c>
      <c r="M71" s="21">
        <f t="shared" si="2"/>
        <v>-0.92591532987433345</v>
      </c>
      <c r="N71" s="21">
        <f t="shared" si="2"/>
        <v>-0.92705429885525581</v>
      </c>
      <c r="O71" s="21">
        <f t="shared" si="2"/>
        <v>-0.9281571146015275</v>
      </c>
      <c r="P71" s="21">
        <f t="shared" si="2"/>
        <v>-0.92922547158790869</v>
      </c>
      <c r="Q71" s="21">
        <f t="shared" si="2"/>
        <v>-0.93026096002639969</v>
      </c>
      <c r="R71" s="21">
        <f t="shared" si="2"/>
        <v>-0.93116712653818756</v>
      </c>
      <c r="S71" s="21">
        <f t="shared" si="2"/>
        <v>-0.9320487179929321</v>
      </c>
      <c r="T71" s="21">
        <f t="shared" si="2"/>
        <v>-0.93290672072212366</v>
      </c>
      <c r="U71" s="21">
        <f t="shared" si="2"/>
        <v>-0.93374206897157652</v>
      </c>
      <c r="V71" s="21">
        <f t="shared" si="2"/>
        <v>-0.93455564829476867</v>
      </c>
      <c r="W71" s="21">
        <f t="shared" si="2"/>
        <v>-0.93592886195998126</v>
      </c>
      <c r="X71" s="21">
        <f t="shared" si="2"/>
        <v>-0.93718760952491875</v>
      </c>
      <c r="Y71" s="21">
        <f t="shared" si="2"/>
        <v>-0.93841349336589353</v>
      </c>
      <c r="Z71" s="21">
        <f t="shared" si="2"/>
        <v>-0.93960778392100597</v>
      </c>
      <c r="AA71" s="21">
        <f t="shared" si="2"/>
        <v>-0.94077168697836921</v>
      </c>
      <c r="AB71" s="21">
        <f t="shared" si="2"/>
        <v>-0.94190634773682913</v>
      </c>
      <c r="AC71" s="21">
        <f t="shared" si="2"/>
        <v>-0.94301285456441419</v>
      </c>
      <c r="AD71" s="21">
        <f t="shared" si="2"/>
        <v>-0.94409224248044266</v>
      </c>
      <c r="AE71" s="21">
        <f t="shared" si="2"/>
        <v>-0.94514549638470335</v>
      </c>
      <c r="AF71" s="21">
        <f t="shared" si="2"/>
        <v>-0.94617355405488945</v>
      </c>
    </row>
    <row r="72" spans="1:32">
      <c r="A72" t="s">
        <v>58</v>
      </c>
      <c r="B72" s="388">
        <f t="shared" si="1"/>
        <v>-0.12075546441397594</v>
      </c>
      <c r="C72" s="388">
        <f t="shared" si="2"/>
        <v>-0.12365491813067993</v>
      </c>
      <c r="D72" s="388">
        <f t="shared" si="2"/>
        <v>-0.12645458989466291</v>
      </c>
      <c r="E72" s="388">
        <f t="shared" si="2"/>
        <v>-0.12915954342639835</v>
      </c>
      <c r="F72" s="388">
        <f t="shared" si="2"/>
        <v>-0.12893892461012599</v>
      </c>
      <c r="G72" s="21">
        <f t="shared" si="2"/>
        <v>-0.12872552549275337</v>
      </c>
      <c r="H72" s="21">
        <f t="shared" si="2"/>
        <v>-0.12000757842690461</v>
      </c>
      <c r="I72" s="21">
        <f t="shared" si="2"/>
        <v>-0.11140205347008104</v>
      </c>
      <c r="J72" s="21">
        <f t="shared" si="2"/>
        <v>-0.1029067899482155</v>
      </c>
      <c r="K72" s="21">
        <f t="shared" si="2"/>
        <v>-9.4519682203636782E-2</v>
      </c>
      <c r="L72" s="21">
        <f t="shared" si="2"/>
        <v>-8.6238677855071944E-2</v>
      </c>
      <c r="M72" s="21">
        <f t="shared" si="2"/>
        <v>-8.9376167232770615E-2</v>
      </c>
      <c r="N72" s="21">
        <f t="shared" si="2"/>
        <v>-9.2520958067188186E-2</v>
      </c>
      <c r="O72" s="21">
        <f t="shared" si="2"/>
        <v>-9.5673075875562896E-2</v>
      </c>
      <c r="P72" s="21">
        <f t="shared" si="2"/>
        <v>-9.88325462941749E-2</v>
      </c>
      <c r="Q72" s="21">
        <f t="shared" si="2"/>
        <v>-0.10199939507904231</v>
      </c>
      <c r="R72" s="21">
        <f t="shared" si="2"/>
        <v>-0.10142788959438014</v>
      </c>
      <c r="S72" s="21">
        <f t="shared" si="2"/>
        <v>-0.10085022463140161</v>
      </c>
      <c r="T72" s="21">
        <f t="shared" si="2"/>
        <v>-0.10026630007366985</v>
      </c>
      <c r="U72" s="21">
        <f t="shared" si="2"/>
        <v>-9.9676013623200624E-2</v>
      </c>
      <c r="V72" s="21">
        <f t="shared" si="2"/>
        <v>-9.907926074071409E-2</v>
      </c>
      <c r="W72" s="21">
        <f t="shared" si="2"/>
        <v>-0.1081927513009168</v>
      </c>
      <c r="X72" s="21">
        <f t="shared" si="2"/>
        <v>-0.11385760692202049</v>
      </c>
      <c r="Y72" s="21">
        <f t="shared" si="2"/>
        <v>-0.11956425511784551</v>
      </c>
      <c r="Z72" s="21">
        <f t="shared" si="2"/>
        <v>-0.12531316008893481</v>
      </c>
      <c r="AA72" s="21">
        <f t="shared" si="2"/>
        <v>-0.13110479293602487</v>
      </c>
      <c r="AB72" s="21">
        <f t="shared" si="2"/>
        <v>-0.13693963178874097</v>
      </c>
      <c r="AC72" s="21">
        <f t="shared" si="2"/>
        <v>-0.14281816193719712</v>
      </c>
      <c r="AD72" s="21">
        <f t="shared" si="2"/>
        <v>-0.14874087596651372</v>
      </c>
      <c r="AE72" s="21">
        <f t="shared" si="2"/>
        <v>-0.15470827389443012</v>
      </c>
      <c r="AF72" s="21">
        <f t="shared" si="2"/>
        <v>-0.16072086331201615</v>
      </c>
    </row>
    <row r="73" spans="1:32">
      <c r="A73" t="s">
        <v>61</v>
      </c>
      <c r="B73" s="388">
        <f t="shared" si="1"/>
        <v>0.28077501551343709</v>
      </c>
      <c r="C73" s="388">
        <f t="shared" si="2"/>
        <v>0.27114587750831476</v>
      </c>
      <c r="D73" s="388">
        <f t="shared" si="2"/>
        <v>0.2615597692336481</v>
      </c>
      <c r="E73" s="388">
        <f t="shared" si="2"/>
        <v>0.25201640290201027</v>
      </c>
      <c r="F73" s="388">
        <f t="shared" si="2"/>
        <v>0.26133659390464375</v>
      </c>
      <c r="G73" s="21">
        <f t="shared" si="2"/>
        <v>0.27061541308573561</v>
      </c>
      <c r="H73" s="21">
        <f t="shared" si="2"/>
        <v>0.28752210028344977</v>
      </c>
      <c r="I73" s="21">
        <f t="shared" si="2"/>
        <v>0.30455655003061749</v>
      </c>
      <c r="J73" s="21">
        <f t="shared" si="2"/>
        <v>0.32172021605791074</v>
      </c>
      <c r="K73" s="21">
        <f t="shared" si="2"/>
        <v>0.33901457423476644</v>
      </c>
      <c r="L73" s="21">
        <f t="shared" si="2"/>
        <v>0.35644112299243463</v>
      </c>
      <c r="M73" s="21">
        <f t="shared" si="2"/>
        <v>0.35907283860774081</v>
      </c>
      <c r="N73" s="21">
        <f t="shared" si="2"/>
        <v>0.36173019516960259</v>
      </c>
      <c r="O73" s="21">
        <f t="shared" si="2"/>
        <v>0.36441356924415064</v>
      </c>
      <c r="P73" s="21">
        <f t="shared" si="2"/>
        <v>0.36712334480752123</v>
      </c>
      <c r="Q73" s="21">
        <f t="shared" si="2"/>
        <v>0.36985991342901781</v>
      </c>
      <c r="R73" s="21">
        <f t="shared" si="2"/>
        <v>0.37138249535723566</v>
      </c>
      <c r="S73" s="21">
        <f t="shared" si="2"/>
        <v>0.37291748985159551</v>
      </c>
      <c r="T73" s="21">
        <f t="shared" si="2"/>
        <v>0.37446504932004326</v>
      </c>
      <c r="U73" s="21">
        <f t="shared" si="2"/>
        <v>0.37602532867590449</v>
      </c>
      <c r="V73" s="21">
        <f t="shared" si="2"/>
        <v>0.37759848538957841</v>
      </c>
      <c r="W73" s="21">
        <f t="shared" si="2"/>
        <v>0.3707554981832375</v>
      </c>
      <c r="X73" s="21">
        <f t="shared" si="2"/>
        <v>0.36268748124190414</v>
      </c>
      <c r="Y73" s="21">
        <f t="shared" si="2"/>
        <v>0.35454552111459581</v>
      </c>
      <c r="Z73" s="21">
        <f t="shared" si="2"/>
        <v>0.34632859659028559</v>
      </c>
      <c r="AA73" s="21">
        <f t="shared" si="2"/>
        <v>0.33803566756603814</v>
      </c>
      <c r="AB73" s="21">
        <f t="shared" si="2"/>
        <v>0.32966567460814333</v>
      </c>
      <c r="AC73" s="21">
        <f t="shared" si="2"/>
        <v>0.32121753850090806</v>
      </c>
      <c r="AD73" s="21">
        <f t="shared" si="2"/>
        <v>0.31269015978279385</v>
      </c>
      <c r="AE73" s="21">
        <f t="shared" si="2"/>
        <v>0.30408241826940213</v>
      </c>
      <c r="AF73" s="21">
        <f t="shared" si="2"/>
        <v>0.29539317256293657</v>
      </c>
    </row>
    <row r="74" spans="1:32">
      <c r="A74" t="s">
        <v>65</v>
      </c>
      <c r="B74" s="388">
        <f t="shared" si="1"/>
        <v>0.41772328288235017</v>
      </c>
      <c r="C74" s="388">
        <f t="shared" si="2"/>
        <v>0.40905181399699181</v>
      </c>
      <c r="D74" s="388">
        <f t="shared" si="2"/>
        <v>0.40058837946528159</v>
      </c>
      <c r="E74" s="388">
        <f t="shared" si="2"/>
        <v>0.39232558169830106</v>
      </c>
      <c r="F74" s="388">
        <f t="shared" si="2"/>
        <v>0.43422841348719288</v>
      </c>
      <c r="G74" s="21">
        <f t="shared" si="2"/>
        <v>0.47516088754061642</v>
      </c>
      <c r="H74" s="21">
        <f t="shared" si="2"/>
        <v>0.5246660515457704</v>
      </c>
      <c r="I74" s="21">
        <f t="shared" si="2"/>
        <v>0.57365495153348101</v>
      </c>
      <c r="J74" s="21">
        <f t="shared" si="2"/>
        <v>0.62213562139289136</v>
      </c>
      <c r="K74" s="21">
        <f t="shared" si="2"/>
        <v>0.67011592917989982</v>
      </c>
      <c r="L74" s="21">
        <f t="shared" si="2"/>
        <v>0.71760358137404134</v>
      </c>
      <c r="M74" s="21">
        <f t="shared" si="2"/>
        <v>0.71232460088084737</v>
      </c>
      <c r="N74" s="21">
        <f t="shared" si="2"/>
        <v>0.70707755559557128</v>
      </c>
      <c r="O74" s="21">
        <f t="shared" si="2"/>
        <v>0.7018621566039055</v>
      </c>
      <c r="P74" s="21">
        <f t="shared" si="2"/>
        <v>0.69667811846610062</v>
      </c>
      <c r="Q74" s="21">
        <f t="shared" si="2"/>
        <v>0.69152515916488755</v>
      </c>
      <c r="R74" s="21">
        <f t="shared" si="2"/>
        <v>0.68604286322424435</v>
      </c>
      <c r="S74" s="21">
        <f t="shared" si="2"/>
        <v>0.68059555848197195</v>
      </c>
      <c r="T74" s="21">
        <f t="shared" si="2"/>
        <v>0.67518291100251471</v>
      </c>
      <c r="U74" s="21">
        <f t="shared" si="2"/>
        <v>0.66980459108602231</v>
      </c>
      <c r="V74" s="21">
        <f t="shared" si="2"/>
        <v>0.66446027320140744</v>
      </c>
      <c r="W74" s="21">
        <f t="shared" si="2"/>
        <v>0.64389612447198974</v>
      </c>
      <c r="X74" s="21">
        <f t="shared" si="2"/>
        <v>0.62314039317683867</v>
      </c>
      <c r="Y74" s="21">
        <f t="shared" si="2"/>
        <v>0.60251102723064198</v>
      </c>
      <c r="Z74" s="21">
        <f t="shared" si="2"/>
        <v>0.58200687612659929</v>
      </c>
      <c r="AA74" s="21">
        <f t="shared" si="2"/>
        <v>0.56162680328219972</v>
      </c>
      <c r="AB74" s="21">
        <f t="shared" si="2"/>
        <v>0.54136968582920353</v>
      </c>
      <c r="AC74" s="21">
        <f t="shared" si="2"/>
        <v>0.52123441440742335</v>
      </c>
      <c r="AD74" s="21">
        <f t="shared" si="2"/>
        <v>0.5012198929621956</v>
      </c>
      <c r="AE74" s="21">
        <f t="shared" si="2"/>
        <v>0.48132503854550152</v>
      </c>
      <c r="AF74" s="21">
        <f t="shared" si="2"/>
        <v>0.46154878112063985</v>
      </c>
    </row>
    <row r="75" spans="1:32">
      <c r="A75" t="s">
        <v>67</v>
      </c>
      <c r="B75" s="388">
        <f t="shared" si="1"/>
        <v>0.43411723583842643</v>
      </c>
      <c r="C75" s="388">
        <f t="shared" si="2"/>
        <v>0.45084590464573682</v>
      </c>
      <c r="D75" s="388">
        <f t="shared" si="2"/>
        <v>0.46689387626822126</v>
      </c>
      <c r="E75" s="388">
        <f t="shared" si="2"/>
        <v>0.48230186910045825</v>
      </c>
      <c r="F75" s="388">
        <f t="shared" si="2"/>
        <v>0.47798040818665932</v>
      </c>
      <c r="G75" s="21">
        <f t="shared" si="2"/>
        <v>0.47382467423508856</v>
      </c>
      <c r="H75" s="21">
        <f t="shared" si="2"/>
        <v>0.4707700924058526</v>
      </c>
      <c r="I75" s="21">
        <f t="shared" si="2"/>
        <v>0.46782461227485278</v>
      </c>
      <c r="J75" s="21">
        <f t="shared" si="2"/>
        <v>0.4649824911566946</v>
      </c>
      <c r="K75" s="21">
        <f t="shared" si="2"/>
        <v>0.46223838244651161</v>
      </c>
      <c r="L75" s="21">
        <f t="shared" si="2"/>
        <v>0.45958730205104664</v>
      </c>
      <c r="M75" s="21">
        <f t="shared" si="2"/>
        <v>0.44747603500416228</v>
      </c>
      <c r="N75" s="21">
        <f t="shared" si="2"/>
        <v>0.43570356889387557</v>
      </c>
      <c r="O75" s="21">
        <f t="shared" si="2"/>
        <v>0.42425588338198</v>
      </c>
      <c r="P75" s="21">
        <f t="shared" si="2"/>
        <v>0.41311972119497359</v>
      </c>
      <c r="Q75" s="21">
        <f t="shared" si="2"/>
        <v>0.40228253690814281</v>
      </c>
      <c r="R75" s="21">
        <f t="shared" si="2"/>
        <v>0.39111852474972364</v>
      </c>
      <c r="S75" s="21">
        <f t="shared" si="2"/>
        <v>0.38025586413304041</v>
      </c>
      <c r="T75" s="21">
        <f t="shared" si="2"/>
        <v>0.36968251591672191</v>
      </c>
      <c r="U75" s="21">
        <f t="shared" si="2"/>
        <v>0.35938707382441454</v>
      </c>
      <c r="V75" s="21">
        <f t="shared" si="2"/>
        <v>0.3493587233992046</v>
      </c>
      <c r="W75" s="21">
        <f t="shared" si="2"/>
        <v>0.32906330150963958</v>
      </c>
      <c r="X75" s="21">
        <f t="shared" si="2"/>
        <v>0.30877399685447066</v>
      </c>
      <c r="Y75" s="21">
        <f t="shared" si="2"/>
        <v>0.28898484516775758</v>
      </c>
      <c r="Z75" s="21">
        <f t="shared" si="2"/>
        <v>0.26967757766695566</v>
      </c>
      <c r="AA75" s="21">
        <f t="shared" si="2"/>
        <v>0.25083480459059532</v>
      </c>
      <c r="AB75" s="21">
        <f t="shared" si="2"/>
        <v>0.23243996295795663</v>
      </c>
      <c r="AC75" s="21">
        <f t="shared" si="2"/>
        <v>0.21447726801053404</v>
      </c>
      <c r="AD75" s="21">
        <f t="shared" si="2"/>
        <v>0.19693166803610926</v>
      </c>
      <c r="AE75" s="21">
        <f t="shared" si="2"/>
        <v>0.17978880230367017</v>
      </c>
      <c r="AF75" s="21">
        <f t="shared" si="2"/>
        <v>0.16303496186209476</v>
      </c>
    </row>
    <row r="76" spans="1:32">
      <c r="A76" t="s">
        <v>71</v>
      </c>
      <c r="B76" s="388">
        <f t="shared" si="1"/>
        <v>0.41017707879183601</v>
      </c>
      <c r="C76" s="388">
        <f t="shared" si="2"/>
        <v>0.42621720946851538</v>
      </c>
      <c r="D76" s="388">
        <f t="shared" si="2"/>
        <v>0.44159618425542563</v>
      </c>
      <c r="E76" s="388">
        <f t="shared" si="2"/>
        <v>0.45635405582716088</v>
      </c>
      <c r="F76" s="388">
        <f t="shared" si="2"/>
        <v>0.45088538524312488</v>
      </c>
      <c r="G76" s="21">
        <f t="shared" si="2"/>
        <v>0.44562900167931568</v>
      </c>
      <c r="H76" s="21">
        <f t="shared" si="2"/>
        <v>0.44190191881112956</v>
      </c>
      <c r="I76" s="21">
        <f t="shared" si="2"/>
        <v>0.43830760759504456</v>
      </c>
      <c r="J76" s="21">
        <f t="shared" si="2"/>
        <v>0.43483909750632288</v>
      </c>
      <c r="K76" s="21">
        <f t="shared" si="2"/>
        <v>0.43148989756579642</v>
      </c>
      <c r="L76" s="21">
        <f t="shared" si="2"/>
        <v>0.428253955798509</v>
      </c>
      <c r="M76" s="21">
        <f t="shared" si="2"/>
        <v>0.41632206089784912</v>
      </c>
      <c r="N76" s="21">
        <f t="shared" si="2"/>
        <v>0.40472243212674086</v>
      </c>
      <c r="O76" s="21">
        <f t="shared" si="2"/>
        <v>0.39344138120708161</v>
      </c>
      <c r="P76" s="21">
        <f t="shared" si="2"/>
        <v>0.38246596155866175</v>
      </c>
      <c r="Q76" s="21">
        <f t="shared" si="2"/>
        <v>0.37178391873454747</v>
      </c>
      <c r="R76" s="21">
        <f t="shared" ref="C76:AF83" si="3">(R20-R48)/R48</f>
        <v>0.36079464328501215</v>
      </c>
      <c r="S76" s="21">
        <f t="shared" si="3"/>
        <v>0.35010060451768038</v>
      </c>
      <c r="T76" s="21">
        <f t="shared" si="3"/>
        <v>0.33969006244021427</v>
      </c>
      <c r="U76" s="21">
        <f t="shared" si="3"/>
        <v>0.32955189136709451</v>
      </c>
      <c r="V76" s="21">
        <f t="shared" si="3"/>
        <v>0.31967554025818506</v>
      </c>
      <c r="W76" s="21">
        <f t="shared" si="3"/>
        <v>0.29964933362044549</v>
      </c>
      <c r="X76" s="21">
        <f t="shared" si="3"/>
        <v>0.27964065310587222</v>
      </c>
      <c r="Y76" s="21">
        <f t="shared" si="3"/>
        <v>0.26012314708603795</v>
      </c>
      <c r="Z76" s="21">
        <f t="shared" si="3"/>
        <v>0.24107894877945618</v>
      </c>
      <c r="AA76" s="21">
        <f t="shared" si="3"/>
        <v>0.22249104757725688</v>
      </c>
      <c r="AB76" s="21">
        <f t="shared" si="3"/>
        <v>0.20434323836578822</v>
      </c>
      <c r="AC76" s="21">
        <f t="shared" si="3"/>
        <v>0.18662007440663533</v>
      </c>
      <c r="AD76" s="21">
        <f t="shared" si="3"/>
        <v>0.16930682348611681</v>
      </c>
      <c r="AE76" s="21">
        <f t="shared" si="3"/>
        <v>0.15238942707259975</v>
      </c>
      <c r="AF76" s="21">
        <f t="shared" si="3"/>
        <v>0.13585446224366629</v>
      </c>
    </row>
    <row r="77" spans="1:32">
      <c r="A77" t="s">
        <v>73</v>
      </c>
      <c r="B77" s="388">
        <f t="shared" si="1"/>
        <v>0.48283413450337898</v>
      </c>
      <c r="C77" s="388">
        <f t="shared" si="3"/>
        <v>0.5007999460053455</v>
      </c>
      <c r="D77" s="388">
        <f t="shared" si="3"/>
        <v>0.51799731162630491</v>
      </c>
      <c r="E77" s="388">
        <f t="shared" si="3"/>
        <v>0.53447450177196698</v>
      </c>
      <c r="F77" s="388">
        <f t="shared" si="3"/>
        <v>0.52928488677660612</v>
      </c>
      <c r="G77" s="21">
        <f t="shared" si="3"/>
        <v>0.5243038625374099</v>
      </c>
      <c r="H77" s="21">
        <f t="shared" si="3"/>
        <v>0.52216816486699358</v>
      </c>
      <c r="I77" s="21">
        <f t="shared" si="3"/>
        <v>0.5201079598705074</v>
      </c>
      <c r="J77" s="21">
        <f t="shared" si="3"/>
        <v>0.51811931429009717</v>
      </c>
      <c r="K77" s="21">
        <f t="shared" si="3"/>
        <v>0.51619856344012505</v>
      </c>
      <c r="L77" s="21">
        <f t="shared" si="3"/>
        <v>0.51434228866848064</v>
      </c>
      <c r="M77" s="21">
        <f t="shared" si="3"/>
        <v>0.50227470051616319</v>
      </c>
      <c r="N77" s="21">
        <f t="shared" si="3"/>
        <v>0.49053865220358966</v>
      </c>
      <c r="O77" s="21">
        <f t="shared" si="3"/>
        <v>0.47912066599251146</v>
      </c>
      <c r="P77" s="21">
        <f t="shared" si="3"/>
        <v>0.46800798490620055</v>
      </c>
      <c r="Q77" s="21">
        <f t="shared" si="3"/>
        <v>0.45718852518406689</v>
      </c>
      <c r="R77" s="21">
        <f t="shared" si="3"/>
        <v>0.44606096840005433</v>
      </c>
      <c r="S77" s="21">
        <f t="shared" si="3"/>
        <v>0.43522820131812001</v>
      </c>
      <c r="T77" s="21">
        <f t="shared" si="3"/>
        <v>0.42467866278422312</v>
      </c>
      <c r="U77" s="21">
        <f t="shared" si="3"/>
        <v>0.41440138838845847</v>
      </c>
      <c r="V77" s="21">
        <f t="shared" si="3"/>
        <v>0.40438597245339925</v>
      </c>
      <c r="W77" s="21">
        <f t="shared" si="3"/>
        <v>0.38352413941323421</v>
      </c>
      <c r="X77" s="21">
        <f t="shared" si="3"/>
        <v>0.36269221562871445</v>
      </c>
      <c r="Y77" s="21">
        <f t="shared" si="3"/>
        <v>0.34236535946976177</v>
      </c>
      <c r="Z77" s="21">
        <f t="shared" si="3"/>
        <v>0.32252542297323056</v>
      </c>
      <c r="AA77" s="21">
        <f t="shared" si="3"/>
        <v>0.303155117336326</v>
      </c>
      <c r="AB77" s="21">
        <f t="shared" si="3"/>
        <v>0.28423796266840501</v>
      </c>
      <c r="AC77" s="21">
        <f t="shared" si="3"/>
        <v>0.26575824122850855</v>
      </c>
      <c r="AD77" s="21">
        <f t="shared" si="3"/>
        <v>0.24770095386978716</v>
      </c>
      <c r="AE77" s="21">
        <f t="shared" si="3"/>
        <v>0.23005177943711569</v>
      </c>
      <c r="AF77" s="21">
        <f t="shared" si="3"/>
        <v>0.2127970368869172</v>
      </c>
    </row>
    <row r="78" spans="1:32">
      <c r="A78" t="s">
        <v>75</v>
      </c>
      <c r="B78" s="388">
        <f t="shared" si="1"/>
        <v>0.36007777880383501</v>
      </c>
      <c r="C78" s="388">
        <f t="shared" si="3"/>
        <v>0.37471335853911458</v>
      </c>
      <c r="D78" s="388">
        <f t="shared" si="3"/>
        <v>0.38880122345406953</v>
      </c>
      <c r="E78" s="388">
        <f t="shared" si="3"/>
        <v>0.40237155492186755</v>
      </c>
      <c r="F78" s="388">
        <f t="shared" si="3"/>
        <v>0.39926715637948834</v>
      </c>
      <c r="G78" s="21">
        <f t="shared" si="3"/>
        <v>0.39627276031969688</v>
      </c>
      <c r="H78" s="21">
        <f t="shared" si="3"/>
        <v>0.39185515695382844</v>
      </c>
      <c r="I78" s="21">
        <f t="shared" si="3"/>
        <v>0.38759791595063747</v>
      </c>
      <c r="J78" s="21">
        <f t="shared" si="3"/>
        <v>0.38349246105872214</v>
      </c>
      <c r="K78" s="21">
        <f t="shared" si="3"/>
        <v>0.37953081686469953</v>
      </c>
      <c r="L78" s="21">
        <f t="shared" si="3"/>
        <v>0.37570555708175901</v>
      </c>
      <c r="M78" s="21">
        <f t="shared" si="3"/>
        <v>0.36357295979056042</v>
      </c>
      <c r="N78" s="21">
        <f t="shared" si="3"/>
        <v>0.35178932374264155</v>
      </c>
      <c r="O78" s="21">
        <f t="shared" si="3"/>
        <v>0.34033980699702493</v>
      </c>
      <c r="P78" s="21">
        <f t="shared" si="3"/>
        <v>0.32921039751905956</v>
      </c>
      <c r="Q78" s="21">
        <f t="shared" si="3"/>
        <v>0.31838785597350883</v>
      </c>
      <c r="R78" s="21">
        <f t="shared" si="3"/>
        <v>0.30721415023964205</v>
      </c>
      <c r="S78" s="21">
        <f t="shared" si="3"/>
        <v>0.29635085171943587</v>
      </c>
      <c r="T78" s="21">
        <f t="shared" si="3"/>
        <v>0.28578520287788833</v>
      </c>
      <c r="U78" s="21">
        <f t="shared" si="3"/>
        <v>0.27550513583376801</v>
      </c>
      <c r="V78" s="21">
        <f t="shared" si="3"/>
        <v>0.26549922637892803</v>
      </c>
      <c r="W78" s="21">
        <f t="shared" si="3"/>
        <v>0.24610916738640695</v>
      </c>
      <c r="X78" s="21">
        <f t="shared" si="3"/>
        <v>0.22669170360762816</v>
      </c>
      <c r="Y78" s="21">
        <f t="shared" si="3"/>
        <v>0.20776524218333509</v>
      </c>
      <c r="Z78" s="21">
        <f t="shared" si="3"/>
        <v>0.1893113919416535</v>
      </c>
      <c r="AA78" s="21">
        <f t="shared" si="3"/>
        <v>0.17131266887337485</v>
      </c>
      <c r="AB78" s="21">
        <f t="shared" si="3"/>
        <v>0.15375244087994594</v>
      </c>
      <c r="AC78" s="21">
        <f t="shared" si="3"/>
        <v>0.13661487651107654</v>
      </c>
      <c r="AD78" s="21">
        <f t="shared" si="3"/>
        <v>0.1198848973599069</v>
      </c>
      <c r="AE78" s="21">
        <f t="shared" si="3"/>
        <v>0.10354813381482893</v>
      </c>
      <c r="AF78" s="21">
        <f t="shared" si="3"/>
        <v>8.7590883895051513E-2</v>
      </c>
    </row>
    <row r="79" spans="1:32">
      <c r="A79" t="s">
        <v>78</v>
      </c>
      <c r="B79" s="388">
        <f t="shared" si="1"/>
        <v>0.67060015596837241</v>
      </c>
      <c r="C79" s="388">
        <f t="shared" si="3"/>
        <v>0.69396302380165609</v>
      </c>
      <c r="D79" s="388">
        <f t="shared" si="3"/>
        <v>0.71637063777526044</v>
      </c>
      <c r="E79" s="388">
        <f t="shared" si="3"/>
        <v>0.73788041133288107</v>
      </c>
      <c r="F79" s="388">
        <f t="shared" si="3"/>
        <v>0.73950738168840591</v>
      </c>
      <c r="G79" s="21">
        <f t="shared" si="3"/>
        <v>0.74107167316557943</v>
      </c>
      <c r="H79" s="21">
        <f t="shared" si="3"/>
        <v>0.74387905842809976</v>
      </c>
      <c r="I79" s="21">
        <f t="shared" si="3"/>
        <v>0.74658626966565034</v>
      </c>
      <c r="J79" s="21">
        <f t="shared" si="3"/>
        <v>0.74919857455941552</v>
      </c>
      <c r="K79" s="21">
        <f t="shared" si="3"/>
        <v>0.7517208778161506</v>
      </c>
      <c r="L79" s="21">
        <f t="shared" si="3"/>
        <v>0.75415775190259338</v>
      </c>
      <c r="M79" s="21">
        <f t="shared" si="3"/>
        <v>0.74094397917706412</v>
      </c>
      <c r="N79" s="21">
        <f t="shared" si="3"/>
        <v>0.72809922165001606</v>
      </c>
      <c r="O79" s="21">
        <f t="shared" si="3"/>
        <v>0.71560823420639719</v>
      </c>
      <c r="P79" s="21">
        <f t="shared" si="3"/>
        <v>0.70345660008527233</v>
      </c>
      <c r="Q79" s="21">
        <f t="shared" si="3"/>
        <v>0.69163067537232548</v>
      </c>
      <c r="R79" s="21">
        <f t="shared" si="3"/>
        <v>0.67938171430915961</v>
      </c>
      <c r="S79" s="21">
        <f t="shared" si="3"/>
        <v>0.6674628091920235</v>
      </c>
      <c r="T79" s="21">
        <f t="shared" si="3"/>
        <v>0.65586079701660183</v>
      </c>
      <c r="U79" s="21">
        <f t="shared" si="3"/>
        <v>0.64456320553650326</v>
      </c>
      <c r="V79" s="21">
        <f t="shared" si="3"/>
        <v>0.63355820853869294</v>
      </c>
      <c r="W79" s="21">
        <f t="shared" si="3"/>
        <v>0.61054814225557197</v>
      </c>
      <c r="X79" s="21">
        <f t="shared" si="3"/>
        <v>0.58750990691792093</v>
      </c>
      <c r="Y79" s="21">
        <f t="shared" si="3"/>
        <v>0.56503870304995274</v>
      </c>
      <c r="Z79" s="21">
        <f t="shared" si="3"/>
        <v>0.54311385094242448</v>
      </c>
      <c r="AA79" s="21">
        <f t="shared" si="3"/>
        <v>0.52171566439706363</v>
      </c>
      <c r="AB79" s="21">
        <f t="shared" si="3"/>
        <v>0.50082539177088492</v>
      </c>
      <c r="AC79" s="21">
        <f t="shared" si="3"/>
        <v>0.48042516116940909</v>
      </c>
      <c r="AD79" s="21">
        <f t="shared" si="3"/>
        <v>0.46049792945213691</v>
      </c>
      <c r="AE79" s="21">
        <f t="shared" si="3"/>
        <v>0.44102743474444206</v>
      </c>
      <c r="AF79" s="21">
        <f t="shared" si="3"/>
        <v>0.42199815217778069</v>
      </c>
    </row>
    <row r="80" spans="1:32">
      <c r="A80" t="s">
        <v>80</v>
      </c>
      <c r="B80" s="388">
        <f t="shared" si="1"/>
        <v>-0.92349961918415835</v>
      </c>
      <c r="C80" s="388">
        <f t="shared" si="3"/>
        <v>-0.92601676624081719</v>
      </c>
      <c r="D80" s="388">
        <f t="shared" si="3"/>
        <v>-0.92839790346102646</v>
      </c>
      <c r="E80" s="388">
        <f t="shared" si="3"/>
        <v>-0.93065376445491355</v>
      </c>
      <c r="F80" s="388">
        <f t="shared" si="3"/>
        <v>-0.93235287447142645</v>
      </c>
      <c r="G80" s="21">
        <f t="shared" si="3"/>
        <v>-0.9339670591172794</v>
      </c>
      <c r="H80" s="21">
        <f t="shared" si="3"/>
        <v>-0.9351391445539371</v>
      </c>
      <c r="I80" s="21">
        <f t="shared" si="3"/>
        <v>-0.93626778071171557</v>
      </c>
      <c r="J80" s="21">
        <f t="shared" si="3"/>
        <v>-0.93735533962600759</v>
      </c>
      <c r="K80" s="21">
        <f t="shared" si="3"/>
        <v>-0.93840402375543275</v>
      </c>
      <c r="L80" s="21">
        <f t="shared" si="3"/>
        <v>-0.93941588086955807</v>
      </c>
      <c r="M80" s="21">
        <f t="shared" si="3"/>
        <v>-0.94023083488792758</v>
      </c>
      <c r="N80" s="21">
        <f t="shared" si="3"/>
        <v>-0.9410237849326949</v>
      </c>
      <c r="O80" s="21">
        <f t="shared" si="3"/>
        <v>-0.94179561030285031</v>
      </c>
      <c r="P80" s="21">
        <f t="shared" si="3"/>
        <v>-0.94254714406311191</v>
      </c>
      <c r="Q80" s="21">
        <f t="shared" si="3"/>
        <v>-0.94327917604329437</v>
      </c>
      <c r="R80" s="21">
        <f t="shared" si="3"/>
        <v>-0.9438961139459392</v>
      </c>
      <c r="S80" s="21">
        <f t="shared" si="3"/>
        <v>-0.94449949369790831</v>
      </c>
      <c r="T80" s="21">
        <f t="shared" si="3"/>
        <v>-0.94508975738300649</v>
      </c>
      <c r="U80" s="21">
        <f t="shared" si="3"/>
        <v>-0.94566732807194909</v>
      </c>
      <c r="V80" s="21">
        <f t="shared" si="3"/>
        <v>-0.94623261083362997</v>
      </c>
      <c r="W80" s="21">
        <f t="shared" si="3"/>
        <v>-0.94729360191330325</v>
      </c>
      <c r="X80" s="21">
        <f t="shared" si="3"/>
        <v>-0.94825250248555271</v>
      </c>
      <c r="Y80" s="21">
        <f t="shared" si="3"/>
        <v>-0.94919040773834751</v>
      </c>
      <c r="Z80" s="21">
        <f t="shared" si="3"/>
        <v>-0.95010799974963711</v>
      </c>
      <c r="AA80" s="21">
        <f t="shared" si="3"/>
        <v>-0.95100593136886968</v>
      </c>
      <c r="AB80" s="21">
        <f t="shared" si="3"/>
        <v>-0.95188482776602623</v>
      </c>
      <c r="AC80" s="21">
        <f t="shared" si="3"/>
        <v>-0.95274528788317558</v>
      </c>
      <c r="AD80" s="21">
        <f t="shared" si="3"/>
        <v>-0.95358788579563025</v>
      </c>
      <c r="AE80" s="21">
        <f t="shared" si="3"/>
        <v>-0.95441317198920639</v>
      </c>
      <c r="AF80" s="21">
        <f t="shared" si="3"/>
        <v>-0.95522167455955598</v>
      </c>
    </row>
    <row r="81" spans="1:32">
      <c r="A81" t="s">
        <v>82</v>
      </c>
      <c r="B81" s="388">
        <f t="shared" si="1"/>
        <v>4.8038126604215226</v>
      </c>
      <c r="C81" s="388">
        <f t="shared" si="3"/>
        <v>4.6869346463109709</v>
      </c>
      <c r="D81" s="388">
        <f t="shared" si="3"/>
        <v>3.7963216820842089</v>
      </c>
      <c r="E81" s="388">
        <f t="shared" si="3"/>
        <v>5.2101779823832697</v>
      </c>
      <c r="F81" s="388">
        <f t="shared" si="3"/>
        <v>5.326757969237927</v>
      </c>
      <c r="G81" s="21">
        <f t="shared" si="3"/>
        <v>5.4417434159340434</v>
      </c>
      <c r="H81" s="21">
        <f t="shared" si="3"/>
        <v>5.4821517399943538</v>
      </c>
      <c r="I81" s="21">
        <f t="shared" si="3"/>
        <v>5.521142374312503</v>
      </c>
      <c r="J81" s="21">
        <f t="shared" si="3"/>
        <v>5.55878864023778</v>
      </c>
      <c r="K81" s="21">
        <f t="shared" si="3"/>
        <v>5.5951588886758445</v>
      </c>
      <c r="L81" s="21">
        <f t="shared" si="3"/>
        <v>5.6303169142515141</v>
      </c>
      <c r="M81" s="21">
        <f t="shared" si="3"/>
        <v>5.6702650896429994</v>
      </c>
      <c r="N81" s="21">
        <f t="shared" si="3"/>
        <v>5.70926883120989</v>
      </c>
      <c r="O81" s="21">
        <f t="shared" si="3"/>
        <v>5.7473612393947393</v>
      </c>
      <c r="P81" s="21">
        <f t="shared" si="3"/>
        <v>5.7845738856998441</v>
      </c>
      <c r="Q81" s="21">
        <f t="shared" si="3"/>
        <v>5.8209368999585491</v>
      </c>
      <c r="R81" s="21">
        <f t="shared" si="3"/>
        <v>5.8053742166716997</v>
      </c>
      <c r="S81" s="21">
        <f t="shared" si="3"/>
        <v>5.7903815865898123</v>
      </c>
      <c r="T81" s="21">
        <f t="shared" si="3"/>
        <v>5.7759282518944213</v>
      </c>
      <c r="U81" s="21">
        <f t="shared" si="3"/>
        <v>5.7619856284332638</v>
      </c>
      <c r="V81" s="21">
        <f t="shared" si="3"/>
        <v>5.7485271170368497</v>
      </c>
      <c r="W81" s="21">
        <f t="shared" si="3"/>
        <v>5.7411571099726793</v>
      </c>
      <c r="X81" s="21">
        <f t="shared" si="3"/>
        <v>5.6923805807362493</v>
      </c>
      <c r="Y81" s="21">
        <f t="shared" si="3"/>
        <v>5.6449604866233178</v>
      </c>
      <c r="Z81" s="21">
        <f t="shared" si="3"/>
        <v>5.5988410215778552</v>
      </c>
      <c r="AA81" s="21">
        <f t="shared" si="3"/>
        <v>5.5539693994051245</v>
      </c>
      <c r="AB81" s="21">
        <f t="shared" si="3"/>
        <v>5.5102956522287618</v>
      </c>
      <c r="AC81" s="21">
        <f t="shared" si="3"/>
        <v>5.4677724448768901</v>
      </c>
      <c r="AD81" s="21">
        <f t="shared" si="3"/>
        <v>5.426354903746323</v>
      </c>
      <c r="AE81" s="21">
        <f t="shared" si="3"/>
        <v>5.3860004588452837</v>
      </c>
      <c r="AF81" s="21">
        <f t="shared" si="3"/>
        <v>5.3466686978449385</v>
      </c>
    </row>
    <row r="82" spans="1:32">
      <c r="A82" t="s">
        <v>85</v>
      </c>
      <c r="B82" s="388">
        <f t="shared" si="1"/>
        <v>0.41248210863467155</v>
      </c>
      <c r="C82" s="388">
        <f t="shared" si="3"/>
        <v>0.41248210863467166</v>
      </c>
      <c r="D82" s="388">
        <f t="shared" si="3"/>
        <v>0.41248210863467155</v>
      </c>
      <c r="E82" s="388">
        <f t="shared" si="3"/>
        <v>0.41248210863467166</v>
      </c>
      <c r="F82" s="388">
        <f t="shared" si="3"/>
        <v>0.41248210863467138</v>
      </c>
      <c r="G82" s="21">
        <f t="shared" si="3"/>
        <v>0.41248210863467133</v>
      </c>
      <c r="H82" s="21">
        <f t="shared" si="3"/>
        <v>0.41248210863467177</v>
      </c>
      <c r="I82" s="21">
        <f t="shared" si="3"/>
        <v>0.41248210863467161</v>
      </c>
      <c r="J82" s="21">
        <f t="shared" si="3"/>
        <v>0.41248210863467133</v>
      </c>
      <c r="K82" s="21">
        <f t="shared" si="3"/>
        <v>0.41248210863467133</v>
      </c>
      <c r="L82" s="21">
        <f t="shared" si="3"/>
        <v>0.41248210863467161</v>
      </c>
      <c r="M82" s="21">
        <f t="shared" si="3"/>
        <v>0.41248210863467177</v>
      </c>
      <c r="N82" s="21">
        <f t="shared" si="3"/>
        <v>0.41248210863467138</v>
      </c>
      <c r="O82" s="21">
        <f t="shared" si="3"/>
        <v>0.4124821086346715</v>
      </c>
      <c r="P82" s="21">
        <f t="shared" si="3"/>
        <v>0.41248210863467155</v>
      </c>
      <c r="Q82" s="21">
        <f t="shared" si="3"/>
        <v>0.41248210863467144</v>
      </c>
      <c r="R82" s="21">
        <f t="shared" si="3"/>
        <v>0.41248210863467177</v>
      </c>
      <c r="S82" s="21">
        <f t="shared" si="3"/>
        <v>0.41248210863467161</v>
      </c>
      <c r="T82" s="21">
        <f t="shared" si="3"/>
        <v>0.4124821086346715</v>
      </c>
      <c r="U82" s="21">
        <f t="shared" si="3"/>
        <v>0.41248210863467144</v>
      </c>
      <c r="V82" s="21">
        <f t="shared" si="3"/>
        <v>0.41248210863467166</v>
      </c>
      <c r="W82" s="21">
        <f t="shared" si="3"/>
        <v>0.41248210863467161</v>
      </c>
      <c r="X82" s="21">
        <f t="shared" si="3"/>
        <v>0.41248210863467188</v>
      </c>
      <c r="Y82" s="21">
        <f t="shared" si="3"/>
        <v>0.41248210863467161</v>
      </c>
      <c r="Z82" s="21">
        <f t="shared" si="3"/>
        <v>0.41248210863467155</v>
      </c>
      <c r="AA82" s="21">
        <f t="shared" si="3"/>
        <v>0.41248210863467122</v>
      </c>
      <c r="AB82" s="21">
        <f t="shared" si="3"/>
        <v>0.41248210863467144</v>
      </c>
      <c r="AC82" s="21">
        <f t="shared" si="3"/>
        <v>0.41248210863467172</v>
      </c>
      <c r="AD82" s="21">
        <f t="shared" si="3"/>
        <v>0.4124821086346715</v>
      </c>
      <c r="AE82" s="21">
        <f t="shared" si="3"/>
        <v>0.41248210863467133</v>
      </c>
      <c r="AF82" s="21">
        <f t="shared" si="3"/>
        <v>0.41248210863467183</v>
      </c>
    </row>
    <row r="83" spans="1:32">
      <c r="A83" t="s">
        <v>89</v>
      </c>
      <c r="B83" s="388">
        <f t="shared" si="1"/>
        <v>-0.9432688135504661</v>
      </c>
      <c r="C83" s="388">
        <f t="shared" si="3"/>
        <v>-0.94792541196635616</v>
      </c>
      <c r="D83" s="388">
        <f t="shared" si="3"/>
        <v>-0.9524743237351877</v>
      </c>
      <c r="E83" s="388">
        <f t="shared" si="3"/>
        <v>-0.9569192416360881</v>
      </c>
      <c r="F83" s="388">
        <f t="shared" si="3"/>
        <v>-0.95812127174357375</v>
      </c>
      <c r="G83" s="21">
        <f t="shared" si="3"/>
        <v>-0.95929643610951931</v>
      </c>
      <c r="H83" s="21">
        <f t="shared" si="3"/>
        <v>-0.96045853254408375</v>
      </c>
      <c r="I83" s="21">
        <f t="shared" si="3"/>
        <v>-0.96159449009577203</v>
      </c>
      <c r="J83" s="21">
        <f t="shared" si="3"/>
        <v>-0.96270518086427492</v>
      </c>
      <c r="K83" s="21">
        <f t="shared" si="3"/>
        <v>-0.96379143858026461</v>
      </c>
      <c r="L83" s="21">
        <f t="shared" si="3"/>
        <v>-0.96485406069254787</v>
      </c>
      <c r="M83" s="21">
        <f t="shared" si="3"/>
        <v>-0.96522456854407901</v>
      </c>
      <c r="N83" s="21">
        <f t="shared" si="3"/>
        <v>-0.96558900375997869</v>
      </c>
      <c r="O83" s="21">
        <f t="shared" si="3"/>
        <v>-0.96594751442274929</v>
      </c>
      <c r="P83" s="21">
        <f t="shared" si="3"/>
        <v>-0.96630024383901558</v>
      </c>
      <c r="Q83" s="21">
        <f t="shared" si="3"/>
        <v>-0.96664733073052178</v>
      </c>
      <c r="R83" s="21">
        <f t="shared" si="3"/>
        <v>-0.96695426820965269</v>
      </c>
      <c r="S83" s="21">
        <f t="shared" si="3"/>
        <v>-0.96725700269853421</v>
      </c>
      <c r="T83" s="21">
        <f t="shared" si="3"/>
        <v>-0.96755561993939565</v>
      </c>
      <c r="U83" s="21">
        <f t="shared" si="3"/>
        <v>-0.96785020335799654</v>
      </c>
      <c r="V83" s="21">
        <f t="shared" si="3"/>
        <v>-0.96814083414133034</v>
      </c>
      <c r="W83" s="21">
        <f t="shared" si="3"/>
        <v>-0.96869846014983452</v>
      </c>
      <c r="X83" s="21">
        <f t="shared" si="3"/>
        <v>-0.96921910600167305</v>
      </c>
      <c r="Y83" s="21">
        <f t="shared" si="3"/>
        <v>-0.96973247746015478</v>
      </c>
      <c r="Z83" s="21">
        <f t="shared" si="3"/>
        <v>-0.97023872592288507</v>
      </c>
      <c r="AA83" s="21">
        <f t="shared" si="3"/>
        <v>-0.97073799861515053</v>
      </c>
      <c r="AB83" s="21">
        <f t="shared" si="3"/>
        <v>-0.97123043873266557</v>
      </c>
      <c r="AC83" s="21">
        <f t="shared" si="3"/>
        <v>-0.97171618557849671</v>
      </c>
      <c r="AD83" s="21">
        <f t="shared" si="3"/>
        <v>-0.97219537469444384</v>
      </c>
      <c r="AE83" s="21">
        <f t="shared" si="3"/>
        <v>-0.97266813798713347</v>
      </c>
      <c r="AF83" s="21">
        <f t="shared" si="3"/>
        <v>-0.97313460384907502</v>
      </c>
    </row>
  </sheetData>
  <phoneticPr fontId="35" type="noConversion"/>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topLeftCell="C37" workbookViewId="0"/>
  </sheetViews>
  <sheetFormatPr defaultColWidth="9.125" defaultRowHeight="16.5"/>
  <cols>
    <col min="1" max="1" width="39.625" customWidth="1"/>
    <col min="2" max="33" width="11" customWidth="1"/>
    <col min="34" max="35" width="9.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'BIFUbC-coal pre-CHP'!B2+CHP!B39</f>
        <v>6133470752043.8545</v>
      </c>
      <c r="C2" s="16">
        <f>'BIFUbC-coal pre-CHP'!C2+CHP!C39</f>
        <v>6308171727315.6367</v>
      </c>
      <c r="D2" s="16">
        <f>'BIFUbC-coal pre-CHP'!D2+CHP!D39</f>
        <v>6482872702587.418</v>
      </c>
      <c r="E2" s="16">
        <f>'BIFUbC-coal pre-CHP'!E2+CHP!E39</f>
        <v>6657573677859.2002</v>
      </c>
      <c r="F2" s="16">
        <f>'BIFUbC-coal pre-CHP'!F2+CHP!F39</f>
        <v>6736635581559.4463</v>
      </c>
      <c r="G2" s="16">
        <f>'BIFUbC-coal pre-CHP'!G2+CHP!G39</f>
        <v>6815697485259.6924</v>
      </c>
      <c r="H2" s="16">
        <f>'BIFUbC-coal pre-CHP'!H2+CHP!H39</f>
        <v>6894759388959.9395</v>
      </c>
      <c r="I2" s="16">
        <f>'BIFUbC-coal pre-CHP'!I2+CHP!I39</f>
        <v>6973821292660.1846</v>
      </c>
      <c r="J2" s="16">
        <f>'BIFUbC-coal pre-CHP'!J2+CHP!J39</f>
        <v>7052883196360.4316</v>
      </c>
      <c r="K2" s="16">
        <f>'BIFUbC-coal pre-CHP'!K2+CHP!K39</f>
        <v>7131945100060.6768</v>
      </c>
      <c r="L2" s="16">
        <f>'BIFUbC-coal pre-CHP'!L2+CHP!L39</f>
        <v>7211007003760.9238</v>
      </c>
      <c r="M2" s="16">
        <f>'BIFUbC-coal pre-CHP'!M2+CHP!M39</f>
        <v>7214281757168.627</v>
      </c>
      <c r="N2" s="16">
        <f>'BIFUbC-coal pre-CHP'!N2+CHP!N39</f>
        <v>7217556510576.3301</v>
      </c>
      <c r="O2" s="16">
        <f>'BIFUbC-coal pre-CHP'!O2+CHP!O39</f>
        <v>7220831263984.0313</v>
      </c>
      <c r="P2" s="16">
        <f>'BIFUbC-coal pre-CHP'!P2+CHP!P39</f>
        <v>7224106017391.7344</v>
      </c>
      <c r="Q2" s="16">
        <f>'BIFUbC-coal pre-CHP'!Q2+CHP!Q39</f>
        <v>7227380770799.4365</v>
      </c>
      <c r="R2" s="16">
        <f>'BIFUbC-coal pre-CHP'!R2+CHP!R39</f>
        <v>7230655524207.1387</v>
      </c>
      <c r="S2" s="16">
        <f>'BIFUbC-coal pre-CHP'!S2+CHP!S39</f>
        <v>7233930277614.8408</v>
      </c>
      <c r="T2" s="16">
        <f>'BIFUbC-coal pre-CHP'!T2+CHP!T39</f>
        <v>7237205031022.5439</v>
      </c>
      <c r="U2" s="16">
        <f>'BIFUbC-coal pre-CHP'!U2+CHP!U39</f>
        <v>7240479784430.2461</v>
      </c>
      <c r="V2" s="16">
        <f>'BIFUbC-coal pre-CHP'!V2+CHP!V39</f>
        <v>7243754537837.9492</v>
      </c>
      <c r="W2" s="16">
        <f>'BIFUbC-coal pre-CHP'!W2+CHP!W39</f>
        <v>7194960712063.1807</v>
      </c>
      <c r="X2" s="16">
        <f>'BIFUbC-coal pre-CHP'!X2+CHP!X39</f>
        <v>7146166886288.4141</v>
      </c>
      <c r="Y2" s="16">
        <f>'BIFUbC-coal pre-CHP'!Y2+CHP!Y39</f>
        <v>7097373060513.6465</v>
      </c>
      <c r="Z2" s="16">
        <f>'BIFUbC-coal pre-CHP'!Z2+CHP!Z39</f>
        <v>7048579234738.8789</v>
      </c>
      <c r="AA2" s="16">
        <f>'BIFUbC-coal pre-CHP'!AA2+CHP!AA39</f>
        <v>6999785408964.1123</v>
      </c>
      <c r="AB2" s="16">
        <f>'BIFUbC-coal pre-CHP'!AB2+CHP!AB39</f>
        <v>6950991583189.3447</v>
      </c>
      <c r="AC2" s="16">
        <f>'BIFUbC-coal pre-CHP'!AC2+CHP!AC39</f>
        <v>6902197757414.5771</v>
      </c>
      <c r="AD2" s="16">
        <f>'BIFUbC-coal pre-CHP'!AD2+CHP!AD39</f>
        <v>6853403931639.8105</v>
      </c>
      <c r="AE2" s="16">
        <f>'BIFUbC-coal pre-CHP'!AE2+CHP!AE39</f>
        <v>6804610105865.042</v>
      </c>
      <c r="AF2" s="16">
        <f>'BIFUbC-coal pre-CHP'!AF2+CHP!AF39</f>
        <v>6755816280090.2744</v>
      </c>
    </row>
    <row r="3" spans="1:35">
      <c r="A3" t="s">
        <v>28</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32</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34</v>
      </c>
      <c r="B5" s="16">
        <f>'BIFUbC-coal pre-CHP'!B5+CHP!B42</f>
        <v>529006345143.79504</v>
      </c>
      <c r="C5" s="16">
        <f>'BIFUbC-coal pre-CHP'!C5+CHP!C42</f>
        <v>544074147397.64703</v>
      </c>
      <c r="D5" s="16">
        <f>'BIFUbC-coal pre-CHP'!D5+CHP!D42</f>
        <v>559141949651.49902</v>
      </c>
      <c r="E5" s="16">
        <f>'BIFUbC-coal pre-CHP'!E5+CHP!E42</f>
        <v>574209751905.35107</v>
      </c>
      <c r="F5" s="16">
        <f>'BIFUbC-coal pre-CHP'!F5+CHP!F42</f>
        <v>581028770110.1156</v>
      </c>
      <c r="G5" s="16">
        <f>'BIFUbC-coal pre-CHP'!G5+CHP!G42</f>
        <v>587847788314.88013</v>
      </c>
      <c r="H5" s="16">
        <f>'BIFUbC-coal pre-CHP'!H5+CHP!H42</f>
        <v>594666806519.64465</v>
      </c>
      <c r="I5" s="16">
        <f>'BIFUbC-coal pre-CHP'!I5+CHP!I42</f>
        <v>601485824724.40918</v>
      </c>
      <c r="J5" s="16">
        <f>'BIFUbC-coal pre-CHP'!J5+CHP!J42</f>
        <v>608304842929.17383</v>
      </c>
      <c r="K5" s="16">
        <f>'BIFUbC-coal pre-CHP'!K5+CHP!K42</f>
        <v>615123861133.93835</v>
      </c>
      <c r="L5" s="16">
        <f>'BIFUbC-coal pre-CHP'!L5+CHP!L42</f>
        <v>621942879338.70288</v>
      </c>
      <c r="M5" s="16">
        <f>'BIFUbC-coal pre-CHP'!M5+CHP!M42</f>
        <v>622225323879.72864</v>
      </c>
      <c r="N5" s="16">
        <f>'BIFUbC-coal pre-CHP'!N5+CHP!N42</f>
        <v>622507768420.75439</v>
      </c>
      <c r="O5" s="16">
        <f>'BIFUbC-coal pre-CHP'!O5+CHP!O42</f>
        <v>622790212961.78015</v>
      </c>
      <c r="P5" s="16">
        <f>'BIFUbC-coal pre-CHP'!P5+CHP!P42</f>
        <v>623072657502.80591</v>
      </c>
      <c r="Q5" s="16">
        <f>'BIFUbC-coal pre-CHP'!Q5+CHP!Q42</f>
        <v>623355102043.83154</v>
      </c>
      <c r="R5" s="16">
        <f>'BIFUbC-coal pre-CHP'!R5+CHP!R42</f>
        <v>623637546584.85742</v>
      </c>
      <c r="S5" s="16">
        <f>'BIFUbC-coal pre-CHP'!S5+CHP!S42</f>
        <v>623919991125.88318</v>
      </c>
      <c r="T5" s="16">
        <f>'BIFUbC-coal pre-CHP'!T5+CHP!T42</f>
        <v>624202435666.90881</v>
      </c>
      <c r="U5" s="16">
        <f>'BIFUbC-coal pre-CHP'!U5+CHP!U42</f>
        <v>624484880207.93469</v>
      </c>
      <c r="V5" s="16">
        <f>'BIFUbC-coal pre-CHP'!V5+CHP!V42</f>
        <v>624767324748.96045</v>
      </c>
      <c r="W5" s="16">
        <f>'BIFUbC-coal pre-CHP'!W5+CHP!W42</f>
        <v>620558901087.67676</v>
      </c>
      <c r="X5" s="16">
        <f>'BIFUbC-coal pre-CHP'!X5+CHP!X42</f>
        <v>616350477426.39307</v>
      </c>
      <c r="Y5" s="16">
        <f>'BIFUbC-coal pre-CHP'!Y5+CHP!Y42</f>
        <v>612142053765.10938</v>
      </c>
      <c r="Z5" s="16">
        <f>'BIFUbC-coal pre-CHP'!Z5+CHP!Z42</f>
        <v>607933630103.82568</v>
      </c>
      <c r="AA5" s="16">
        <f>'BIFUbC-coal pre-CHP'!AA5+CHP!AA42</f>
        <v>603725206442.54199</v>
      </c>
      <c r="AB5" s="16">
        <f>'BIFUbC-coal pre-CHP'!AB5+CHP!AB42</f>
        <v>599516782781.2583</v>
      </c>
      <c r="AC5" s="16">
        <f>'BIFUbC-coal pre-CHP'!AC5+CHP!AC42</f>
        <v>595308359119.97461</v>
      </c>
      <c r="AD5" s="16">
        <f>'BIFUbC-coal pre-CHP'!AD5+CHP!AD42</f>
        <v>591099935458.69092</v>
      </c>
      <c r="AE5" s="16">
        <f>'BIFUbC-coal pre-CHP'!AE5+CHP!AE42</f>
        <v>586891511797.40723</v>
      </c>
      <c r="AF5" s="16">
        <f>'BIFUbC-coal pre-CHP'!AF5+CHP!AF42</f>
        <v>582683088136.12354</v>
      </c>
    </row>
    <row r="6" spans="1:35">
      <c r="A6" t="s">
        <v>36</v>
      </c>
      <c r="B6" s="16">
        <f>'BIFUbC-coal pre-CHP'!B6+CHP!B43</f>
        <v>4859228840699.4434</v>
      </c>
      <c r="C6" s="16">
        <f>'BIFUbC-coal pre-CHP'!C6+CHP!C43</f>
        <v>4997635307748.4756</v>
      </c>
      <c r="D6" s="16">
        <f>'BIFUbC-coal pre-CHP'!D6+CHP!D43</f>
        <v>5136041774797.5078</v>
      </c>
      <c r="E6" s="16">
        <f>'BIFUbC-coal pre-CHP'!E6+CHP!E43</f>
        <v>5274448241846.541</v>
      </c>
      <c r="F6" s="16">
        <f>'BIFUbC-coal pre-CHP'!F6+CHP!F43</f>
        <v>5337084862805.8594</v>
      </c>
      <c r="G6" s="16">
        <f>'BIFUbC-coal pre-CHP'!G6+CHP!G43</f>
        <v>5399721483765.1787</v>
      </c>
      <c r="H6" s="16">
        <f>'BIFUbC-coal pre-CHP'!H6+CHP!H43</f>
        <v>5462358104724.4971</v>
      </c>
      <c r="I6" s="16">
        <f>'BIFUbC-coal pre-CHP'!I6+CHP!I43</f>
        <v>5524994725683.8154</v>
      </c>
      <c r="J6" s="16">
        <f>'BIFUbC-coal pre-CHP'!J6+CHP!J43</f>
        <v>5587631346643.1338</v>
      </c>
      <c r="K6" s="16">
        <f>'BIFUbC-coal pre-CHP'!K6+CHP!K43</f>
        <v>5650267967602.4531</v>
      </c>
      <c r="L6" s="16">
        <f>'BIFUbC-coal pre-CHP'!L6+CHP!L43</f>
        <v>5712904588561.7715</v>
      </c>
      <c r="M6" s="16">
        <f>'BIFUbC-coal pre-CHP'!M6+CHP!M43</f>
        <v>5715499004814.5254</v>
      </c>
      <c r="N6" s="16">
        <f>'BIFUbC-coal pre-CHP'!N6+CHP!N43</f>
        <v>5718093421067.2764</v>
      </c>
      <c r="O6" s="16">
        <f>'BIFUbC-coal pre-CHP'!O6+CHP!O43</f>
        <v>5720687837320.0313</v>
      </c>
      <c r="P6" s="16">
        <f>'BIFUbC-coal pre-CHP'!P6+CHP!P43</f>
        <v>5723282253572.7842</v>
      </c>
      <c r="Q6" s="16">
        <f>'BIFUbC-coal pre-CHP'!Q6+CHP!Q43</f>
        <v>5725876669825.5361</v>
      </c>
      <c r="R6" s="16">
        <f>'BIFUbC-coal pre-CHP'!R6+CHP!R43</f>
        <v>5728471086078.2891</v>
      </c>
      <c r="S6" s="16">
        <f>'BIFUbC-coal pre-CHP'!S6+CHP!S43</f>
        <v>5731065502331.042</v>
      </c>
      <c r="T6" s="16">
        <f>'BIFUbC-coal pre-CHP'!T6+CHP!T43</f>
        <v>5733659918583.7949</v>
      </c>
      <c r="U6" s="16">
        <f>'BIFUbC-coal pre-CHP'!U6+CHP!U43</f>
        <v>5736254334836.5479</v>
      </c>
      <c r="V6" s="16">
        <f>'BIFUbC-coal pre-CHP'!V6+CHP!V43</f>
        <v>5738848751089.3008</v>
      </c>
      <c r="W6" s="16">
        <f>'BIFUbC-coal pre-CHP'!W6+CHP!W43</f>
        <v>5700191948923.2822</v>
      </c>
      <c r="X6" s="16">
        <f>'BIFUbC-coal pre-CHP'!X6+CHP!X43</f>
        <v>5661535146757.2656</v>
      </c>
      <c r="Y6" s="16">
        <f>'BIFUbC-coal pre-CHP'!Y6+CHP!Y43</f>
        <v>5622878344591.2471</v>
      </c>
      <c r="Z6" s="16">
        <f>'BIFUbC-coal pre-CHP'!Z6+CHP!Z43</f>
        <v>5584221542425.2305</v>
      </c>
      <c r="AA6" s="16">
        <f>'BIFUbC-coal pre-CHP'!AA6+CHP!AA43</f>
        <v>5545564740259.2139</v>
      </c>
      <c r="AB6" s="16">
        <f>'BIFUbC-coal pre-CHP'!AB6+CHP!AB43</f>
        <v>5506907938093.1953</v>
      </c>
      <c r="AC6" s="16">
        <f>'BIFUbC-coal pre-CHP'!AC6+CHP!AC43</f>
        <v>5468251135927.1787</v>
      </c>
      <c r="AD6" s="16">
        <f>'BIFUbC-coal pre-CHP'!AD6+CHP!AD43</f>
        <v>5429594333761.1602</v>
      </c>
      <c r="AE6" s="16">
        <f>'BIFUbC-coal pre-CHP'!AE6+CHP!AE43</f>
        <v>5390937531595.1436</v>
      </c>
      <c r="AF6" s="16">
        <f>'BIFUbC-coal pre-CHP'!AF6+CHP!AF43</f>
        <v>5352280729429.126</v>
      </c>
    </row>
    <row r="7" spans="1:35">
      <c r="A7" t="s">
        <v>38</v>
      </c>
      <c r="B7" s="16">
        <f>'BIFUbC-coal pre-CHP'!B7+CHP!B44</f>
        <v>3661430645969.1938</v>
      </c>
      <c r="C7" s="16">
        <f>'BIFUbC-coal pre-CHP'!C7+CHP!C44</f>
        <v>3765719967725.1763</v>
      </c>
      <c r="D7" s="16">
        <f>'BIFUbC-coal pre-CHP'!D7+CHP!D44</f>
        <v>3870009289481.1587</v>
      </c>
      <c r="E7" s="16">
        <f>'BIFUbC-coal pre-CHP'!E7+CHP!E44</f>
        <v>3974298611237.1406</v>
      </c>
      <c r="F7" s="16">
        <f>'BIFUbC-coal pre-CHP'!F7+CHP!F44</f>
        <v>4021495327230.3301</v>
      </c>
      <c r="G7" s="16">
        <f>'BIFUbC-coal pre-CHP'!G7+CHP!G44</f>
        <v>4068692043223.519</v>
      </c>
      <c r="H7" s="16">
        <f>'BIFUbC-coal pre-CHP'!H7+CHP!H44</f>
        <v>4115888759216.709</v>
      </c>
      <c r="I7" s="16">
        <f>'BIFUbC-coal pre-CHP'!I7+CHP!I44</f>
        <v>4163085475209.8979</v>
      </c>
      <c r="J7" s="16">
        <f>'BIFUbC-coal pre-CHP'!J7+CHP!J44</f>
        <v>4210282191203.0869</v>
      </c>
      <c r="K7" s="16">
        <f>'BIFUbC-coal pre-CHP'!K7+CHP!K44</f>
        <v>4257478907196.2759</v>
      </c>
      <c r="L7" s="16">
        <f>'BIFUbC-coal pre-CHP'!L7+CHP!L44</f>
        <v>4304675623189.4658</v>
      </c>
      <c r="M7" s="16">
        <f>'BIFUbC-coal pre-CHP'!M7+CHP!M44</f>
        <v>4306630516751.314</v>
      </c>
      <c r="N7" s="16">
        <f>'BIFUbC-coal pre-CHP'!N7+CHP!N44</f>
        <v>4308585410313.1616</v>
      </c>
      <c r="O7" s="16">
        <f>'BIFUbC-coal pre-CHP'!O7+CHP!O44</f>
        <v>4310540303875.0098</v>
      </c>
      <c r="P7" s="16">
        <f>'BIFUbC-coal pre-CHP'!P7+CHP!P44</f>
        <v>4312495197436.8579</v>
      </c>
      <c r="Q7" s="16">
        <f>'BIFUbC-coal pre-CHP'!Q7+CHP!Q44</f>
        <v>4314450090998.7065</v>
      </c>
      <c r="R7" s="16">
        <f>'BIFUbC-coal pre-CHP'!R7+CHP!R44</f>
        <v>4316404984560.5547</v>
      </c>
      <c r="S7" s="16">
        <f>'BIFUbC-coal pre-CHP'!S7+CHP!S44</f>
        <v>4318359878122.4019</v>
      </c>
      <c r="T7" s="16">
        <f>'BIFUbC-coal pre-CHP'!T7+CHP!T44</f>
        <v>4320314771684.2505</v>
      </c>
      <c r="U7" s="16">
        <f>'BIFUbC-coal pre-CHP'!U7+CHP!U44</f>
        <v>4322269665246.0986</v>
      </c>
      <c r="V7" s="16">
        <f>'BIFUbC-coal pre-CHP'!V7+CHP!V44</f>
        <v>4324224558807.9468</v>
      </c>
      <c r="W7" s="16">
        <f>'BIFUbC-coal pre-CHP'!W7+CHP!W44</f>
        <v>4295096644736.4102</v>
      </c>
      <c r="X7" s="16">
        <f>'BIFUbC-coal pre-CHP'!X7+CHP!X44</f>
        <v>4265968730664.874</v>
      </c>
      <c r="Y7" s="16">
        <f>'BIFUbC-coal pre-CHP'!Y7+CHP!Y44</f>
        <v>4236840816593.3374</v>
      </c>
      <c r="Z7" s="16">
        <f>'BIFUbC-coal pre-CHP'!Z7+CHP!Z44</f>
        <v>4207712902521.8008</v>
      </c>
      <c r="AA7" s="16">
        <f>'BIFUbC-coal pre-CHP'!AA7+CHP!AA44</f>
        <v>4178584988450.2646</v>
      </c>
      <c r="AB7" s="16">
        <f>'BIFUbC-coal pre-CHP'!AB7+CHP!AB44</f>
        <v>4149457074378.729</v>
      </c>
      <c r="AC7" s="16">
        <f>'BIFUbC-coal pre-CHP'!AC7+CHP!AC44</f>
        <v>4120329160307.1919</v>
      </c>
      <c r="AD7" s="16">
        <f>'BIFUbC-coal pre-CHP'!AD7+CHP!AD44</f>
        <v>4091201246235.6563</v>
      </c>
      <c r="AE7" s="16">
        <f>'BIFUbC-coal pre-CHP'!AE7+CHP!AE44</f>
        <v>4062073332164.1196</v>
      </c>
      <c r="AF7" s="16">
        <f>'BIFUbC-coal pre-CHP'!AF7+CHP!AF44</f>
        <v>4032945418092.5825</v>
      </c>
    </row>
    <row r="8" spans="1:35">
      <c r="A8" t="s">
        <v>40</v>
      </c>
      <c r="B8" s="16">
        <f>'BIFUbC-coal pre-CHP'!B8+CHP!B45</f>
        <v>614793274264.11743</v>
      </c>
      <c r="C8" s="16">
        <f>'BIFUbC-coal pre-CHP'!C8+CHP!C45</f>
        <v>632304564192.203</v>
      </c>
      <c r="D8" s="16">
        <f>'BIFUbC-coal pre-CHP'!D8+CHP!D45</f>
        <v>649815854120.2887</v>
      </c>
      <c r="E8" s="16">
        <f>'BIFUbC-coal pre-CHP'!E8+CHP!E45</f>
        <v>667327144048.37427</v>
      </c>
      <c r="F8" s="16">
        <f>'BIFUbC-coal pre-CHP'!F8+CHP!F45</f>
        <v>675251976269.87476</v>
      </c>
      <c r="G8" s="16">
        <f>'BIFUbC-coal pre-CHP'!G8+CHP!G45</f>
        <v>683176808491.37549</v>
      </c>
      <c r="H8" s="16">
        <f>'BIFUbC-coal pre-CHP'!H8+CHP!H45</f>
        <v>691101640712.87598</v>
      </c>
      <c r="I8" s="16">
        <f>'BIFUbC-coal pre-CHP'!I8+CHP!I45</f>
        <v>699026472934.37671</v>
      </c>
      <c r="J8" s="16">
        <f>'BIFUbC-coal pre-CHP'!J8+CHP!J45</f>
        <v>706951305155.87732</v>
      </c>
      <c r="K8" s="16">
        <f>'BIFUbC-coal pre-CHP'!K8+CHP!K45</f>
        <v>714876137377.37793</v>
      </c>
      <c r="L8" s="16">
        <f>'BIFUbC-coal pre-CHP'!L8+CHP!L45</f>
        <v>722800969598.87854</v>
      </c>
      <c r="M8" s="16">
        <f>'BIFUbC-coal pre-CHP'!M8+CHP!M45</f>
        <v>723129217087.34314</v>
      </c>
      <c r="N8" s="16">
        <f>'BIFUbC-coal pre-CHP'!N8+CHP!N45</f>
        <v>723457464575.80762</v>
      </c>
      <c r="O8" s="16">
        <f>'BIFUbC-coal pre-CHP'!O8+CHP!O45</f>
        <v>723785712064.27209</v>
      </c>
      <c r="P8" s="16">
        <f>'BIFUbC-coal pre-CHP'!P8+CHP!P45</f>
        <v>724113959552.73657</v>
      </c>
      <c r="Q8" s="16">
        <f>'BIFUbC-coal pre-CHP'!Q8+CHP!Q45</f>
        <v>724442207041.20117</v>
      </c>
      <c r="R8" s="16">
        <f>'BIFUbC-coal pre-CHP'!R8+CHP!R45</f>
        <v>724770454529.66565</v>
      </c>
      <c r="S8" s="16">
        <f>'BIFUbC-coal pre-CHP'!S8+CHP!S45</f>
        <v>725098702018.13025</v>
      </c>
      <c r="T8" s="16">
        <f>'BIFUbC-coal pre-CHP'!T8+CHP!T45</f>
        <v>725426949506.59473</v>
      </c>
      <c r="U8" s="16">
        <f>'BIFUbC-coal pre-CHP'!U8+CHP!U45</f>
        <v>725755196995.0592</v>
      </c>
      <c r="V8" s="16">
        <f>'BIFUbC-coal pre-CHP'!V8+CHP!V45</f>
        <v>726083444483.52368</v>
      </c>
      <c r="W8" s="16">
        <f>'BIFUbC-coal pre-CHP'!W8+CHP!W45</f>
        <v>721192556905.40234</v>
      </c>
      <c r="X8" s="16">
        <f>'BIFUbC-coal pre-CHP'!X8+CHP!X45</f>
        <v>716301669327.28101</v>
      </c>
      <c r="Y8" s="16">
        <f>'BIFUbC-coal pre-CHP'!Y8+CHP!Y45</f>
        <v>711410781749.15967</v>
      </c>
      <c r="Z8" s="16">
        <f>'BIFUbC-coal pre-CHP'!Z8+CHP!Z45</f>
        <v>706519894171.03821</v>
      </c>
      <c r="AA8" s="16">
        <f>'BIFUbC-coal pre-CHP'!AA8+CHP!AA45</f>
        <v>701629006592.91687</v>
      </c>
      <c r="AB8" s="16">
        <f>'BIFUbC-coal pre-CHP'!AB8+CHP!AB45</f>
        <v>696738119014.79541</v>
      </c>
      <c r="AC8" s="16">
        <f>'BIFUbC-coal pre-CHP'!AC8+CHP!AC45</f>
        <v>691847231436.67407</v>
      </c>
      <c r="AD8" s="16">
        <f>'BIFUbC-coal pre-CHP'!AD8+CHP!AD45</f>
        <v>686956343858.55261</v>
      </c>
      <c r="AE8" s="16">
        <f>'BIFUbC-coal pre-CHP'!AE8+CHP!AE45</f>
        <v>682065456280.43127</v>
      </c>
      <c r="AF8" s="16">
        <f>'BIFUbC-coal pre-CHP'!AF8+CHP!AF45</f>
        <v>677174568702.30981</v>
      </c>
    </row>
    <row r="9" spans="1:35">
      <c r="A9" t="s">
        <v>42</v>
      </c>
      <c r="B9" s="16">
        <f>'BIFUbC-coal pre-CHP'!B9+CHP!B46</f>
        <v>3509890910354.2461</v>
      </c>
      <c r="C9" s="16">
        <f>'BIFUbC-coal pre-CHP'!C9+CHP!C46</f>
        <v>3609863893013.7163</v>
      </c>
      <c r="D9" s="16">
        <f>'BIFUbC-coal pre-CHP'!D9+CHP!D46</f>
        <v>3709836875673.1865</v>
      </c>
      <c r="E9" s="16">
        <f>'BIFUbC-coal pre-CHP'!E9+CHP!E46</f>
        <v>3809809858332.6567</v>
      </c>
      <c r="F9" s="16">
        <f>'BIFUbC-coal pre-CHP'!F9+CHP!F46</f>
        <v>3855053190920.5444</v>
      </c>
      <c r="G9" s="16">
        <f>'BIFUbC-coal pre-CHP'!G9+CHP!G46</f>
        <v>3900296523508.4307</v>
      </c>
      <c r="H9" s="16">
        <f>'BIFUbC-coal pre-CHP'!H9+CHP!H46</f>
        <v>3945539856096.3179</v>
      </c>
      <c r="I9" s="16">
        <f>'BIFUbC-coal pre-CHP'!I9+CHP!I46</f>
        <v>3990783188684.2051</v>
      </c>
      <c r="J9" s="16">
        <f>'BIFUbC-coal pre-CHP'!J9+CHP!J46</f>
        <v>4036026521272.0913</v>
      </c>
      <c r="K9" s="16">
        <f>'BIFUbC-coal pre-CHP'!K9+CHP!K46</f>
        <v>4081269853859.979</v>
      </c>
      <c r="L9" s="16">
        <f>'BIFUbC-coal pre-CHP'!L9+CHP!L46</f>
        <v>4126513186447.8652</v>
      </c>
      <c r="M9" s="16">
        <f>'BIFUbC-coal pre-CHP'!M9+CHP!M46</f>
        <v>4128387170637.896</v>
      </c>
      <c r="N9" s="16">
        <f>'BIFUbC-coal pre-CHP'!N9+CHP!N46</f>
        <v>4130261154827.9277</v>
      </c>
      <c r="O9" s="16">
        <f>'BIFUbC-coal pre-CHP'!O9+CHP!O46</f>
        <v>4132135139017.9575</v>
      </c>
      <c r="P9" s="16">
        <f>'BIFUbC-coal pre-CHP'!P9+CHP!P46</f>
        <v>4134009123207.9888</v>
      </c>
      <c r="Q9" s="16">
        <f>'BIFUbC-coal pre-CHP'!Q9+CHP!Q46</f>
        <v>4135883107398.0195</v>
      </c>
      <c r="R9" s="16">
        <f>'BIFUbC-coal pre-CHP'!R9+CHP!R46</f>
        <v>4137757091588.0508</v>
      </c>
      <c r="S9" s="16">
        <f>'BIFUbC-coal pre-CHP'!S9+CHP!S46</f>
        <v>4139631075778.0811</v>
      </c>
      <c r="T9" s="16">
        <f>'BIFUbC-coal pre-CHP'!T9+CHP!T46</f>
        <v>4141505059968.1118</v>
      </c>
      <c r="U9" s="16">
        <f>'BIFUbC-coal pre-CHP'!U9+CHP!U46</f>
        <v>4143379044158.1431</v>
      </c>
      <c r="V9" s="16">
        <f>'BIFUbC-coal pre-CHP'!V9+CHP!V46</f>
        <v>4145253028348.1743</v>
      </c>
      <c r="W9" s="16">
        <f>'BIFUbC-coal pre-CHP'!W9+CHP!W46</f>
        <v>4117330663916.7144</v>
      </c>
      <c r="X9" s="16">
        <f>'BIFUbC-coal pre-CHP'!X9+CHP!X46</f>
        <v>4089408299485.2554</v>
      </c>
      <c r="Y9" s="16">
        <f>'BIFUbC-coal pre-CHP'!Y9+CHP!Y46</f>
        <v>4061485935053.7959</v>
      </c>
      <c r="Z9" s="16">
        <f>'BIFUbC-coal pre-CHP'!Z9+CHP!Z46</f>
        <v>4033563570622.3369</v>
      </c>
      <c r="AA9" s="16">
        <f>'BIFUbC-coal pre-CHP'!AA9+CHP!AA46</f>
        <v>4005641206190.877</v>
      </c>
      <c r="AB9" s="16">
        <f>'BIFUbC-coal pre-CHP'!AB9+CHP!AB46</f>
        <v>3977718841759.4189</v>
      </c>
      <c r="AC9" s="16">
        <f>'BIFUbC-coal pre-CHP'!AC9+CHP!AC46</f>
        <v>3949796477327.96</v>
      </c>
      <c r="AD9" s="16">
        <f>'BIFUbC-coal pre-CHP'!AD9+CHP!AD46</f>
        <v>3921874112896.5</v>
      </c>
      <c r="AE9" s="16">
        <f>'BIFUbC-coal pre-CHP'!AE9+CHP!AE46</f>
        <v>3893951748465.041</v>
      </c>
      <c r="AF9" s="16">
        <f>'BIFUbC-coal pre-CHP'!AF9+CHP!AF46</f>
        <v>3866029384033.582</v>
      </c>
    </row>
    <row r="10" spans="1:35">
      <c r="A10" t="s">
        <v>44</v>
      </c>
      <c r="B10" s="16">
        <f>'BIFUbC-coal pre-CHP'!B10+CHP!B47</f>
        <v>0</v>
      </c>
      <c r="C10" s="16">
        <f>'BIFUbC-coal pre-CHP'!C10+CHP!C47</f>
        <v>0</v>
      </c>
      <c r="D10" s="16">
        <f>'BIFUbC-coal pre-CHP'!D10+CHP!D47</f>
        <v>1</v>
      </c>
      <c r="E10" s="16">
        <f>'BIFUbC-coal pre-CHP'!E10+CHP!E47</f>
        <v>2</v>
      </c>
      <c r="F10" s="16">
        <f>'BIFUbC-coal pre-CHP'!F10+CHP!F47</f>
        <v>3</v>
      </c>
      <c r="G10" s="16">
        <f>'BIFUbC-coal pre-CHP'!G10+CHP!G47</f>
        <v>4</v>
      </c>
      <c r="H10" s="16">
        <f>'BIFUbC-coal pre-CHP'!H10+CHP!H47</f>
        <v>5</v>
      </c>
      <c r="I10" s="16">
        <f>'BIFUbC-coal pre-CHP'!I10+CHP!I47</f>
        <v>6</v>
      </c>
      <c r="J10" s="16">
        <f>'BIFUbC-coal pre-CHP'!J10+CHP!J47</f>
        <v>7</v>
      </c>
      <c r="K10" s="16">
        <f>'BIFUbC-coal pre-CHP'!K10+CHP!K47</f>
        <v>8</v>
      </c>
      <c r="L10" s="16">
        <f>'BIFUbC-coal pre-CHP'!L10+CHP!L47</f>
        <v>9</v>
      </c>
      <c r="M10" s="16">
        <f>'BIFUbC-coal pre-CHP'!M10+CHP!M47</f>
        <v>10</v>
      </c>
      <c r="N10" s="16">
        <f>'BIFUbC-coal pre-CHP'!N10+CHP!N47</f>
        <v>11</v>
      </c>
      <c r="O10" s="16">
        <f>'BIFUbC-coal pre-CHP'!O10+CHP!O47</f>
        <v>12</v>
      </c>
      <c r="P10" s="16">
        <f>'BIFUbC-coal pre-CHP'!P10+CHP!P47</f>
        <v>13</v>
      </c>
      <c r="Q10" s="16">
        <f>'BIFUbC-coal pre-CHP'!Q10+CHP!Q47</f>
        <v>14</v>
      </c>
      <c r="R10" s="16">
        <f>'BIFUbC-coal pre-CHP'!R10+CHP!R47</f>
        <v>15</v>
      </c>
      <c r="S10" s="16">
        <f>'BIFUbC-coal pre-CHP'!S10+CHP!S47</f>
        <v>16</v>
      </c>
      <c r="T10" s="16">
        <f>'BIFUbC-coal pre-CHP'!T10+CHP!T47</f>
        <v>17</v>
      </c>
      <c r="U10" s="16">
        <f>'BIFUbC-coal pre-CHP'!U10+CHP!U47</f>
        <v>18</v>
      </c>
      <c r="V10" s="16">
        <f>'BIFUbC-coal pre-CHP'!V10+CHP!V47</f>
        <v>19</v>
      </c>
      <c r="W10" s="16">
        <f>'BIFUbC-coal pre-CHP'!W10+CHP!W47</f>
        <v>20</v>
      </c>
      <c r="X10" s="16">
        <f>'BIFUbC-coal pre-CHP'!X10+CHP!X47</f>
        <v>21</v>
      </c>
      <c r="Y10" s="16">
        <f>'BIFUbC-coal pre-CHP'!Y10+CHP!Y47</f>
        <v>22</v>
      </c>
      <c r="Z10" s="16">
        <f>'BIFUbC-coal pre-CHP'!Z10+CHP!Z47</f>
        <v>23</v>
      </c>
      <c r="AA10" s="16">
        <f>'BIFUbC-coal pre-CHP'!AA10+CHP!AA47</f>
        <v>24</v>
      </c>
      <c r="AB10" s="16">
        <f>'BIFUbC-coal pre-CHP'!AB10+CHP!AB47</f>
        <v>25</v>
      </c>
      <c r="AC10" s="16">
        <f>'BIFUbC-coal pre-CHP'!AC10+CHP!AC47</f>
        <v>26</v>
      </c>
      <c r="AD10" s="16">
        <f>'BIFUbC-coal pre-CHP'!AD10+CHP!AD47</f>
        <v>0</v>
      </c>
      <c r="AE10" s="16">
        <f>'BIFUbC-coal pre-CHP'!AE10+CHP!AE47</f>
        <v>0</v>
      </c>
      <c r="AF10" s="16">
        <f>'BIFUbC-coal pre-CHP'!AF10+CHP!AF47</f>
        <v>0</v>
      </c>
    </row>
    <row r="11" spans="1:35">
      <c r="A11" t="s">
        <v>47</v>
      </c>
      <c r="B11" s="16">
        <f>'BIFUbC-coal pre-CHP'!B11+CHP!B48</f>
        <v>83356035107919.141</v>
      </c>
      <c r="C11" s="16">
        <f>'BIFUbC-coal pre-CHP'!C11+CHP!C48</f>
        <v>85527314645453.281</v>
      </c>
      <c r="D11" s="16">
        <f>'BIFUbC-coal pre-CHP'!D11+CHP!D48</f>
        <v>87698594182987.422</v>
      </c>
      <c r="E11" s="16">
        <f>'BIFUbC-coal pre-CHP'!E11+CHP!E48</f>
        <v>89869873720521.75</v>
      </c>
      <c r="F11" s="16">
        <f>'BIFUbC-coal pre-CHP'!F11+CHP!F48</f>
        <v>94280316681896.75</v>
      </c>
      <c r="G11" s="16">
        <f>'BIFUbC-coal pre-CHP'!G11+CHP!G48</f>
        <v>98690759643271.766</v>
      </c>
      <c r="H11" s="16">
        <f>'BIFUbC-coal pre-CHP'!H11+CHP!H48</f>
        <v>103101202604646.78</v>
      </c>
      <c r="I11" s="16">
        <f>'BIFUbC-coal pre-CHP'!I11+CHP!I48</f>
        <v>107511645566021.78</v>
      </c>
      <c r="J11" s="16">
        <f>'BIFUbC-coal pre-CHP'!J11+CHP!J48</f>
        <v>111922088527396.78</v>
      </c>
      <c r="K11" s="16">
        <f>'BIFUbC-coal pre-CHP'!K11+CHP!K48</f>
        <v>116332531488771.78</v>
      </c>
      <c r="L11" s="16">
        <f>'BIFUbC-coal pre-CHP'!L11+CHP!L48</f>
        <v>120742974450146.78</v>
      </c>
      <c r="M11" s="16">
        <f>'BIFUbC-coal pre-CHP'!M11+CHP!M48</f>
        <v>122673344760197.84</v>
      </c>
      <c r="N11" s="16">
        <f>'BIFUbC-coal pre-CHP'!N11+CHP!N48</f>
        <v>124603715070248.88</v>
      </c>
      <c r="O11" s="16">
        <f>'BIFUbC-coal pre-CHP'!O11+CHP!O48</f>
        <v>126534085380299.91</v>
      </c>
      <c r="P11" s="16">
        <f>'BIFUbC-coal pre-CHP'!P11+CHP!P48</f>
        <v>128464455690350.92</v>
      </c>
      <c r="Q11" s="16">
        <f>'BIFUbC-coal pre-CHP'!Q11+CHP!Q48</f>
        <v>130394826000401.95</v>
      </c>
      <c r="R11" s="16">
        <f>'BIFUbC-coal pre-CHP'!R11+CHP!R48</f>
        <v>132325196310452.98</v>
      </c>
      <c r="S11" s="16">
        <f>'BIFUbC-coal pre-CHP'!S11+CHP!S48</f>
        <v>134255566620504.02</v>
      </c>
      <c r="T11" s="16">
        <f>'BIFUbC-coal pre-CHP'!T11+CHP!T48</f>
        <v>136185936930555.03</v>
      </c>
      <c r="U11" s="16">
        <f>'BIFUbC-coal pre-CHP'!U11+CHP!U48</f>
        <v>138116307240606.08</v>
      </c>
      <c r="V11" s="16">
        <f>'BIFUbC-coal pre-CHP'!V11+CHP!V48</f>
        <v>140046677550657.09</v>
      </c>
      <c r="W11" s="16">
        <f>'BIFUbC-coal pre-CHP'!W11+CHP!W48</f>
        <v>141155208811849</v>
      </c>
      <c r="X11" s="16">
        <f>'BIFUbC-coal pre-CHP'!X11+CHP!X48</f>
        <v>142263740073040.91</v>
      </c>
      <c r="Y11" s="16">
        <f>'BIFUbC-coal pre-CHP'!Y11+CHP!Y48</f>
        <v>143372271334232.81</v>
      </c>
      <c r="Z11" s="16">
        <f>'BIFUbC-coal pre-CHP'!Z11+CHP!Z48</f>
        <v>144480802595424.75</v>
      </c>
      <c r="AA11" s="16">
        <f>'BIFUbC-coal pre-CHP'!AA11+CHP!AA48</f>
        <v>145589333856616.63</v>
      </c>
      <c r="AB11" s="16">
        <f>'BIFUbC-coal pre-CHP'!AB11+CHP!AB48</f>
        <v>146697865117808.53</v>
      </c>
      <c r="AC11" s="16">
        <f>'BIFUbC-coal pre-CHP'!AC11+CHP!AC48</f>
        <v>147806396379000.44</v>
      </c>
      <c r="AD11" s="16">
        <f>'BIFUbC-coal pre-CHP'!AD11+CHP!AD48</f>
        <v>148914927640192.34</v>
      </c>
      <c r="AE11" s="16">
        <f>'BIFUbC-coal pre-CHP'!AE11+CHP!AE48</f>
        <v>150023458901384.25</v>
      </c>
      <c r="AF11" s="16">
        <f>'BIFUbC-coal pre-CHP'!AF11+CHP!AF48</f>
        <v>151131990162576.16</v>
      </c>
    </row>
    <row r="12" spans="1:35">
      <c r="A12" t="s">
        <v>51</v>
      </c>
      <c r="B12" s="16">
        <f>'BIFUbC-coal pre-CHP'!B12+CHP!B49</f>
        <v>90448365409031.672</v>
      </c>
      <c r="C12" s="16">
        <f>'BIFUbC-coal pre-CHP'!C12+CHP!C49</f>
        <v>92795696974811.594</v>
      </c>
      <c r="D12" s="16">
        <f>'BIFUbC-coal pre-CHP'!D12+CHP!D49</f>
        <v>95143028540591.516</v>
      </c>
      <c r="E12" s="16">
        <f>'BIFUbC-coal pre-CHP'!E12+CHP!E49</f>
        <v>97490360106371.578</v>
      </c>
      <c r="F12" s="16">
        <f>'BIFUbC-coal pre-CHP'!F12+CHP!F49</f>
        <v>102422029205629.77</v>
      </c>
      <c r="G12" s="16">
        <f>'BIFUbC-coal pre-CHP'!G12+CHP!G49</f>
        <v>107353698304887.94</v>
      </c>
      <c r="H12" s="16">
        <f>'BIFUbC-coal pre-CHP'!H12+CHP!H49</f>
        <v>112285367404146.11</v>
      </c>
      <c r="I12" s="16">
        <f>'BIFUbC-coal pre-CHP'!I12+CHP!I49</f>
        <v>117217036503404.28</v>
      </c>
      <c r="J12" s="16">
        <f>'BIFUbC-coal pre-CHP'!J12+CHP!J49</f>
        <v>122148705602662.47</v>
      </c>
      <c r="K12" s="16">
        <f>'BIFUbC-coal pre-CHP'!K12+CHP!K49</f>
        <v>127080374701920.64</v>
      </c>
      <c r="L12" s="16">
        <f>'BIFUbC-coal pre-CHP'!L12+CHP!L49</f>
        <v>132012043801178.8</v>
      </c>
      <c r="M12" s="16">
        <f>'BIFUbC-coal pre-CHP'!M12+CHP!M49</f>
        <v>133994238558510.53</v>
      </c>
      <c r="N12" s="16">
        <f>'BIFUbC-coal pre-CHP'!N12+CHP!N49</f>
        <v>135976433315842.25</v>
      </c>
      <c r="O12" s="16">
        <f>'BIFUbC-coal pre-CHP'!O12+CHP!O49</f>
        <v>137958628073173.97</v>
      </c>
      <c r="P12" s="16">
        <f>'BIFUbC-coal pre-CHP'!P12+CHP!P49</f>
        <v>139940822830505.69</v>
      </c>
      <c r="Q12" s="16">
        <f>'BIFUbC-coal pre-CHP'!Q12+CHP!Q49</f>
        <v>141923017587837.41</v>
      </c>
      <c r="R12" s="16">
        <f>'BIFUbC-coal pre-CHP'!R12+CHP!R49</f>
        <v>143905212345169.13</v>
      </c>
      <c r="S12" s="16">
        <f>'BIFUbC-coal pre-CHP'!S12+CHP!S49</f>
        <v>145887407102500.88</v>
      </c>
      <c r="T12" s="16">
        <f>'BIFUbC-coal pre-CHP'!T12+CHP!T49</f>
        <v>147869601859832.56</v>
      </c>
      <c r="U12" s="16">
        <f>'BIFUbC-coal pre-CHP'!U12+CHP!U49</f>
        <v>149851796617164.31</v>
      </c>
      <c r="V12" s="16">
        <f>'BIFUbC-coal pre-CHP'!V12+CHP!V49</f>
        <v>151833991374496.03</v>
      </c>
      <c r="W12" s="16">
        <f>'BIFUbC-coal pre-CHP'!W12+CHP!W49</f>
        <v>152910443699407.44</v>
      </c>
      <c r="X12" s="16">
        <f>'BIFUbC-coal pre-CHP'!X12+CHP!X49</f>
        <v>153986896024318.84</v>
      </c>
      <c r="Y12" s="16">
        <f>'BIFUbC-coal pre-CHP'!Y12+CHP!Y49</f>
        <v>155063348349230.25</v>
      </c>
      <c r="Z12" s="16">
        <f>'BIFUbC-coal pre-CHP'!Z12+CHP!Z49</f>
        <v>156139800674141.63</v>
      </c>
      <c r="AA12" s="16">
        <f>'BIFUbC-coal pre-CHP'!AA12+CHP!AA49</f>
        <v>157216252999053.03</v>
      </c>
      <c r="AB12" s="16">
        <f>'BIFUbC-coal pre-CHP'!AB12+CHP!AB49</f>
        <v>158292705323964.44</v>
      </c>
      <c r="AC12" s="16">
        <f>'BIFUbC-coal pre-CHP'!AC12+CHP!AC49</f>
        <v>159369157648875.88</v>
      </c>
      <c r="AD12" s="16">
        <f>'BIFUbC-coal pre-CHP'!AD12+CHP!AD49</f>
        <v>160445609973787.25</v>
      </c>
      <c r="AE12" s="16">
        <f>'BIFUbC-coal pre-CHP'!AE12+CHP!AE49</f>
        <v>161522062298698.66</v>
      </c>
      <c r="AF12" s="16">
        <f>'BIFUbC-coal pre-CHP'!AF12+CHP!AF49</f>
        <v>162598514623610.06</v>
      </c>
    </row>
    <row r="13" spans="1:35">
      <c r="A13" t="s">
        <v>53</v>
      </c>
      <c r="B13" s="16">
        <f>'BIFUbC-coal pre-CHP'!B13+CHP!B50</f>
        <v>1180480471949.8601</v>
      </c>
      <c r="C13" s="16">
        <f>'BIFUbC-coal pre-CHP'!C13+CHP!C50</f>
        <v>1214104352795.825</v>
      </c>
      <c r="D13" s="16">
        <f>'BIFUbC-coal pre-CHP'!D13+CHP!D50</f>
        <v>1247728233641.79</v>
      </c>
      <c r="E13" s="16">
        <f>'BIFUbC-coal pre-CHP'!E13+CHP!E50</f>
        <v>1281352114487.7549</v>
      </c>
      <c r="F13" s="16">
        <f>'BIFUbC-coal pre-CHP'!F13+CHP!F50</f>
        <v>1296568789868.8547</v>
      </c>
      <c r="G13" s="16">
        <f>'BIFUbC-coal pre-CHP'!G13+CHP!G50</f>
        <v>1311785465249.9543</v>
      </c>
      <c r="H13" s="16">
        <f>'BIFUbC-coal pre-CHP'!H13+CHP!H50</f>
        <v>1327002140631.0542</v>
      </c>
      <c r="I13" s="16">
        <f>'BIFUbC-coal pre-CHP'!I13+CHP!I50</f>
        <v>1342218816012.1538</v>
      </c>
      <c r="J13" s="16">
        <f>'BIFUbC-coal pre-CHP'!J13+CHP!J50</f>
        <v>1357435491393.2539</v>
      </c>
      <c r="K13" s="16">
        <f>'BIFUbC-coal pre-CHP'!K13+CHP!K50</f>
        <v>1372652166774.3535</v>
      </c>
      <c r="L13" s="16">
        <f>'BIFUbC-coal pre-CHP'!L13+CHP!L50</f>
        <v>1387868842155.4531</v>
      </c>
      <c r="M13" s="16">
        <f>'BIFUbC-coal pre-CHP'!M13+CHP!M50</f>
        <v>1388499118650.5283</v>
      </c>
      <c r="N13" s="16">
        <f>'BIFUbC-coal pre-CHP'!N13+CHP!N50</f>
        <v>1389129395145.6033</v>
      </c>
      <c r="O13" s="16">
        <f>'BIFUbC-coal pre-CHP'!O13+CHP!O50</f>
        <v>1389759671640.6787</v>
      </c>
      <c r="P13" s="16">
        <f>'BIFUbC-coal pre-CHP'!P13+CHP!P50</f>
        <v>1390389948135.7537</v>
      </c>
      <c r="Q13" s="16">
        <f>'BIFUbC-coal pre-CHP'!Q13+CHP!Q50</f>
        <v>1391020224630.8289</v>
      </c>
      <c r="R13" s="16">
        <f>'BIFUbC-coal pre-CHP'!R13+CHP!R50</f>
        <v>1391650501125.9041</v>
      </c>
      <c r="S13" s="16">
        <f>'BIFUbC-coal pre-CHP'!S13+CHP!S50</f>
        <v>1392280777620.9792</v>
      </c>
      <c r="T13" s="16">
        <f>'BIFUbC-coal pre-CHP'!T13+CHP!T50</f>
        <v>1392911054116.0542</v>
      </c>
      <c r="U13" s="16">
        <f>'BIFUbC-coal pre-CHP'!U13+CHP!U50</f>
        <v>1393541330611.1294</v>
      </c>
      <c r="V13" s="16">
        <f>'BIFUbC-coal pre-CHP'!V13+CHP!V50</f>
        <v>1394171607106.2048</v>
      </c>
      <c r="W13" s="16">
        <f>'BIFUbC-coal pre-CHP'!W13+CHP!W50</f>
        <v>1384780487329.585</v>
      </c>
      <c r="X13" s="16">
        <f>'BIFUbC-coal pre-CHP'!X13+CHP!X50</f>
        <v>1375389367552.9653</v>
      </c>
      <c r="Y13" s="16">
        <f>'BIFUbC-coal pre-CHP'!Y13+CHP!Y50</f>
        <v>1365998247776.3459</v>
      </c>
      <c r="Z13" s="16">
        <f>'BIFUbC-coal pre-CHP'!Z13+CHP!Z50</f>
        <v>1356607127999.7263</v>
      </c>
      <c r="AA13" s="16">
        <f>'BIFUbC-coal pre-CHP'!AA13+CHP!AA50</f>
        <v>1347216008223.1069</v>
      </c>
      <c r="AB13" s="16">
        <f>'BIFUbC-coal pre-CHP'!AB13+CHP!AB50</f>
        <v>1337824888446.4873</v>
      </c>
      <c r="AC13" s="16">
        <f>'BIFUbC-coal pre-CHP'!AC13+CHP!AC50</f>
        <v>1328433768669.8677</v>
      </c>
      <c r="AD13" s="16">
        <f>'BIFUbC-coal pre-CHP'!AD13+CHP!AD50</f>
        <v>1319042648893.248</v>
      </c>
      <c r="AE13" s="16">
        <f>'BIFUbC-coal pre-CHP'!AE13+CHP!AE50</f>
        <v>1309651529116.6287</v>
      </c>
      <c r="AF13" s="16">
        <f>'BIFUbC-coal pre-CHP'!AF13+CHP!AF50</f>
        <v>1300260409340.009</v>
      </c>
    </row>
    <row r="14" spans="1:35">
      <c r="A14" t="s">
        <v>56</v>
      </c>
      <c r="B14" s="16">
        <f>'BIFUbC-coal pre-CHP'!B14+CHP!B51</f>
        <v>2975019416201.1797</v>
      </c>
      <c r="C14" s="16">
        <f>'BIFUbC-coal pre-CHP'!C14+CHP!C51</f>
        <v>3059757538297.8149</v>
      </c>
      <c r="D14" s="16">
        <f>'BIFUbC-coal pre-CHP'!D14+CHP!D51</f>
        <v>3144495660394.4497</v>
      </c>
      <c r="E14" s="16">
        <f>'BIFUbC-coal pre-CHP'!E14+CHP!E51</f>
        <v>3229233782491.0854</v>
      </c>
      <c r="F14" s="16">
        <f>'BIFUbC-coal pre-CHP'!F14+CHP!F51</f>
        <v>3267582493701.8921</v>
      </c>
      <c r="G14" s="16">
        <f>'BIFUbC-coal pre-CHP'!G14+CHP!G51</f>
        <v>3305931204912.6987</v>
      </c>
      <c r="H14" s="16">
        <f>'BIFUbC-coal pre-CHP'!H14+CHP!H51</f>
        <v>3344279916123.5063</v>
      </c>
      <c r="I14" s="16">
        <f>'BIFUbC-coal pre-CHP'!I14+CHP!I51</f>
        <v>3382628627334.313</v>
      </c>
      <c r="J14" s="16">
        <f>'BIFUbC-coal pre-CHP'!J14+CHP!J51</f>
        <v>3420977338545.1201</v>
      </c>
      <c r="K14" s="16">
        <f>'BIFUbC-coal pre-CHP'!K14+CHP!K51</f>
        <v>3459326049755.9268</v>
      </c>
      <c r="L14" s="16">
        <f>'BIFUbC-coal pre-CHP'!L14+CHP!L51</f>
        <v>3497674760966.7344</v>
      </c>
      <c r="M14" s="16">
        <f>'BIFUbC-coal pre-CHP'!M14+CHP!M51</f>
        <v>3499263169123.394</v>
      </c>
      <c r="N14" s="16">
        <f>'BIFUbC-coal pre-CHP'!N14+CHP!N51</f>
        <v>3500851577280.0547</v>
      </c>
      <c r="O14" s="16">
        <f>'BIFUbC-coal pre-CHP'!O14+CHP!O51</f>
        <v>3502439985436.7153</v>
      </c>
      <c r="P14" s="16">
        <f>'BIFUbC-coal pre-CHP'!P14+CHP!P51</f>
        <v>3504028393593.376</v>
      </c>
      <c r="Q14" s="16">
        <f>'BIFUbC-coal pre-CHP'!Q14+CHP!Q51</f>
        <v>3505616801750.0371</v>
      </c>
      <c r="R14" s="16">
        <f>'BIFUbC-coal pre-CHP'!R14+CHP!R51</f>
        <v>3507205209906.6978</v>
      </c>
      <c r="S14" s="16">
        <f>'BIFUbC-coal pre-CHP'!S14+CHP!S51</f>
        <v>3508793618063.3584</v>
      </c>
      <c r="T14" s="16">
        <f>'BIFUbC-coal pre-CHP'!T14+CHP!T51</f>
        <v>3510382026220.019</v>
      </c>
      <c r="U14" s="16">
        <f>'BIFUbC-coal pre-CHP'!U14+CHP!U51</f>
        <v>3511970434376.6797</v>
      </c>
      <c r="V14" s="16">
        <f>'BIFUbC-coal pre-CHP'!V14+CHP!V51</f>
        <v>3513558842533.3403</v>
      </c>
      <c r="W14" s="16">
        <f>'BIFUbC-coal pre-CHP'!W14+CHP!W51</f>
        <v>3489891560999.0972</v>
      </c>
      <c r="X14" s="16">
        <f>'BIFUbC-coal pre-CHP'!X14+CHP!X51</f>
        <v>3466224279464.853</v>
      </c>
      <c r="Y14" s="16">
        <f>'BIFUbC-coal pre-CHP'!Y14+CHP!Y51</f>
        <v>3442556997930.6094</v>
      </c>
      <c r="Z14" s="16">
        <f>'BIFUbC-coal pre-CHP'!Z14+CHP!Z51</f>
        <v>3418889716396.3657</v>
      </c>
      <c r="AA14" s="16">
        <f>'BIFUbC-coal pre-CHP'!AA14+CHP!AA51</f>
        <v>3395222434862.1226</v>
      </c>
      <c r="AB14" s="16">
        <f>'BIFUbC-coal pre-CHP'!AB14+CHP!AB51</f>
        <v>3371555153327.8784</v>
      </c>
      <c r="AC14" s="16">
        <f>'BIFUbC-coal pre-CHP'!AC14+CHP!AC51</f>
        <v>3347887871793.6353</v>
      </c>
      <c r="AD14" s="16">
        <f>'BIFUbC-coal pre-CHP'!AD14+CHP!AD51</f>
        <v>3324220590259.3921</v>
      </c>
      <c r="AE14" s="16">
        <f>'BIFUbC-coal pre-CHP'!AE14+CHP!AE51</f>
        <v>3300553308725.1484</v>
      </c>
      <c r="AF14" s="16">
        <f>'BIFUbC-coal pre-CHP'!AF14+CHP!AF51</f>
        <v>3276886027190.9048</v>
      </c>
    </row>
    <row r="15" spans="1:35">
      <c r="A15" s="390" t="s">
        <v>58</v>
      </c>
      <c r="B15" s="16">
        <f>'BIFUbC-coal pre-CHP'!B15+CHP!B52</f>
        <v>870308882489572.25</v>
      </c>
      <c r="C15" s="16">
        <f>'BIFUbC-coal pre-CHP'!C15+CHP!C52</f>
        <v>885715113615014.13</v>
      </c>
      <c r="D15" s="16">
        <f>'BIFUbC-coal pre-CHP'!D15+CHP!D52</f>
        <v>901121344740452.13</v>
      </c>
      <c r="E15" s="16">
        <f>'BIFUbC-coal pre-CHP'!E15+CHP!E52</f>
        <v>916527575865890.13</v>
      </c>
      <c r="F15" s="16">
        <f>'BIFUbC-coal pre-CHP'!F15+CHP!F52</f>
        <v>931155327085728.13</v>
      </c>
      <c r="G15" s="16">
        <f>'BIFUbC-coal pre-CHP'!G15+CHP!G52</f>
        <v>945783078305562.25</v>
      </c>
      <c r="H15" s="16">
        <f>'BIFUbC-coal pre-CHP'!H15+CHP!H52</f>
        <v>960410829525396.25</v>
      </c>
      <c r="I15" s="16">
        <f>'BIFUbC-coal pre-CHP'!I15+CHP!I52</f>
        <v>975038580745230.25</v>
      </c>
      <c r="J15" s="16">
        <f>'BIFUbC-coal pre-CHP'!J15+CHP!J52</f>
        <v>989666331965064.38</v>
      </c>
      <c r="K15" s="16">
        <f>'BIFUbC-coal pre-CHP'!K15+CHP!K52</f>
        <v>1004294083184898.4</v>
      </c>
      <c r="L15" s="16">
        <f>'BIFUbC-coal pre-CHP'!L15+CHP!L52</f>
        <v>1018921834404728.5</v>
      </c>
      <c r="M15" s="16">
        <f>'BIFUbC-coal pre-CHP'!M15+CHP!M52</f>
        <v>1013004053253711.1</v>
      </c>
      <c r="N15" s="16">
        <f>'BIFUbC-coal pre-CHP'!N15+CHP!N52</f>
        <v>1007086272102693.9</v>
      </c>
      <c r="O15" s="16">
        <f>'BIFUbC-coal pre-CHP'!O15+CHP!O52</f>
        <v>1001168490951676.6</v>
      </c>
      <c r="P15" s="16">
        <f>'BIFUbC-coal pre-CHP'!P15+CHP!P52</f>
        <v>995250709800659.38</v>
      </c>
      <c r="Q15" s="16">
        <f>'BIFUbC-coal pre-CHP'!Q15+CHP!Q52</f>
        <v>989332928649642.13</v>
      </c>
      <c r="R15" s="16">
        <f>'BIFUbC-coal pre-CHP'!R15+CHP!R52</f>
        <v>983415147498624.88</v>
      </c>
      <c r="S15" s="16">
        <f>'BIFUbC-coal pre-CHP'!S15+CHP!S52</f>
        <v>977497366347607.63</v>
      </c>
      <c r="T15" s="16">
        <f>'BIFUbC-coal pre-CHP'!T15+CHP!T52</f>
        <v>971579585196590.38</v>
      </c>
      <c r="U15" s="16">
        <f>'BIFUbC-coal pre-CHP'!U15+CHP!U52</f>
        <v>965661804045573.13</v>
      </c>
      <c r="V15" s="16">
        <f>'BIFUbC-coal pre-CHP'!V15+CHP!V52</f>
        <v>959744022894555.88</v>
      </c>
      <c r="W15" s="16">
        <f>'BIFUbC-coal pre-CHP'!W15+CHP!W52</f>
        <v>948663249849667</v>
      </c>
      <c r="X15" s="16">
        <f>'BIFUbC-coal pre-CHP'!X15+CHP!X52</f>
        <v>937582476804778.13</v>
      </c>
      <c r="Y15" s="16">
        <f>'BIFUbC-coal pre-CHP'!Y15+CHP!Y52</f>
        <v>926501703759893.25</v>
      </c>
      <c r="Z15" s="16">
        <f>'BIFUbC-coal pre-CHP'!Z15+CHP!Z52</f>
        <v>915420930715004.38</v>
      </c>
      <c r="AA15" s="16">
        <f>'BIFUbC-coal pre-CHP'!AA15+CHP!AA52</f>
        <v>904340157670115.5</v>
      </c>
      <c r="AB15" s="16">
        <f>'BIFUbC-coal pre-CHP'!AB15+CHP!AB52</f>
        <v>893259384625230.75</v>
      </c>
      <c r="AC15" s="16">
        <f>'BIFUbC-coal pre-CHP'!AC15+CHP!AC52</f>
        <v>882178611580341.88</v>
      </c>
      <c r="AD15" s="16">
        <f>'BIFUbC-coal pre-CHP'!AD15+CHP!AD52</f>
        <v>871097838535453</v>
      </c>
      <c r="AE15" s="16">
        <f>'BIFUbC-coal pre-CHP'!AE15+CHP!AE52</f>
        <v>860017065490564.13</v>
      </c>
      <c r="AF15" s="16">
        <f>'BIFUbC-coal pre-CHP'!AF15+CHP!AF52</f>
        <v>848936292445677.25</v>
      </c>
    </row>
    <row r="16" spans="1:35">
      <c r="A16" t="s">
        <v>61</v>
      </c>
      <c r="B16" s="16">
        <f>'BIFUbC-coal pre-CHP'!B16+CHP!B53</f>
        <v>90128135434850.266</v>
      </c>
      <c r="C16" s="16">
        <f>'BIFUbC-coal pre-CHP'!C16+CHP!C53</f>
        <v>87720537389167.063</v>
      </c>
      <c r="D16" s="16">
        <f>'BIFUbC-coal pre-CHP'!D16+CHP!D53</f>
        <v>85312939343483.859</v>
      </c>
      <c r="E16" s="16">
        <f>'BIFUbC-coal pre-CHP'!E16+CHP!E53</f>
        <v>82905341297800.672</v>
      </c>
      <c r="F16" s="16">
        <f>'BIFUbC-coal pre-CHP'!F16+CHP!F53</f>
        <v>82494403627850.984</v>
      </c>
      <c r="G16" s="16">
        <f>'BIFUbC-coal pre-CHP'!G16+CHP!G53</f>
        <v>82083465957901.297</v>
      </c>
      <c r="H16" s="16">
        <f>'BIFUbC-coal pre-CHP'!H16+CHP!H53</f>
        <v>81672528287951.625</v>
      </c>
      <c r="I16" s="16">
        <f>'BIFUbC-coal pre-CHP'!I16+CHP!I53</f>
        <v>81261590618001.938</v>
      </c>
      <c r="J16" s="16">
        <f>'BIFUbC-coal pre-CHP'!J16+CHP!J53</f>
        <v>80850652948052.25</v>
      </c>
      <c r="K16" s="16">
        <f>'BIFUbC-coal pre-CHP'!K16+CHP!K53</f>
        <v>80439715278102.563</v>
      </c>
      <c r="L16" s="16">
        <f>'BIFUbC-coal pre-CHP'!L16+CHP!L53</f>
        <v>80028777608152.875</v>
      </c>
      <c r="M16" s="16">
        <f>'BIFUbC-coal pre-CHP'!M16+CHP!M53</f>
        <v>79458118098283.359</v>
      </c>
      <c r="N16" s="16">
        <f>'BIFUbC-coal pre-CHP'!N16+CHP!N53</f>
        <v>78887458588413.828</v>
      </c>
      <c r="O16" s="16">
        <f>'BIFUbC-coal pre-CHP'!O16+CHP!O53</f>
        <v>78316799078544.313</v>
      </c>
      <c r="P16" s="16">
        <f>'BIFUbC-coal pre-CHP'!P16+CHP!P53</f>
        <v>77746139568674.797</v>
      </c>
      <c r="Q16" s="16">
        <f>'BIFUbC-coal pre-CHP'!Q16+CHP!Q53</f>
        <v>77175480058805.266</v>
      </c>
      <c r="R16" s="16">
        <f>'BIFUbC-coal pre-CHP'!R16+CHP!R53</f>
        <v>76604820548935.75</v>
      </c>
      <c r="S16" s="16">
        <f>'BIFUbC-coal pre-CHP'!S16+CHP!S53</f>
        <v>76034161039066.219</v>
      </c>
      <c r="T16" s="16">
        <f>'BIFUbC-coal pre-CHP'!T16+CHP!T53</f>
        <v>75463501529196.703</v>
      </c>
      <c r="U16" s="16">
        <f>'BIFUbC-coal pre-CHP'!U16+CHP!U53</f>
        <v>74892842019327.172</v>
      </c>
      <c r="V16" s="16">
        <f>'BIFUbC-coal pre-CHP'!V16+CHP!V53</f>
        <v>74322182509457.656</v>
      </c>
      <c r="W16" s="16">
        <f>'BIFUbC-coal pre-CHP'!W16+CHP!W53</f>
        <v>73220372350521.031</v>
      </c>
      <c r="X16" s="16">
        <f>'BIFUbC-coal pre-CHP'!X16+CHP!X53</f>
        <v>72118562191584.406</v>
      </c>
      <c r="Y16" s="16">
        <f>'BIFUbC-coal pre-CHP'!Y16+CHP!Y53</f>
        <v>71016752032647.766</v>
      </c>
      <c r="Z16" s="16">
        <f>'BIFUbC-coal pre-CHP'!Z16+CHP!Z53</f>
        <v>69914941873711.148</v>
      </c>
      <c r="AA16" s="16">
        <f>'BIFUbC-coal pre-CHP'!AA16+CHP!AA53</f>
        <v>68813131714774.523</v>
      </c>
      <c r="AB16" s="16">
        <f>'BIFUbC-coal pre-CHP'!AB16+CHP!AB53</f>
        <v>67711321555837.891</v>
      </c>
      <c r="AC16" s="16">
        <f>'BIFUbC-coal pre-CHP'!AC16+CHP!AC53</f>
        <v>66609511396901.266</v>
      </c>
      <c r="AD16" s="16">
        <f>'BIFUbC-coal pre-CHP'!AD16+CHP!AD53</f>
        <v>65507701237964.641</v>
      </c>
      <c r="AE16" s="16">
        <f>'BIFUbC-coal pre-CHP'!AE16+CHP!AE53</f>
        <v>64405891079028.008</v>
      </c>
      <c r="AF16" s="16">
        <f>'BIFUbC-coal pre-CHP'!AF16+CHP!AF53</f>
        <v>63304080920091.375</v>
      </c>
    </row>
    <row r="17" spans="1:32">
      <c r="A17" t="s">
        <v>65</v>
      </c>
      <c r="B17" s="16">
        <f>'BIFUbC-coal pre-CHP'!B17+CHP!B54</f>
        <v>11077615121425.721</v>
      </c>
      <c r="C17" s="16">
        <f>'BIFUbC-coal pre-CHP'!C17+CHP!C54</f>
        <v>11084088681455.018</v>
      </c>
      <c r="D17" s="16">
        <f>'BIFUbC-coal pre-CHP'!D17+CHP!D54</f>
        <v>11090562241484.313</v>
      </c>
      <c r="E17" s="16">
        <f>'BIFUbC-coal pre-CHP'!E17+CHP!E54</f>
        <v>11097035801513.611</v>
      </c>
      <c r="F17" s="16">
        <f>'BIFUbC-coal pre-CHP'!F17+CHP!F54</f>
        <v>11414991090372.039</v>
      </c>
      <c r="G17" s="16">
        <f>'BIFUbC-coal pre-CHP'!G17+CHP!G54</f>
        <v>11732946379230.465</v>
      </c>
      <c r="H17" s="16">
        <f>'BIFUbC-coal pre-CHP'!H17+CHP!H54</f>
        <v>12050901668088.895</v>
      </c>
      <c r="I17" s="16">
        <f>'BIFUbC-coal pre-CHP'!I17+CHP!I54</f>
        <v>12368856956947.32</v>
      </c>
      <c r="J17" s="16">
        <f>'BIFUbC-coal pre-CHP'!J17+CHP!J54</f>
        <v>12686812245805.75</v>
      </c>
      <c r="K17" s="16">
        <f>'BIFUbC-coal pre-CHP'!K17+CHP!K54</f>
        <v>13004767534664.176</v>
      </c>
      <c r="L17" s="16">
        <f>'BIFUbC-coal pre-CHP'!L17+CHP!L54</f>
        <v>13322722823522.604</v>
      </c>
      <c r="M17" s="16">
        <f>'BIFUbC-coal pre-CHP'!M17+CHP!M54</f>
        <v>13354833906870.436</v>
      </c>
      <c r="N17" s="16">
        <f>'BIFUbC-coal pre-CHP'!N17+CHP!N54</f>
        <v>13386944990218.27</v>
      </c>
      <c r="O17" s="16">
        <f>'BIFUbC-coal pre-CHP'!O17+CHP!O54</f>
        <v>13419056073566.105</v>
      </c>
      <c r="P17" s="16">
        <f>'BIFUbC-coal pre-CHP'!P17+CHP!P54</f>
        <v>13451167156913.938</v>
      </c>
      <c r="Q17" s="16">
        <f>'BIFUbC-coal pre-CHP'!Q17+CHP!Q54</f>
        <v>13483278240261.771</v>
      </c>
      <c r="R17" s="16">
        <f>'BIFUbC-coal pre-CHP'!R17+CHP!R54</f>
        <v>13515389323609.604</v>
      </c>
      <c r="S17" s="16">
        <f>'BIFUbC-coal pre-CHP'!S17+CHP!S54</f>
        <v>13547500406957.438</v>
      </c>
      <c r="T17" s="16">
        <f>'BIFUbC-coal pre-CHP'!T17+CHP!T54</f>
        <v>13579611490305.271</v>
      </c>
      <c r="U17" s="16">
        <f>'BIFUbC-coal pre-CHP'!U17+CHP!U54</f>
        <v>13611722573653.104</v>
      </c>
      <c r="V17" s="16">
        <f>'BIFUbC-coal pre-CHP'!V17+CHP!V54</f>
        <v>13643833657000.938</v>
      </c>
      <c r="W17" s="16">
        <f>'BIFUbC-coal pre-CHP'!W17+CHP!W54</f>
        <v>13563134009515.482</v>
      </c>
      <c r="X17" s="16">
        <f>'BIFUbC-coal pre-CHP'!X17+CHP!X54</f>
        <v>13482434362030.023</v>
      </c>
      <c r="Y17" s="16">
        <f>'BIFUbC-coal pre-CHP'!Y17+CHP!Y54</f>
        <v>13401734714544.568</v>
      </c>
      <c r="Z17" s="16">
        <f>'BIFUbC-coal pre-CHP'!Z17+CHP!Z54</f>
        <v>13321035067059.109</v>
      </c>
      <c r="AA17" s="16">
        <f>'BIFUbC-coal pre-CHP'!AA17+CHP!AA54</f>
        <v>13240335419573.654</v>
      </c>
      <c r="AB17" s="16">
        <f>'BIFUbC-coal pre-CHP'!AB17+CHP!AB54</f>
        <v>13159635772088.197</v>
      </c>
      <c r="AC17" s="16">
        <f>'BIFUbC-coal pre-CHP'!AC17+CHP!AC54</f>
        <v>13078936124602.74</v>
      </c>
      <c r="AD17" s="16">
        <f>'BIFUbC-coal pre-CHP'!AD17+CHP!AD54</f>
        <v>12998236477117.285</v>
      </c>
      <c r="AE17" s="16">
        <f>'BIFUbC-coal pre-CHP'!AE17+CHP!AE54</f>
        <v>12917536829631.828</v>
      </c>
      <c r="AF17" s="16">
        <f>'BIFUbC-coal pre-CHP'!AF17+CHP!AF54</f>
        <v>12836837182146.369</v>
      </c>
    </row>
    <row r="18" spans="1:32">
      <c r="A18" t="s">
        <v>67</v>
      </c>
      <c r="B18" s="16">
        <f>'BIFUbC-coal pre-CHP'!B18+CHP!B55</f>
        <v>55556315235332.148</v>
      </c>
      <c r="C18" s="16">
        <f>'BIFUbC-coal pre-CHP'!C18+CHP!C55</f>
        <v>57581304339415.164</v>
      </c>
      <c r="D18" s="16">
        <f>'BIFUbC-coal pre-CHP'!D18+CHP!D55</f>
        <v>59606293443498.945</v>
      </c>
      <c r="E18" s="16">
        <f>'BIFUbC-coal pre-CHP'!E18+CHP!E55</f>
        <v>61631282547582.32</v>
      </c>
      <c r="F18" s="16">
        <f>'BIFUbC-coal pre-CHP'!F18+CHP!F55</f>
        <v>62658854301019.18</v>
      </c>
      <c r="G18" s="16">
        <f>'BIFUbC-coal pre-CHP'!G18+CHP!G55</f>
        <v>63686426054456.016</v>
      </c>
      <c r="H18" s="16">
        <f>'BIFUbC-coal pre-CHP'!H18+CHP!H55</f>
        <v>64713997807892.859</v>
      </c>
      <c r="I18" s="16">
        <f>'BIFUbC-coal pre-CHP'!I18+CHP!I55</f>
        <v>65741569561329.711</v>
      </c>
      <c r="J18" s="16">
        <f>'BIFUbC-coal pre-CHP'!J18+CHP!J55</f>
        <v>66769141314766.555</v>
      </c>
      <c r="K18" s="16">
        <f>'BIFUbC-coal pre-CHP'!K18+CHP!K55</f>
        <v>67796713068203.398</v>
      </c>
      <c r="L18" s="16">
        <f>'BIFUbC-coal pre-CHP'!L18+CHP!L55</f>
        <v>68824284821640.234</v>
      </c>
      <c r="M18" s="16">
        <f>'BIFUbC-coal pre-CHP'!M18+CHP!M55</f>
        <v>69220635847007.594</v>
      </c>
      <c r="N18" s="16">
        <f>'BIFUbC-coal pre-CHP'!N18+CHP!N55</f>
        <v>69616986872374.945</v>
      </c>
      <c r="O18" s="16">
        <f>'BIFUbC-coal pre-CHP'!O18+CHP!O55</f>
        <v>70013337897742.297</v>
      </c>
      <c r="P18" s="16">
        <f>'BIFUbC-coal pre-CHP'!P18+CHP!P55</f>
        <v>70409688923109.641</v>
      </c>
      <c r="Q18" s="16">
        <f>'BIFUbC-coal pre-CHP'!Q18+CHP!Q55</f>
        <v>70806039948476.984</v>
      </c>
      <c r="R18" s="16">
        <f>'BIFUbC-coal pre-CHP'!R18+CHP!R55</f>
        <v>71202390973844.328</v>
      </c>
      <c r="S18" s="16">
        <f>'BIFUbC-coal pre-CHP'!S18+CHP!S55</f>
        <v>71598741999211.688</v>
      </c>
      <c r="T18" s="16">
        <f>'BIFUbC-coal pre-CHP'!T18+CHP!T55</f>
        <v>71995093024579.031</v>
      </c>
      <c r="U18" s="16">
        <f>'BIFUbC-coal pre-CHP'!U18+CHP!U55</f>
        <v>72391444049946.375</v>
      </c>
      <c r="V18" s="16">
        <f>'BIFUbC-coal pre-CHP'!V18+CHP!V55</f>
        <v>72787795075313.719</v>
      </c>
      <c r="W18" s="16">
        <f>'BIFUbC-coal pre-CHP'!W18+CHP!W55</f>
        <v>72562027296144.641</v>
      </c>
      <c r="X18" s="16">
        <f>'BIFUbC-coal pre-CHP'!X18+CHP!X55</f>
        <v>72336259516975.609</v>
      </c>
      <c r="Y18" s="16">
        <f>'BIFUbC-coal pre-CHP'!Y18+CHP!Y55</f>
        <v>72110491737806.594</v>
      </c>
      <c r="Z18" s="16">
        <f>'BIFUbC-coal pre-CHP'!Z18+CHP!Z55</f>
        <v>71884723958637.547</v>
      </c>
      <c r="AA18" s="16">
        <f>'BIFUbC-coal pre-CHP'!AA18+CHP!AA55</f>
        <v>71658956179468.531</v>
      </c>
      <c r="AB18" s="16">
        <f>'BIFUbC-coal pre-CHP'!AB18+CHP!AB55</f>
        <v>71433188400299.484</v>
      </c>
      <c r="AC18" s="16">
        <f>'BIFUbC-coal pre-CHP'!AC18+CHP!AC55</f>
        <v>71207420621130.469</v>
      </c>
      <c r="AD18" s="16">
        <f>'BIFUbC-coal pre-CHP'!AD18+CHP!AD55</f>
        <v>70981652841961.438</v>
      </c>
      <c r="AE18" s="16">
        <f>'BIFUbC-coal pre-CHP'!AE18+CHP!AE55</f>
        <v>70755885062792.406</v>
      </c>
      <c r="AF18" s="16">
        <f>'BIFUbC-coal pre-CHP'!AF18+CHP!AF55</f>
        <v>70530117283623.422</v>
      </c>
    </row>
    <row r="19" spans="1:32">
      <c r="A19" t="s">
        <v>71</v>
      </c>
      <c r="B19" s="16">
        <f>'BIFUbC-coal pre-CHP'!B19+CHP!B56</f>
        <v>9674572373698.3379</v>
      </c>
      <c r="C19" s="16">
        <f>'BIFUbC-coal pre-CHP'!C19+CHP!C56</f>
        <v>10027203817313.996</v>
      </c>
      <c r="D19" s="16">
        <f>'BIFUbC-coal pre-CHP'!D19+CHP!D56</f>
        <v>10379835260929.783</v>
      </c>
      <c r="E19" s="16">
        <f>'BIFUbC-coal pre-CHP'!E19+CHP!E56</f>
        <v>10732466704545.508</v>
      </c>
      <c r="F19" s="16">
        <f>'BIFUbC-coal pre-CHP'!F19+CHP!F56</f>
        <v>10911407969020.703</v>
      </c>
      <c r="G19" s="16">
        <f>'BIFUbC-coal pre-CHP'!G19+CHP!G56</f>
        <v>11090349233495.896</v>
      </c>
      <c r="H19" s="16">
        <f>'BIFUbC-coal pre-CHP'!H19+CHP!H56</f>
        <v>11269290497971.092</v>
      </c>
      <c r="I19" s="16">
        <f>'BIFUbC-coal pre-CHP'!I19+CHP!I56</f>
        <v>11448231762446.287</v>
      </c>
      <c r="J19" s="16">
        <f>'BIFUbC-coal pre-CHP'!J19+CHP!J56</f>
        <v>11627173026921.48</v>
      </c>
      <c r="K19" s="16">
        <f>'BIFUbC-coal pre-CHP'!K19+CHP!K56</f>
        <v>11806114291396.676</v>
      </c>
      <c r="L19" s="16">
        <f>'BIFUbC-coal pre-CHP'!L19+CHP!L56</f>
        <v>11985055555871.871</v>
      </c>
      <c r="M19" s="16">
        <f>'BIFUbC-coal pre-CHP'!M19+CHP!M56</f>
        <v>12054076092314.275</v>
      </c>
      <c r="N19" s="16">
        <f>'BIFUbC-coal pre-CHP'!N19+CHP!N56</f>
        <v>12123096628756.682</v>
      </c>
      <c r="O19" s="16">
        <f>'BIFUbC-coal pre-CHP'!O19+CHP!O56</f>
        <v>12192117165199.084</v>
      </c>
      <c r="P19" s="16">
        <f>'BIFUbC-coal pre-CHP'!P19+CHP!P56</f>
        <v>12261137701641.49</v>
      </c>
      <c r="Q19" s="16">
        <f>'BIFUbC-coal pre-CHP'!Q19+CHP!Q56</f>
        <v>12330158238083.895</v>
      </c>
      <c r="R19" s="16">
        <f>'BIFUbC-coal pre-CHP'!R19+CHP!R56</f>
        <v>12399178774526.299</v>
      </c>
      <c r="S19" s="16">
        <f>'BIFUbC-coal pre-CHP'!S19+CHP!S56</f>
        <v>12468199310968.703</v>
      </c>
      <c r="T19" s="16">
        <f>'BIFUbC-coal pre-CHP'!T19+CHP!T56</f>
        <v>12537219847411.109</v>
      </c>
      <c r="U19" s="16">
        <f>'BIFUbC-coal pre-CHP'!U19+CHP!U56</f>
        <v>12606240383853.51</v>
      </c>
      <c r="V19" s="16">
        <f>'BIFUbC-coal pre-CHP'!V19+CHP!V56</f>
        <v>12675260920295.914</v>
      </c>
      <c r="W19" s="16">
        <f>'BIFUbC-coal pre-CHP'!W19+CHP!W56</f>
        <v>12635945736955.043</v>
      </c>
      <c r="X19" s="16">
        <f>'BIFUbC-coal pre-CHP'!X19+CHP!X56</f>
        <v>12596630553614.18</v>
      </c>
      <c r="Y19" s="16">
        <f>'BIFUbC-coal pre-CHP'!Y19+CHP!Y56</f>
        <v>12557315370273.316</v>
      </c>
      <c r="Z19" s="16">
        <f>'BIFUbC-coal pre-CHP'!Z19+CHP!Z56</f>
        <v>12518000186932.451</v>
      </c>
      <c r="AA19" s="16">
        <f>'BIFUbC-coal pre-CHP'!AA19+CHP!AA56</f>
        <v>12478685003591.588</v>
      </c>
      <c r="AB19" s="16">
        <f>'BIFUbC-coal pre-CHP'!AB19+CHP!AB56</f>
        <v>12439369820250.723</v>
      </c>
      <c r="AC19" s="16">
        <f>'BIFUbC-coal pre-CHP'!AC19+CHP!AC56</f>
        <v>12400054636909.857</v>
      </c>
      <c r="AD19" s="16">
        <f>'BIFUbC-coal pre-CHP'!AD19+CHP!AD56</f>
        <v>12360739453568.994</v>
      </c>
      <c r="AE19" s="16">
        <f>'BIFUbC-coal pre-CHP'!AE19+CHP!AE56</f>
        <v>12321424270228.129</v>
      </c>
      <c r="AF19" s="16">
        <f>'BIFUbC-coal pre-CHP'!AF19+CHP!AF56</f>
        <v>12282109086887.275</v>
      </c>
    </row>
    <row r="20" spans="1:32">
      <c r="A20" t="s">
        <v>73</v>
      </c>
      <c r="B20" s="16">
        <f>'BIFUbC-coal pre-CHP'!B20+CHP!B57</f>
        <v>15103210703782.057</v>
      </c>
      <c r="C20" s="16">
        <f>'BIFUbC-coal pre-CHP'!C20+CHP!C57</f>
        <v>15653712244107.004</v>
      </c>
      <c r="D20" s="16">
        <f>'BIFUbC-coal pre-CHP'!D20+CHP!D57</f>
        <v>16204213784432.156</v>
      </c>
      <c r="E20" s="16">
        <f>'BIFUbC-coal pre-CHP'!E20+CHP!E57</f>
        <v>16754715324757.203</v>
      </c>
      <c r="F20" s="16">
        <f>'BIFUbC-coal pre-CHP'!F20+CHP!F57</f>
        <v>17034064893562.688</v>
      </c>
      <c r="G20" s="16">
        <f>'BIFUbC-coal pre-CHP'!G20+CHP!G57</f>
        <v>17313414462368.17</v>
      </c>
      <c r="H20" s="16">
        <f>'BIFUbC-coal pre-CHP'!H20+CHP!H57</f>
        <v>17592764031173.652</v>
      </c>
      <c r="I20" s="16">
        <f>'BIFUbC-coal pre-CHP'!I20+CHP!I57</f>
        <v>17872113599979.133</v>
      </c>
      <c r="J20" s="16">
        <f>'BIFUbC-coal pre-CHP'!J20+CHP!J57</f>
        <v>18151463168784.613</v>
      </c>
      <c r="K20" s="16">
        <f>'BIFUbC-coal pre-CHP'!K20+CHP!K57</f>
        <v>18430812737590.094</v>
      </c>
      <c r="L20" s="16">
        <f>'BIFUbC-coal pre-CHP'!L20+CHP!L57</f>
        <v>18710162306395.578</v>
      </c>
      <c r="M20" s="16">
        <f>'BIFUbC-coal pre-CHP'!M20+CHP!M57</f>
        <v>18817911947879.648</v>
      </c>
      <c r="N20" s="16">
        <f>'BIFUbC-coal pre-CHP'!N20+CHP!N57</f>
        <v>18925661589363.723</v>
      </c>
      <c r="O20" s="16">
        <f>'BIFUbC-coal pre-CHP'!O20+CHP!O57</f>
        <v>19033411230847.797</v>
      </c>
      <c r="P20" s="16">
        <f>'BIFUbC-coal pre-CHP'!P20+CHP!P57</f>
        <v>19141160872331.867</v>
      </c>
      <c r="Q20" s="16">
        <f>'BIFUbC-coal pre-CHP'!Q20+CHP!Q57</f>
        <v>19248910513815.941</v>
      </c>
      <c r="R20" s="16">
        <f>'BIFUbC-coal pre-CHP'!R20+CHP!R57</f>
        <v>19356660155300.012</v>
      </c>
      <c r="S20" s="16">
        <f>'BIFUbC-coal pre-CHP'!S20+CHP!S57</f>
        <v>19464409796784.086</v>
      </c>
      <c r="T20" s="16">
        <f>'BIFUbC-coal pre-CHP'!T20+CHP!T57</f>
        <v>19572159438268.156</v>
      </c>
      <c r="U20" s="16">
        <f>'BIFUbC-coal pre-CHP'!U20+CHP!U57</f>
        <v>19679909079752.227</v>
      </c>
      <c r="V20" s="16">
        <f>'BIFUbC-coal pre-CHP'!V20+CHP!V57</f>
        <v>19787658721236.293</v>
      </c>
      <c r="W20" s="16">
        <f>'BIFUbC-coal pre-CHP'!W20+CHP!W57</f>
        <v>19726282830404.234</v>
      </c>
      <c r="X20" s="16">
        <f>'BIFUbC-coal pre-CHP'!X20+CHP!X57</f>
        <v>19664906939572.18</v>
      </c>
      <c r="Y20" s="16">
        <f>'BIFUbC-coal pre-CHP'!Y20+CHP!Y57</f>
        <v>19603531048740.129</v>
      </c>
      <c r="Z20" s="16">
        <f>'BIFUbC-coal pre-CHP'!Z20+CHP!Z57</f>
        <v>19542155157908.078</v>
      </c>
      <c r="AA20" s="16">
        <f>'BIFUbC-coal pre-CHP'!AA20+CHP!AA57</f>
        <v>19480779267076.023</v>
      </c>
      <c r="AB20" s="16">
        <f>'BIFUbC-coal pre-CHP'!AB20+CHP!AB57</f>
        <v>19419403376243.977</v>
      </c>
      <c r="AC20" s="16">
        <f>'BIFUbC-coal pre-CHP'!AC20+CHP!AC57</f>
        <v>19358027485411.922</v>
      </c>
      <c r="AD20" s="16">
        <f>'BIFUbC-coal pre-CHP'!AD20+CHP!AD57</f>
        <v>19296651594579.867</v>
      </c>
      <c r="AE20" s="16">
        <f>'BIFUbC-coal pre-CHP'!AE20+CHP!AE57</f>
        <v>19235275703747.816</v>
      </c>
      <c r="AF20" s="16">
        <f>'BIFUbC-coal pre-CHP'!AF20+CHP!AF57</f>
        <v>19173899812915.777</v>
      </c>
    </row>
    <row r="21" spans="1:32">
      <c r="A21" t="s">
        <v>75</v>
      </c>
      <c r="B21" s="16">
        <f>'BIFUbC-coal pre-CHP'!B21+CHP!B58</f>
        <v>15768962899744.588</v>
      </c>
      <c r="C21" s="16">
        <f>'BIFUbC-coal pre-CHP'!C21+CHP!C58</f>
        <v>16343730645218.904</v>
      </c>
      <c r="D21" s="16">
        <f>'BIFUbC-coal pre-CHP'!D21+CHP!D58</f>
        <v>16918498390693.43</v>
      </c>
      <c r="E21" s="16">
        <f>'BIFUbC-coal pre-CHP'!E21+CHP!E58</f>
        <v>17493266136167.85</v>
      </c>
      <c r="F21" s="16">
        <f>'BIFUbC-coal pre-CHP'!F21+CHP!F58</f>
        <v>17784929483316.297</v>
      </c>
      <c r="G21" s="16">
        <f>'BIFUbC-coal pre-CHP'!G21+CHP!G58</f>
        <v>18076592830464.738</v>
      </c>
      <c r="H21" s="16">
        <f>'BIFUbC-coal pre-CHP'!H21+CHP!H58</f>
        <v>18368256177613.184</v>
      </c>
      <c r="I21" s="16">
        <f>'BIFUbC-coal pre-CHP'!I21+CHP!I58</f>
        <v>18659919524761.629</v>
      </c>
      <c r="J21" s="16">
        <f>'BIFUbC-coal pre-CHP'!J21+CHP!J58</f>
        <v>18951582871910.074</v>
      </c>
      <c r="K21" s="16">
        <f>'BIFUbC-coal pre-CHP'!K21+CHP!K58</f>
        <v>19243246219058.52</v>
      </c>
      <c r="L21" s="16">
        <f>'BIFUbC-coal pre-CHP'!L21+CHP!L58</f>
        <v>19534909566206.961</v>
      </c>
      <c r="M21" s="16">
        <f>'BIFUbC-coal pre-CHP'!M21+CHP!M58</f>
        <v>19647408830922.754</v>
      </c>
      <c r="N21" s="16">
        <f>'BIFUbC-coal pre-CHP'!N21+CHP!N58</f>
        <v>19759908095638.543</v>
      </c>
      <c r="O21" s="16">
        <f>'BIFUbC-coal pre-CHP'!O21+CHP!O58</f>
        <v>19872407360354.328</v>
      </c>
      <c r="P21" s="16">
        <f>'BIFUbC-coal pre-CHP'!P21+CHP!P58</f>
        <v>19984906625070.117</v>
      </c>
      <c r="Q21" s="16">
        <f>'BIFUbC-coal pre-CHP'!Q21+CHP!Q58</f>
        <v>20097405889785.906</v>
      </c>
      <c r="R21" s="16">
        <f>'BIFUbC-coal pre-CHP'!R21+CHP!R58</f>
        <v>20209905154501.695</v>
      </c>
      <c r="S21" s="16">
        <f>'BIFUbC-coal pre-CHP'!S21+CHP!S58</f>
        <v>20322404419217.484</v>
      </c>
      <c r="T21" s="16">
        <f>'BIFUbC-coal pre-CHP'!T21+CHP!T58</f>
        <v>20434903683933.273</v>
      </c>
      <c r="U21" s="16">
        <f>'BIFUbC-coal pre-CHP'!U21+CHP!U58</f>
        <v>20547402948649.063</v>
      </c>
      <c r="V21" s="16">
        <f>'BIFUbC-coal pre-CHP'!V21+CHP!V58</f>
        <v>20659902213364.848</v>
      </c>
      <c r="W21" s="16">
        <f>'BIFUbC-coal pre-CHP'!W21+CHP!W58</f>
        <v>20595820862422.219</v>
      </c>
      <c r="X21" s="16">
        <f>'BIFUbC-coal pre-CHP'!X21+CHP!X58</f>
        <v>20531739511479.598</v>
      </c>
      <c r="Y21" s="16">
        <f>'BIFUbC-coal pre-CHP'!Y21+CHP!Y58</f>
        <v>20467658160536.977</v>
      </c>
      <c r="Z21" s="16">
        <f>'BIFUbC-coal pre-CHP'!Z21+CHP!Z58</f>
        <v>20403576809594.355</v>
      </c>
      <c r="AA21" s="16">
        <f>'BIFUbC-coal pre-CHP'!AA21+CHP!AA58</f>
        <v>20339495458651.734</v>
      </c>
      <c r="AB21" s="16">
        <f>'BIFUbC-coal pre-CHP'!AB21+CHP!AB58</f>
        <v>20275414107709.113</v>
      </c>
      <c r="AC21" s="16">
        <f>'BIFUbC-coal pre-CHP'!AC21+CHP!AC58</f>
        <v>20211332756766.492</v>
      </c>
      <c r="AD21" s="16">
        <f>'BIFUbC-coal pre-CHP'!AD21+CHP!AD58</f>
        <v>20147251405823.871</v>
      </c>
      <c r="AE21" s="16">
        <f>'BIFUbC-coal pre-CHP'!AE21+CHP!AE58</f>
        <v>20083170054881.254</v>
      </c>
      <c r="AF21" s="16">
        <f>'BIFUbC-coal pre-CHP'!AF21+CHP!AF58</f>
        <v>20019088703938.648</v>
      </c>
    </row>
    <row r="22" spans="1:32">
      <c r="A22" t="s">
        <v>78</v>
      </c>
      <c r="B22" s="16">
        <f>'BIFUbC-coal pre-CHP'!B22+CHP!B59</f>
        <v>4038126999788.1694</v>
      </c>
      <c r="C22" s="16">
        <f>'BIFUbC-coal pre-CHP'!C22+CHP!C59</f>
        <v>4185313924277.9722</v>
      </c>
      <c r="D22" s="16">
        <f>'BIFUbC-coal pre-CHP'!D22+CHP!D59</f>
        <v>4332500848767.8291</v>
      </c>
      <c r="E22" s="16">
        <f>'BIFUbC-coal pre-CHP'!E22+CHP!E59</f>
        <v>4479687773257.6582</v>
      </c>
      <c r="F22" s="16">
        <f>'BIFUbC-coal pre-CHP'!F22+CHP!F59</f>
        <v>4554377126289.7344</v>
      </c>
      <c r="G22" s="16">
        <f>'BIFUbC-coal pre-CHP'!G22+CHP!G59</f>
        <v>4629066479321.8096</v>
      </c>
      <c r="H22" s="16">
        <f>'BIFUbC-coal pre-CHP'!H22+CHP!H59</f>
        <v>4703755832353.8867</v>
      </c>
      <c r="I22" s="16">
        <f>'BIFUbC-coal pre-CHP'!I22+CHP!I59</f>
        <v>4778445185385.9609</v>
      </c>
      <c r="J22" s="16">
        <f>'BIFUbC-coal pre-CHP'!J22+CHP!J59</f>
        <v>4853134538418.0371</v>
      </c>
      <c r="K22" s="16">
        <f>'BIFUbC-coal pre-CHP'!K22+CHP!K59</f>
        <v>4927823891450.1123</v>
      </c>
      <c r="L22" s="16">
        <f>'BIFUbC-coal pre-CHP'!L22+CHP!L59</f>
        <v>5002513244482.1875</v>
      </c>
      <c r="M22" s="16">
        <f>'BIFUbC-coal pre-CHP'!M22+CHP!M59</f>
        <v>5031322134527.3594</v>
      </c>
      <c r="N22" s="16">
        <f>'BIFUbC-coal pre-CHP'!N22+CHP!N59</f>
        <v>5060131024572.5322</v>
      </c>
      <c r="O22" s="16">
        <f>'BIFUbC-coal pre-CHP'!O22+CHP!O59</f>
        <v>5088939914617.7051</v>
      </c>
      <c r="P22" s="16">
        <f>'BIFUbC-coal pre-CHP'!P22+CHP!P59</f>
        <v>5117748804662.877</v>
      </c>
      <c r="Q22" s="16">
        <f>'BIFUbC-coal pre-CHP'!Q22+CHP!Q59</f>
        <v>5146557694708.0488</v>
      </c>
      <c r="R22" s="16">
        <f>'BIFUbC-coal pre-CHP'!R22+CHP!R59</f>
        <v>5175366584753.2217</v>
      </c>
      <c r="S22" s="16">
        <f>'BIFUbC-coal pre-CHP'!S22+CHP!S59</f>
        <v>5204175474798.3936</v>
      </c>
      <c r="T22" s="16">
        <f>'BIFUbC-coal pre-CHP'!T22+CHP!T59</f>
        <v>5232984364843.5654</v>
      </c>
      <c r="U22" s="16">
        <f>'BIFUbC-coal pre-CHP'!U22+CHP!U59</f>
        <v>5261793254888.7383</v>
      </c>
      <c r="V22" s="16">
        <f>'BIFUbC-coal pre-CHP'!V22+CHP!V59</f>
        <v>5290602144933.9092</v>
      </c>
      <c r="W22" s="16">
        <f>'BIFUbC-coal pre-CHP'!W22+CHP!W59</f>
        <v>5274192147962.6738</v>
      </c>
      <c r="X22" s="16">
        <f>'BIFUbC-coal pre-CHP'!X22+CHP!X59</f>
        <v>5257782150991.4404</v>
      </c>
      <c r="Y22" s="16">
        <f>'BIFUbC-coal pre-CHP'!Y22+CHP!Y59</f>
        <v>5241372154020.207</v>
      </c>
      <c r="Z22" s="16">
        <f>'BIFUbC-coal pre-CHP'!Z22+CHP!Z59</f>
        <v>5224962157048.9736</v>
      </c>
      <c r="AA22" s="16">
        <f>'BIFUbC-coal pre-CHP'!AA22+CHP!AA59</f>
        <v>5208552160077.7412</v>
      </c>
      <c r="AB22" s="16">
        <f>'BIFUbC-coal pre-CHP'!AB22+CHP!AB59</f>
        <v>5192142163106.5078</v>
      </c>
      <c r="AC22" s="16">
        <f>'BIFUbC-coal pre-CHP'!AC22+CHP!AC59</f>
        <v>5175732166135.2754</v>
      </c>
      <c r="AD22" s="16">
        <f>'BIFUbC-coal pre-CHP'!AD22+CHP!AD59</f>
        <v>5159322169164.042</v>
      </c>
      <c r="AE22" s="16">
        <f>'BIFUbC-coal pre-CHP'!AE22+CHP!AE59</f>
        <v>5142912172192.8086</v>
      </c>
      <c r="AF22" s="16">
        <f>'BIFUbC-coal pre-CHP'!AF22+CHP!AF59</f>
        <v>5126502175221.5791</v>
      </c>
    </row>
    <row r="23" spans="1:32">
      <c r="A23" t="s">
        <v>80</v>
      </c>
      <c r="B23" s="16">
        <f>'BIFUbC-coal pre-CHP'!B23+CHP!B60</f>
        <v>1548681777940.2856</v>
      </c>
      <c r="C23" s="16">
        <f>'BIFUbC-coal pre-CHP'!C23+CHP!C60</f>
        <v>1592793216297.051</v>
      </c>
      <c r="D23" s="16">
        <f>'BIFUbC-coal pre-CHP'!D23+CHP!D60</f>
        <v>1636904654653.8159</v>
      </c>
      <c r="E23" s="16">
        <f>'BIFUbC-coal pre-CHP'!E23+CHP!E60</f>
        <v>1681016093010.5815</v>
      </c>
      <c r="F23" s="16">
        <f>'BIFUbC-coal pre-CHP'!F23+CHP!F60</f>
        <v>1700978971214.4172</v>
      </c>
      <c r="G23" s="16">
        <f>'BIFUbC-coal pre-CHP'!G23+CHP!G60</f>
        <v>1720941849418.2532</v>
      </c>
      <c r="H23" s="16">
        <f>'BIFUbC-coal pre-CHP'!H23+CHP!H60</f>
        <v>1740904727622.0889</v>
      </c>
      <c r="I23" s="16">
        <f>'BIFUbC-coal pre-CHP'!I23+CHP!I60</f>
        <v>1760867605825.9248</v>
      </c>
      <c r="J23" s="16">
        <f>'BIFUbC-coal pre-CHP'!J23+CHP!J60</f>
        <v>1780830484029.7607</v>
      </c>
      <c r="K23" s="16">
        <f>'BIFUbC-coal pre-CHP'!K23+CHP!K60</f>
        <v>1800793362233.5967</v>
      </c>
      <c r="L23" s="16">
        <f>'BIFUbC-coal pre-CHP'!L23+CHP!L60</f>
        <v>1820756240437.4326</v>
      </c>
      <c r="M23" s="16">
        <f>'BIFUbC-coal pre-CHP'!M23+CHP!M60</f>
        <v>1821583105215.1062</v>
      </c>
      <c r="N23" s="16">
        <f>'BIFUbC-coal pre-CHP'!N23+CHP!N60</f>
        <v>1822409969992.7798</v>
      </c>
      <c r="O23" s="16">
        <f>'BIFUbC-coal pre-CHP'!O23+CHP!O60</f>
        <v>1823236834770.4534</v>
      </c>
      <c r="P23" s="16">
        <f>'BIFUbC-coal pre-CHP'!P23+CHP!P60</f>
        <v>1824063699548.1272</v>
      </c>
      <c r="Q23" s="16">
        <f>'BIFUbC-coal pre-CHP'!Q23+CHP!Q60</f>
        <v>1824890564325.8008</v>
      </c>
      <c r="R23" s="16">
        <f>'BIFUbC-coal pre-CHP'!R23+CHP!R60</f>
        <v>1825717429103.4746</v>
      </c>
      <c r="S23" s="16">
        <f>'BIFUbC-coal pre-CHP'!S23+CHP!S60</f>
        <v>1826544293881.1482</v>
      </c>
      <c r="T23" s="16">
        <f>'BIFUbC-coal pre-CHP'!T23+CHP!T60</f>
        <v>1827371158658.8218</v>
      </c>
      <c r="U23" s="16">
        <f>'BIFUbC-coal pre-CHP'!U23+CHP!U60</f>
        <v>1828198023436.4954</v>
      </c>
      <c r="V23" s="16">
        <f>'BIFUbC-coal pre-CHP'!V23+CHP!V60</f>
        <v>1829024888214.1692</v>
      </c>
      <c r="W23" s="16">
        <f>'BIFUbC-coal pre-CHP'!W23+CHP!W60</f>
        <v>1816704603026.8315</v>
      </c>
      <c r="X23" s="16">
        <f>'BIFUbC-coal pre-CHP'!X23+CHP!X60</f>
        <v>1804384317839.4937</v>
      </c>
      <c r="Y23" s="16">
        <f>'BIFUbC-coal pre-CHP'!Y23+CHP!Y60</f>
        <v>1792064032652.1558</v>
      </c>
      <c r="Z23" s="16">
        <f>'BIFUbC-coal pre-CHP'!Z23+CHP!Z60</f>
        <v>1779743747464.8181</v>
      </c>
      <c r="AA23" s="16">
        <f>'BIFUbC-coal pre-CHP'!AA23+CHP!AA60</f>
        <v>1767423462277.4802</v>
      </c>
      <c r="AB23" s="16">
        <f>'BIFUbC-coal pre-CHP'!AB23+CHP!AB60</f>
        <v>1755103177090.1426</v>
      </c>
      <c r="AC23" s="16">
        <f>'BIFUbC-coal pre-CHP'!AC23+CHP!AC60</f>
        <v>1742782891902.8049</v>
      </c>
      <c r="AD23" s="16">
        <f>'BIFUbC-coal pre-CHP'!AD23+CHP!AD60</f>
        <v>1730462606715.4673</v>
      </c>
      <c r="AE23" s="16">
        <f>'BIFUbC-coal pre-CHP'!AE23+CHP!AE60</f>
        <v>1718142321528.1292</v>
      </c>
      <c r="AF23" s="16">
        <f>'BIFUbC-coal pre-CHP'!AF23+CHP!AF60</f>
        <v>1705822036340.7915</v>
      </c>
    </row>
    <row r="24" spans="1:32">
      <c r="A24" t="s">
        <v>82</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85</v>
      </c>
      <c r="B25" s="16">
        <f>'BIFUbC-coal pre-CHP'!B25+CHP!B62</f>
        <v>1365353501728.8877</v>
      </c>
      <c r="C25" s="16">
        <f>'BIFUbC-coal pre-CHP'!C25+CHP!C62</f>
        <v>1366718855230.6165</v>
      </c>
      <c r="D25" s="16">
        <f>'BIFUbC-coal pre-CHP'!D25+CHP!D62</f>
        <v>1368085574085.8469</v>
      </c>
      <c r="E25" s="16">
        <f>'BIFUbC-coal pre-CHP'!E25+CHP!E62</f>
        <v>1369453659659.9326</v>
      </c>
      <c r="F25" s="16">
        <f>'BIFUbC-coal pre-CHP'!F25+CHP!F62</f>
        <v>1370823113319.5923</v>
      </c>
      <c r="G25" s="16">
        <f>'BIFUbC-coal pre-CHP'!G25+CHP!G62</f>
        <v>1372193936432.9116</v>
      </c>
      <c r="H25" s="16">
        <f>'BIFUbC-coal pre-CHP'!H25+CHP!H62</f>
        <v>1373566130369.3445</v>
      </c>
      <c r="I25" s="16">
        <f>'BIFUbC-coal pre-CHP'!I25+CHP!I62</f>
        <v>1374939696499.7139</v>
      </c>
      <c r="J25" s="16">
        <f>'BIFUbC-coal pre-CHP'!J25+CHP!J62</f>
        <v>1376314636196.2136</v>
      </c>
      <c r="K25" s="16">
        <f>'BIFUbC-coal pre-CHP'!K25+CHP!K62</f>
        <v>1377690950832.4094</v>
      </c>
      <c r="L25" s="16">
        <f>'BIFUbC-coal pre-CHP'!L25+CHP!L62</f>
        <v>1379068641783.2417</v>
      </c>
      <c r="M25" s="16">
        <f>'BIFUbC-coal pre-CHP'!M25+CHP!M62</f>
        <v>1380447710425.0251</v>
      </c>
      <c r="N25" s="16">
        <f>'BIFUbC-coal pre-CHP'!N25+CHP!N62</f>
        <v>1381828158135.4497</v>
      </c>
      <c r="O25" s="16">
        <f>'BIFUbC-coal pre-CHP'!O25+CHP!O62</f>
        <v>1383209986293.585</v>
      </c>
      <c r="P25" s="16">
        <f>'BIFUbC-coal pre-CHP'!P25+CHP!P62</f>
        <v>1384593196279.8784</v>
      </c>
      <c r="Q25" s="16">
        <f>'BIFUbC-coal pre-CHP'!Q25+CHP!Q62</f>
        <v>1385977789476.1582</v>
      </c>
      <c r="R25" s="16">
        <f>'BIFUbC-coal pre-CHP'!R25+CHP!R62</f>
        <v>1387363767265.634</v>
      </c>
      <c r="S25" s="16">
        <f>'BIFUbC-coal pre-CHP'!S25+CHP!S62</f>
        <v>1388751131032.8994</v>
      </c>
      <c r="T25" s="16">
        <f>'BIFUbC-coal pre-CHP'!T25+CHP!T62</f>
        <v>1390139882163.9324</v>
      </c>
      <c r="U25" s="16">
        <f>'BIFUbC-coal pre-CHP'!U25+CHP!U62</f>
        <v>1391530022046.0959</v>
      </c>
      <c r="V25" s="16">
        <f>'BIFUbC-coal pre-CHP'!V25+CHP!V62</f>
        <v>1392921552068.1418</v>
      </c>
      <c r="W25" s="16">
        <f>'BIFUbC-coal pre-CHP'!W25+CHP!W62</f>
        <v>1385956944307.8013</v>
      </c>
      <c r="X25" s="16">
        <f>'BIFUbC-coal pre-CHP'!X25+CHP!X62</f>
        <v>1379027159586.2622</v>
      </c>
      <c r="Y25" s="16">
        <f>'BIFUbC-coal pre-CHP'!Y25+CHP!Y62</f>
        <v>1372132023788.3308</v>
      </c>
      <c r="Z25" s="16">
        <f>'BIFUbC-coal pre-CHP'!Z25+CHP!Z62</f>
        <v>1365271363669.3892</v>
      </c>
      <c r="AA25" s="16">
        <f>'BIFUbC-coal pre-CHP'!AA25+CHP!AA62</f>
        <v>1358445006851.0422</v>
      </c>
      <c r="AB25" s="16">
        <f>'BIFUbC-coal pre-CHP'!AB25+CHP!AB62</f>
        <v>1351652781816.7871</v>
      </c>
      <c r="AC25" s="16">
        <f>'BIFUbC-coal pre-CHP'!AC25+CHP!AC62</f>
        <v>1344894517907.7031</v>
      </c>
      <c r="AD25" s="16">
        <f>'BIFUbC-coal pre-CHP'!AD25+CHP!AD62</f>
        <v>1338170045318.1646</v>
      </c>
      <c r="AE25" s="16">
        <f>'BIFUbC-coal pre-CHP'!AE25+CHP!AE62</f>
        <v>1331479195091.5737</v>
      </c>
      <c r="AF25" s="16">
        <f>'BIFUbC-coal pre-CHP'!AF25+CHP!AF62</f>
        <v>1324821799116.1157</v>
      </c>
    </row>
    <row r="26" spans="1:32">
      <c r="A26" t="s">
        <v>89</v>
      </c>
      <c r="B26" s="16">
        <f>'BIFUbC-coal pre-CHP'!B26+CHP!B63</f>
        <v>3445489922.8724227</v>
      </c>
      <c r="C26" s="16">
        <f>'BIFUbC-coal pre-CHP'!C26+CHP!C63</f>
        <v>3543628558.2632132</v>
      </c>
      <c r="D26" s="16">
        <f>'BIFUbC-coal pre-CHP'!D26+CHP!D63</f>
        <v>3641767193.6540036</v>
      </c>
      <c r="E26" s="16">
        <f>'BIFUbC-coal pre-CHP'!E26+CHP!E63</f>
        <v>3739905829.0447941</v>
      </c>
      <c r="F26" s="16">
        <f>'BIFUbC-coal pre-CHP'!F26+CHP!F63</f>
        <v>3784319017.5142312</v>
      </c>
      <c r="G26" s="16">
        <f>'BIFUbC-coal pre-CHP'!G26+CHP!G63</f>
        <v>3828732205.9836688</v>
      </c>
      <c r="H26" s="16">
        <f>'BIFUbC-coal pre-CHP'!H26+CHP!H63</f>
        <v>3873145394.4531069</v>
      </c>
      <c r="I26" s="16">
        <f>'BIFUbC-coal pre-CHP'!I26+CHP!I63</f>
        <v>3917558582.922545</v>
      </c>
      <c r="J26" s="16">
        <f>'BIFUbC-coal pre-CHP'!J26+CHP!J63</f>
        <v>3961971771.391983</v>
      </c>
      <c r="K26" s="16">
        <f>'BIFUbC-coal pre-CHP'!K26+CHP!K63</f>
        <v>4006384959.8614206</v>
      </c>
      <c r="L26" s="16">
        <f>'BIFUbC-coal pre-CHP'!L26+CHP!L63</f>
        <v>4050798148.3308587</v>
      </c>
      <c r="M26" s="16">
        <f>'BIFUbC-coal pre-CHP'!M26+CHP!M63</f>
        <v>4052637747.853261</v>
      </c>
      <c r="N26" s="16">
        <f>'BIFUbC-coal pre-CHP'!N26+CHP!N63</f>
        <v>4054477347.3756633</v>
      </c>
      <c r="O26" s="16">
        <f>'BIFUbC-coal pre-CHP'!O26+CHP!O63</f>
        <v>4056316946.8980665</v>
      </c>
      <c r="P26" s="16">
        <f>'BIFUbC-coal pre-CHP'!P26+CHP!P63</f>
        <v>4058156546.4204698</v>
      </c>
      <c r="Q26" s="16">
        <f>'BIFUbC-coal pre-CHP'!Q26+CHP!Q63</f>
        <v>4059996145.9428725</v>
      </c>
      <c r="R26" s="16">
        <f>'BIFUbC-coal pre-CHP'!R26+CHP!R63</f>
        <v>4061835745.4652753</v>
      </c>
      <c r="S26" s="16">
        <f>'BIFUbC-coal pre-CHP'!S26+CHP!S63</f>
        <v>4063675344.9876776</v>
      </c>
      <c r="T26" s="16">
        <f>'BIFUbC-coal pre-CHP'!T26+CHP!T63</f>
        <v>4065514944.5100803</v>
      </c>
      <c r="U26" s="16">
        <f>'BIFUbC-coal pre-CHP'!U26+CHP!U63</f>
        <v>4067354544.0324826</v>
      </c>
      <c r="V26" s="16">
        <f>'BIFUbC-coal pre-CHP'!V26+CHP!V63</f>
        <v>4069194143.5548859</v>
      </c>
      <c r="W26" s="16">
        <f>'BIFUbC-coal pre-CHP'!W26+CHP!W63</f>
        <v>4041784110.6710854</v>
      </c>
      <c r="X26" s="16">
        <f>'BIFUbC-coal pre-CHP'!X26+CHP!X63</f>
        <v>4014374077.7872839</v>
      </c>
      <c r="Y26" s="16">
        <f>'BIFUbC-coal pre-CHP'!Y26+CHP!Y63</f>
        <v>3986964044.9034834</v>
      </c>
      <c r="Z26" s="16">
        <f>'BIFUbC-coal pre-CHP'!Z26+CHP!Z63</f>
        <v>3959554012.0196819</v>
      </c>
      <c r="AA26" s="16">
        <f>'BIFUbC-coal pre-CHP'!AA26+CHP!AA63</f>
        <v>3932143979.1358809</v>
      </c>
      <c r="AB26" s="16">
        <f>'BIFUbC-coal pre-CHP'!AB26+CHP!AB63</f>
        <v>3904733946.2520804</v>
      </c>
      <c r="AC26" s="16">
        <f>'BIFUbC-coal pre-CHP'!AC26+CHP!AC63</f>
        <v>3877323913.368279</v>
      </c>
      <c r="AD26" s="16">
        <f>'BIFUbC-coal pre-CHP'!AD26+CHP!AD63</f>
        <v>3849913880.4844775</v>
      </c>
      <c r="AE26" s="16">
        <f>'BIFUbC-coal pre-CHP'!AE26+CHP!AE63</f>
        <v>3822503847.600677</v>
      </c>
      <c r="AF26" s="16">
        <f>'BIFUbC-coal pre-CHP'!AF26+CHP!AF63</f>
        <v>3795093814.7168765</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5"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topLeftCell="A4" workbookViewId="0">
      <selection activeCell="I27" sqref="I27"/>
    </sheetView>
  </sheetViews>
  <sheetFormatPr defaultColWidth="9.125" defaultRowHeight="16.5"/>
  <cols>
    <col min="1" max="1" width="39.625" customWidth="1"/>
    <col min="2" max="2" width="22" bestFit="1" customWidth="1"/>
    <col min="3" max="33" width="10.5" customWidth="1"/>
    <col min="34" max="35" width="9.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'BIFUbC-natural-gas pre-CHP'!B2+CHP!B95</f>
        <v>10201669388723.27</v>
      </c>
      <c r="C2" s="16">
        <f>'BIFUbC-natural-gas pre-CHP'!C2+CHP!C95</f>
        <v>10492227883388.553</v>
      </c>
      <c r="D2" s="16">
        <f>'BIFUbC-natural-gas pre-CHP'!D2+CHP!D95</f>
        <v>10782786378053.836</v>
      </c>
      <c r="E2" s="16">
        <f>'BIFUbC-natural-gas pre-CHP'!E2+CHP!E95</f>
        <v>11073344872719.119</v>
      </c>
      <c r="F2" s="16">
        <f>'BIFUbC-natural-gas pre-CHP'!F2+CHP!F95</f>
        <v>11204836495244.883</v>
      </c>
      <c r="G2" s="16">
        <f>'BIFUbC-natural-gas pre-CHP'!G2+CHP!G95</f>
        <v>11336328117770.648</v>
      </c>
      <c r="H2" s="16">
        <f>'BIFUbC-natural-gas pre-CHP'!H2+CHP!H95</f>
        <v>11467819740296.414</v>
      </c>
      <c r="I2" s="16">
        <f>'BIFUbC-natural-gas pre-CHP'!I2+CHP!I95</f>
        <v>11599311362822.178</v>
      </c>
      <c r="J2" s="16">
        <f>'BIFUbC-natural-gas pre-CHP'!J2+CHP!J95</f>
        <v>11730802985347.943</v>
      </c>
      <c r="K2" s="16">
        <f>'BIFUbC-natural-gas pre-CHP'!K2+CHP!K95</f>
        <v>11862294607873.707</v>
      </c>
      <c r="L2" s="16">
        <f>'BIFUbC-natural-gas pre-CHP'!L2+CHP!L95</f>
        <v>11993786230399.473</v>
      </c>
      <c r="M2" s="16">
        <f>'BIFUbC-natural-gas pre-CHP'!M2+CHP!M95</f>
        <v>11999233141640.5</v>
      </c>
      <c r="N2" s="16">
        <f>'BIFUbC-natural-gas pre-CHP'!N2+CHP!N95</f>
        <v>12004680052881.527</v>
      </c>
      <c r="O2" s="16">
        <f>'BIFUbC-natural-gas pre-CHP'!O2+CHP!O95</f>
        <v>12010126964122.555</v>
      </c>
      <c r="P2" s="16">
        <f>'BIFUbC-natural-gas pre-CHP'!P2+CHP!P95</f>
        <v>12015573875363.582</v>
      </c>
      <c r="Q2" s="16">
        <f>'BIFUbC-natural-gas pre-CHP'!Q2+CHP!Q95</f>
        <v>12021020786604.609</v>
      </c>
      <c r="R2" s="16">
        <f>'BIFUbC-natural-gas pre-CHP'!R2+CHP!R95</f>
        <v>12026467697845.633</v>
      </c>
      <c r="S2" s="16">
        <f>'BIFUbC-natural-gas pre-CHP'!S2+CHP!S95</f>
        <v>12031914609086.662</v>
      </c>
      <c r="T2" s="16">
        <f>'BIFUbC-natural-gas pre-CHP'!T2+CHP!T95</f>
        <v>12037361520327.689</v>
      </c>
      <c r="U2" s="16">
        <f>'BIFUbC-natural-gas pre-CHP'!U2+CHP!U95</f>
        <v>12042808431568.715</v>
      </c>
      <c r="V2" s="16">
        <f>'BIFUbC-natural-gas pre-CHP'!V2+CHP!V95</f>
        <v>12048255342809.744</v>
      </c>
      <c r="W2" s="16">
        <f>'BIFUbC-natural-gas pre-CHP'!W2+CHP!W95</f>
        <v>11967097974874.369</v>
      </c>
      <c r="X2" s="16">
        <f>'BIFUbC-natural-gas pre-CHP'!X2+CHP!X95</f>
        <v>11885940606938.996</v>
      </c>
      <c r="Y2" s="16">
        <f>'BIFUbC-natural-gas pre-CHP'!Y2+CHP!Y95</f>
        <v>11804783239003.623</v>
      </c>
      <c r="Z2" s="16">
        <f>'BIFUbC-natural-gas pre-CHP'!Z2+CHP!Z95</f>
        <v>11723625871068.25</v>
      </c>
      <c r="AA2" s="16">
        <f>'BIFUbC-natural-gas pre-CHP'!AA2+CHP!AA95</f>
        <v>11642468503132.877</v>
      </c>
      <c r="AB2" s="16">
        <f>'BIFUbC-natural-gas pre-CHP'!AB2+CHP!AB95</f>
        <v>11561311135197.504</v>
      </c>
      <c r="AC2" s="16">
        <f>'BIFUbC-natural-gas pre-CHP'!AC2+CHP!AC95</f>
        <v>11480153767262.131</v>
      </c>
      <c r="AD2" s="16">
        <f>'BIFUbC-natural-gas pre-CHP'!AD2+CHP!AD95</f>
        <v>11398996399326.756</v>
      </c>
      <c r="AE2" s="16">
        <f>'BIFUbC-natural-gas pre-CHP'!AE2+CHP!AE95</f>
        <v>11317839031391.383</v>
      </c>
      <c r="AF2" s="16">
        <f>'BIFUbC-natural-gas pre-CHP'!AF2+CHP!AF95</f>
        <v>11236681663456.008</v>
      </c>
    </row>
    <row r="3" spans="1:35">
      <c r="A3" t="s">
        <v>28</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32</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34</v>
      </c>
      <c r="B5" s="16">
        <f>'BIFUbC-natural-gas pre-CHP'!B5+CHP!B98</f>
        <v>879843177911.25598</v>
      </c>
      <c r="C5" s="16">
        <f>'BIFUbC-natural-gas pre-CHP'!C5+CHP!C98</f>
        <v>904903941625.84607</v>
      </c>
      <c r="D5" s="16">
        <f>'BIFUbC-natural-gas pre-CHP'!D5+CHP!D98</f>
        <v>929964705340.43616</v>
      </c>
      <c r="E5" s="16">
        <f>'BIFUbC-natural-gas pre-CHP'!E5+CHP!E98</f>
        <v>955025469055.02612</v>
      </c>
      <c r="F5" s="16">
        <f>'BIFUbC-natural-gas pre-CHP'!F5+CHP!F98</f>
        <v>966366857873.12048</v>
      </c>
      <c r="G5" s="16">
        <f>'BIFUbC-natural-gas pre-CHP'!G5+CHP!G98</f>
        <v>977708246691.21472</v>
      </c>
      <c r="H5" s="16">
        <f>'BIFUbC-natural-gas pre-CHP'!H5+CHP!H98</f>
        <v>989049635509.30908</v>
      </c>
      <c r="I5" s="16">
        <f>'BIFUbC-natural-gas pre-CHP'!I5+CHP!I98</f>
        <v>1000391024327.4032</v>
      </c>
      <c r="J5" s="16">
        <f>'BIFUbC-natural-gas pre-CHP'!J5+CHP!J98</f>
        <v>1011732413145.4974</v>
      </c>
      <c r="K5" s="16">
        <f>'BIFUbC-natural-gas pre-CHP'!K5+CHP!K98</f>
        <v>1023073801963.5918</v>
      </c>
      <c r="L5" s="16">
        <f>'BIFUbC-natural-gas pre-CHP'!L5+CHP!L98</f>
        <v>1034415190781.6859</v>
      </c>
      <c r="M5" s="16">
        <f>'BIFUbC-natural-gas pre-CHP'!M5+CHP!M98</f>
        <v>1034884952448.7076</v>
      </c>
      <c r="N5" s="16">
        <f>'BIFUbC-natural-gas pre-CHP'!N5+CHP!N98</f>
        <v>1035354714115.7294</v>
      </c>
      <c r="O5" s="16">
        <f>'BIFUbC-natural-gas pre-CHP'!O5+CHP!O98</f>
        <v>1035824475782.751</v>
      </c>
      <c r="P5" s="16">
        <f>'BIFUbC-natural-gas pre-CHP'!P5+CHP!P98</f>
        <v>1036294237449.7727</v>
      </c>
      <c r="Q5" s="16">
        <f>'BIFUbC-natural-gas pre-CHP'!Q5+CHP!Q98</f>
        <v>1036763999116.7942</v>
      </c>
      <c r="R5" s="16">
        <f>'BIFUbC-natural-gas pre-CHP'!R5+CHP!R98</f>
        <v>1037233760783.8159</v>
      </c>
      <c r="S5" s="16">
        <f>'BIFUbC-natural-gas pre-CHP'!S5+CHP!S98</f>
        <v>1037703522450.8375</v>
      </c>
      <c r="T5" s="16">
        <f>'BIFUbC-natural-gas pre-CHP'!T5+CHP!T98</f>
        <v>1038173284117.8593</v>
      </c>
      <c r="U5" s="16">
        <f>'BIFUbC-natural-gas pre-CHP'!U5+CHP!U98</f>
        <v>1038643045784.881</v>
      </c>
      <c r="V5" s="16">
        <f>'BIFUbC-natural-gas pre-CHP'!V5+CHP!V98</f>
        <v>1039112807451.9026</v>
      </c>
      <c r="W5" s="16">
        <f>'BIFUbC-natural-gas pre-CHP'!W5+CHP!W98</f>
        <v>1032113358613.2799</v>
      </c>
      <c r="X5" s="16">
        <f>'BIFUbC-natural-gas pre-CHP'!X5+CHP!X98</f>
        <v>1025113909774.6572</v>
      </c>
      <c r="Y5" s="16">
        <f>'BIFUbC-natural-gas pre-CHP'!Y5+CHP!Y98</f>
        <v>1018114460936.0347</v>
      </c>
      <c r="Z5" s="16">
        <f>'BIFUbC-natural-gas pre-CHP'!Z5+CHP!Z98</f>
        <v>1011115012097.412</v>
      </c>
      <c r="AA5" s="16">
        <f>'BIFUbC-natural-gas pre-CHP'!AA5+CHP!AA98</f>
        <v>1004115563258.7893</v>
      </c>
      <c r="AB5" s="16">
        <f>'BIFUbC-natural-gas pre-CHP'!AB5+CHP!AB98</f>
        <v>997116114420.16663</v>
      </c>
      <c r="AC5" s="16">
        <f>'BIFUbC-natural-gas pre-CHP'!AC5+CHP!AC98</f>
        <v>990116665581.54395</v>
      </c>
      <c r="AD5" s="16">
        <f>'BIFUbC-natural-gas pre-CHP'!AD5+CHP!AD98</f>
        <v>983117216742.92114</v>
      </c>
      <c r="AE5" s="16">
        <f>'BIFUbC-natural-gas pre-CHP'!AE5+CHP!AE98</f>
        <v>976117767904.29846</v>
      </c>
      <c r="AF5" s="16">
        <f>'BIFUbC-natural-gas pre-CHP'!AF5+CHP!AF98</f>
        <v>969118319065.67578</v>
      </c>
    </row>
    <row r="6" spans="1:35">
      <c r="A6" t="s">
        <v>36</v>
      </c>
      <c r="B6" s="16">
        <f>'BIFUbC-natural-gas pre-CHP'!B6+CHP!B99</f>
        <v>17650179226678.129</v>
      </c>
      <c r="C6" s="16">
        <f>'BIFUbC-natural-gas pre-CHP'!C6+CHP!C99</f>
        <v>17798944379104.559</v>
      </c>
      <c r="D6" s="16">
        <f>'BIFUbC-natural-gas pre-CHP'!D6+CHP!D99</f>
        <v>17947709531530.957</v>
      </c>
      <c r="E6" s="16">
        <f>'BIFUbC-natural-gas pre-CHP'!E6+CHP!E99</f>
        <v>18096474683957.387</v>
      </c>
      <c r="F6" s="16">
        <f>'BIFUbC-natural-gas pre-CHP'!F6+CHP!F99</f>
        <v>18119219453480.25</v>
      </c>
      <c r="G6" s="16">
        <f>'BIFUbC-natural-gas pre-CHP'!G6+CHP!G99</f>
        <v>18141964223003.125</v>
      </c>
      <c r="H6" s="16">
        <f>'BIFUbC-natural-gas pre-CHP'!H6+CHP!H99</f>
        <v>18164708992526.008</v>
      </c>
      <c r="I6" s="16">
        <f>'BIFUbC-natural-gas pre-CHP'!I6+CHP!I99</f>
        <v>18187453762048.883</v>
      </c>
      <c r="J6" s="16">
        <f>'BIFUbC-natural-gas pre-CHP'!J6+CHP!J99</f>
        <v>18210198531571.766</v>
      </c>
      <c r="K6" s="16">
        <f>'BIFUbC-natural-gas pre-CHP'!K6+CHP!K99</f>
        <v>18232943301094.645</v>
      </c>
      <c r="L6" s="16">
        <f>'BIFUbC-natural-gas pre-CHP'!L6+CHP!L99</f>
        <v>18255688070617.523</v>
      </c>
      <c r="M6" s="16">
        <f>'BIFUbC-natural-gas pre-CHP'!M6+CHP!M99</f>
        <v>18266789139343.938</v>
      </c>
      <c r="N6" s="16">
        <f>'BIFUbC-natural-gas pre-CHP'!N6+CHP!N99</f>
        <v>18277890208070.348</v>
      </c>
      <c r="O6" s="16">
        <f>'BIFUbC-natural-gas pre-CHP'!O6+CHP!O99</f>
        <v>18288991276796.762</v>
      </c>
      <c r="P6" s="16">
        <f>'BIFUbC-natural-gas pre-CHP'!P6+CHP!P99</f>
        <v>18300092345523.172</v>
      </c>
      <c r="Q6" s="16">
        <f>'BIFUbC-natural-gas pre-CHP'!Q6+CHP!Q99</f>
        <v>18311193414249.586</v>
      </c>
      <c r="R6" s="16">
        <f>'BIFUbC-natural-gas pre-CHP'!R6+CHP!R99</f>
        <v>18322294482975.996</v>
      </c>
      <c r="S6" s="16">
        <f>'BIFUbC-natural-gas pre-CHP'!S6+CHP!S99</f>
        <v>18333395551702.41</v>
      </c>
      <c r="T6" s="16">
        <f>'BIFUbC-natural-gas pre-CHP'!T6+CHP!T99</f>
        <v>18344496620428.82</v>
      </c>
      <c r="U6" s="16">
        <f>'BIFUbC-natural-gas pre-CHP'!U6+CHP!U99</f>
        <v>18355597689155.234</v>
      </c>
      <c r="V6" s="16">
        <f>'BIFUbC-natural-gas pre-CHP'!V6+CHP!V99</f>
        <v>18366698757881.648</v>
      </c>
      <c r="W6" s="16">
        <f>'BIFUbC-natural-gas pre-CHP'!W6+CHP!W99</f>
        <v>18233187205289.277</v>
      </c>
      <c r="X6" s="16">
        <f>'BIFUbC-natural-gas pre-CHP'!X6+CHP!X99</f>
        <v>18099675652696.906</v>
      </c>
      <c r="Y6" s="16">
        <f>'BIFUbC-natural-gas pre-CHP'!Y6+CHP!Y99</f>
        <v>17966164100104.535</v>
      </c>
      <c r="Z6" s="16">
        <f>'BIFUbC-natural-gas pre-CHP'!Z6+CHP!Z99</f>
        <v>17832652547512.164</v>
      </c>
      <c r="AA6" s="16">
        <f>'BIFUbC-natural-gas pre-CHP'!AA6+CHP!AA99</f>
        <v>17699140994919.793</v>
      </c>
      <c r="AB6" s="16">
        <f>'BIFUbC-natural-gas pre-CHP'!AB6+CHP!AB99</f>
        <v>17565629442327.42</v>
      </c>
      <c r="AC6" s="16">
        <f>'BIFUbC-natural-gas pre-CHP'!AC6+CHP!AC99</f>
        <v>17432117889735.051</v>
      </c>
      <c r="AD6" s="16">
        <f>'BIFUbC-natural-gas pre-CHP'!AD6+CHP!AD99</f>
        <v>17298606337142.68</v>
      </c>
      <c r="AE6" s="16">
        <f>'BIFUbC-natural-gas pre-CHP'!AE6+CHP!AE99</f>
        <v>17165094784550.309</v>
      </c>
      <c r="AF6" s="16">
        <f>'BIFUbC-natural-gas pre-CHP'!AF6+CHP!AF99</f>
        <v>17031583231957.938</v>
      </c>
    </row>
    <row r="7" spans="1:35">
      <c r="A7" t="s">
        <v>38</v>
      </c>
      <c r="B7" s="16">
        <f>'BIFUbC-natural-gas pre-CHP'!B7+CHP!B100</f>
        <v>9163172615374.6367</v>
      </c>
      <c r="C7" s="16">
        <f>'BIFUbC-natural-gas pre-CHP'!C7+CHP!C100</f>
        <v>9310469283915.3652</v>
      </c>
      <c r="D7" s="16">
        <f>'BIFUbC-natural-gas pre-CHP'!D7+CHP!D100</f>
        <v>9457765952456.1016</v>
      </c>
      <c r="E7" s="16">
        <f>'BIFUbC-natural-gas pre-CHP'!E7+CHP!E100</f>
        <v>9605062620996.8379</v>
      </c>
      <c r="F7" s="16">
        <f>'BIFUbC-natural-gas pre-CHP'!F7+CHP!F100</f>
        <v>9657402886555.4512</v>
      </c>
      <c r="G7" s="16">
        <f>'BIFUbC-natural-gas pre-CHP'!G7+CHP!G100</f>
        <v>9709743152114.0625</v>
      </c>
      <c r="H7" s="16">
        <f>'BIFUbC-natural-gas pre-CHP'!H7+CHP!H100</f>
        <v>9762083417672.6816</v>
      </c>
      <c r="I7" s="16">
        <f>'BIFUbC-natural-gas pre-CHP'!I7+CHP!I100</f>
        <v>9814423683231.2969</v>
      </c>
      <c r="J7" s="16">
        <f>'BIFUbC-natural-gas pre-CHP'!J7+CHP!J100</f>
        <v>9866763948789.916</v>
      </c>
      <c r="K7" s="16">
        <f>'BIFUbC-natural-gas pre-CHP'!K7+CHP!K100</f>
        <v>9919104214348.5332</v>
      </c>
      <c r="L7" s="16">
        <f>'BIFUbC-natural-gas pre-CHP'!L7+CHP!L100</f>
        <v>9971444479907.1484</v>
      </c>
      <c r="M7" s="16">
        <f>'BIFUbC-natural-gas pre-CHP'!M7+CHP!M100</f>
        <v>9976875632967.8398</v>
      </c>
      <c r="N7" s="16">
        <f>'BIFUbC-natural-gas pre-CHP'!N7+CHP!N100</f>
        <v>9982306786028.5273</v>
      </c>
      <c r="O7" s="16">
        <f>'BIFUbC-natural-gas pre-CHP'!O7+CHP!O100</f>
        <v>9987737939089.2168</v>
      </c>
      <c r="P7" s="16">
        <f>'BIFUbC-natural-gas pre-CHP'!P7+CHP!P100</f>
        <v>9993169092149.9063</v>
      </c>
      <c r="Q7" s="16">
        <f>'BIFUbC-natural-gas pre-CHP'!Q7+CHP!Q100</f>
        <v>9998600245210.5938</v>
      </c>
      <c r="R7" s="16">
        <f>'BIFUbC-natural-gas pre-CHP'!R7+CHP!R100</f>
        <v>10004031398271.285</v>
      </c>
      <c r="S7" s="16">
        <f>'BIFUbC-natural-gas pre-CHP'!S7+CHP!S100</f>
        <v>10009462551331.971</v>
      </c>
      <c r="T7" s="16">
        <f>'BIFUbC-natural-gas pre-CHP'!T7+CHP!T100</f>
        <v>10014893704392.66</v>
      </c>
      <c r="U7" s="16">
        <f>'BIFUbC-natural-gas pre-CHP'!U7+CHP!U100</f>
        <v>10020324857453.35</v>
      </c>
      <c r="V7" s="16">
        <f>'BIFUbC-natural-gas pre-CHP'!V7+CHP!V100</f>
        <v>10025756010514.039</v>
      </c>
      <c r="W7" s="16">
        <f>'BIFUbC-natural-gas pre-CHP'!W7+CHP!W100</f>
        <v>9955076771171.5391</v>
      </c>
      <c r="X7" s="16">
        <f>'BIFUbC-natural-gas pre-CHP'!X7+CHP!X100</f>
        <v>9884397531829.0391</v>
      </c>
      <c r="Y7" s="16">
        <f>'BIFUbC-natural-gas pre-CHP'!Y7+CHP!Y100</f>
        <v>9813718292486.541</v>
      </c>
      <c r="Z7" s="16">
        <f>'BIFUbC-natural-gas pre-CHP'!Z7+CHP!Z100</f>
        <v>9743039053144.043</v>
      </c>
      <c r="AA7" s="16">
        <f>'BIFUbC-natural-gas pre-CHP'!AA7+CHP!AA100</f>
        <v>9672359813801.543</v>
      </c>
      <c r="AB7" s="16">
        <f>'BIFUbC-natural-gas pre-CHP'!AB7+CHP!AB100</f>
        <v>9601680574459.0449</v>
      </c>
      <c r="AC7" s="16">
        <f>'BIFUbC-natural-gas pre-CHP'!AC7+CHP!AC100</f>
        <v>9531001335116.5449</v>
      </c>
      <c r="AD7" s="16">
        <f>'BIFUbC-natural-gas pre-CHP'!AD7+CHP!AD100</f>
        <v>9460322095774.0449</v>
      </c>
      <c r="AE7" s="16">
        <f>'BIFUbC-natural-gas pre-CHP'!AE7+CHP!AE100</f>
        <v>9389642856431.5469</v>
      </c>
      <c r="AF7" s="16">
        <f>'BIFUbC-natural-gas pre-CHP'!AF7+CHP!AF100</f>
        <v>9318963617089.0469</v>
      </c>
    </row>
    <row r="8" spans="1:35">
      <c r="A8" t="s">
        <v>40</v>
      </c>
      <c r="B8" s="16">
        <f>'BIFUbC-natural-gas pre-CHP'!B8+CHP!B101</f>
        <v>1340509409663.1941</v>
      </c>
      <c r="C8" s="16">
        <f>'BIFUbC-natural-gas pre-CHP'!C8+CHP!C101</f>
        <v>1366927922206.6719</v>
      </c>
      <c r="D8" s="16">
        <f>'BIFUbC-natural-gas pre-CHP'!D8+CHP!D101</f>
        <v>1393346434750.1487</v>
      </c>
      <c r="E8" s="16">
        <f>'BIFUbC-natural-gas pre-CHP'!E8+CHP!E101</f>
        <v>1419764947293.6265</v>
      </c>
      <c r="F8" s="16">
        <f>'BIFUbC-natural-gas pre-CHP'!F8+CHP!F101</f>
        <v>1430239266556.8113</v>
      </c>
      <c r="G8" s="16">
        <f>'BIFUbC-natural-gas pre-CHP'!G8+CHP!G101</f>
        <v>1440713585819.9956</v>
      </c>
      <c r="H8" s="16">
        <f>'BIFUbC-natural-gas pre-CHP'!H8+CHP!H101</f>
        <v>1451187905083.1807</v>
      </c>
      <c r="I8" s="16">
        <f>'BIFUbC-natural-gas pre-CHP'!I8+CHP!I101</f>
        <v>1461662224346.366</v>
      </c>
      <c r="J8" s="16">
        <f>'BIFUbC-natural-gas pre-CHP'!J8+CHP!J101</f>
        <v>1472136543609.5513</v>
      </c>
      <c r="K8" s="16">
        <f>'BIFUbC-natural-gas pre-CHP'!K8+CHP!K101</f>
        <v>1482610862872.7366</v>
      </c>
      <c r="L8" s="16">
        <f>'BIFUbC-natural-gas pre-CHP'!L8+CHP!L101</f>
        <v>1493085182135.9216</v>
      </c>
      <c r="M8" s="16">
        <f>'BIFUbC-natural-gas pre-CHP'!M8+CHP!M101</f>
        <v>1493856644838.3623</v>
      </c>
      <c r="N8" s="16">
        <f>'BIFUbC-natural-gas pre-CHP'!N8+CHP!N101</f>
        <v>1494628107540.8032</v>
      </c>
      <c r="O8" s="16">
        <f>'BIFUbC-natural-gas pre-CHP'!O8+CHP!O101</f>
        <v>1495399570243.2441</v>
      </c>
      <c r="P8" s="16">
        <f>'BIFUbC-natural-gas pre-CHP'!P8+CHP!P101</f>
        <v>1496171032945.6851</v>
      </c>
      <c r="Q8" s="16">
        <f>'BIFUbC-natural-gas pre-CHP'!Q8+CHP!Q101</f>
        <v>1496942495648.1257</v>
      </c>
      <c r="R8" s="16">
        <f>'BIFUbC-natural-gas pre-CHP'!R8+CHP!R101</f>
        <v>1497713958350.5667</v>
      </c>
      <c r="S8" s="16">
        <f>'BIFUbC-natural-gas pre-CHP'!S8+CHP!S101</f>
        <v>1498485421053.0076</v>
      </c>
      <c r="T8" s="16">
        <f>'BIFUbC-natural-gas pre-CHP'!T8+CHP!T101</f>
        <v>1499256883755.4482</v>
      </c>
      <c r="U8" s="16">
        <f>'BIFUbC-natural-gas pre-CHP'!U8+CHP!U101</f>
        <v>1500028346457.8892</v>
      </c>
      <c r="V8" s="16">
        <f>'BIFUbC-natural-gas pre-CHP'!V8+CHP!V101</f>
        <v>1500799809160.3301</v>
      </c>
      <c r="W8" s="16">
        <f>'BIFUbC-natural-gas pre-CHP'!W8+CHP!W101</f>
        <v>1490364966359.5342</v>
      </c>
      <c r="X8" s="16">
        <f>'BIFUbC-natural-gas pre-CHP'!X8+CHP!X101</f>
        <v>1479930123558.7383</v>
      </c>
      <c r="Y8" s="16">
        <f>'BIFUbC-natural-gas pre-CHP'!Y8+CHP!Y101</f>
        <v>1469495280757.9426</v>
      </c>
      <c r="Z8" s="16">
        <f>'BIFUbC-natural-gas pre-CHP'!Z8+CHP!Z101</f>
        <v>1459060437957.147</v>
      </c>
      <c r="AA8" s="16">
        <f>'BIFUbC-natural-gas pre-CHP'!AA8+CHP!AA101</f>
        <v>1448625595156.3513</v>
      </c>
      <c r="AB8" s="16">
        <f>'BIFUbC-natural-gas pre-CHP'!AB8+CHP!AB101</f>
        <v>1438190752355.5552</v>
      </c>
      <c r="AC8" s="16">
        <f>'BIFUbC-natural-gas pre-CHP'!AC8+CHP!AC101</f>
        <v>1427755909554.7598</v>
      </c>
      <c r="AD8" s="16">
        <f>'BIFUbC-natural-gas pre-CHP'!AD8+CHP!AD101</f>
        <v>1417321066753.9636</v>
      </c>
      <c r="AE8" s="16">
        <f>'BIFUbC-natural-gas pre-CHP'!AE8+CHP!AE101</f>
        <v>1406886223953.168</v>
      </c>
      <c r="AF8" s="16">
        <f>'BIFUbC-natural-gas pre-CHP'!AF8+CHP!AF101</f>
        <v>1396451381152.3721</v>
      </c>
    </row>
    <row r="9" spans="1:35">
      <c r="A9" t="s">
        <v>42</v>
      </c>
      <c r="B9" s="16">
        <f>'BIFUbC-natural-gas pre-CHP'!B9+CHP!B102</f>
        <v>9284293579399.8672</v>
      </c>
      <c r="C9" s="16">
        <f>'BIFUbC-natural-gas pre-CHP'!C9+CHP!C102</f>
        <v>9421235469061.8359</v>
      </c>
      <c r="D9" s="16">
        <f>'BIFUbC-natural-gas pre-CHP'!D9+CHP!D102</f>
        <v>9558177358723.8066</v>
      </c>
      <c r="E9" s="16">
        <f>'BIFUbC-natural-gas pre-CHP'!E9+CHP!E102</f>
        <v>9695119248385.7773</v>
      </c>
      <c r="F9" s="16">
        <f>'BIFUbC-natural-gas pre-CHP'!F9+CHP!F102</f>
        <v>9741034802188.082</v>
      </c>
      <c r="G9" s="16">
        <f>'BIFUbC-natural-gas pre-CHP'!G9+CHP!G102</f>
        <v>9786950355990.3867</v>
      </c>
      <c r="H9" s="16">
        <f>'BIFUbC-natural-gas pre-CHP'!H9+CHP!H102</f>
        <v>9832865909792.6914</v>
      </c>
      <c r="I9" s="16">
        <f>'BIFUbC-natural-gas pre-CHP'!I9+CHP!I102</f>
        <v>9878781463594.9941</v>
      </c>
      <c r="J9" s="16">
        <f>'BIFUbC-natural-gas pre-CHP'!J9+CHP!J102</f>
        <v>9924697017397.2988</v>
      </c>
      <c r="K9" s="16">
        <f>'BIFUbC-natural-gas pre-CHP'!K9+CHP!K102</f>
        <v>9970612571199.6035</v>
      </c>
      <c r="L9" s="16">
        <f>'BIFUbC-natural-gas pre-CHP'!L9+CHP!L102</f>
        <v>10016528125001.908</v>
      </c>
      <c r="M9" s="16">
        <f>'BIFUbC-natural-gas pre-CHP'!M9+CHP!M102</f>
        <v>10022089363382.543</v>
      </c>
      <c r="N9" s="16">
        <f>'BIFUbC-natural-gas pre-CHP'!N9+CHP!N102</f>
        <v>10027650601763.178</v>
      </c>
      <c r="O9" s="16">
        <f>'BIFUbC-natural-gas pre-CHP'!O9+CHP!O102</f>
        <v>10033211840143.813</v>
      </c>
      <c r="P9" s="16">
        <f>'BIFUbC-natural-gas pre-CHP'!P9+CHP!P102</f>
        <v>10038773078524.447</v>
      </c>
      <c r="Q9" s="16">
        <f>'BIFUbC-natural-gas pre-CHP'!Q9+CHP!Q102</f>
        <v>10044334316905.082</v>
      </c>
      <c r="R9" s="16">
        <f>'BIFUbC-natural-gas pre-CHP'!R9+CHP!R102</f>
        <v>10049895555285.719</v>
      </c>
      <c r="S9" s="16">
        <f>'BIFUbC-natural-gas pre-CHP'!S9+CHP!S102</f>
        <v>10055456793666.354</v>
      </c>
      <c r="T9" s="16">
        <f>'BIFUbC-natural-gas pre-CHP'!T9+CHP!T102</f>
        <v>10061018032046.988</v>
      </c>
      <c r="U9" s="16">
        <f>'BIFUbC-natural-gas pre-CHP'!U9+CHP!U102</f>
        <v>10066579270427.625</v>
      </c>
      <c r="V9" s="16">
        <f>'BIFUbC-natural-gas pre-CHP'!V9+CHP!V102</f>
        <v>10072140508808.258</v>
      </c>
      <c r="W9" s="16">
        <f>'BIFUbC-natural-gas pre-CHP'!W9+CHP!W102</f>
        <v>10000766870872.143</v>
      </c>
      <c r="X9" s="16">
        <f>'BIFUbC-natural-gas pre-CHP'!X9+CHP!X102</f>
        <v>9929393232936.0254</v>
      </c>
      <c r="Y9" s="16">
        <f>'BIFUbC-natural-gas pre-CHP'!Y9+CHP!Y102</f>
        <v>9858019594999.9102</v>
      </c>
      <c r="Z9" s="16">
        <f>'BIFUbC-natural-gas pre-CHP'!Z9+CHP!Z102</f>
        <v>9786645957063.793</v>
      </c>
      <c r="AA9" s="16">
        <f>'BIFUbC-natural-gas pre-CHP'!AA9+CHP!AA102</f>
        <v>9715272319127.6758</v>
      </c>
      <c r="AB9" s="16">
        <f>'BIFUbC-natural-gas pre-CHP'!AB9+CHP!AB102</f>
        <v>9643898681191.5586</v>
      </c>
      <c r="AC9" s="16">
        <f>'BIFUbC-natural-gas pre-CHP'!AC9+CHP!AC102</f>
        <v>9572525043255.4434</v>
      </c>
      <c r="AD9" s="16">
        <f>'BIFUbC-natural-gas pre-CHP'!AD9+CHP!AD102</f>
        <v>9501151405319.3262</v>
      </c>
      <c r="AE9" s="16">
        <f>'BIFUbC-natural-gas pre-CHP'!AE9+CHP!AE102</f>
        <v>9429777767383.2109</v>
      </c>
      <c r="AF9" s="16">
        <f>'BIFUbC-natural-gas pre-CHP'!AF9+CHP!AF102</f>
        <v>9358404129447.0938</v>
      </c>
    </row>
    <row r="10" spans="1:35">
      <c r="A10" t="s">
        <v>44</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47</v>
      </c>
      <c r="B11" s="16">
        <f>'BIFUbC-natural-gas pre-CHP'!B11+CHP!B104</f>
        <v>76178854522446.953</v>
      </c>
      <c r="C11" s="16">
        <f>'BIFUbC-natural-gas pre-CHP'!C11+CHP!C104</f>
        <v>81043841966329.469</v>
      </c>
      <c r="D11" s="16">
        <f>'BIFUbC-natural-gas pre-CHP'!D11+CHP!D104</f>
        <v>85908829410211</v>
      </c>
      <c r="E11" s="16">
        <f>'BIFUbC-natural-gas pre-CHP'!E11+CHP!E104</f>
        <v>90773816854092.844</v>
      </c>
      <c r="F11" s="16">
        <f>'BIFUbC-natural-gas pre-CHP'!F11+CHP!F104</f>
        <v>96453422182835.625</v>
      </c>
      <c r="G11" s="16">
        <f>'BIFUbC-natural-gas pre-CHP'!G11+CHP!G104</f>
        <v>102133027511580</v>
      </c>
      <c r="H11" s="16">
        <f>'BIFUbC-natural-gas pre-CHP'!H11+CHP!H104</f>
        <v>107812632840323.09</v>
      </c>
      <c r="I11" s="16">
        <f>'BIFUbC-natural-gas pre-CHP'!I11+CHP!I104</f>
        <v>113492238169066.2</v>
      </c>
      <c r="J11" s="16">
        <f>'BIFUbC-natural-gas pre-CHP'!J11+CHP!J104</f>
        <v>119171843497809.31</v>
      </c>
      <c r="K11" s="16">
        <f>'BIFUbC-natural-gas pre-CHP'!K11+CHP!K104</f>
        <v>124851448826552.41</v>
      </c>
      <c r="L11" s="16">
        <f>'BIFUbC-natural-gas pre-CHP'!L11+CHP!L104</f>
        <v>130531054155295.53</v>
      </c>
      <c r="M11" s="16">
        <f>'BIFUbC-natural-gas pre-CHP'!M11+CHP!M104</f>
        <v>133130357824162.36</v>
      </c>
      <c r="N11" s="16">
        <f>'BIFUbC-natural-gas pre-CHP'!N11+CHP!N104</f>
        <v>135729661493029.2</v>
      </c>
      <c r="O11" s="16">
        <f>'BIFUbC-natural-gas pre-CHP'!O11+CHP!O104</f>
        <v>138328965161896.03</v>
      </c>
      <c r="P11" s="16">
        <f>'BIFUbC-natural-gas pre-CHP'!P11+CHP!P104</f>
        <v>140928268830762.88</v>
      </c>
      <c r="Q11" s="16">
        <f>'BIFUbC-natural-gas pre-CHP'!Q11+CHP!Q104</f>
        <v>143527572499629.72</v>
      </c>
      <c r="R11" s="16">
        <f>'BIFUbC-natural-gas pre-CHP'!R11+CHP!R104</f>
        <v>146126876168496.56</v>
      </c>
      <c r="S11" s="16">
        <f>'BIFUbC-natural-gas pre-CHP'!S11+CHP!S104</f>
        <v>148726179837363.41</v>
      </c>
      <c r="T11" s="16">
        <f>'BIFUbC-natural-gas pre-CHP'!T11+CHP!T104</f>
        <v>151325483506230.22</v>
      </c>
      <c r="U11" s="16">
        <f>'BIFUbC-natural-gas pre-CHP'!U11+CHP!U104</f>
        <v>153924787175097.09</v>
      </c>
      <c r="V11" s="16">
        <f>'BIFUbC-natural-gas pre-CHP'!V11+CHP!V104</f>
        <v>156524090843963.94</v>
      </c>
      <c r="W11" s="16">
        <f>'BIFUbC-natural-gas pre-CHP'!W11+CHP!W104</f>
        <v>158343575631398.22</v>
      </c>
      <c r="X11" s="16">
        <f>'BIFUbC-natural-gas pre-CHP'!X11+CHP!X104</f>
        <v>160163060418832.5</v>
      </c>
      <c r="Y11" s="16">
        <f>'BIFUbC-natural-gas pre-CHP'!Y11+CHP!Y104</f>
        <v>161982545206266.75</v>
      </c>
      <c r="Z11" s="16">
        <f>'BIFUbC-natural-gas pre-CHP'!Z11+CHP!Z104</f>
        <v>163802029993701.06</v>
      </c>
      <c r="AA11" s="16">
        <f>'BIFUbC-natural-gas pre-CHP'!AA11+CHP!AA104</f>
        <v>165621514781135.31</v>
      </c>
      <c r="AB11" s="16">
        <f>'BIFUbC-natural-gas pre-CHP'!AB11+CHP!AB104</f>
        <v>167440999568569.63</v>
      </c>
      <c r="AC11" s="16">
        <f>'BIFUbC-natural-gas pre-CHP'!AC11+CHP!AC104</f>
        <v>169260484356003.91</v>
      </c>
      <c r="AD11" s="16">
        <f>'BIFUbC-natural-gas pre-CHP'!AD11+CHP!AD104</f>
        <v>171079969143438.19</v>
      </c>
      <c r="AE11" s="16">
        <f>'BIFUbC-natural-gas pre-CHP'!AE11+CHP!AE104</f>
        <v>172899453930872.44</v>
      </c>
      <c r="AF11" s="16">
        <f>'BIFUbC-natural-gas pre-CHP'!AF11+CHP!AF104</f>
        <v>174718938718306.75</v>
      </c>
    </row>
    <row r="12" spans="1:35">
      <c r="A12" t="s">
        <v>51</v>
      </c>
      <c r="B12" s="16">
        <f>'BIFUbC-natural-gas pre-CHP'!B12+CHP!B105</f>
        <v>67617814527218.93</v>
      </c>
      <c r="C12" s="16">
        <f>'BIFUbC-natural-gas pre-CHP'!C12+CHP!C105</f>
        <v>72405192016251.578</v>
      </c>
      <c r="D12" s="16">
        <f>'BIFUbC-natural-gas pre-CHP'!D12+CHP!D105</f>
        <v>77192569505285.219</v>
      </c>
      <c r="E12" s="16">
        <f>'BIFUbC-natural-gas pre-CHP'!E12+CHP!E105</f>
        <v>81979946994319.125</v>
      </c>
      <c r="F12" s="16">
        <f>'BIFUbC-natural-gas pre-CHP'!F12+CHP!F105</f>
        <v>87428206827808.188</v>
      </c>
      <c r="G12" s="16">
        <f>'BIFUbC-natural-gas pre-CHP'!G12+CHP!G105</f>
        <v>92876466661295.688</v>
      </c>
      <c r="H12" s="16">
        <f>'BIFUbC-natural-gas pre-CHP'!H12+CHP!H105</f>
        <v>98324726494784.438</v>
      </c>
      <c r="I12" s="16">
        <f>'BIFUbC-natural-gas pre-CHP'!I12+CHP!I105</f>
        <v>103772986328273.2</v>
      </c>
      <c r="J12" s="16">
        <f>'BIFUbC-natural-gas pre-CHP'!J12+CHP!J105</f>
        <v>109221246161761.97</v>
      </c>
      <c r="K12" s="16">
        <f>'BIFUbC-natural-gas pre-CHP'!K12+CHP!K105</f>
        <v>114669505995250.72</v>
      </c>
      <c r="L12" s="16">
        <f>'BIFUbC-natural-gas pre-CHP'!L12+CHP!L105</f>
        <v>120117765828739.47</v>
      </c>
      <c r="M12" s="16">
        <f>'BIFUbC-natural-gas pre-CHP'!M12+CHP!M105</f>
        <v>122460188180360.69</v>
      </c>
      <c r="N12" s="16">
        <f>'BIFUbC-natural-gas pre-CHP'!N12+CHP!N105</f>
        <v>124802610531981.91</v>
      </c>
      <c r="O12" s="16">
        <f>'BIFUbC-natural-gas pre-CHP'!O12+CHP!O105</f>
        <v>127145032883603.13</v>
      </c>
      <c r="P12" s="16">
        <f>'BIFUbC-natural-gas pre-CHP'!P12+CHP!P105</f>
        <v>129487455235224.34</v>
      </c>
      <c r="Q12" s="16">
        <f>'BIFUbC-natural-gas pre-CHP'!Q12+CHP!Q105</f>
        <v>131829877586845.55</v>
      </c>
      <c r="R12" s="16">
        <f>'BIFUbC-natural-gas pre-CHP'!R12+CHP!R105</f>
        <v>134172299938466.75</v>
      </c>
      <c r="S12" s="16">
        <f>'BIFUbC-natural-gas pre-CHP'!S12+CHP!S105</f>
        <v>136514722290087.97</v>
      </c>
      <c r="T12" s="16">
        <f>'BIFUbC-natural-gas pre-CHP'!T12+CHP!T105</f>
        <v>138857144641709.19</v>
      </c>
      <c r="U12" s="16">
        <f>'BIFUbC-natural-gas pre-CHP'!U12+CHP!U105</f>
        <v>141199566993330.41</v>
      </c>
      <c r="V12" s="16">
        <f>'BIFUbC-natural-gas pre-CHP'!V12+CHP!V105</f>
        <v>143541989344951.63</v>
      </c>
      <c r="W12" s="16">
        <f>'BIFUbC-natural-gas pre-CHP'!W12+CHP!W105</f>
        <v>145174652593326.19</v>
      </c>
      <c r="X12" s="16">
        <f>'BIFUbC-natural-gas pre-CHP'!X12+CHP!X105</f>
        <v>146807315841700.78</v>
      </c>
      <c r="Y12" s="16">
        <f>'BIFUbC-natural-gas pre-CHP'!Y12+CHP!Y105</f>
        <v>148439979090075.34</v>
      </c>
      <c r="Z12" s="16">
        <f>'BIFUbC-natural-gas pre-CHP'!Z12+CHP!Z105</f>
        <v>150072642338449.94</v>
      </c>
      <c r="AA12" s="16">
        <f>'BIFUbC-natural-gas pre-CHP'!AA12+CHP!AA105</f>
        <v>151705305586824.5</v>
      </c>
      <c r="AB12" s="16">
        <f>'BIFUbC-natural-gas pre-CHP'!AB12+CHP!AB105</f>
        <v>153337968835199.06</v>
      </c>
      <c r="AC12" s="16">
        <f>'BIFUbC-natural-gas pre-CHP'!AC12+CHP!AC105</f>
        <v>154970632083573.66</v>
      </c>
      <c r="AD12" s="16">
        <f>'BIFUbC-natural-gas pre-CHP'!AD12+CHP!AD105</f>
        <v>156603295331948.22</v>
      </c>
      <c r="AE12" s="16">
        <f>'BIFUbC-natural-gas pre-CHP'!AE12+CHP!AE105</f>
        <v>158235958580322.81</v>
      </c>
      <c r="AF12" s="16">
        <f>'BIFUbC-natural-gas pre-CHP'!AF12+CHP!AF105</f>
        <v>159868621828697.38</v>
      </c>
    </row>
    <row r="13" spans="1:35">
      <c r="A13" t="s">
        <v>53</v>
      </c>
      <c r="B13" s="16">
        <f>'BIFUbC-natural-gas pre-CHP'!B13+CHP!B106</f>
        <v>4722809391498.6816</v>
      </c>
      <c r="C13" s="16">
        <f>'BIFUbC-natural-gas pre-CHP'!C13+CHP!C106</f>
        <v>4755248068664.2734</v>
      </c>
      <c r="D13" s="16">
        <f>'BIFUbC-natural-gas pre-CHP'!D13+CHP!D106</f>
        <v>4787686745829.8662</v>
      </c>
      <c r="E13" s="16">
        <f>'BIFUbC-natural-gas pre-CHP'!E13+CHP!E106</f>
        <v>4820125422995.458</v>
      </c>
      <c r="F13" s="16">
        <f>'BIFUbC-natural-gas pre-CHP'!F13+CHP!F106</f>
        <v>4821949242132.7109</v>
      </c>
      <c r="G13" s="16">
        <f>'BIFUbC-natural-gas pre-CHP'!G13+CHP!G106</f>
        <v>4823773061269.9531</v>
      </c>
      <c r="H13" s="16">
        <f>'BIFUbC-natural-gas pre-CHP'!H13+CHP!H106</f>
        <v>4825596880407.1992</v>
      </c>
      <c r="I13" s="16">
        <f>'BIFUbC-natural-gas pre-CHP'!I13+CHP!I106</f>
        <v>4827420699544.4453</v>
      </c>
      <c r="J13" s="16">
        <f>'BIFUbC-natural-gas pre-CHP'!J13+CHP!J106</f>
        <v>4829244518681.6914</v>
      </c>
      <c r="K13" s="16">
        <f>'BIFUbC-natural-gas pre-CHP'!K13+CHP!K106</f>
        <v>4831068337818.9375</v>
      </c>
      <c r="L13" s="16">
        <f>'BIFUbC-natural-gas pre-CHP'!L13+CHP!L106</f>
        <v>4832892156956.1836</v>
      </c>
      <c r="M13" s="16">
        <f>'BIFUbC-natural-gas pre-CHP'!M13+CHP!M106</f>
        <v>4835897478473.334</v>
      </c>
      <c r="N13" s="16">
        <f>'BIFUbC-natural-gas pre-CHP'!N13+CHP!N106</f>
        <v>4838902799990.4824</v>
      </c>
      <c r="O13" s="16">
        <f>'BIFUbC-natural-gas pre-CHP'!O13+CHP!O106</f>
        <v>4841908121507.6309</v>
      </c>
      <c r="P13" s="16">
        <f>'BIFUbC-natural-gas pre-CHP'!P13+CHP!P106</f>
        <v>4844913443024.7813</v>
      </c>
      <c r="Q13" s="16">
        <f>'BIFUbC-natural-gas pre-CHP'!Q13+CHP!Q106</f>
        <v>4847918764541.9297</v>
      </c>
      <c r="R13" s="16">
        <f>'BIFUbC-natural-gas pre-CHP'!R13+CHP!R106</f>
        <v>4850924086059.0791</v>
      </c>
      <c r="S13" s="16">
        <f>'BIFUbC-natural-gas pre-CHP'!S13+CHP!S106</f>
        <v>4853929407576.2285</v>
      </c>
      <c r="T13" s="16">
        <f>'BIFUbC-natural-gas pre-CHP'!T13+CHP!T106</f>
        <v>4856934729093.377</v>
      </c>
      <c r="U13" s="16">
        <f>'BIFUbC-natural-gas pre-CHP'!U13+CHP!U106</f>
        <v>4859940050610.5264</v>
      </c>
      <c r="V13" s="16">
        <f>'BIFUbC-natural-gas pre-CHP'!V13+CHP!V106</f>
        <v>4862945372127.6758</v>
      </c>
      <c r="W13" s="16">
        <f>'BIFUbC-natural-gas pre-CHP'!W13+CHP!W106</f>
        <v>4827364197061.5059</v>
      </c>
      <c r="X13" s="16">
        <f>'BIFUbC-natural-gas pre-CHP'!X13+CHP!X106</f>
        <v>4791783021995.3359</v>
      </c>
      <c r="Y13" s="16">
        <f>'BIFUbC-natural-gas pre-CHP'!Y13+CHP!Y106</f>
        <v>4756201846929.166</v>
      </c>
      <c r="Z13" s="16">
        <f>'BIFUbC-natural-gas pre-CHP'!Z13+CHP!Z106</f>
        <v>4720620671862.9961</v>
      </c>
      <c r="AA13" s="16">
        <f>'BIFUbC-natural-gas pre-CHP'!AA13+CHP!AA106</f>
        <v>4685039496796.8252</v>
      </c>
      <c r="AB13" s="16">
        <f>'BIFUbC-natural-gas pre-CHP'!AB13+CHP!AB106</f>
        <v>4649458321730.6553</v>
      </c>
      <c r="AC13" s="16">
        <f>'BIFUbC-natural-gas pre-CHP'!AC13+CHP!AC106</f>
        <v>4613877146664.4854</v>
      </c>
      <c r="AD13" s="16">
        <f>'BIFUbC-natural-gas pre-CHP'!AD13+CHP!AD106</f>
        <v>4578295971598.3154</v>
      </c>
      <c r="AE13" s="16">
        <f>'BIFUbC-natural-gas pre-CHP'!AE13+CHP!AE106</f>
        <v>4542714796532.1455</v>
      </c>
      <c r="AF13" s="16">
        <f>'BIFUbC-natural-gas pre-CHP'!AF13+CHP!AF106</f>
        <v>4507133621465.9756</v>
      </c>
    </row>
    <row r="14" spans="1:35">
      <c r="A14" t="s">
        <v>56</v>
      </c>
      <c r="B14" s="16">
        <f>'BIFUbC-natural-gas pre-CHP'!B14+CHP!B107</f>
        <v>9234573349156.5391</v>
      </c>
      <c r="C14" s="16">
        <f>'BIFUbC-natural-gas pre-CHP'!C14+CHP!C107</f>
        <v>9339028727085.7031</v>
      </c>
      <c r="D14" s="16">
        <f>'BIFUbC-natural-gas pre-CHP'!D14+CHP!D107</f>
        <v>9443484105014.8477</v>
      </c>
      <c r="E14" s="16">
        <f>'BIFUbC-natural-gas pre-CHP'!E14+CHP!E107</f>
        <v>9547939482943.9961</v>
      </c>
      <c r="F14" s="16">
        <f>'BIFUbC-natural-gas pre-CHP'!F14+CHP!F107</f>
        <v>9575240008062.9844</v>
      </c>
      <c r="G14" s="16">
        <f>'BIFUbC-natural-gas pre-CHP'!G14+CHP!G107</f>
        <v>9602540533181.9512</v>
      </c>
      <c r="H14" s="16">
        <f>'BIFUbC-natural-gas pre-CHP'!H14+CHP!H107</f>
        <v>9629841058300.9297</v>
      </c>
      <c r="I14" s="16">
        <f>'BIFUbC-natural-gas pre-CHP'!I14+CHP!I107</f>
        <v>9657141583419.9063</v>
      </c>
      <c r="J14" s="16">
        <f>'BIFUbC-natural-gas pre-CHP'!J14+CHP!J107</f>
        <v>9684442108538.8828</v>
      </c>
      <c r="K14" s="16">
        <f>'BIFUbC-natural-gas pre-CHP'!K14+CHP!K107</f>
        <v>9711742633657.8594</v>
      </c>
      <c r="L14" s="16">
        <f>'BIFUbC-natural-gas pre-CHP'!L14+CHP!L107</f>
        <v>9739043158776.8379</v>
      </c>
      <c r="M14" s="16">
        <f>'BIFUbC-natural-gas pre-CHP'!M14+CHP!M107</f>
        <v>9744725085251.2617</v>
      </c>
      <c r="N14" s="16">
        <f>'BIFUbC-natural-gas pre-CHP'!N14+CHP!N107</f>
        <v>9750407011725.6875</v>
      </c>
      <c r="O14" s="16">
        <f>'BIFUbC-natural-gas pre-CHP'!O14+CHP!O107</f>
        <v>9756088938200.1133</v>
      </c>
      <c r="P14" s="16">
        <f>'BIFUbC-natural-gas pre-CHP'!P14+CHP!P107</f>
        <v>9761770864674.5391</v>
      </c>
      <c r="Q14" s="16">
        <f>'BIFUbC-natural-gas pre-CHP'!Q14+CHP!Q107</f>
        <v>9767452791148.9648</v>
      </c>
      <c r="R14" s="16">
        <f>'BIFUbC-natural-gas pre-CHP'!R14+CHP!R107</f>
        <v>9773134717623.3887</v>
      </c>
      <c r="S14" s="16">
        <f>'BIFUbC-natural-gas pre-CHP'!S14+CHP!S107</f>
        <v>9778816644097.8145</v>
      </c>
      <c r="T14" s="16">
        <f>'BIFUbC-natural-gas pre-CHP'!T14+CHP!T107</f>
        <v>9784498570572.2402</v>
      </c>
      <c r="U14" s="16">
        <f>'BIFUbC-natural-gas pre-CHP'!U14+CHP!U107</f>
        <v>9790180497046.666</v>
      </c>
      <c r="V14" s="16">
        <f>'BIFUbC-natural-gas pre-CHP'!V14+CHP!V107</f>
        <v>9795862423521.0898</v>
      </c>
      <c r="W14" s="16">
        <f>'BIFUbC-natural-gas pre-CHP'!W14+CHP!W107</f>
        <v>9725490125859.3535</v>
      </c>
      <c r="X14" s="16">
        <f>'BIFUbC-natural-gas pre-CHP'!X14+CHP!X107</f>
        <v>9655117828197.6152</v>
      </c>
      <c r="Y14" s="16">
        <f>'BIFUbC-natural-gas pre-CHP'!Y14+CHP!Y107</f>
        <v>9584745530535.877</v>
      </c>
      <c r="Z14" s="16">
        <f>'BIFUbC-natural-gas pre-CHP'!Z14+CHP!Z107</f>
        <v>9514373232874.1406</v>
      </c>
      <c r="AA14" s="16">
        <f>'BIFUbC-natural-gas pre-CHP'!AA14+CHP!AA107</f>
        <v>9444000935212.4023</v>
      </c>
      <c r="AB14" s="16">
        <f>'BIFUbC-natural-gas pre-CHP'!AB14+CHP!AB107</f>
        <v>9373628637550.6641</v>
      </c>
      <c r="AC14" s="16">
        <f>'BIFUbC-natural-gas pre-CHP'!AC14+CHP!AC107</f>
        <v>9303256339888.9277</v>
      </c>
      <c r="AD14" s="16">
        <f>'BIFUbC-natural-gas pre-CHP'!AD14+CHP!AD107</f>
        <v>9232884042227.1914</v>
      </c>
      <c r="AE14" s="16">
        <f>'BIFUbC-natural-gas pre-CHP'!AE14+CHP!AE107</f>
        <v>9162511744565.4531</v>
      </c>
      <c r="AF14" s="16">
        <f>'BIFUbC-natural-gas pre-CHP'!AF14+CHP!AF107</f>
        <v>9092139446903.7148</v>
      </c>
    </row>
    <row r="15" spans="1:35">
      <c r="A15" t="s">
        <v>58</v>
      </c>
      <c r="B15" s="16">
        <f>'BIFUbC-natural-gas pre-CHP'!B15+CHP!B108</f>
        <v>129141560287363.61</v>
      </c>
      <c r="C15" s="16">
        <f>'BIFUbC-natural-gas pre-CHP'!C15+CHP!C108</f>
        <v>129917176281023.66</v>
      </c>
      <c r="D15" s="16">
        <f>'BIFUbC-natural-gas pre-CHP'!D15+CHP!D108</f>
        <v>130692792274683.69</v>
      </c>
      <c r="E15" s="16">
        <f>'BIFUbC-natural-gas pre-CHP'!E15+CHP!E108</f>
        <v>131468408268343.73</v>
      </c>
      <c r="F15" s="16">
        <f>'BIFUbC-natural-gas pre-CHP'!F15+CHP!F108</f>
        <v>133433089249496.88</v>
      </c>
      <c r="G15" s="16">
        <f>'BIFUbC-natural-gas pre-CHP'!G15+CHP!G108</f>
        <v>135397770230650.03</v>
      </c>
      <c r="H15" s="16">
        <f>'BIFUbC-natural-gas pre-CHP'!H15+CHP!H108</f>
        <v>137362451211803.16</v>
      </c>
      <c r="I15" s="16">
        <f>'BIFUbC-natural-gas pre-CHP'!I15+CHP!I108</f>
        <v>139327132192956.31</v>
      </c>
      <c r="J15" s="16">
        <f>'BIFUbC-natural-gas pre-CHP'!J15+CHP!J108</f>
        <v>141291813174109.44</v>
      </c>
      <c r="K15" s="16">
        <f>'BIFUbC-natural-gas pre-CHP'!K15+CHP!K108</f>
        <v>143256494155262.59</v>
      </c>
      <c r="L15" s="16">
        <f>'BIFUbC-natural-gas pre-CHP'!L15+CHP!L108</f>
        <v>145221175136415.75</v>
      </c>
      <c r="M15" s="16">
        <f>'BIFUbC-natural-gas pre-CHP'!M15+CHP!M108</f>
        <v>145165194121404.22</v>
      </c>
      <c r="N15" s="16">
        <f>'BIFUbC-natural-gas pre-CHP'!N15+CHP!N108</f>
        <v>145109213106392.69</v>
      </c>
      <c r="O15" s="16">
        <f>'BIFUbC-natural-gas pre-CHP'!O15+CHP!O108</f>
        <v>145053232091381.13</v>
      </c>
      <c r="P15" s="16">
        <f>'BIFUbC-natural-gas pre-CHP'!P15+CHP!P108</f>
        <v>144997251076369.63</v>
      </c>
      <c r="Q15" s="16">
        <f>'BIFUbC-natural-gas pre-CHP'!Q15+CHP!Q108</f>
        <v>144941270061358.06</v>
      </c>
      <c r="R15" s="16">
        <f>'BIFUbC-natural-gas pre-CHP'!R15+CHP!R108</f>
        <v>144885289046346.56</v>
      </c>
      <c r="S15" s="16">
        <f>'BIFUbC-natural-gas pre-CHP'!S15+CHP!S108</f>
        <v>144829308031335</v>
      </c>
      <c r="T15" s="16">
        <f>'BIFUbC-natural-gas pre-CHP'!T15+CHP!T108</f>
        <v>144773327016323.5</v>
      </c>
      <c r="U15" s="16">
        <f>'BIFUbC-natural-gas pre-CHP'!U15+CHP!U108</f>
        <v>144717346001311.97</v>
      </c>
      <c r="V15" s="16">
        <f>'BIFUbC-natural-gas pre-CHP'!V15+CHP!V108</f>
        <v>144661364986300.44</v>
      </c>
      <c r="W15" s="16">
        <f>'BIFUbC-natural-gas pre-CHP'!W15+CHP!W108</f>
        <v>143897704692942.56</v>
      </c>
      <c r="X15" s="16">
        <f>'BIFUbC-natural-gas pre-CHP'!X15+CHP!X108</f>
        <v>143134044399584.69</v>
      </c>
      <c r="Y15" s="16">
        <f>'BIFUbC-natural-gas pre-CHP'!Y15+CHP!Y108</f>
        <v>142370384106226.81</v>
      </c>
      <c r="Z15" s="16">
        <f>'BIFUbC-natural-gas pre-CHP'!Z15+CHP!Z108</f>
        <v>141606723812868.97</v>
      </c>
      <c r="AA15" s="16">
        <f>'BIFUbC-natural-gas pre-CHP'!AA15+CHP!AA108</f>
        <v>140843063519511.09</v>
      </c>
      <c r="AB15" s="16">
        <f>'BIFUbC-natural-gas pre-CHP'!AB15+CHP!AB108</f>
        <v>140079403226153.22</v>
      </c>
      <c r="AC15" s="16">
        <f>'BIFUbC-natural-gas pre-CHP'!AC15+CHP!AC108</f>
        <v>139315742932795.36</v>
      </c>
      <c r="AD15" s="16">
        <f>'BIFUbC-natural-gas pre-CHP'!AD15+CHP!AD108</f>
        <v>138552082639437.5</v>
      </c>
      <c r="AE15" s="16">
        <f>'BIFUbC-natural-gas pre-CHP'!AE15+CHP!AE108</f>
        <v>137788422346079.63</v>
      </c>
      <c r="AF15" s="16">
        <f>'BIFUbC-natural-gas pre-CHP'!AF15+CHP!AF108</f>
        <v>137024762052721.75</v>
      </c>
    </row>
    <row r="16" spans="1:35">
      <c r="A16" t="s">
        <v>61</v>
      </c>
      <c r="B16" s="16">
        <f>'BIFUbC-natural-gas pre-CHP'!B16+CHP!B109</f>
        <v>13544364000324.152</v>
      </c>
      <c r="C16" s="16">
        <f>'BIFUbC-natural-gas pre-CHP'!C16+CHP!C109</f>
        <v>14151598190851.203</v>
      </c>
      <c r="D16" s="16">
        <f>'BIFUbC-natural-gas pre-CHP'!D16+CHP!D109</f>
        <v>14758832381378.25</v>
      </c>
      <c r="E16" s="16">
        <f>'BIFUbC-natural-gas pre-CHP'!E16+CHP!E109</f>
        <v>15366066571905.301</v>
      </c>
      <c r="F16" s="16">
        <f>'BIFUbC-natural-gas pre-CHP'!F16+CHP!F109</f>
        <v>16189654142606.188</v>
      </c>
      <c r="G16" s="16">
        <f>'BIFUbC-natural-gas pre-CHP'!G16+CHP!G109</f>
        <v>17013241713307.109</v>
      </c>
      <c r="H16" s="16">
        <f>'BIFUbC-natural-gas pre-CHP'!H16+CHP!H109</f>
        <v>17836829284007.988</v>
      </c>
      <c r="I16" s="16">
        <f>'BIFUbC-natural-gas pre-CHP'!I16+CHP!I109</f>
        <v>18660416854708.859</v>
      </c>
      <c r="J16" s="16">
        <f>'BIFUbC-natural-gas pre-CHP'!J16+CHP!J109</f>
        <v>19484004425409.738</v>
      </c>
      <c r="K16" s="16">
        <f>'BIFUbC-natural-gas pre-CHP'!K16+CHP!K109</f>
        <v>20307591996110.609</v>
      </c>
      <c r="L16" s="16">
        <f>'BIFUbC-natural-gas pre-CHP'!L16+CHP!L109</f>
        <v>21131179566811.488</v>
      </c>
      <c r="M16" s="16">
        <f>'BIFUbC-natural-gas pre-CHP'!M16+CHP!M109</f>
        <v>21206487808386.859</v>
      </c>
      <c r="N16" s="16">
        <f>'BIFUbC-natural-gas pre-CHP'!N16+CHP!N109</f>
        <v>21281796049962.227</v>
      </c>
      <c r="O16" s="16">
        <f>'BIFUbC-natural-gas pre-CHP'!O16+CHP!O109</f>
        <v>21357104291537.602</v>
      </c>
      <c r="P16" s="16">
        <f>'BIFUbC-natural-gas pre-CHP'!P16+CHP!P109</f>
        <v>21432412533112.977</v>
      </c>
      <c r="Q16" s="16">
        <f>'BIFUbC-natural-gas pre-CHP'!Q16+CHP!Q109</f>
        <v>21507720774688.344</v>
      </c>
      <c r="R16" s="16">
        <f>'BIFUbC-natural-gas pre-CHP'!R16+CHP!R109</f>
        <v>21583029016263.719</v>
      </c>
      <c r="S16" s="16">
        <f>'BIFUbC-natural-gas pre-CHP'!S16+CHP!S109</f>
        <v>21658337257839.09</v>
      </c>
      <c r="T16" s="16">
        <f>'BIFUbC-natural-gas pre-CHP'!T16+CHP!T109</f>
        <v>21733645499414.461</v>
      </c>
      <c r="U16" s="16">
        <f>'BIFUbC-natural-gas pre-CHP'!U16+CHP!U109</f>
        <v>21808953740989.836</v>
      </c>
      <c r="V16" s="16">
        <f>'BIFUbC-natural-gas pre-CHP'!V16+CHP!V109</f>
        <v>21884261982565.203</v>
      </c>
      <c r="W16" s="16">
        <f>'BIFUbC-natural-gas pre-CHP'!W16+CHP!W109</f>
        <v>21710575254885.105</v>
      </c>
      <c r="X16" s="16">
        <f>'BIFUbC-natural-gas pre-CHP'!X16+CHP!X109</f>
        <v>21536888527205.008</v>
      </c>
      <c r="Y16" s="16">
        <f>'BIFUbC-natural-gas pre-CHP'!Y16+CHP!Y109</f>
        <v>21363201799524.906</v>
      </c>
      <c r="Z16" s="16">
        <f>'BIFUbC-natural-gas pre-CHP'!Z16+CHP!Z109</f>
        <v>21189515071844.805</v>
      </c>
      <c r="AA16" s="16">
        <f>'BIFUbC-natural-gas pre-CHP'!AA16+CHP!AA109</f>
        <v>21015828344164.707</v>
      </c>
      <c r="AB16" s="16">
        <f>'BIFUbC-natural-gas pre-CHP'!AB16+CHP!AB109</f>
        <v>20842141616484.605</v>
      </c>
      <c r="AC16" s="16">
        <f>'BIFUbC-natural-gas pre-CHP'!AC16+CHP!AC109</f>
        <v>20668454888804.504</v>
      </c>
      <c r="AD16" s="16">
        <f>'BIFUbC-natural-gas pre-CHP'!AD16+CHP!AD109</f>
        <v>20494768161124.406</v>
      </c>
      <c r="AE16" s="16">
        <f>'BIFUbC-natural-gas pre-CHP'!AE16+CHP!AE109</f>
        <v>20321081433444.305</v>
      </c>
      <c r="AF16" s="16">
        <f>'BIFUbC-natural-gas pre-CHP'!AF16+CHP!AF109</f>
        <v>20147394705764.203</v>
      </c>
    </row>
    <row r="17" spans="1:33">
      <c r="A17" t="s">
        <v>65</v>
      </c>
      <c r="B17" s="16">
        <f>'BIFUbC-natural-gas pre-CHP'!B17+CHP!B110</f>
        <v>23228277313295.039</v>
      </c>
      <c r="C17" s="16">
        <f>'BIFUbC-natural-gas pre-CHP'!C17+CHP!C110</f>
        <v>24140132701872.406</v>
      </c>
      <c r="D17" s="16">
        <f>'BIFUbC-natural-gas pre-CHP'!D17+CHP!D110</f>
        <v>25051988090449.773</v>
      </c>
      <c r="E17" s="16">
        <f>'BIFUbC-natural-gas pre-CHP'!E17+CHP!E110</f>
        <v>25963843479027.137</v>
      </c>
      <c r="F17" s="16">
        <f>'BIFUbC-natural-gas pre-CHP'!F17+CHP!F110</f>
        <v>27298719721828.789</v>
      </c>
      <c r="G17" s="16">
        <f>'BIFUbC-natural-gas pre-CHP'!G17+CHP!G110</f>
        <v>28633595964630.527</v>
      </c>
      <c r="H17" s="16">
        <f>'BIFUbC-natural-gas pre-CHP'!H17+CHP!H110</f>
        <v>29968472207432.191</v>
      </c>
      <c r="I17" s="16">
        <f>'BIFUbC-natural-gas pre-CHP'!I17+CHP!I110</f>
        <v>31303348450233.852</v>
      </c>
      <c r="J17" s="16">
        <f>'BIFUbC-natural-gas pre-CHP'!J17+CHP!J110</f>
        <v>32638224693035.516</v>
      </c>
      <c r="K17" s="16">
        <f>'BIFUbC-natural-gas pre-CHP'!K17+CHP!K110</f>
        <v>33973100935837.18</v>
      </c>
      <c r="L17" s="16">
        <f>'BIFUbC-natural-gas pre-CHP'!L17+CHP!L110</f>
        <v>35307977178638.844</v>
      </c>
      <c r="M17" s="16">
        <f>'BIFUbC-natural-gas pre-CHP'!M17+CHP!M110</f>
        <v>35438601551824.844</v>
      </c>
      <c r="N17" s="16">
        <f>'BIFUbC-natural-gas pre-CHP'!N17+CHP!N110</f>
        <v>35569225925010.859</v>
      </c>
      <c r="O17" s="16">
        <f>'BIFUbC-natural-gas pre-CHP'!O17+CHP!O110</f>
        <v>35699850298196.867</v>
      </c>
      <c r="P17" s="16">
        <f>'BIFUbC-natural-gas pre-CHP'!P17+CHP!P110</f>
        <v>35830474671382.875</v>
      </c>
      <c r="Q17" s="16">
        <f>'BIFUbC-natural-gas pre-CHP'!Q17+CHP!Q110</f>
        <v>35961099044568.883</v>
      </c>
      <c r="R17" s="16">
        <f>'BIFUbC-natural-gas pre-CHP'!R17+CHP!R110</f>
        <v>36091723417754.891</v>
      </c>
      <c r="S17" s="16">
        <f>'BIFUbC-natural-gas pre-CHP'!S17+CHP!S110</f>
        <v>36222347790940.906</v>
      </c>
      <c r="T17" s="16">
        <f>'BIFUbC-natural-gas pre-CHP'!T17+CHP!T110</f>
        <v>36352972164126.914</v>
      </c>
      <c r="U17" s="16">
        <f>'BIFUbC-natural-gas pre-CHP'!U17+CHP!U110</f>
        <v>36483596537312.922</v>
      </c>
      <c r="V17" s="16">
        <f>'BIFUbC-natural-gas pre-CHP'!V17+CHP!V110</f>
        <v>36614220910498.93</v>
      </c>
      <c r="W17" s="16">
        <f>'BIFUbC-natural-gas pre-CHP'!W17+CHP!W110</f>
        <v>36342767852429.406</v>
      </c>
      <c r="X17" s="16">
        <f>'BIFUbC-natural-gas pre-CHP'!X17+CHP!X110</f>
        <v>36071314794359.875</v>
      </c>
      <c r="Y17" s="16">
        <f>'BIFUbC-natural-gas pre-CHP'!Y17+CHP!Y110</f>
        <v>35799861736290.359</v>
      </c>
      <c r="Z17" s="16">
        <f>'BIFUbC-natural-gas pre-CHP'!Z17+CHP!Z110</f>
        <v>35528408678220.828</v>
      </c>
      <c r="AA17" s="16">
        <f>'BIFUbC-natural-gas pre-CHP'!AA17+CHP!AA110</f>
        <v>35256955620151.313</v>
      </c>
      <c r="AB17" s="16">
        <f>'BIFUbC-natural-gas pre-CHP'!AB17+CHP!AB110</f>
        <v>34985502562081.785</v>
      </c>
      <c r="AC17" s="16">
        <f>'BIFUbC-natural-gas pre-CHP'!AC17+CHP!AC110</f>
        <v>34714049504012.262</v>
      </c>
      <c r="AD17" s="16">
        <f>'BIFUbC-natural-gas pre-CHP'!AD17+CHP!AD110</f>
        <v>34442596445942.734</v>
      </c>
      <c r="AE17" s="16">
        <f>'BIFUbC-natural-gas pre-CHP'!AE17+CHP!AE110</f>
        <v>34171143387873.211</v>
      </c>
      <c r="AF17" s="16">
        <f>'BIFUbC-natural-gas pre-CHP'!AF17+CHP!AF110</f>
        <v>33899690329803.688</v>
      </c>
    </row>
    <row r="18" spans="1:33">
      <c r="A18" s="390" t="s">
        <v>67</v>
      </c>
      <c r="B18" s="16">
        <f>'BIFUbC-natural-gas pre-CHP'!B18+CHP!B111</f>
        <v>123130623300294.22</v>
      </c>
      <c r="C18" s="16">
        <f>'BIFUbC-natural-gas pre-CHP'!C18+CHP!C111</f>
        <v>126416738819345.91</v>
      </c>
      <c r="D18" s="16">
        <f>'BIFUbC-natural-gas pre-CHP'!D18+CHP!D111</f>
        <v>129702854338398.88</v>
      </c>
      <c r="E18" s="16">
        <f>'BIFUbC-natural-gas pre-CHP'!E18+CHP!E111</f>
        <v>132988969857451.19</v>
      </c>
      <c r="F18" s="16">
        <f>'BIFUbC-natural-gas pre-CHP'!F18+CHP!F111</f>
        <v>134851185557066.39</v>
      </c>
      <c r="G18" s="16">
        <f>'BIFUbC-natural-gas pre-CHP'!G18+CHP!G111</f>
        <v>136713401256681.5</v>
      </c>
      <c r="H18" s="16">
        <f>'BIFUbC-natural-gas pre-CHP'!H18+CHP!H111</f>
        <v>138575616956296.66</v>
      </c>
      <c r="I18" s="16">
        <f>'BIFUbC-natural-gas pre-CHP'!I18+CHP!I111</f>
        <v>140437832655911.84</v>
      </c>
      <c r="J18" s="16">
        <f>'BIFUbC-natural-gas pre-CHP'!J18+CHP!J111</f>
        <v>142300048355527</v>
      </c>
      <c r="K18" s="16">
        <f>'BIFUbC-natural-gas pre-CHP'!K18+CHP!K111</f>
        <v>144162264055142.16</v>
      </c>
      <c r="L18" s="16">
        <f>'BIFUbC-natural-gas pre-CHP'!L18+CHP!L111</f>
        <v>146024479754757.31</v>
      </c>
      <c r="M18" s="16">
        <f>'BIFUbC-natural-gas pre-CHP'!M18+CHP!M111</f>
        <v>146829568335381.75</v>
      </c>
      <c r="N18" s="16">
        <f>'BIFUbC-natural-gas pre-CHP'!N18+CHP!N111</f>
        <v>147634656916006.19</v>
      </c>
      <c r="O18" s="16">
        <f>'BIFUbC-natural-gas pre-CHP'!O18+CHP!O111</f>
        <v>148439745496630.59</v>
      </c>
      <c r="P18" s="16">
        <f>'BIFUbC-natural-gas pre-CHP'!P18+CHP!P111</f>
        <v>149244834077255.03</v>
      </c>
      <c r="Q18" s="16">
        <f>'BIFUbC-natural-gas pre-CHP'!Q18+CHP!Q111</f>
        <v>150049922657879.44</v>
      </c>
      <c r="R18" s="16">
        <f>'BIFUbC-natural-gas pre-CHP'!R18+CHP!R111</f>
        <v>150855011238503.91</v>
      </c>
      <c r="S18" s="16">
        <f>'BIFUbC-natural-gas pre-CHP'!S18+CHP!S111</f>
        <v>151660099819128.31</v>
      </c>
      <c r="T18" s="16">
        <f>'BIFUbC-natural-gas pre-CHP'!T18+CHP!T111</f>
        <v>152465188399752.75</v>
      </c>
      <c r="U18" s="16">
        <f>'BIFUbC-natural-gas pre-CHP'!U18+CHP!U111</f>
        <v>153270276980377.16</v>
      </c>
      <c r="V18" s="16">
        <f>'BIFUbC-natural-gas pre-CHP'!V18+CHP!V111</f>
        <v>154075365561001.56</v>
      </c>
      <c r="W18" s="16">
        <f>'BIFUbC-natural-gas pre-CHP'!W18+CHP!W111</f>
        <v>153597938814000.81</v>
      </c>
      <c r="X18" s="16">
        <f>'BIFUbC-natural-gas pre-CHP'!X18+CHP!X111</f>
        <v>153120512067000.06</v>
      </c>
      <c r="Y18" s="16">
        <f>'BIFUbC-natural-gas pre-CHP'!Y18+CHP!Y111</f>
        <v>152643085319999.34</v>
      </c>
      <c r="Z18" s="16">
        <f>'BIFUbC-natural-gas pre-CHP'!Z18+CHP!Z111</f>
        <v>152165658572998.59</v>
      </c>
      <c r="AA18" s="16">
        <f>'BIFUbC-natural-gas pre-CHP'!AA18+CHP!AA111</f>
        <v>151688231825997.88</v>
      </c>
      <c r="AB18" s="16">
        <f>'BIFUbC-natural-gas pre-CHP'!AB18+CHP!AB111</f>
        <v>151210805078997.13</v>
      </c>
      <c r="AC18" s="16">
        <f>'BIFUbC-natural-gas pre-CHP'!AC18+CHP!AC111</f>
        <v>150733378331996.41</v>
      </c>
      <c r="AD18" s="16">
        <f>'BIFUbC-natural-gas pre-CHP'!AD18+CHP!AD111</f>
        <v>150255951584995.69</v>
      </c>
      <c r="AE18" s="16">
        <f>'BIFUbC-natural-gas pre-CHP'!AE18+CHP!AE111</f>
        <v>149778524837994.94</v>
      </c>
      <c r="AF18" s="16">
        <f>'BIFUbC-natural-gas pre-CHP'!AF18+CHP!AF111</f>
        <v>149301098090994.25</v>
      </c>
    </row>
    <row r="19" spans="1:33">
      <c r="A19" t="s">
        <v>71</v>
      </c>
      <c r="B19" s="16">
        <f>'BIFUbC-natural-gas pre-CHP'!B19+CHP!B112</f>
        <v>20462611649024.242</v>
      </c>
      <c r="C19" s="16">
        <f>'BIFUbC-natural-gas pre-CHP'!C19+CHP!C112</f>
        <v>21029590249548.637</v>
      </c>
      <c r="D19" s="16">
        <f>'BIFUbC-natural-gas pre-CHP'!D19+CHP!D112</f>
        <v>21596568850073.25</v>
      </c>
      <c r="E19" s="16">
        <f>'BIFUbC-natural-gas pre-CHP'!E19+CHP!E112</f>
        <v>22163547450597.766</v>
      </c>
      <c r="F19" s="16">
        <f>'BIFUbC-natural-gas pre-CHP'!F19+CHP!F112</f>
        <v>22482568248347.039</v>
      </c>
      <c r="G19" s="16">
        <f>'BIFUbC-natural-gas pre-CHP'!G19+CHP!G112</f>
        <v>22801589046096.32</v>
      </c>
      <c r="H19" s="16">
        <f>'BIFUbC-natural-gas pre-CHP'!H19+CHP!H112</f>
        <v>23120609843845.602</v>
      </c>
      <c r="I19" s="16">
        <f>'BIFUbC-natural-gas pre-CHP'!I19+CHP!I112</f>
        <v>23439630641594.883</v>
      </c>
      <c r="J19" s="16">
        <f>'BIFUbC-natural-gas pre-CHP'!J19+CHP!J112</f>
        <v>23758651439344.164</v>
      </c>
      <c r="K19" s="16">
        <f>'BIFUbC-natural-gas pre-CHP'!K19+CHP!K112</f>
        <v>24077672237093.441</v>
      </c>
      <c r="L19" s="16">
        <f>'BIFUbC-natural-gas pre-CHP'!L19+CHP!L112</f>
        <v>24396693034842.723</v>
      </c>
      <c r="M19" s="16">
        <f>'BIFUbC-natural-gas pre-CHP'!M19+CHP!M112</f>
        <v>24532655282716.445</v>
      </c>
      <c r="N19" s="16">
        <f>'BIFUbC-natural-gas pre-CHP'!N19+CHP!N112</f>
        <v>24668617530590.168</v>
      </c>
      <c r="O19" s="16">
        <f>'BIFUbC-natural-gas pre-CHP'!O19+CHP!O112</f>
        <v>24804579778463.891</v>
      </c>
      <c r="P19" s="16">
        <f>'BIFUbC-natural-gas pre-CHP'!P19+CHP!P112</f>
        <v>24940542026337.617</v>
      </c>
      <c r="Q19" s="16">
        <f>'BIFUbC-natural-gas pre-CHP'!Q19+CHP!Q112</f>
        <v>25076504274211.336</v>
      </c>
      <c r="R19" s="16">
        <f>'BIFUbC-natural-gas pre-CHP'!R19+CHP!R112</f>
        <v>25212466522085.063</v>
      </c>
      <c r="S19" s="16">
        <f>'BIFUbC-natural-gas pre-CHP'!S19+CHP!S112</f>
        <v>25348428769958.781</v>
      </c>
      <c r="T19" s="16">
        <f>'BIFUbC-natural-gas pre-CHP'!T19+CHP!T112</f>
        <v>25484391017832.508</v>
      </c>
      <c r="U19" s="16">
        <f>'BIFUbC-natural-gas pre-CHP'!U19+CHP!U112</f>
        <v>25620353265706.227</v>
      </c>
      <c r="V19" s="16">
        <f>'BIFUbC-natural-gas pre-CHP'!V19+CHP!V112</f>
        <v>25756315513579.949</v>
      </c>
      <c r="W19" s="16">
        <f>'BIFUbC-natural-gas pre-CHP'!W19+CHP!W112</f>
        <v>25676917176506.551</v>
      </c>
      <c r="X19" s="16">
        <f>'BIFUbC-natural-gas pre-CHP'!X19+CHP!X112</f>
        <v>25597518839433.156</v>
      </c>
      <c r="Y19" s="16">
        <f>'BIFUbC-natural-gas pre-CHP'!Y19+CHP!Y112</f>
        <v>25518120502359.766</v>
      </c>
      <c r="Z19" s="16">
        <f>'BIFUbC-natural-gas pre-CHP'!Z19+CHP!Z112</f>
        <v>25438722165286.367</v>
      </c>
      <c r="AA19" s="16">
        <f>'BIFUbC-natural-gas pre-CHP'!AA19+CHP!AA112</f>
        <v>25359323828212.977</v>
      </c>
      <c r="AB19" s="16">
        <f>'BIFUbC-natural-gas pre-CHP'!AB19+CHP!AB112</f>
        <v>25279925491139.586</v>
      </c>
      <c r="AC19" s="16">
        <f>'BIFUbC-natural-gas pre-CHP'!AC19+CHP!AC112</f>
        <v>25200527154066.188</v>
      </c>
      <c r="AD19" s="16">
        <f>'BIFUbC-natural-gas pre-CHP'!AD19+CHP!AD112</f>
        <v>25121128816992.797</v>
      </c>
      <c r="AE19" s="16">
        <f>'BIFUbC-natural-gas pre-CHP'!AE19+CHP!AE112</f>
        <v>25041730479919.406</v>
      </c>
      <c r="AF19" s="16">
        <f>'BIFUbC-natural-gas pre-CHP'!AF19+CHP!AF112</f>
        <v>24962332142846.016</v>
      </c>
    </row>
    <row r="20" spans="1:33">
      <c r="A20" t="s">
        <v>73</v>
      </c>
      <c r="B20" s="16">
        <f>'BIFUbC-natural-gas pre-CHP'!B20+CHP!B113</f>
        <v>27854718057561.02</v>
      </c>
      <c r="C20" s="16">
        <f>'BIFUbC-natural-gas pre-CHP'!C20+CHP!C113</f>
        <v>28717853116252.645</v>
      </c>
      <c r="D20" s="16">
        <f>'BIFUbC-natural-gas pre-CHP'!D20+CHP!D113</f>
        <v>29580988174944.621</v>
      </c>
      <c r="E20" s="16">
        <f>'BIFUbC-natural-gas pre-CHP'!E20+CHP!E113</f>
        <v>30444123233636.426</v>
      </c>
      <c r="F20" s="16">
        <f>'BIFUbC-natural-gas pre-CHP'!F20+CHP!F113</f>
        <v>30920165323636.176</v>
      </c>
      <c r="G20" s="16">
        <f>'BIFUbC-natural-gas pre-CHP'!G20+CHP!G113</f>
        <v>31396207413635.91</v>
      </c>
      <c r="H20" s="16">
        <f>'BIFUbC-natural-gas pre-CHP'!H20+CHP!H113</f>
        <v>31872249503635.656</v>
      </c>
      <c r="I20" s="16">
        <f>'BIFUbC-natural-gas pre-CHP'!I20+CHP!I113</f>
        <v>32348291593635.395</v>
      </c>
      <c r="J20" s="16">
        <f>'BIFUbC-natural-gas pre-CHP'!J20+CHP!J113</f>
        <v>32824333683635.141</v>
      </c>
      <c r="K20" s="16">
        <f>'BIFUbC-natural-gas pre-CHP'!K20+CHP!K113</f>
        <v>33300375773634.879</v>
      </c>
      <c r="L20" s="16">
        <f>'BIFUbC-natural-gas pre-CHP'!L20+CHP!L113</f>
        <v>33776417863634.621</v>
      </c>
      <c r="M20" s="16">
        <f>'BIFUbC-natural-gas pre-CHP'!M20+CHP!M113</f>
        <v>33970982142202.758</v>
      </c>
      <c r="N20" s="16">
        <f>'BIFUbC-natural-gas pre-CHP'!N20+CHP!N113</f>
        <v>34165546420770.879</v>
      </c>
      <c r="O20" s="16">
        <f>'BIFUbC-natural-gas pre-CHP'!O20+CHP!O113</f>
        <v>34360110699339.008</v>
      </c>
      <c r="P20" s="16">
        <f>'BIFUbC-natural-gas pre-CHP'!P20+CHP!P113</f>
        <v>34554674977907.137</v>
      </c>
      <c r="Q20" s="16">
        <f>'BIFUbC-natural-gas pre-CHP'!Q20+CHP!Q113</f>
        <v>34749239256475.266</v>
      </c>
      <c r="R20" s="16">
        <f>'BIFUbC-natural-gas pre-CHP'!R20+CHP!R113</f>
        <v>34943803535043.395</v>
      </c>
      <c r="S20" s="16">
        <f>'BIFUbC-natural-gas pre-CHP'!S20+CHP!S113</f>
        <v>35138367813611.523</v>
      </c>
      <c r="T20" s="16">
        <f>'BIFUbC-natural-gas pre-CHP'!T20+CHP!T113</f>
        <v>35332932092179.656</v>
      </c>
      <c r="U20" s="16">
        <f>'BIFUbC-natural-gas pre-CHP'!U20+CHP!U113</f>
        <v>35527496370747.781</v>
      </c>
      <c r="V20" s="16">
        <f>'BIFUbC-natural-gas pre-CHP'!V20+CHP!V113</f>
        <v>35722060649315.906</v>
      </c>
      <c r="W20" s="16">
        <f>'BIFUbC-natural-gas pre-CHP'!W20+CHP!W113</f>
        <v>35613732043097.266</v>
      </c>
      <c r="X20" s="16">
        <f>'BIFUbC-natural-gas pre-CHP'!X20+CHP!X113</f>
        <v>35505403436878.641</v>
      </c>
      <c r="Y20" s="16">
        <f>'BIFUbC-natural-gas pre-CHP'!Y20+CHP!Y113</f>
        <v>35397074830660.023</v>
      </c>
      <c r="Z20" s="16">
        <f>'BIFUbC-natural-gas pre-CHP'!Z20+CHP!Z113</f>
        <v>35288746224441.398</v>
      </c>
      <c r="AA20" s="16">
        <f>'BIFUbC-natural-gas pre-CHP'!AA20+CHP!AA113</f>
        <v>35180417618222.773</v>
      </c>
      <c r="AB20" s="16">
        <f>'BIFUbC-natural-gas pre-CHP'!AB20+CHP!AB113</f>
        <v>35072089012004.152</v>
      </c>
      <c r="AC20" s="16">
        <f>'BIFUbC-natural-gas pre-CHP'!AC20+CHP!AC113</f>
        <v>34963760405785.531</v>
      </c>
      <c r="AD20" s="16">
        <f>'BIFUbC-natural-gas pre-CHP'!AD20+CHP!AD113</f>
        <v>34855431799566.906</v>
      </c>
      <c r="AE20" s="16">
        <f>'BIFUbC-natural-gas pre-CHP'!AE20+CHP!AE113</f>
        <v>34747103193348.289</v>
      </c>
      <c r="AF20" s="16">
        <f>'BIFUbC-natural-gas pre-CHP'!AF20+CHP!AF113</f>
        <v>34638774587129.68</v>
      </c>
    </row>
    <row r="21" spans="1:33">
      <c r="A21" t="s">
        <v>75</v>
      </c>
      <c r="B21" s="16">
        <f>'BIFUbC-natural-gas pre-CHP'!B21+CHP!B114</f>
        <v>46932649749182.141</v>
      </c>
      <c r="C21" s="16">
        <f>'BIFUbC-natural-gas pre-CHP'!C21+CHP!C114</f>
        <v>47929800183843.906</v>
      </c>
      <c r="D21" s="16">
        <f>'BIFUbC-natural-gas pre-CHP'!D21+CHP!D114</f>
        <v>48926950618506</v>
      </c>
      <c r="E21" s="16">
        <f>'BIFUbC-natural-gas pre-CHP'!E21+CHP!E114</f>
        <v>49924101053167.938</v>
      </c>
      <c r="F21" s="16">
        <f>'BIFUbC-natural-gas pre-CHP'!F21+CHP!F114</f>
        <v>50517095392693.828</v>
      </c>
      <c r="G21" s="16">
        <f>'BIFUbC-natural-gas pre-CHP'!G21+CHP!G114</f>
        <v>51110089732219.75</v>
      </c>
      <c r="H21" s="16">
        <f>'BIFUbC-natural-gas pre-CHP'!H21+CHP!H114</f>
        <v>51703084071745.656</v>
      </c>
      <c r="I21" s="16">
        <f>'BIFUbC-natural-gas pre-CHP'!I21+CHP!I114</f>
        <v>52296078411271.563</v>
      </c>
      <c r="J21" s="16">
        <f>'BIFUbC-natural-gas pre-CHP'!J21+CHP!J114</f>
        <v>52889072750797.461</v>
      </c>
      <c r="K21" s="16">
        <f>'BIFUbC-natural-gas pre-CHP'!K21+CHP!K114</f>
        <v>53482067090323.359</v>
      </c>
      <c r="L21" s="16">
        <f>'BIFUbC-natural-gas pre-CHP'!L21+CHP!L114</f>
        <v>54075061429849.266</v>
      </c>
      <c r="M21" s="16">
        <f>'BIFUbC-natural-gas pre-CHP'!M21+CHP!M114</f>
        <v>54355406428762.406</v>
      </c>
      <c r="N21" s="16">
        <f>'BIFUbC-natural-gas pre-CHP'!N21+CHP!N114</f>
        <v>54635751427675.563</v>
      </c>
      <c r="O21" s="16">
        <f>'BIFUbC-natural-gas pre-CHP'!O21+CHP!O114</f>
        <v>54916096426588.711</v>
      </c>
      <c r="P21" s="16">
        <f>'BIFUbC-natural-gas pre-CHP'!P21+CHP!P114</f>
        <v>55196441425501.844</v>
      </c>
      <c r="Q21" s="16">
        <f>'BIFUbC-natural-gas pre-CHP'!Q21+CHP!Q114</f>
        <v>55476786424415</v>
      </c>
      <c r="R21" s="16">
        <f>'BIFUbC-natural-gas pre-CHP'!R21+CHP!R114</f>
        <v>55757131423328.141</v>
      </c>
      <c r="S21" s="16">
        <f>'BIFUbC-natural-gas pre-CHP'!S21+CHP!S114</f>
        <v>56037476422241.297</v>
      </c>
      <c r="T21" s="16">
        <f>'BIFUbC-natural-gas pre-CHP'!T21+CHP!T114</f>
        <v>56317821421154.438</v>
      </c>
      <c r="U21" s="16">
        <f>'BIFUbC-natural-gas pre-CHP'!U21+CHP!U114</f>
        <v>56598166420067.578</v>
      </c>
      <c r="V21" s="16">
        <f>'BIFUbC-natural-gas pre-CHP'!V21+CHP!V114</f>
        <v>56878511418980.727</v>
      </c>
      <c r="W21" s="16">
        <f>'BIFUbC-natural-gas pre-CHP'!W21+CHP!W114</f>
        <v>56697227254441.484</v>
      </c>
      <c r="X21" s="16">
        <f>'BIFUbC-natural-gas pre-CHP'!X21+CHP!X114</f>
        <v>56515943089902.234</v>
      </c>
      <c r="Y21" s="16">
        <f>'BIFUbC-natural-gas pre-CHP'!Y21+CHP!Y114</f>
        <v>56334658925362.984</v>
      </c>
      <c r="Z21" s="16">
        <f>'BIFUbC-natural-gas pre-CHP'!Z21+CHP!Z114</f>
        <v>56153374760823.734</v>
      </c>
      <c r="AA21" s="16">
        <f>'BIFUbC-natural-gas pre-CHP'!AA21+CHP!AA114</f>
        <v>55972090596284.5</v>
      </c>
      <c r="AB21" s="16">
        <f>'BIFUbC-natural-gas pre-CHP'!AB21+CHP!AB114</f>
        <v>55790806431745.25</v>
      </c>
      <c r="AC21" s="16">
        <f>'BIFUbC-natural-gas pre-CHP'!AC21+CHP!AC114</f>
        <v>55609522267206</v>
      </c>
      <c r="AD21" s="16">
        <f>'BIFUbC-natural-gas pre-CHP'!AD21+CHP!AD114</f>
        <v>55428238102666.75</v>
      </c>
      <c r="AE21" s="16">
        <f>'BIFUbC-natural-gas pre-CHP'!AE21+CHP!AE114</f>
        <v>55246953938127.5</v>
      </c>
      <c r="AF21" s="16">
        <f>'BIFUbC-natural-gas pre-CHP'!AF21+CHP!AF114</f>
        <v>55065669773588.266</v>
      </c>
    </row>
    <row r="22" spans="1:33">
      <c r="A22" t="s">
        <v>78</v>
      </c>
      <c r="B22" s="16">
        <f>'BIFUbC-natural-gas pre-CHP'!B22+CHP!B115</f>
        <v>8794813904069.4072</v>
      </c>
      <c r="C22" s="16">
        <f>'BIFUbC-natural-gas pre-CHP'!C22+CHP!C115</f>
        <v>9032832990733.3457</v>
      </c>
      <c r="D22" s="16">
        <f>'BIFUbC-natural-gas pre-CHP'!D22+CHP!D115</f>
        <v>9270852077397.3789</v>
      </c>
      <c r="E22" s="16">
        <f>'BIFUbC-natural-gas pre-CHP'!E22+CHP!E115</f>
        <v>9508871164061.3613</v>
      </c>
      <c r="F22" s="16">
        <f>'BIFUbC-natural-gas pre-CHP'!F22+CHP!F115</f>
        <v>9643393676456.3945</v>
      </c>
      <c r="G22" s="16">
        <f>'BIFUbC-natural-gas pre-CHP'!G22+CHP!G115</f>
        <v>9777916188851.4277</v>
      </c>
      <c r="H22" s="16">
        <f>'BIFUbC-natural-gas pre-CHP'!H22+CHP!H115</f>
        <v>9912438701246.4648</v>
      </c>
      <c r="I22" s="16">
        <f>'BIFUbC-natural-gas pre-CHP'!I22+CHP!I115</f>
        <v>10046961213641.5</v>
      </c>
      <c r="J22" s="16">
        <f>'BIFUbC-natural-gas pre-CHP'!J22+CHP!J115</f>
        <v>10181483726036.535</v>
      </c>
      <c r="K22" s="16">
        <f>'BIFUbC-natural-gas pre-CHP'!K22+CHP!K115</f>
        <v>10316006238431.57</v>
      </c>
      <c r="L22" s="16">
        <f>'BIFUbC-natural-gas pre-CHP'!L22+CHP!L115</f>
        <v>10450528750826.604</v>
      </c>
      <c r="M22" s="16">
        <f>'BIFUbC-natural-gas pre-CHP'!M22+CHP!M115</f>
        <v>10508376575086.221</v>
      </c>
      <c r="N22" s="16">
        <f>'BIFUbC-natural-gas pre-CHP'!N22+CHP!N115</f>
        <v>10566224399345.832</v>
      </c>
      <c r="O22" s="16">
        <f>'BIFUbC-natural-gas pre-CHP'!O22+CHP!O115</f>
        <v>10624072223605.447</v>
      </c>
      <c r="P22" s="16">
        <f>'BIFUbC-natural-gas pre-CHP'!P22+CHP!P115</f>
        <v>10681920047865.063</v>
      </c>
      <c r="Q22" s="16">
        <f>'BIFUbC-natural-gas pre-CHP'!Q22+CHP!Q115</f>
        <v>10739767872124.676</v>
      </c>
      <c r="R22" s="16">
        <f>'BIFUbC-natural-gas pre-CHP'!R22+CHP!R115</f>
        <v>10797615696384.289</v>
      </c>
      <c r="S22" s="16">
        <f>'BIFUbC-natural-gas pre-CHP'!S22+CHP!S115</f>
        <v>10855463520643.904</v>
      </c>
      <c r="T22" s="16">
        <f>'BIFUbC-natural-gas pre-CHP'!T22+CHP!T115</f>
        <v>10913311344903.518</v>
      </c>
      <c r="U22" s="16">
        <f>'BIFUbC-natural-gas pre-CHP'!U22+CHP!U115</f>
        <v>10971159169163.133</v>
      </c>
      <c r="V22" s="16">
        <f>'BIFUbC-natural-gas pre-CHP'!V22+CHP!V115</f>
        <v>11029006993422.744</v>
      </c>
      <c r="W22" s="16">
        <f>'BIFUbC-natural-gas pre-CHP'!W22+CHP!W115</f>
        <v>10994897021485.693</v>
      </c>
      <c r="X22" s="16">
        <f>'BIFUbC-natural-gas pre-CHP'!X22+CHP!X115</f>
        <v>10960787049548.645</v>
      </c>
      <c r="Y22" s="16">
        <f>'BIFUbC-natural-gas pre-CHP'!Y22+CHP!Y115</f>
        <v>10926677077611.596</v>
      </c>
      <c r="Z22" s="16">
        <f>'BIFUbC-natural-gas pre-CHP'!Z22+CHP!Z115</f>
        <v>10892567105674.547</v>
      </c>
      <c r="AA22" s="16">
        <f>'BIFUbC-natural-gas pre-CHP'!AA22+CHP!AA115</f>
        <v>10858457133737.496</v>
      </c>
      <c r="AB22" s="16">
        <f>'BIFUbC-natural-gas pre-CHP'!AB22+CHP!AB115</f>
        <v>10824347161800.449</v>
      </c>
      <c r="AC22" s="16">
        <f>'BIFUbC-natural-gas pre-CHP'!AC22+CHP!AC115</f>
        <v>10790237189863.398</v>
      </c>
      <c r="AD22" s="16">
        <f>'BIFUbC-natural-gas pre-CHP'!AD22+CHP!AD115</f>
        <v>10756127217926.348</v>
      </c>
      <c r="AE22" s="16">
        <f>'BIFUbC-natural-gas pre-CHP'!AE22+CHP!AE115</f>
        <v>10722017245989.301</v>
      </c>
      <c r="AF22" s="16">
        <f>'BIFUbC-natural-gas pre-CHP'!AF22+CHP!AF115</f>
        <v>10687907274052.256</v>
      </c>
    </row>
    <row r="23" spans="1:33">
      <c r="A23" t="s">
        <v>80</v>
      </c>
      <c r="B23" s="16">
        <f>'BIFUbC-natural-gas pre-CHP'!B23+CHP!B116</f>
        <v>7079324138423.2734</v>
      </c>
      <c r="C23" s="16">
        <f>'BIFUbC-natural-gas pre-CHP'!C23+CHP!C116</f>
        <v>7114362122387.5518</v>
      </c>
      <c r="D23" s="16">
        <f>'BIFUbC-natural-gas pre-CHP'!D23+CHP!D116</f>
        <v>7149400106351.8135</v>
      </c>
      <c r="E23" s="16">
        <f>'BIFUbC-natural-gas pre-CHP'!E23+CHP!E116</f>
        <v>7184438090316.0762</v>
      </c>
      <c r="F23" s="16">
        <f>'BIFUbC-natural-gas pre-CHP'!F23+CHP!F116</f>
        <v>7179312197037.7109</v>
      </c>
      <c r="G23" s="16">
        <f>'BIFUbC-natural-gas pre-CHP'!G23+CHP!G116</f>
        <v>7174186303759.332</v>
      </c>
      <c r="H23" s="16">
        <f>'BIFUbC-natural-gas pre-CHP'!H23+CHP!H116</f>
        <v>7169060410480.957</v>
      </c>
      <c r="I23" s="16">
        <f>'BIFUbC-natural-gas pre-CHP'!I23+CHP!I116</f>
        <v>7163934517202.5811</v>
      </c>
      <c r="J23" s="16">
        <f>'BIFUbC-natural-gas pre-CHP'!J23+CHP!J116</f>
        <v>7158808623924.2051</v>
      </c>
      <c r="K23" s="16">
        <f>'BIFUbC-natural-gas pre-CHP'!K23+CHP!K116</f>
        <v>7153682730645.8291</v>
      </c>
      <c r="L23" s="16">
        <f>'BIFUbC-natural-gas pre-CHP'!L23+CHP!L116</f>
        <v>7148556837367.4541</v>
      </c>
      <c r="M23" s="16">
        <f>'BIFUbC-natural-gas pre-CHP'!M23+CHP!M116</f>
        <v>7153126090732.5088</v>
      </c>
      <c r="N23" s="16">
        <f>'BIFUbC-natural-gas pre-CHP'!N23+CHP!N116</f>
        <v>7157695344097.5645</v>
      </c>
      <c r="O23" s="16">
        <f>'BIFUbC-natural-gas pre-CHP'!O23+CHP!O116</f>
        <v>7162264597462.6191</v>
      </c>
      <c r="P23" s="16">
        <f>'BIFUbC-natural-gas pre-CHP'!P23+CHP!P116</f>
        <v>7166833850827.6738</v>
      </c>
      <c r="Q23" s="16">
        <f>'BIFUbC-natural-gas pre-CHP'!Q23+CHP!Q116</f>
        <v>7171403104192.7285</v>
      </c>
      <c r="R23" s="16">
        <f>'BIFUbC-natural-gas pre-CHP'!R23+CHP!R116</f>
        <v>7175972357557.7832</v>
      </c>
      <c r="S23" s="16">
        <f>'BIFUbC-natural-gas pre-CHP'!S23+CHP!S116</f>
        <v>7180541610922.8389</v>
      </c>
      <c r="T23" s="16">
        <f>'BIFUbC-natural-gas pre-CHP'!T23+CHP!T116</f>
        <v>7185110864287.8926</v>
      </c>
      <c r="U23" s="16">
        <f>'BIFUbC-natural-gas pre-CHP'!U23+CHP!U116</f>
        <v>7189680117652.9492</v>
      </c>
      <c r="V23" s="16">
        <f>'BIFUbC-natural-gas pre-CHP'!V23+CHP!V116</f>
        <v>7194249371018.0029</v>
      </c>
      <c r="W23" s="16">
        <f>'BIFUbC-natural-gas pre-CHP'!W23+CHP!W116</f>
        <v>7141179352940.8262</v>
      </c>
      <c r="X23" s="16">
        <f>'BIFUbC-natural-gas pre-CHP'!X23+CHP!X116</f>
        <v>7088109334863.6484</v>
      </c>
      <c r="Y23" s="16">
        <f>'BIFUbC-natural-gas pre-CHP'!Y23+CHP!Y116</f>
        <v>7035039316786.4707</v>
      </c>
      <c r="Z23" s="16">
        <f>'BIFUbC-natural-gas pre-CHP'!Z23+CHP!Z116</f>
        <v>6981969298709.293</v>
      </c>
      <c r="AA23" s="16">
        <f>'BIFUbC-natural-gas pre-CHP'!AA23+CHP!AA116</f>
        <v>6928899280632.1152</v>
      </c>
      <c r="AB23" s="16">
        <f>'BIFUbC-natural-gas pre-CHP'!AB23+CHP!AB116</f>
        <v>6875829262554.9375</v>
      </c>
      <c r="AC23" s="16">
        <f>'BIFUbC-natural-gas pre-CHP'!AC23+CHP!AC116</f>
        <v>6822759244477.7598</v>
      </c>
      <c r="AD23" s="16">
        <f>'BIFUbC-natural-gas pre-CHP'!AD23+CHP!AD116</f>
        <v>6769689226400.582</v>
      </c>
      <c r="AE23" s="16">
        <f>'BIFUbC-natural-gas pre-CHP'!AE23+CHP!AE116</f>
        <v>6716619208323.4043</v>
      </c>
      <c r="AF23" s="16">
        <f>'BIFUbC-natural-gas pre-CHP'!AF23+CHP!AF116</f>
        <v>6663549190246.2266</v>
      </c>
    </row>
    <row r="24" spans="1:33">
      <c r="A24" t="s">
        <v>82</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85</v>
      </c>
      <c r="B25" s="16">
        <f>'BIFUbC-natural-gas pre-CHP'!B25+CHP!B118</f>
        <v>7777408729323.2285</v>
      </c>
      <c r="C25" s="16">
        <f>'BIFUbC-natural-gas pre-CHP'!C25+CHP!C118</f>
        <v>7785186138052.5508</v>
      </c>
      <c r="D25" s="16">
        <f>'BIFUbC-natural-gas pre-CHP'!D25+CHP!D118</f>
        <v>7792971324190.6016</v>
      </c>
      <c r="E25" s="16">
        <f>'BIFUbC-natural-gas pre-CHP'!E25+CHP!E118</f>
        <v>7800764295514.791</v>
      </c>
      <c r="F25" s="16">
        <f>'BIFUbC-natural-gas pre-CHP'!F25+CHP!F118</f>
        <v>7808565059810.3047</v>
      </c>
      <c r="G25" s="16">
        <f>'BIFUbC-natural-gas pre-CHP'!G25+CHP!G118</f>
        <v>7816373624870.1152</v>
      </c>
      <c r="H25" s="16">
        <f>'BIFUbC-natural-gas pre-CHP'!H25+CHP!H118</f>
        <v>7824189998494.9844</v>
      </c>
      <c r="I25" s="16">
        <f>'BIFUbC-natural-gas pre-CHP'!I25+CHP!I118</f>
        <v>7832014188493.4785</v>
      </c>
      <c r="J25" s="16">
        <f>'BIFUbC-natural-gas pre-CHP'!J25+CHP!J118</f>
        <v>7839846202681.9707</v>
      </c>
      <c r="K25" s="16">
        <f>'BIFUbC-natural-gas pre-CHP'!K25+CHP!K118</f>
        <v>7847686048884.6523</v>
      </c>
      <c r="L25" s="16">
        <f>'BIFUbC-natural-gas pre-CHP'!L25+CHP!L118</f>
        <v>7855533734933.5361</v>
      </c>
      <c r="M25" s="16">
        <f>'BIFUbC-natural-gas pre-CHP'!M25+CHP!M118</f>
        <v>7863389268668.4688</v>
      </c>
      <c r="N25" s="16">
        <f>'BIFUbC-natural-gas pre-CHP'!N25+CHP!N118</f>
        <v>7871252657937.1367</v>
      </c>
      <c r="O25" s="16">
        <f>'BIFUbC-natural-gas pre-CHP'!O25+CHP!O118</f>
        <v>7879123910595.0723</v>
      </c>
      <c r="P25" s="16">
        <f>'BIFUbC-natural-gas pre-CHP'!P25+CHP!P118</f>
        <v>7887003034505.666</v>
      </c>
      <c r="Q25" s="16">
        <f>'BIFUbC-natural-gas pre-CHP'!Q25+CHP!Q118</f>
        <v>7894890037540.1709</v>
      </c>
      <c r="R25" s="16">
        <f>'BIFUbC-natural-gas pre-CHP'!R25+CHP!R118</f>
        <v>7902784927577.7109</v>
      </c>
      <c r="S25" s="16">
        <f>'BIFUbC-natural-gas pre-CHP'!S25+CHP!S118</f>
        <v>7910687712505.2871</v>
      </c>
      <c r="T25" s="16">
        <f>'BIFUbC-natural-gas pre-CHP'!T25+CHP!T118</f>
        <v>7918598400217.791</v>
      </c>
      <c r="U25" s="16">
        <f>'BIFUbC-natural-gas pre-CHP'!U25+CHP!U118</f>
        <v>7926516998618.0088</v>
      </c>
      <c r="V25" s="16">
        <f>'BIFUbC-natural-gas pre-CHP'!V25+CHP!V118</f>
        <v>7934443515616.627</v>
      </c>
      <c r="W25" s="16">
        <f>'BIFUbC-natural-gas pre-CHP'!W25+CHP!W118</f>
        <v>7894771298038.543</v>
      </c>
      <c r="X25" s="16">
        <f>'BIFUbC-natural-gas pre-CHP'!X25+CHP!X118</f>
        <v>7855297441548.3506</v>
      </c>
      <c r="Y25" s="16">
        <f>'BIFUbC-natural-gas pre-CHP'!Y25+CHP!Y118</f>
        <v>7816020954340.6084</v>
      </c>
      <c r="Z25" s="16">
        <f>'BIFUbC-natural-gas pre-CHP'!Z25+CHP!Z118</f>
        <v>7776940849568.9053</v>
      </c>
      <c r="AA25" s="16">
        <f>'BIFUbC-natural-gas pre-CHP'!AA25+CHP!AA118</f>
        <v>7738056145321.0605</v>
      </c>
      <c r="AB25" s="16">
        <f>'BIFUbC-natural-gas pre-CHP'!AB25+CHP!AB118</f>
        <v>7699365864594.4551</v>
      </c>
      <c r="AC25" s="16">
        <f>'BIFUbC-natural-gas pre-CHP'!AC25+CHP!AC118</f>
        <v>7660869035271.4834</v>
      </c>
      <c r="AD25" s="16">
        <f>'BIFUbC-natural-gas pre-CHP'!AD25+CHP!AD118</f>
        <v>7622564690095.127</v>
      </c>
      <c r="AE25" s="16">
        <f>'BIFUbC-natural-gas pre-CHP'!AE25+CHP!AE118</f>
        <v>7584451866644.6504</v>
      </c>
      <c r="AF25" s="16">
        <f>'BIFUbC-natural-gas pre-CHP'!AF25+CHP!AF118</f>
        <v>7546529607311.4277</v>
      </c>
    </row>
    <row r="26" spans="1:33">
      <c r="A26" t="s">
        <v>89</v>
      </c>
      <c r="B26" s="16">
        <f>'BIFUbC-natural-gas pre-CHP'!B26+CHP!B119</f>
        <v>7261578703.5887556</v>
      </c>
      <c r="C26" s="16">
        <f>'BIFUbC-natural-gas pre-CHP'!C26+CHP!C119</f>
        <v>7411772713.2242012</v>
      </c>
      <c r="D26" s="16">
        <f>'BIFUbC-natural-gas pre-CHP'!D26+CHP!D119</f>
        <v>7561966722.8596478</v>
      </c>
      <c r="E26" s="16">
        <f>'BIFUbC-natural-gas pre-CHP'!E26+CHP!E119</f>
        <v>7712160732.4950933</v>
      </c>
      <c r="F26" s="16">
        <f>'BIFUbC-natural-gas pre-CHP'!F26+CHP!F119</f>
        <v>7772998596.6175051</v>
      </c>
      <c r="G26" s="16">
        <f>'BIFUbC-natural-gas pre-CHP'!G26+CHP!G119</f>
        <v>7833836460.7399197</v>
      </c>
      <c r="H26" s="16">
        <f>'BIFUbC-natural-gas pre-CHP'!H26+CHP!H119</f>
        <v>7894674324.8623362</v>
      </c>
      <c r="I26" s="16">
        <f>'BIFUbC-natural-gas pre-CHP'!I26+CHP!I119</f>
        <v>7955512188.9847517</v>
      </c>
      <c r="J26" s="16">
        <f>'BIFUbC-natural-gas pre-CHP'!J26+CHP!J119</f>
        <v>8016350053.1071663</v>
      </c>
      <c r="K26" s="16">
        <f>'BIFUbC-natural-gas pre-CHP'!K26+CHP!K119</f>
        <v>8077187917.2295828</v>
      </c>
      <c r="L26" s="16">
        <f>'BIFUbC-natural-gas pre-CHP'!L26+CHP!L119</f>
        <v>8138025781.3519983</v>
      </c>
      <c r="M26" s="16">
        <f>'BIFUbC-natural-gas pre-CHP'!M26+CHP!M119</f>
        <v>8142171247.3529329</v>
      </c>
      <c r="N26" s="16">
        <f>'BIFUbC-natural-gas pre-CHP'!N26+CHP!N119</f>
        <v>8146316713.3538675</v>
      </c>
      <c r="O26" s="16">
        <f>'BIFUbC-natural-gas pre-CHP'!O26+CHP!O119</f>
        <v>8150462179.3548021</v>
      </c>
      <c r="P26" s="16">
        <f>'BIFUbC-natural-gas pre-CHP'!P26+CHP!P119</f>
        <v>8154607645.3557367</v>
      </c>
      <c r="Q26" s="16">
        <f>'BIFUbC-natural-gas pre-CHP'!Q26+CHP!Q119</f>
        <v>8158753111.3566713</v>
      </c>
      <c r="R26" s="16">
        <f>'BIFUbC-natural-gas pre-CHP'!R26+CHP!R119</f>
        <v>8162898577.357605</v>
      </c>
      <c r="S26" s="16">
        <f>'BIFUbC-natural-gas pre-CHP'!S26+CHP!S119</f>
        <v>8167044043.3585396</v>
      </c>
      <c r="T26" s="16">
        <f>'BIFUbC-natural-gas pre-CHP'!T26+CHP!T119</f>
        <v>8171189509.3594742</v>
      </c>
      <c r="U26" s="16">
        <f>'BIFUbC-natural-gas pre-CHP'!U26+CHP!U119</f>
        <v>8175334975.3604078</v>
      </c>
      <c r="V26" s="16">
        <f>'BIFUbC-natural-gas pre-CHP'!V26+CHP!V119</f>
        <v>8179480441.3613424</v>
      </c>
      <c r="W26" s="16">
        <f>'BIFUbC-natural-gas pre-CHP'!W26+CHP!W119</f>
        <v>8122816467.9668465</v>
      </c>
      <c r="X26" s="16">
        <f>'BIFUbC-natural-gas pre-CHP'!X26+CHP!X119</f>
        <v>8066152494.5723486</v>
      </c>
      <c r="Y26" s="16">
        <f>'BIFUbC-natural-gas pre-CHP'!Y26+CHP!Y119</f>
        <v>8009488521.1778526</v>
      </c>
      <c r="Z26" s="16">
        <f>'BIFUbC-natural-gas pre-CHP'!Z26+CHP!Z119</f>
        <v>7952824547.7833548</v>
      </c>
      <c r="AA26" s="16">
        <f>'BIFUbC-natural-gas pre-CHP'!AA26+CHP!AA119</f>
        <v>7896160574.3888569</v>
      </c>
      <c r="AB26" s="16">
        <f>'BIFUbC-natural-gas pre-CHP'!AB26+CHP!AB119</f>
        <v>7839496600.9943609</v>
      </c>
      <c r="AC26" s="16">
        <f>'BIFUbC-natural-gas pre-CHP'!AC26+CHP!AC119</f>
        <v>7782832627.5998631</v>
      </c>
      <c r="AD26" s="16">
        <f>'BIFUbC-natural-gas pre-CHP'!AD26+CHP!AD119</f>
        <v>7726168654.2053661</v>
      </c>
      <c r="AE26" s="16">
        <f>'BIFUbC-natural-gas pre-CHP'!AE26+CHP!AE119</f>
        <v>7669504680.8108702</v>
      </c>
      <c r="AF26" s="16">
        <f>'BIFUbC-natural-gas pre-CHP'!AF26+CHP!AF119</f>
        <v>7612840707.4163713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1028</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5"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topLeftCell="A4" workbookViewId="0">
      <selection activeCell="Q30" sqref="Q30"/>
    </sheetView>
  </sheetViews>
  <sheetFormatPr defaultColWidth="9.125" defaultRowHeight="16.5"/>
  <cols>
    <col min="1" max="1" width="39.625" customWidth="1"/>
    <col min="2" max="33" width="11.5" customWidth="1"/>
    <col min="34" max="35" width="9.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25</v>
      </c>
      <c r="B2" s="16">
        <f>'BIFUbC-biomass pre-CHP'!B2+CHP!B123</f>
        <v>789410464995.25098</v>
      </c>
      <c r="C2" s="16">
        <f>'BIFUbC-biomass pre-CHP'!C2+CHP!C123</f>
        <v>816902422841.80444</v>
      </c>
      <c r="D2" s="16">
        <f>'BIFUbC-biomass pre-CHP'!D2+CHP!D123</f>
        <v>844394380688.35803</v>
      </c>
      <c r="E2" s="16">
        <f>'BIFUbC-biomass pre-CHP'!E2+CHP!E123</f>
        <v>871886338534.9115</v>
      </c>
      <c r="F2" s="16">
        <f>'BIFUbC-biomass pre-CHP'!F2+CHP!F123</f>
        <v>882003183126.05042</v>
      </c>
      <c r="G2" s="16">
        <f>'BIFUbC-biomass pre-CHP'!G2+CHP!G123</f>
        <v>892120027717.18921</v>
      </c>
      <c r="H2" s="16">
        <f>'BIFUbC-biomass pre-CHP'!H2+CHP!H123</f>
        <v>902236872308.32788</v>
      </c>
      <c r="I2" s="16">
        <f>'BIFUbC-biomass pre-CHP'!I2+CHP!I123</f>
        <v>912353716899.46655</v>
      </c>
      <c r="J2" s="16">
        <f>'BIFUbC-biomass pre-CHP'!J2+CHP!J123</f>
        <v>922470561490.60547</v>
      </c>
      <c r="K2" s="16">
        <f>'BIFUbC-biomass pre-CHP'!K2+CHP!K123</f>
        <v>932587406081.74414</v>
      </c>
      <c r="L2" s="16">
        <f>'BIFUbC-biomass pre-CHP'!L2+CHP!L123</f>
        <v>942704250672.88293</v>
      </c>
      <c r="M2" s="16">
        <f>'BIFUbC-biomass pre-CHP'!M2+CHP!M123</f>
        <v>944802692166.17773</v>
      </c>
      <c r="N2" s="16">
        <f>'BIFUbC-biomass pre-CHP'!N2+CHP!N123</f>
        <v>946901133659.47241</v>
      </c>
      <c r="O2" s="16">
        <f>'BIFUbC-biomass pre-CHP'!O2+CHP!O123</f>
        <v>948999575152.76709</v>
      </c>
      <c r="P2" s="16">
        <f>'BIFUbC-biomass pre-CHP'!P2+CHP!P123</f>
        <v>951098016646.06189</v>
      </c>
      <c r="Q2" s="16">
        <f>'BIFUbC-biomass pre-CHP'!Q2+CHP!Q123</f>
        <v>953196458139.35657</v>
      </c>
      <c r="R2" s="16">
        <f>'BIFUbC-biomass pre-CHP'!R2+CHP!R123</f>
        <v>955294899632.65112</v>
      </c>
      <c r="S2" s="16">
        <f>'BIFUbC-biomass pre-CHP'!S2+CHP!S123</f>
        <v>957393341125.94604</v>
      </c>
      <c r="T2" s="16">
        <f>'BIFUbC-biomass pre-CHP'!T2+CHP!T123</f>
        <v>959491782619.24072</v>
      </c>
      <c r="U2" s="16">
        <f>'BIFUbC-biomass pre-CHP'!U2+CHP!U123</f>
        <v>961590224112.5354</v>
      </c>
      <c r="V2" s="16">
        <f>'BIFUbC-biomass pre-CHP'!V2+CHP!V123</f>
        <v>963688665605.83008</v>
      </c>
      <c r="W2" s="16">
        <f>'BIFUbC-biomass pre-CHP'!W2+CHP!W123</f>
        <v>959774496453.04175</v>
      </c>
      <c r="X2" s="16">
        <f>'BIFUbC-biomass pre-CHP'!X2+CHP!X123</f>
        <v>955860327300.25366</v>
      </c>
      <c r="Y2" s="16">
        <f>'BIFUbC-biomass pre-CHP'!Y2+CHP!Y123</f>
        <v>951946158147.46533</v>
      </c>
      <c r="Z2" s="16">
        <f>'BIFUbC-biomass pre-CHP'!Z2+CHP!Z123</f>
        <v>948031988994.67712</v>
      </c>
      <c r="AA2" s="16">
        <f>'BIFUbC-biomass pre-CHP'!AA2+CHP!AA123</f>
        <v>944117819841.88879</v>
      </c>
      <c r="AB2" s="16">
        <f>'BIFUbC-biomass pre-CHP'!AB2+CHP!AB123</f>
        <v>940203650689.10059</v>
      </c>
      <c r="AC2" s="16">
        <f>'BIFUbC-biomass pre-CHP'!AC2+CHP!AC123</f>
        <v>936289481536.31238</v>
      </c>
      <c r="AD2" s="16">
        <f>'BIFUbC-biomass pre-CHP'!AD2+CHP!AD123</f>
        <v>932375312383.52417</v>
      </c>
      <c r="AE2" s="16">
        <f>'BIFUbC-biomass pre-CHP'!AE2+CHP!AE123</f>
        <v>928461143230.73584</v>
      </c>
      <c r="AF2" s="16">
        <f>'BIFUbC-biomass pre-CHP'!AF2+CHP!AF123</f>
        <v>924546974077.94751</v>
      </c>
    </row>
    <row r="3" spans="1:35">
      <c r="A3" t="s">
        <v>28</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32</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34</v>
      </c>
      <c r="B5" s="16">
        <f>'BIFUbC-biomass pre-CHP'!B5+CHP!B126</f>
        <v>48119394099.44635</v>
      </c>
      <c r="C5" s="16">
        <f>'BIFUbC-biomass pre-CHP'!C5+CHP!C126</f>
        <v>49492223293.900063</v>
      </c>
      <c r="D5" s="16">
        <f>'BIFUbC-biomass pre-CHP'!D5+CHP!D126</f>
        <v>50865052488.353783</v>
      </c>
      <c r="E5" s="16">
        <f>'BIFUbC-biomass pre-CHP'!E5+CHP!E126</f>
        <v>52237881682.807487</v>
      </c>
      <c r="F5" s="16">
        <f>'BIFUbC-biomass pre-CHP'!F5+CHP!F126</f>
        <v>52858125915.769669</v>
      </c>
      <c r="G5" s="16">
        <f>'BIFUbC-biomass pre-CHP'!G5+CHP!G126</f>
        <v>53478370148.731842</v>
      </c>
      <c r="H5" s="16">
        <f>'BIFUbC-biomass pre-CHP'!H5+CHP!H126</f>
        <v>54098614381.694023</v>
      </c>
      <c r="I5" s="16">
        <f>'BIFUbC-biomass pre-CHP'!I5+CHP!I126</f>
        <v>54718858614.656197</v>
      </c>
      <c r="J5" s="16">
        <f>'BIFUbC-biomass pre-CHP'!J5+CHP!J126</f>
        <v>55339102847.61837</v>
      </c>
      <c r="K5" s="16">
        <f>'BIFUbC-biomass pre-CHP'!K5+CHP!K126</f>
        <v>55959347080.580559</v>
      </c>
      <c r="L5" s="16">
        <f>'BIFUbC-biomass pre-CHP'!L5+CHP!L126</f>
        <v>56579591313.542725</v>
      </c>
      <c r="M5" s="16">
        <f>'BIFUbC-biomass pre-CHP'!M5+CHP!M126</f>
        <v>56606031234.054024</v>
      </c>
      <c r="N5" s="16">
        <f>'BIFUbC-biomass pre-CHP'!N5+CHP!N126</f>
        <v>56632471154.5653</v>
      </c>
      <c r="O5" s="16">
        <f>'BIFUbC-biomass pre-CHP'!O5+CHP!O126</f>
        <v>56658911075.076591</v>
      </c>
      <c r="P5" s="16">
        <f>'BIFUbC-biomass pre-CHP'!P5+CHP!P126</f>
        <v>56685350995.587883</v>
      </c>
      <c r="Q5" s="16">
        <f>'BIFUbC-biomass pre-CHP'!Q5+CHP!Q126</f>
        <v>56711790916.099174</v>
      </c>
      <c r="R5" s="16">
        <f>'BIFUbC-biomass pre-CHP'!R5+CHP!R126</f>
        <v>56738230836.610451</v>
      </c>
      <c r="S5" s="16">
        <f>'BIFUbC-biomass pre-CHP'!S5+CHP!S126</f>
        <v>56764670757.121742</v>
      </c>
      <c r="T5" s="16">
        <f>'BIFUbC-biomass pre-CHP'!T5+CHP!T126</f>
        <v>56791110677.633034</v>
      </c>
      <c r="U5" s="16">
        <f>'BIFUbC-biomass pre-CHP'!U5+CHP!U126</f>
        <v>56817550598.144325</v>
      </c>
      <c r="V5" s="16">
        <f>'BIFUbC-biomass pre-CHP'!V5+CHP!V126</f>
        <v>56843990518.655602</v>
      </c>
      <c r="W5" s="16">
        <f>'BIFUbC-biomass pre-CHP'!W5+CHP!W126</f>
        <v>56462240151.144379</v>
      </c>
      <c r="X5" s="16">
        <f>'BIFUbC-biomass pre-CHP'!X5+CHP!X126</f>
        <v>56080489783.633148</v>
      </c>
      <c r="Y5" s="16">
        <f>'BIFUbC-biomass pre-CHP'!Y5+CHP!Y126</f>
        <v>55698739416.12191</v>
      </c>
      <c r="Z5" s="16">
        <f>'BIFUbC-biomass pre-CHP'!Z5+CHP!Z126</f>
        <v>55316989048.610687</v>
      </c>
      <c r="AA5" s="16">
        <f>'BIFUbC-biomass pre-CHP'!AA5+CHP!AA126</f>
        <v>54935238681.099464</v>
      </c>
      <c r="AB5" s="16">
        <f>'BIFUbC-biomass pre-CHP'!AB5+CHP!AB126</f>
        <v>54553488313.588226</v>
      </c>
      <c r="AC5" s="16">
        <f>'BIFUbC-biomass pre-CHP'!AC5+CHP!AC126</f>
        <v>54171737946.076996</v>
      </c>
      <c r="AD5" s="16">
        <f>'BIFUbC-biomass pre-CHP'!AD5+CHP!AD126</f>
        <v>53789987578.565773</v>
      </c>
      <c r="AE5" s="16">
        <f>'BIFUbC-biomass pre-CHP'!AE5+CHP!AE126</f>
        <v>53408237211.054535</v>
      </c>
      <c r="AF5" s="16">
        <f>'BIFUbC-biomass pre-CHP'!AF5+CHP!AF126</f>
        <v>53026486843.543312</v>
      </c>
    </row>
    <row r="6" spans="1:35">
      <c r="A6" t="s">
        <v>36</v>
      </c>
      <c r="B6" s="16">
        <f>'BIFUbC-biomass pre-CHP'!B6+CHP!B127</f>
        <v>528975169599.04834</v>
      </c>
      <c r="C6" s="16">
        <f>'BIFUbC-biomass pre-CHP'!C6+CHP!C127</f>
        <v>545933935735.2561</v>
      </c>
      <c r="D6" s="16">
        <f>'BIFUbC-biomass pre-CHP'!D6+CHP!D127</f>
        <v>562892701871.46387</v>
      </c>
      <c r="E6" s="16">
        <f>'BIFUbC-biomass pre-CHP'!E6+CHP!E127</f>
        <v>579851468007.67163</v>
      </c>
      <c r="F6" s="16">
        <f>'BIFUbC-biomass pre-CHP'!F6+CHP!F127</f>
        <v>586647850333.92896</v>
      </c>
      <c r="G6" s="16">
        <f>'BIFUbC-biomass pre-CHP'!G6+CHP!G127</f>
        <v>593444232660.18616</v>
      </c>
      <c r="H6" s="16">
        <f>'BIFUbC-biomass pre-CHP'!H6+CHP!H127</f>
        <v>600240614986.44348</v>
      </c>
      <c r="I6" s="16">
        <f>'BIFUbC-biomass pre-CHP'!I6+CHP!I127</f>
        <v>607036997312.70068</v>
      </c>
      <c r="J6" s="16">
        <f>'BIFUbC-biomass pre-CHP'!J6+CHP!J127</f>
        <v>613833379638.95801</v>
      </c>
      <c r="K6" s="16">
        <f>'BIFUbC-biomass pre-CHP'!K6+CHP!K127</f>
        <v>620629761965.21521</v>
      </c>
      <c r="L6" s="16">
        <f>'BIFUbC-biomass pre-CHP'!L6+CHP!L127</f>
        <v>627426144291.47253</v>
      </c>
      <c r="M6" s="16">
        <f>'BIFUbC-biomass pre-CHP'!M6+CHP!M127</f>
        <v>628342197214.70764</v>
      </c>
      <c r="N6" s="16">
        <f>'BIFUbC-biomass pre-CHP'!N6+CHP!N127</f>
        <v>629258250137.94263</v>
      </c>
      <c r="O6" s="16">
        <f>'BIFUbC-biomass pre-CHP'!O6+CHP!O127</f>
        <v>630174303061.17773</v>
      </c>
      <c r="P6" s="16">
        <f>'BIFUbC-biomass pre-CHP'!P6+CHP!P127</f>
        <v>631090355984.41284</v>
      </c>
      <c r="Q6" s="16">
        <f>'BIFUbC-biomass pre-CHP'!Q6+CHP!Q127</f>
        <v>632006408907.64795</v>
      </c>
      <c r="R6" s="16">
        <f>'BIFUbC-biomass pre-CHP'!R6+CHP!R127</f>
        <v>632922461830.88293</v>
      </c>
      <c r="S6" s="16">
        <f>'BIFUbC-biomass pre-CHP'!S6+CHP!S127</f>
        <v>633838514754.11816</v>
      </c>
      <c r="T6" s="16">
        <f>'BIFUbC-biomass pre-CHP'!T6+CHP!T127</f>
        <v>634754567677.35315</v>
      </c>
      <c r="U6" s="16">
        <f>'BIFUbC-biomass pre-CHP'!U6+CHP!U127</f>
        <v>635670620600.58826</v>
      </c>
      <c r="V6" s="16">
        <f>'BIFUbC-biomass pre-CHP'!V6+CHP!V127</f>
        <v>636586673523.82336</v>
      </c>
      <c r="W6" s="16">
        <f>'BIFUbC-biomass pre-CHP'!W6+CHP!W127</f>
        <v>633272415032.05688</v>
      </c>
      <c r="X6" s="16">
        <f>'BIFUbC-biomass pre-CHP'!X6+CHP!X127</f>
        <v>629958156540.29041</v>
      </c>
      <c r="Y6" s="16">
        <f>'BIFUbC-biomass pre-CHP'!Y6+CHP!Y127</f>
        <v>626643898048.52405</v>
      </c>
      <c r="Z6" s="16">
        <f>'BIFUbC-biomass pre-CHP'!Z6+CHP!Z127</f>
        <v>623329639556.75769</v>
      </c>
      <c r="AA6" s="16">
        <f>'BIFUbC-biomass pre-CHP'!AA6+CHP!AA127</f>
        <v>620015381064.99121</v>
      </c>
      <c r="AB6" s="16">
        <f>'BIFUbC-biomass pre-CHP'!AB6+CHP!AB127</f>
        <v>616701122573.22473</v>
      </c>
      <c r="AC6" s="16">
        <f>'BIFUbC-biomass pre-CHP'!AC6+CHP!AC127</f>
        <v>613386864081.45837</v>
      </c>
      <c r="AD6" s="16">
        <f>'BIFUbC-biomass pre-CHP'!AD6+CHP!AD127</f>
        <v>610072605589.69189</v>
      </c>
      <c r="AE6" s="16">
        <f>'BIFUbC-biomass pre-CHP'!AE6+CHP!AE127</f>
        <v>606758347097.92554</v>
      </c>
      <c r="AF6" s="16">
        <f>'BIFUbC-biomass pre-CHP'!AF6+CHP!AF127</f>
        <v>603444088606.15906</v>
      </c>
    </row>
    <row r="7" spans="1:35">
      <c r="A7" t="s">
        <v>38</v>
      </c>
      <c r="B7" s="16">
        <f>'BIFUbC-biomass pre-CHP'!B7+CHP!B128</f>
        <v>522061063583.69806</v>
      </c>
      <c r="C7" s="16">
        <f>'BIFUbC-biomass pre-CHP'!C7+CHP!C128</f>
        <v>541013404183.47748</v>
      </c>
      <c r="D7" s="16">
        <f>'BIFUbC-biomass pre-CHP'!D7+CHP!D128</f>
        <v>559965744783.25684</v>
      </c>
      <c r="E7" s="16">
        <f>'BIFUbC-biomass pre-CHP'!E7+CHP!E128</f>
        <v>578918085383.03613</v>
      </c>
      <c r="F7" s="16">
        <f>'BIFUbC-biomass pre-CHP'!F7+CHP!F128</f>
        <v>585599599222.63452</v>
      </c>
      <c r="G7" s="16">
        <f>'BIFUbC-biomass pre-CHP'!G7+CHP!G128</f>
        <v>592281113062.23279</v>
      </c>
      <c r="H7" s="16">
        <f>'BIFUbC-biomass pre-CHP'!H7+CHP!H128</f>
        <v>598962626901.83118</v>
      </c>
      <c r="I7" s="16">
        <f>'BIFUbC-biomass pre-CHP'!I7+CHP!I128</f>
        <v>605644140741.42944</v>
      </c>
      <c r="J7" s="16">
        <f>'BIFUbC-biomass pre-CHP'!J7+CHP!J128</f>
        <v>612325654581.02783</v>
      </c>
      <c r="K7" s="16">
        <f>'BIFUbC-biomass pre-CHP'!K7+CHP!K128</f>
        <v>619007168420.62598</v>
      </c>
      <c r="L7" s="16">
        <f>'BIFUbC-biomass pre-CHP'!L7+CHP!L128</f>
        <v>625688682260.22437</v>
      </c>
      <c r="M7" s="16">
        <f>'BIFUbC-biomass pre-CHP'!M7+CHP!M128</f>
        <v>627334696343.3418</v>
      </c>
      <c r="N7" s="16">
        <f>'BIFUbC-biomass pre-CHP'!N7+CHP!N128</f>
        <v>628980710426.45911</v>
      </c>
      <c r="O7" s="16">
        <f>'BIFUbC-biomass pre-CHP'!O7+CHP!O128</f>
        <v>630626724509.57654</v>
      </c>
      <c r="P7" s="16">
        <f>'BIFUbC-biomass pre-CHP'!P7+CHP!P128</f>
        <v>632272738592.69397</v>
      </c>
      <c r="Q7" s="16">
        <f>'BIFUbC-biomass pre-CHP'!Q7+CHP!Q128</f>
        <v>633918752675.81128</v>
      </c>
      <c r="R7" s="16">
        <f>'BIFUbC-biomass pre-CHP'!R7+CHP!R128</f>
        <v>635564766758.92871</v>
      </c>
      <c r="S7" s="16">
        <f>'BIFUbC-biomass pre-CHP'!S7+CHP!S128</f>
        <v>637210780842.04614</v>
      </c>
      <c r="T7" s="16">
        <f>'BIFUbC-biomass pre-CHP'!T7+CHP!T128</f>
        <v>638856794925.16345</v>
      </c>
      <c r="U7" s="16">
        <f>'BIFUbC-biomass pre-CHP'!U7+CHP!U128</f>
        <v>640502809008.28088</v>
      </c>
      <c r="V7" s="16">
        <f>'BIFUbC-biomass pre-CHP'!V7+CHP!V128</f>
        <v>642148823091.39832</v>
      </c>
      <c r="W7" s="16">
        <f>'BIFUbC-biomass pre-CHP'!W7+CHP!W128</f>
        <v>639924604686.25281</v>
      </c>
      <c r="X7" s="16">
        <f>'BIFUbC-biomass pre-CHP'!X7+CHP!X128</f>
        <v>637700386281.1073</v>
      </c>
      <c r="Y7" s="16">
        <f>'BIFUbC-biomass pre-CHP'!Y7+CHP!Y128</f>
        <v>635476167875.96179</v>
      </c>
      <c r="Z7" s="16">
        <f>'BIFUbC-biomass pre-CHP'!Z7+CHP!Z128</f>
        <v>633251949470.81628</v>
      </c>
      <c r="AA7" s="16">
        <f>'BIFUbC-biomass pre-CHP'!AA7+CHP!AA128</f>
        <v>631027731065.67078</v>
      </c>
      <c r="AB7" s="16">
        <f>'BIFUbC-biomass pre-CHP'!AB7+CHP!AB128</f>
        <v>628803512660.52539</v>
      </c>
      <c r="AC7" s="16">
        <f>'BIFUbC-biomass pre-CHP'!AC7+CHP!AC128</f>
        <v>626579294255.37976</v>
      </c>
      <c r="AD7" s="16">
        <f>'BIFUbC-biomass pre-CHP'!AD7+CHP!AD128</f>
        <v>624355075850.23438</v>
      </c>
      <c r="AE7" s="16">
        <f>'BIFUbC-biomass pre-CHP'!AE7+CHP!AE128</f>
        <v>622130857445.08875</v>
      </c>
      <c r="AF7" s="16">
        <f>'BIFUbC-biomass pre-CHP'!AF7+CHP!AF128</f>
        <v>619906639039.94324</v>
      </c>
    </row>
    <row r="8" spans="1:35">
      <c r="A8" t="s">
        <v>40</v>
      </c>
      <c r="B8" s="16">
        <f>'BIFUbC-biomass pre-CHP'!B8+CHP!B129</f>
        <v>172812616383.55313</v>
      </c>
      <c r="C8" s="16">
        <f>'BIFUbC-biomass pre-CHP'!C8+CHP!C129</f>
        <v>180252566259.92664</v>
      </c>
      <c r="D8" s="16">
        <f>'BIFUbC-biomass pre-CHP'!D8+CHP!D129</f>
        <v>187692516136.30014</v>
      </c>
      <c r="E8" s="16">
        <f>'BIFUbC-biomass pre-CHP'!E8+CHP!E129</f>
        <v>195132466012.67361</v>
      </c>
      <c r="F8" s="16">
        <f>'BIFUbC-biomass pre-CHP'!F8+CHP!F129</f>
        <v>197330472735.58438</v>
      </c>
      <c r="G8" s="16">
        <f>'BIFUbC-biomass pre-CHP'!G8+CHP!G129</f>
        <v>199528479458.49515</v>
      </c>
      <c r="H8" s="16">
        <f>'BIFUbC-biomass pre-CHP'!H8+CHP!H129</f>
        <v>201726486181.40591</v>
      </c>
      <c r="I8" s="16">
        <f>'BIFUbC-biomass pre-CHP'!I8+CHP!I129</f>
        <v>203924492904.31665</v>
      </c>
      <c r="J8" s="16">
        <f>'BIFUbC-biomass pre-CHP'!J8+CHP!J129</f>
        <v>206122499627.22742</v>
      </c>
      <c r="K8" s="16">
        <f>'BIFUbC-biomass pre-CHP'!K8+CHP!K129</f>
        <v>208320506350.13818</v>
      </c>
      <c r="L8" s="16">
        <f>'BIFUbC-biomass pre-CHP'!L8+CHP!L129</f>
        <v>210518513073.04895</v>
      </c>
      <c r="M8" s="16">
        <f>'BIFUbC-biomass pre-CHP'!M8+CHP!M129</f>
        <v>211454013319.89102</v>
      </c>
      <c r="N8" s="16">
        <f>'BIFUbC-biomass pre-CHP'!N8+CHP!N129</f>
        <v>212389513566.73312</v>
      </c>
      <c r="O8" s="16">
        <f>'BIFUbC-biomass pre-CHP'!O8+CHP!O129</f>
        <v>213325013813.5752</v>
      </c>
      <c r="P8" s="16">
        <f>'BIFUbC-biomass pre-CHP'!P8+CHP!P129</f>
        <v>214260514060.4173</v>
      </c>
      <c r="Q8" s="16">
        <f>'BIFUbC-biomass pre-CHP'!Q8+CHP!Q129</f>
        <v>215196014307.2594</v>
      </c>
      <c r="R8" s="16">
        <f>'BIFUbC-biomass pre-CHP'!R8+CHP!R129</f>
        <v>216131514554.10147</v>
      </c>
      <c r="S8" s="16">
        <f>'BIFUbC-biomass pre-CHP'!S8+CHP!S129</f>
        <v>217067014800.94354</v>
      </c>
      <c r="T8" s="16">
        <f>'BIFUbC-biomass pre-CHP'!T8+CHP!T129</f>
        <v>218002515047.78564</v>
      </c>
      <c r="U8" s="16">
        <f>'BIFUbC-biomass pre-CHP'!U8+CHP!U129</f>
        <v>218938015294.62775</v>
      </c>
      <c r="V8" s="16">
        <f>'BIFUbC-biomass pre-CHP'!V8+CHP!V129</f>
        <v>219873515541.46982</v>
      </c>
      <c r="W8" s="16">
        <f>'BIFUbC-biomass pre-CHP'!W8+CHP!W129</f>
        <v>219688364657.65341</v>
      </c>
      <c r="X8" s="16">
        <f>'BIFUbC-biomass pre-CHP'!X8+CHP!X129</f>
        <v>219503213773.83701</v>
      </c>
      <c r="Y8" s="16">
        <f>'BIFUbC-biomass pre-CHP'!Y8+CHP!Y129</f>
        <v>219318062890.02057</v>
      </c>
      <c r="Z8" s="16">
        <f>'BIFUbC-biomass pre-CHP'!Z8+CHP!Z129</f>
        <v>219132912006.20416</v>
      </c>
      <c r="AA8" s="16">
        <f>'BIFUbC-biomass pre-CHP'!AA8+CHP!AA129</f>
        <v>218947761122.38776</v>
      </c>
      <c r="AB8" s="16">
        <f>'BIFUbC-biomass pre-CHP'!AB8+CHP!AB129</f>
        <v>218762610238.57135</v>
      </c>
      <c r="AC8" s="16">
        <f>'BIFUbC-biomass pre-CHP'!AC8+CHP!AC129</f>
        <v>218577459354.75494</v>
      </c>
      <c r="AD8" s="16">
        <f>'BIFUbC-biomass pre-CHP'!AD8+CHP!AD129</f>
        <v>218392308470.93854</v>
      </c>
      <c r="AE8" s="16">
        <f>'BIFUbC-biomass pre-CHP'!AE8+CHP!AE129</f>
        <v>218207157587.1221</v>
      </c>
      <c r="AF8" s="16">
        <f>'BIFUbC-biomass pre-CHP'!AF8+CHP!AF129</f>
        <v>218022006703.30569</v>
      </c>
    </row>
    <row r="9" spans="1:35">
      <c r="A9" t="s">
        <v>42</v>
      </c>
      <c r="B9" s="16">
        <f>'BIFUbC-biomass pre-CHP'!B9+CHP!B130</f>
        <v>1357168992397.6106</v>
      </c>
      <c r="C9" s="16">
        <f>'BIFUbC-biomass pre-CHP'!C9+CHP!C130</f>
        <v>1418172683997.5239</v>
      </c>
      <c r="D9" s="16">
        <f>'BIFUbC-biomass pre-CHP'!D9+CHP!D130</f>
        <v>1479176375597.4373</v>
      </c>
      <c r="E9" s="16">
        <f>'BIFUbC-biomass pre-CHP'!E9+CHP!E130</f>
        <v>1540180067197.3506</v>
      </c>
      <c r="F9" s="16">
        <f>'BIFUbC-biomass pre-CHP'!F9+CHP!F130</f>
        <v>1557411664564.1675</v>
      </c>
      <c r="G9" s="16">
        <f>'BIFUbC-biomass pre-CHP'!G9+CHP!G130</f>
        <v>1574643261930.9844</v>
      </c>
      <c r="H9" s="16">
        <f>'BIFUbC-biomass pre-CHP'!H9+CHP!H130</f>
        <v>1591874859297.8013</v>
      </c>
      <c r="I9" s="16">
        <f>'BIFUbC-biomass pre-CHP'!I9+CHP!I130</f>
        <v>1609106456664.6182</v>
      </c>
      <c r="J9" s="16">
        <f>'BIFUbC-biomass pre-CHP'!J9+CHP!J130</f>
        <v>1626338054031.4353</v>
      </c>
      <c r="K9" s="16">
        <f>'BIFUbC-biomass pre-CHP'!K9+CHP!K130</f>
        <v>1643569651398.2524</v>
      </c>
      <c r="L9" s="16">
        <f>'BIFUbC-biomass pre-CHP'!L9+CHP!L130</f>
        <v>1660801248765.0693</v>
      </c>
      <c r="M9" s="16">
        <f>'BIFUbC-biomass pre-CHP'!M9+CHP!M130</f>
        <v>1669010441452.4854</v>
      </c>
      <c r="N9" s="16">
        <f>'BIFUbC-biomass pre-CHP'!N9+CHP!N130</f>
        <v>1677219634139.9016</v>
      </c>
      <c r="O9" s="16">
        <f>'BIFUbC-biomass pre-CHP'!O9+CHP!O130</f>
        <v>1685428826827.3176</v>
      </c>
      <c r="P9" s="16">
        <f>'BIFUbC-biomass pre-CHP'!P9+CHP!P130</f>
        <v>1693638019514.7339</v>
      </c>
      <c r="Q9" s="16">
        <f>'BIFUbC-biomass pre-CHP'!Q9+CHP!Q130</f>
        <v>1701847212202.1499</v>
      </c>
      <c r="R9" s="16">
        <f>'BIFUbC-biomass pre-CHP'!R9+CHP!R130</f>
        <v>1710056404889.5659</v>
      </c>
      <c r="S9" s="16">
        <f>'BIFUbC-biomass pre-CHP'!S9+CHP!S130</f>
        <v>1718265597576.9822</v>
      </c>
      <c r="T9" s="16">
        <f>'BIFUbC-biomass pre-CHP'!T9+CHP!T130</f>
        <v>1726474790264.3982</v>
      </c>
      <c r="U9" s="16">
        <f>'BIFUbC-biomass pre-CHP'!U9+CHP!U130</f>
        <v>1734683982951.8145</v>
      </c>
      <c r="V9" s="16">
        <f>'BIFUbC-biomass pre-CHP'!V9+CHP!V130</f>
        <v>1742893175639.2305</v>
      </c>
      <c r="W9" s="16">
        <f>'BIFUbC-biomass pre-CHP'!W9+CHP!W130</f>
        <v>1742655671750.8335</v>
      </c>
      <c r="X9" s="16">
        <f>'BIFUbC-biomass pre-CHP'!X9+CHP!X130</f>
        <v>1742418167862.4365</v>
      </c>
      <c r="Y9" s="16">
        <f>'BIFUbC-biomass pre-CHP'!Y9+CHP!Y130</f>
        <v>1742180663974.0396</v>
      </c>
      <c r="Z9" s="16">
        <f>'BIFUbC-biomass pre-CHP'!Z9+CHP!Z130</f>
        <v>1741943160085.6428</v>
      </c>
      <c r="AA9" s="16">
        <f>'BIFUbC-biomass pre-CHP'!AA9+CHP!AA130</f>
        <v>1741705656197.2456</v>
      </c>
      <c r="AB9" s="16">
        <f>'BIFUbC-biomass pre-CHP'!AB9+CHP!AB130</f>
        <v>1741468152308.8489</v>
      </c>
      <c r="AC9" s="16">
        <f>'BIFUbC-biomass pre-CHP'!AC9+CHP!AC130</f>
        <v>1741230648420.4517</v>
      </c>
      <c r="AD9" s="16">
        <f>'BIFUbC-biomass pre-CHP'!AD9+CHP!AD130</f>
        <v>1740993144532.0549</v>
      </c>
      <c r="AE9" s="16">
        <f>'BIFUbC-biomass pre-CHP'!AE9+CHP!AE130</f>
        <v>1740755640643.6577</v>
      </c>
      <c r="AF9" s="16">
        <f>'BIFUbC-biomass pre-CHP'!AF9+CHP!AF130</f>
        <v>1740518136755.261</v>
      </c>
    </row>
    <row r="10" spans="1:35">
      <c r="A10" t="s">
        <v>44</v>
      </c>
      <c r="B10" s="16">
        <f>'BIFUbC-biomass pre-CHP'!B10+CHP!B131</f>
        <v>0</v>
      </c>
      <c r="C10" s="16">
        <f>'BIFUbC-biomass pre-CHP'!C10+CHP!C131</f>
        <v>0</v>
      </c>
      <c r="D10" s="16">
        <f>'BIFUbC-biomass pre-CHP'!D10+CHP!D131</f>
        <v>1</v>
      </c>
      <c r="E10" s="16">
        <f>'BIFUbC-biomass pre-CHP'!E10+CHP!E131</f>
        <v>2</v>
      </c>
      <c r="F10" s="16">
        <f>'BIFUbC-biomass pre-CHP'!F10+CHP!F131</f>
        <v>3</v>
      </c>
      <c r="G10" s="16">
        <f>'BIFUbC-biomass pre-CHP'!G10+CHP!G131</f>
        <v>4</v>
      </c>
      <c r="H10" s="16">
        <f>'BIFUbC-biomass pre-CHP'!H10+CHP!H131</f>
        <v>5</v>
      </c>
      <c r="I10" s="16">
        <f>'BIFUbC-biomass pre-CHP'!I10+CHP!I131</f>
        <v>6</v>
      </c>
      <c r="J10" s="16">
        <f>'BIFUbC-biomass pre-CHP'!J10+CHP!J131</f>
        <v>7</v>
      </c>
      <c r="K10" s="16">
        <f>'BIFUbC-biomass pre-CHP'!K10+CHP!K131</f>
        <v>8</v>
      </c>
      <c r="L10" s="16">
        <f>'BIFUbC-biomass pre-CHP'!L10+CHP!L131</f>
        <v>9</v>
      </c>
      <c r="M10" s="16">
        <f>'BIFUbC-biomass pre-CHP'!M10+CHP!M131</f>
        <v>10</v>
      </c>
      <c r="N10" s="16">
        <f>'BIFUbC-biomass pre-CHP'!N10+CHP!N131</f>
        <v>11</v>
      </c>
      <c r="O10" s="16">
        <f>'BIFUbC-biomass pre-CHP'!O10+CHP!O131</f>
        <v>12</v>
      </c>
      <c r="P10" s="16">
        <f>'BIFUbC-biomass pre-CHP'!P10+CHP!P131</f>
        <v>13</v>
      </c>
      <c r="Q10" s="16">
        <f>'BIFUbC-biomass pre-CHP'!Q10+CHP!Q131</f>
        <v>14</v>
      </c>
      <c r="R10" s="16">
        <f>'BIFUbC-biomass pre-CHP'!R10+CHP!R131</f>
        <v>15</v>
      </c>
      <c r="S10" s="16">
        <f>'BIFUbC-biomass pre-CHP'!S10+CHP!S131</f>
        <v>16</v>
      </c>
      <c r="T10" s="16">
        <f>'BIFUbC-biomass pre-CHP'!T10+CHP!T131</f>
        <v>17</v>
      </c>
      <c r="U10" s="16">
        <f>'BIFUbC-biomass pre-CHP'!U10+CHP!U131</f>
        <v>18</v>
      </c>
      <c r="V10" s="16">
        <f>'BIFUbC-biomass pre-CHP'!V10+CHP!V131</f>
        <v>19</v>
      </c>
      <c r="W10" s="16">
        <f>'BIFUbC-biomass pre-CHP'!W10+CHP!W131</f>
        <v>20</v>
      </c>
      <c r="X10" s="16">
        <f>'BIFUbC-biomass pre-CHP'!X10+CHP!X131</f>
        <v>21</v>
      </c>
      <c r="Y10" s="16">
        <f>'BIFUbC-biomass pre-CHP'!Y10+CHP!Y131</f>
        <v>22</v>
      </c>
      <c r="Z10" s="16">
        <f>'BIFUbC-biomass pre-CHP'!Z10+CHP!Z131</f>
        <v>23</v>
      </c>
      <c r="AA10" s="16">
        <f>'BIFUbC-biomass pre-CHP'!AA10+CHP!AA131</f>
        <v>24</v>
      </c>
      <c r="AB10" s="16">
        <f>'BIFUbC-biomass pre-CHP'!AB10+CHP!AB131</f>
        <v>25</v>
      </c>
      <c r="AC10" s="16">
        <f>'BIFUbC-biomass pre-CHP'!AC10+CHP!AC131</f>
        <v>26</v>
      </c>
      <c r="AD10" s="16">
        <f>'BIFUbC-biomass pre-CHP'!AD10+CHP!AD131</f>
        <v>27</v>
      </c>
      <c r="AE10" s="16">
        <f>'BIFUbC-biomass pre-CHP'!AE10+CHP!AE131</f>
        <v>28</v>
      </c>
      <c r="AF10" s="16">
        <f>'BIFUbC-biomass pre-CHP'!AF10+CHP!AF131</f>
        <v>29</v>
      </c>
    </row>
    <row r="11" spans="1:35" s="351" customFormat="1">
      <c r="A11" s="444" t="s">
        <v>47</v>
      </c>
      <c r="B11" s="445">
        <f>'BIFUbC-biomass pre-CHP'!B11+CHP!B132</f>
        <v>53134769497929.219</v>
      </c>
      <c r="C11" s="445">
        <f>'BIFUbC-biomass pre-CHP'!C11+CHP!C132</f>
        <v>55725147552927.93</v>
      </c>
      <c r="D11" s="445">
        <f>'BIFUbC-biomass pre-CHP'!D11+CHP!D132</f>
        <v>58315525607926.648</v>
      </c>
      <c r="E11" s="445">
        <f>'BIFUbC-biomass pre-CHP'!E11+CHP!E132</f>
        <v>60905903662925.375</v>
      </c>
      <c r="F11" s="445">
        <f>'BIFUbC-biomass pre-CHP'!F11+CHP!F132</f>
        <v>64436255305276.977</v>
      </c>
      <c r="G11" s="445">
        <f>'BIFUbC-biomass pre-CHP'!G11+CHP!G132</f>
        <v>67966606947628.57</v>
      </c>
      <c r="H11" s="445">
        <f>'BIFUbC-biomass pre-CHP'!H11+CHP!H132</f>
        <v>71496958589980.156</v>
      </c>
      <c r="I11" s="445">
        <f>'BIFUbC-biomass pre-CHP'!I11+CHP!I132</f>
        <v>75027310232331.75</v>
      </c>
      <c r="J11" s="445">
        <f>'BIFUbC-biomass pre-CHP'!J11+CHP!J132</f>
        <v>78557661874683.344</v>
      </c>
      <c r="K11" s="445">
        <f>'BIFUbC-biomass pre-CHP'!K11+CHP!K132</f>
        <v>82088013517034.938</v>
      </c>
      <c r="L11" s="445">
        <f>'BIFUbC-biomass pre-CHP'!L11+CHP!L132</f>
        <v>85618365159386.547</v>
      </c>
      <c r="M11" s="445">
        <f>'BIFUbC-biomass pre-CHP'!M11+CHP!M132</f>
        <v>87476644859876.406</v>
      </c>
      <c r="N11" s="445">
        <f>'BIFUbC-biomass pre-CHP'!N11+CHP!N132</f>
        <v>89334924560366.25</v>
      </c>
      <c r="O11" s="445">
        <f>'BIFUbC-biomass pre-CHP'!O11+CHP!O132</f>
        <v>91193204260856.109</v>
      </c>
      <c r="P11" s="445">
        <f>'BIFUbC-biomass pre-CHP'!P11+CHP!P132</f>
        <v>93051483961345.969</v>
      </c>
      <c r="Q11" s="445">
        <f>'BIFUbC-biomass pre-CHP'!Q11+CHP!Q132</f>
        <v>94909763661835.813</v>
      </c>
      <c r="R11" s="445">
        <f>'BIFUbC-biomass pre-CHP'!R11+CHP!R132</f>
        <v>96768043362325.672</v>
      </c>
      <c r="S11" s="445">
        <f>'BIFUbC-biomass pre-CHP'!S11+CHP!S132</f>
        <v>98626323062815.531</v>
      </c>
      <c r="T11" s="445">
        <f>'BIFUbC-biomass pre-CHP'!T11+CHP!T132</f>
        <v>100484602763305.39</v>
      </c>
      <c r="U11" s="445">
        <f>'BIFUbC-biomass pre-CHP'!U11+CHP!U132</f>
        <v>102342882463795.25</v>
      </c>
      <c r="V11" s="445">
        <f>'BIFUbC-biomass pre-CHP'!V11+CHP!V132</f>
        <v>104201162164285.11</v>
      </c>
      <c r="W11" s="445">
        <f>'BIFUbC-biomass pre-CHP'!W11+CHP!W132</f>
        <v>105696568357114.28</v>
      </c>
      <c r="X11" s="445">
        <f>'BIFUbC-biomass pre-CHP'!X11+CHP!X132</f>
        <v>107191974549943.47</v>
      </c>
      <c r="Y11" s="445">
        <f>'BIFUbC-biomass pre-CHP'!Y11+CHP!Y132</f>
        <v>108687380742772.66</v>
      </c>
      <c r="Z11" s="445">
        <f>'BIFUbC-biomass pre-CHP'!Z11+CHP!Z132</f>
        <v>110182786935601.83</v>
      </c>
      <c r="AA11" s="445">
        <f>'BIFUbC-biomass pre-CHP'!AA11+CHP!AA132</f>
        <v>111678193128431.02</v>
      </c>
      <c r="AB11" s="445">
        <f>'BIFUbC-biomass pre-CHP'!AB11+CHP!AB132</f>
        <v>113173599321260.19</v>
      </c>
      <c r="AC11" s="445">
        <f>'BIFUbC-biomass pre-CHP'!AC11+CHP!AC132</f>
        <v>114669005514089.39</v>
      </c>
      <c r="AD11" s="445">
        <f>'BIFUbC-biomass pre-CHP'!AD11+CHP!AD132</f>
        <v>116164411706918.56</v>
      </c>
      <c r="AE11" s="445">
        <f>'BIFUbC-biomass pre-CHP'!AE11+CHP!AE132</f>
        <v>117659817899747.73</v>
      </c>
      <c r="AF11" s="445">
        <f>'BIFUbC-biomass pre-CHP'!AF11+CHP!AF132</f>
        <v>119155224092576.94</v>
      </c>
    </row>
    <row r="12" spans="1:35">
      <c r="A12" t="s">
        <v>51</v>
      </c>
      <c r="B12" s="16">
        <f>'BIFUbC-biomass pre-CHP'!B12+CHP!B133</f>
        <v>3986939465822.4063</v>
      </c>
      <c r="C12" s="16">
        <f>'BIFUbC-biomass pre-CHP'!C12+CHP!C133</f>
        <v>4132449627160.2319</v>
      </c>
      <c r="D12" s="16">
        <f>'BIFUbC-biomass pre-CHP'!D12+CHP!D133</f>
        <v>4277959788498.0566</v>
      </c>
      <c r="E12" s="16">
        <f>'BIFUbC-biomass pre-CHP'!E12+CHP!E133</f>
        <v>4423469949835.8955</v>
      </c>
      <c r="F12" s="16">
        <f>'BIFUbC-biomass pre-CHP'!F12+CHP!F133</f>
        <v>4634933167000.1328</v>
      </c>
      <c r="G12" s="16">
        <f>'BIFUbC-biomass pre-CHP'!G12+CHP!G133</f>
        <v>4846396384164.3691</v>
      </c>
      <c r="H12" s="16">
        <f>'BIFUbC-biomass pre-CHP'!H12+CHP!H133</f>
        <v>5057859601328.6055</v>
      </c>
      <c r="I12" s="16">
        <f>'BIFUbC-biomass pre-CHP'!I12+CHP!I133</f>
        <v>5269322818492.8438</v>
      </c>
      <c r="J12" s="16">
        <f>'BIFUbC-biomass pre-CHP'!J12+CHP!J133</f>
        <v>5480786035657.0801</v>
      </c>
      <c r="K12" s="16">
        <f>'BIFUbC-biomass pre-CHP'!K12+CHP!K133</f>
        <v>5692249252821.3164</v>
      </c>
      <c r="L12" s="16">
        <f>'BIFUbC-biomass pre-CHP'!L12+CHP!L133</f>
        <v>5903712469985.5527</v>
      </c>
      <c r="M12" s="16">
        <f>'BIFUbC-biomass pre-CHP'!M12+CHP!M133</f>
        <v>6035080431058.291</v>
      </c>
      <c r="N12" s="16">
        <f>'BIFUbC-biomass pre-CHP'!N12+CHP!N133</f>
        <v>6166448392131.0273</v>
      </c>
      <c r="O12" s="16">
        <f>'BIFUbC-biomass pre-CHP'!O12+CHP!O133</f>
        <v>6297816353203.7656</v>
      </c>
      <c r="P12" s="16">
        <f>'BIFUbC-biomass pre-CHP'!P12+CHP!P133</f>
        <v>6429184314276.5029</v>
      </c>
      <c r="Q12" s="16">
        <f>'BIFUbC-biomass pre-CHP'!Q12+CHP!Q133</f>
        <v>6560552275349.2402</v>
      </c>
      <c r="R12" s="16">
        <f>'BIFUbC-biomass pre-CHP'!R12+CHP!R133</f>
        <v>6691920236421.9766</v>
      </c>
      <c r="S12" s="16">
        <f>'BIFUbC-biomass pre-CHP'!S12+CHP!S133</f>
        <v>6823288197494.7148</v>
      </c>
      <c r="T12" s="16">
        <f>'BIFUbC-biomass pre-CHP'!T12+CHP!T133</f>
        <v>6954656158567.4512</v>
      </c>
      <c r="U12" s="16">
        <f>'BIFUbC-biomass pre-CHP'!U12+CHP!U133</f>
        <v>7086024119640.1885</v>
      </c>
      <c r="V12" s="16">
        <f>'BIFUbC-biomass pre-CHP'!V12+CHP!V133</f>
        <v>7217392080712.9258</v>
      </c>
      <c r="W12" s="16">
        <f>'BIFUbC-biomass pre-CHP'!W12+CHP!W133</f>
        <v>7317073265518.5488</v>
      </c>
      <c r="X12" s="16">
        <f>'BIFUbC-biomass pre-CHP'!X12+CHP!X133</f>
        <v>7416754450324.1699</v>
      </c>
      <c r="Y12" s="16">
        <f>'BIFUbC-biomass pre-CHP'!Y12+CHP!Y133</f>
        <v>7516435635129.792</v>
      </c>
      <c r="Z12" s="16">
        <f>'BIFUbC-biomass pre-CHP'!Z12+CHP!Z133</f>
        <v>7616116819935.4141</v>
      </c>
      <c r="AA12" s="16">
        <f>'BIFUbC-biomass pre-CHP'!AA12+CHP!AA133</f>
        <v>7715798004741.0371</v>
      </c>
      <c r="AB12" s="16">
        <f>'BIFUbC-biomass pre-CHP'!AB12+CHP!AB133</f>
        <v>7815479189546.6582</v>
      </c>
      <c r="AC12" s="16">
        <f>'BIFUbC-biomass pre-CHP'!AC12+CHP!AC133</f>
        <v>7915160374352.2803</v>
      </c>
      <c r="AD12" s="16">
        <f>'BIFUbC-biomass pre-CHP'!AD12+CHP!AD133</f>
        <v>8014841559157.9023</v>
      </c>
      <c r="AE12" s="16">
        <f>'BIFUbC-biomass pre-CHP'!AE12+CHP!AE133</f>
        <v>8114522743963.5234</v>
      </c>
      <c r="AF12" s="16">
        <f>'BIFUbC-biomass pre-CHP'!AF12+CHP!AF133</f>
        <v>8214203928769.1465</v>
      </c>
    </row>
    <row r="13" spans="1:35">
      <c r="A13" t="s">
        <v>53</v>
      </c>
      <c r="B13" s="16">
        <f>'BIFUbC-biomass pre-CHP'!B13+CHP!B134</f>
        <v>107146987909.95592</v>
      </c>
      <c r="C13" s="16">
        <f>'BIFUbC-biomass pre-CHP'!C13+CHP!C134</f>
        <v>110198878762.95549</v>
      </c>
      <c r="D13" s="16">
        <f>'BIFUbC-biomass pre-CHP'!D13+CHP!D134</f>
        <v>113250769615.95508</v>
      </c>
      <c r="E13" s="16">
        <f>'BIFUbC-biomass pre-CHP'!E13+CHP!E134</f>
        <v>116302660468.95465</v>
      </c>
      <c r="F13" s="16">
        <f>'BIFUbC-biomass pre-CHP'!F13+CHP!F134</f>
        <v>117683810747.87064</v>
      </c>
      <c r="G13" s="16">
        <f>'BIFUbC-biomass pre-CHP'!G13+CHP!G134</f>
        <v>119064961026.78661</v>
      </c>
      <c r="H13" s="16">
        <f>'BIFUbC-biomass pre-CHP'!H13+CHP!H134</f>
        <v>120446111305.70261</v>
      </c>
      <c r="I13" s="16">
        <f>'BIFUbC-biomass pre-CHP'!I13+CHP!I134</f>
        <v>121827261584.61858</v>
      </c>
      <c r="J13" s="16">
        <f>'BIFUbC-biomass pre-CHP'!J13+CHP!J134</f>
        <v>123208411863.53458</v>
      </c>
      <c r="K13" s="16">
        <f>'BIFUbC-biomass pre-CHP'!K13+CHP!K134</f>
        <v>124589562142.45055</v>
      </c>
      <c r="L13" s="16">
        <f>'BIFUbC-biomass pre-CHP'!L13+CHP!L134</f>
        <v>125970712421.36652</v>
      </c>
      <c r="M13" s="16">
        <f>'BIFUbC-biomass pre-CHP'!M13+CHP!M134</f>
        <v>126027919829.36897</v>
      </c>
      <c r="N13" s="16">
        <f>'BIFUbC-biomass pre-CHP'!N13+CHP!N134</f>
        <v>126085127237.37138</v>
      </c>
      <c r="O13" s="16">
        <f>'BIFUbC-biomass pre-CHP'!O13+CHP!O134</f>
        <v>126142334645.37384</v>
      </c>
      <c r="P13" s="16">
        <f>'BIFUbC-biomass pre-CHP'!P13+CHP!P134</f>
        <v>126199542053.37628</v>
      </c>
      <c r="Q13" s="16">
        <f>'BIFUbC-biomass pre-CHP'!Q13+CHP!Q134</f>
        <v>126256749461.37871</v>
      </c>
      <c r="R13" s="16">
        <f>'BIFUbC-biomass pre-CHP'!R13+CHP!R134</f>
        <v>126313956869.38116</v>
      </c>
      <c r="S13" s="16">
        <f>'BIFUbC-biomass pre-CHP'!S13+CHP!S134</f>
        <v>126371164277.38359</v>
      </c>
      <c r="T13" s="16">
        <f>'BIFUbC-biomass pre-CHP'!T13+CHP!T134</f>
        <v>126428371685.38603</v>
      </c>
      <c r="U13" s="16">
        <f>'BIFUbC-biomass pre-CHP'!U13+CHP!U134</f>
        <v>126485579093.38846</v>
      </c>
      <c r="V13" s="16">
        <f>'BIFUbC-biomass pre-CHP'!V13+CHP!V134</f>
        <v>126542786501.3909</v>
      </c>
      <c r="W13" s="16">
        <f>'BIFUbC-biomass pre-CHP'!W13+CHP!W134</f>
        <v>125690396122.1546</v>
      </c>
      <c r="X13" s="16">
        <f>'BIFUbC-biomass pre-CHP'!X13+CHP!X134</f>
        <v>124838005742.91826</v>
      </c>
      <c r="Y13" s="16">
        <f>'BIFUbC-biomass pre-CHP'!Y13+CHP!Y134</f>
        <v>123985615363.68196</v>
      </c>
      <c r="Z13" s="16">
        <f>'BIFUbC-biomass pre-CHP'!Z13+CHP!Z134</f>
        <v>123133224984.44565</v>
      </c>
      <c r="AA13" s="16">
        <f>'BIFUbC-biomass pre-CHP'!AA13+CHP!AA134</f>
        <v>122280834605.20934</v>
      </c>
      <c r="AB13" s="16">
        <f>'BIFUbC-biomass pre-CHP'!AB13+CHP!AB134</f>
        <v>121428444225.97304</v>
      </c>
      <c r="AC13" s="16">
        <f>'BIFUbC-biomass pre-CHP'!AC13+CHP!AC134</f>
        <v>120576053846.73669</v>
      </c>
      <c r="AD13" s="16">
        <f>'BIFUbC-biomass pre-CHP'!AD13+CHP!AD134</f>
        <v>119723663467.5004</v>
      </c>
      <c r="AE13" s="16">
        <f>'BIFUbC-biomass pre-CHP'!AE13+CHP!AE134</f>
        <v>118871273088.26408</v>
      </c>
      <c r="AF13" s="16">
        <f>'BIFUbC-biomass pre-CHP'!AF13+CHP!AF134</f>
        <v>118018882709.02776</v>
      </c>
    </row>
    <row r="14" spans="1:35">
      <c r="A14" t="s">
        <v>56</v>
      </c>
      <c r="B14" s="16">
        <f>'BIFUbC-biomass pre-CHP'!B14+CHP!B135</f>
        <v>1480507198733.2893</v>
      </c>
      <c r="C14" s="16">
        <f>'BIFUbC-biomass pre-CHP'!C14+CHP!C135</f>
        <v>1548722395698.0496</v>
      </c>
      <c r="D14" s="16">
        <f>'BIFUbC-biomass pre-CHP'!D14+CHP!D135</f>
        <v>1616937592662.8098</v>
      </c>
      <c r="E14" s="16">
        <f>'BIFUbC-biomass pre-CHP'!E14+CHP!E135</f>
        <v>1685152789627.5701</v>
      </c>
      <c r="F14" s="16">
        <f>'BIFUbC-biomass pre-CHP'!F14+CHP!F135</f>
        <v>1703930780015.4258</v>
      </c>
      <c r="G14" s="16">
        <f>'BIFUbC-biomass pre-CHP'!G14+CHP!G135</f>
        <v>1722708770403.2815</v>
      </c>
      <c r="H14" s="16">
        <f>'BIFUbC-biomass pre-CHP'!H14+CHP!H135</f>
        <v>1741486760791.1372</v>
      </c>
      <c r="I14" s="16">
        <f>'BIFUbC-biomass pre-CHP'!I14+CHP!I135</f>
        <v>1760264751178.9932</v>
      </c>
      <c r="J14" s="16">
        <f>'BIFUbC-biomass pre-CHP'!J14+CHP!J135</f>
        <v>1779042741566.8489</v>
      </c>
      <c r="K14" s="16">
        <f>'BIFUbC-biomass pre-CHP'!K14+CHP!K135</f>
        <v>1797820731954.7046</v>
      </c>
      <c r="L14" s="16">
        <f>'BIFUbC-biomass pre-CHP'!L14+CHP!L135</f>
        <v>1816598722342.5603</v>
      </c>
      <c r="M14" s="16">
        <f>'BIFUbC-biomass pre-CHP'!M14+CHP!M135</f>
        <v>1826112459272.1162</v>
      </c>
      <c r="N14" s="16">
        <f>'BIFUbC-biomass pre-CHP'!N14+CHP!N135</f>
        <v>1835626196201.6721</v>
      </c>
      <c r="O14" s="16">
        <f>'BIFUbC-biomass pre-CHP'!O14+CHP!O135</f>
        <v>1845139933131.228</v>
      </c>
      <c r="P14" s="16">
        <f>'BIFUbC-biomass pre-CHP'!P14+CHP!P135</f>
        <v>1854653670060.7842</v>
      </c>
      <c r="Q14" s="16">
        <f>'BIFUbC-biomass pre-CHP'!Q14+CHP!Q135</f>
        <v>1864167406990.3398</v>
      </c>
      <c r="R14" s="16">
        <f>'BIFUbC-biomass pre-CHP'!R14+CHP!R135</f>
        <v>1873681143919.8958</v>
      </c>
      <c r="S14" s="16">
        <f>'BIFUbC-biomass pre-CHP'!S14+CHP!S135</f>
        <v>1883194880849.4519</v>
      </c>
      <c r="T14" s="16">
        <f>'BIFUbC-biomass pre-CHP'!T14+CHP!T135</f>
        <v>1892708617779.0078</v>
      </c>
      <c r="U14" s="16">
        <f>'BIFUbC-biomass pre-CHP'!U14+CHP!U135</f>
        <v>1902222354708.564</v>
      </c>
      <c r="V14" s="16">
        <f>'BIFUbC-biomass pre-CHP'!V14+CHP!V135</f>
        <v>1911736091638.1196</v>
      </c>
      <c r="W14" s="16">
        <f>'BIFUbC-biomass pre-CHP'!W14+CHP!W135</f>
        <v>1912264935567.9631</v>
      </c>
      <c r="X14" s="16">
        <f>'BIFUbC-biomass pre-CHP'!X14+CHP!X135</f>
        <v>1912793779497.8064</v>
      </c>
      <c r="Y14" s="16">
        <f>'BIFUbC-biomass pre-CHP'!Y14+CHP!Y135</f>
        <v>1913322623427.6497</v>
      </c>
      <c r="Z14" s="16">
        <f>'BIFUbC-biomass pre-CHP'!Z14+CHP!Z135</f>
        <v>1913851467357.4929</v>
      </c>
      <c r="AA14" s="16">
        <f>'BIFUbC-biomass pre-CHP'!AA14+CHP!AA135</f>
        <v>1914380311287.3362</v>
      </c>
      <c r="AB14" s="16">
        <f>'BIFUbC-biomass pre-CHP'!AB14+CHP!AB135</f>
        <v>1914909155217.1794</v>
      </c>
      <c r="AC14" s="16">
        <f>'BIFUbC-biomass pre-CHP'!AC14+CHP!AC135</f>
        <v>1915437999147.0229</v>
      </c>
      <c r="AD14" s="16">
        <f>'BIFUbC-biomass pre-CHP'!AD14+CHP!AD135</f>
        <v>1915966843076.8662</v>
      </c>
      <c r="AE14" s="16">
        <f>'BIFUbC-biomass pre-CHP'!AE14+CHP!AE135</f>
        <v>1916495687006.7095</v>
      </c>
      <c r="AF14" s="16">
        <f>'BIFUbC-biomass pre-CHP'!AF14+CHP!AF135</f>
        <v>1917024530936.5527</v>
      </c>
    </row>
    <row r="15" spans="1:35">
      <c r="A15" t="s">
        <v>58</v>
      </c>
      <c r="B15" s="16">
        <f>'BIFUbC-biomass pre-CHP'!B15+CHP!B136</f>
        <v>2887907273648.8721</v>
      </c>
      <c r="C15" s="16">
        <f>'BIFUbC-biomass pre-CHP'!C15+CHP!C136</f>
        <v>2928046843693.5</v>
      </c>
      <c r="D15" s="16">
        <f>'BIFUbC-biomass pre-CHP'!D15+CHP!D136</f>
        <v>2968186413738.1279</v>
      </c>
      <c r="E15" s="16">
        <f>'BIFUbC-biomass pre-CHP'!E15+CHP!E136</f>
        <v>3008325983782.7554</v>
      </c>
      <c r="F15" s="16">
        <f>'BIFUbC-biomass pre-CHP'!F15+CHP!F136</f>
        <v>3098331041882.8823</v>
      </c>
      <c r="G15" s="16">
        <f>'BIFUbC-biomass pre-CHP'!G15+CHP!G136</f>
        <v>3188336099983.0093</v>
      </c>
      <c r="H15" s="16">
        <f>'BIFUbC-biomass pre-CHP'!H15+CHP!H136</f>
        <v>3278341158083.1357</v>
      </c>
      <c r="I15" s="16">
        <f>'BIFUbC-biomass pre-CHP'!I15+CHP!I136</f>
        <v>3368346216183.2627</v>
      </c>
      <c r="J15" s="16">
        <f>'BIFUbC-biomass pre-CHP'!J15+CHP!J136</f>
        <v>3458351274283.3892</v>
      </c>
      <c r="K15" s="16">
        <f>'BIFUbC-biomass pre-CHP'!K15+CHP!K136</f>
        <v>3548356332383.5156</v>
      </c>
      <c r="L15" s="16">
        <f>'BIFUbC-biomass pre-CHP'!L15+CHP!L136</f>
        <v>3638361390483.6421</v>
      </c>
      <c r="M15" s="16">
        <f>'BIFUbC-biomass pre-CHP'!M15+CHP!M136</f>
        <v>3641149626825.1187</v>
      </c>
      <c r="N15" s="16">
        <f>'BIFUbC-biomass pre-CHP'!N15+CHP!N136</f>
        <v>3643937863166.5957</v>
      </c>
      <c r="O15" s="16">
        <f>'BIFUbC-biomass pre-CHP'!O15+CHP!O136</f>
        <v>3646726099508.0718</v>
      </c>
      <c r="P15" s="16">
        <f>'BIFUbC-biomass pre-CHP'!P15+CHP!P136</f>
        <v>3649514335849.5483</v>
      </c>
      <c r="Q15" s="16">
        <f>'BIFUbC-biomass pre-CHP'!Q15+CHP!Q136</f>
        <v>3652302572191.0244</v>
      </c>
      <c r="R15" s="16">
        <f>'BIFUbC-biomass pre-CHP'!R15+CHP!R136</f>
        <v>3655090808532.5015</v>
      </c>
      <c r="S15" s="16">
        <f>'BIFUbC-biomass pre-CHP'!S15+CHP!S136</f>
        <v>3657879044873.9775</v>
      </c>
      <c r="T15" s="16">
        <f>'BIFUbC-biomass pre-CHP'!T15+CHP!T136</f>
        <v>3660667281215.4551</v>
      </c>
      <c r="U15" s="16">
        <f>'BIFUbC-biomass pre-CHP'!U15+CHP!U136</f>
        <v>3663455517556.9316</v>
      </c>
      <c r="V15" s="16">
        <f>'BIFUbC-biomass pre-CHP'!V15+CHP!V136</f>
        <v>3666243753898.4077</v>
      </c>
      <c r="W15" s="16">
        <f>'BIFUbC-biomass pre-CHP'!W15+CHP!W136</f>
        <v>3660061142880.3501</v>
      </c>
      <c r="X15" s="16">
        <f>'BIFUbC-biomass pre-CHP'!X15+CHP!X136</f>
        <v>3653878531862.2939</v>
      </c>
      <c r="Y15" s="16">
        <f>'BIFUbC-biomass pre-CHP'!Y15+CHP!Y136</f>
        <v>3647695920844.2378</v>
      </c>
      <c r="Z15" s="16">
        <f>'BIFUbC-biomass pre-CHP'!Z15+CHP!Z136</f>
        <v>3641513309826.1807</v>
      </c>
      <c r="AA15" s="16">
        <f>'BIFUbC-biomass pre-CHP'!AA15+CHP!AA136</f>
        <v>3635330698808.1245</v>
      </c>
      <c r="AB15" s="16">
        <f>'BIFUbC-biomass pre-CHP'!AB15+CHP!AB136</f>
        <v>3629148087790.0679</v>
      </c>
      <c r="AC15" s="16">
        <f>'BIFUbC-biomass pre-CHP'!AC15+CHP!AC136</f>
        <v>3622965476772.0117</v>
      </c>
      <c r="AD15" s="16">
        <f>'BIFUbC-biomass pre-CHP'!AD15+CHP!AD136</f>
        <v>3616782865753.9546</v>
      </c>
      <c r="AE15" s="16">
        <f>'BIFUbC-biomass pre-CHP'!AE15+CHP!AE136</f>
        <v>3610600254735.8984</v>
      </c>
      <c r="AF15" s="16">
        <f>'BIFUbC-biomass pre-CHP'!AF15+CHP!AF136</f>
        <v>3604417643717.8423</v>
      </c>
    </row>
    <row r="16" spans="1:35">
      <c r="A16" t="s">
        <v>61</v>
      </c>
      <c r="B16" s="16">
        <f>'BIFUbC-biomass pre-CHP'!B16+CHP!B137</f>
        <v>20964667581843.848</v>
      </c>
      <c r="C16" s="16">
        <f>'BIFUbC-biomass pre-CHP'!C16+CHP!C137</f>
        <v>21997066706988.805</v>
      </c>
      <c r="D16" s="16">
        <f>'BIFUbC-biomass pre-CHP'!D16+CHP!D137</f>
        <v>23029465832133.758</v>
      </c>
      <c r="E16" s="16">
        <f>'BIFUbC-biomass pre-CHP'!E16+CHP!E137</f>
        <v>24061864957278.711</v>
      </c>
      <c r="F16" s="16">
        <f>'BIFUbC-biomass pre-CHP'!F16+CHP!F137</f>
        <v>24320412924217.898</v>
      </c>
      <c r="G16" s="16">
        <f>'BIFUbC-biomass pre-CHP'!G16+CHP!G137</f>
        <v>24578960891157.082</v>
      </c>
      <c r="H16" s="16">
        <f>'BIFUbC-biomass pre-CHP'!H16+CHP!H137</f>
        <v>24837508858096.266</v>
      </c>
      <c r="I16" s="16">
        <f>'BIFUbC-biomass pre-CHP'!I16+CHP!I137</f>
        <v>25096056825035.457</v>
      </c>
      <c r="J16" s="16">
        <f>'BIFUbC-biomass pre-CHP'!J16+CHP!J137</f>
        <v>25354604791974.641</v>
      </c>
      <c r="K16" s="16">
        <f>'BIFUbC-biomass pre-CHP'!K16+CHP!K137</f>
        <v>25613152758913.824</v>
      </c>
      <c r="L16" s="16">
        <f>'BIFUbC-biomass pre-CHP'!L16+CHP!L137</f>
        <v>25871700725853.008</v>
      </c>
      <c r="M16" s="16">
        <f>'BIFUbC-biomass pre-CHP'!M16+CHP!M137</f>
        <v>25895297930813.16</v>
      </c>
      <c r="N16" s="16">
        <f>'BIFUbC-biomass pre-CHP'!N16+CHP!N137</f>
        <v>25918895135773.309</v>
      </c>
      <c r="O16" s="16">
        <f>'BIFUbC-biomass pre-CHP'!O16+CHP!O137</f>
        <v>25942492340733.461</v>
      </c>
      <c r="P16" s="16">
        <f>'BIFUbC-biomass pre-CHP'!P16+CHP!P137</f>
        <v>25966089545693.613</v>
      </c>
      <c r="Q16" s="16">
        <f>'BIFUbC-biomass pre-CHP'!Q16+CHP!Q137</f>
        <v>25989686750653.762</v>
      </c>
      <c r="R16" s="16">
        <f>'BIFUbC-biomass pre-CHP'!R16+CHP!R137</f>
        <v>26013283955613.914</v>
      </c>
      <c r="S16" s="16">
        <f>'BIFUbC-biomass pre-CHP'!S16+CHP!S137</f>
        <v>26036881160574.059</v>
      </c>
      <c r="T16" s="16">
        <f>'BIFUbC-biomass pre-CHP'!T16+CHP!T137</f>
        <v>26060478365534.211</v>
      </c>
      <c r="U16" s="16">
        <f>'BIFUbC-biomass pre-CHP'!U16+CHP!U137</f>
        <v>26084075570494.359</v>
      </c>
      <c r="V16" s="16">
        <f>'BIFUbC-biomass pre-CHP'!V16+CHP!V137</f>
        <v>26107672775454.512</v>
      </c>
      <c r="W16" s="16">
        <f>'BIFUbC-biomass pre-CHP'!W16+CHP!W137</f>
        <v>26050791656466.609</v>
      </c>
      <c r="X16" s="16">
        <f>'BIFUbC-biomass pre-CHP'!X16+CHP!X137</f>
        <v>25993910537478.703</v>
      </c>
      <c r="Y16" s="16">
        <f>'BIFUbC-biomass pre-CHP'!Y16+CHP!Y137</f>
        <v>25937029418490.805</v>
      </c>
      <c r="Z16" s="16">
        <f>'BIFUbC-biomass pre-CHP'!Z16+CHP!Z137</f>
        <v>25880148299502.902</v>
      </c>
      <c r="AA16" s="16">
        <f>'BIFUbC-biomass pre-CHP'!AA16+CHP!AA137</f>
        <v>25823267180515</v>
      </c>
      <c r="AB16" s="16">
        <f>'BIFUbC-biomass pre-CHP'!AB16+CHP!AB137</f>
        <v>25766386061527.098</v>
      </c>
      <c r="AC16" s="16">
        <f>'BIFUbC-biomass pre-CHP'!AC16+CHP!AC137</f>
        <v>25709504942539.191</v>
      </c>
      <c r="AD16" s="16">
        <f>'BIFUbC-biomass pre-CHP'!AD16+CHP!AD137</f>
        <v>25652623823551.293</v>
      </c>
      <c r="AE16" s="16">
        <f>'BIFUbC-biomass pre-CHP'!AE16+CHP!AE137</f>
        <v>25595742704563.391</v>
      </c>
      <c r="AF16" s="16">
        <f>'BIFUbC-biomass pre-CHP'!AF16+CHP!AF137</f>
        <v>25538861585575.488</v>
      </c>
    </row>
    <row r="17" spans="1:32">
      <c r="A17" t="s">
        <v>65</v>
      </c>
      <c r="B17" s="16">
        <f>'BIFUbC-biomass pre-CHP'!B17+CHP!B138</f>
        <v>7057772848924.7031</v>
      </c>
      <c r="C17" s="16">
        <f>'BIFUbC-biomass pre-CHP'!C17+CHP!C138</f>
        <v>7379701865848.1807</v>
      </c>
      <c r="D17" s="16">
        <f>'BIFUbC-biomass pre-CHP'!D17+CHP!D138</f>
        <v>7701630882771.6563</v>
      </c>
      <c r="E17" s="16">
        <f>'BIFUbC-biomass pre-CHP'!E17+CHP!E138</f>
        <v>8023559899695.1328</v>
      </c>
      <c r="F17" s="16">
        <f>'BIFUbC-biomass pre-CHP'!F17+CHP!F138</f>
        <v>8128331792703.8203</v>
      </c>
      <c r="G17" s="16">
        <f>'BIFUbC-biomass pre-CHP'!G17+CHP!G138</f>
        <v>8233103685712.5059</v>
      </c>
      <c r="H17" s="16">
        <f>'BIFUbC-biomass pre-CHP'!H17+CHP!H138</f>
        <v>8337875578721.1934</v>
      </c>
      <c r="I17" s="16">
        <f>'BIFUbC-biomass pre-CHP'!I17+CHP!I138</f>
        <v>8442647471729.8789</v>
      </c>
      <c r="J17" s="16">
        <f>'BIFUbC-biomass pre-CHP'!J17+CHP!J138</f>
        <v>8547419364738.5664</v>
      </c>
      <c r="K17" s="16">
        <f>'BIFUbC-biomass pre-CHP'!K17+CHP!K138</f>
        <v>8652191257747.252</v>
      </c>
      <c r="L17" s="16">
        <f>'BIFUbC-biomass pre-CHP'!L17+CHP!L138</f>
        <v>8756963150755.9385</v>
      </c>
      <c r="M17" s="16">
        <f>'BIFUbC-biomass pre-CHP'!M17+CHP!M138</f>
        <v>8768035590632.9688</v>
      </c>
      <c r="N17" s="16">
        <f>'BIFUbC-biomass pre-CHP'!N17+CHP!N138</f>
        <v>8779108030510</v>
      </c>
      <c r="O17" s="16">
        <f>'BIFUbC-biomass pre-CHP'!O17+CHP!O138</f>
        <v>8790180470387.0303</v>
      </c>
      <c r="P17" s="16">
        <f>'BIFUbC-biomass pre-CHP'!P17+CHP!P138</f>
        <v>8801252910264.0625</v>
      </c>
      <c r="Q17" s="16">
        <f>'BIFUbC-biomass pre-CHP'!Q17+CHP!Q138</f>
        <v>8812325350141.0918</v>
      </c>
      <c r="R17" s="16">
        <f>'BIFUbC-biomass pre-CHP'!R17+CHP!R138</f>
        <v>8823397790018.123</v>
      </c>
      <c r="S17" s="16">
        <f>'BIFUbC-biomass pre-CHP'!S17+CHP!S138</f>
        <v>8834470229895.1543</v>
      </c>
      <c r="T17" s="16">
        <f>'BIFUbC-biomass pre-CHP'!T17+CHP!T138</f>
        <v>8845542669772.1855</v>
      </c>
      <c r="U17" s="16">
        <f>'BIFUbC-biomass pre-CHP'!U17+CHP!U138</f>
        <v>8856615109649.2168</v>
      </c>
      <c r="V17" s="16">
        <f>'BIFUbC-biomass pre-CHP'!V17+CHP!V138</f>
        <v>8867687549526.2461</v>
      </c>
      <c r="W17" s="16">
        <f>'BIFUbC-biomass pre-CHP'!W17+CHP!W138</f>
        <v>8846640371537.0293</v>
      </c>
      <c r="X17" s="16">
        <f>'BIFUbC-biomass pre-CHP'!X17+CHP!X138</f>
        <v>8825593193547.8125</v>
      </c>
      <c r="Y17" s="16">
        <f>'BIFUbC-biomass pre-CHP'!Y17+CHP!Y138</f>
        <v>8804546015558.5977</v>
      </c>
      <c r="Z17" s="16">
        <f>'BIFUbC-biomass pre-CHP'!Z17+CHP!Z138</f>
        <v>8783498837569.3809</v>
      </c>
      <c r="AA17" s="16">
        <f>'BIFUbC-biomass pre-CHP'!AA17+CHP!AA138</f>
        <v>8762451659580.165</v>
      </c>
      <c r="AB17" s="16">
        <f>'BIFUbC-biomass pre-CHP'!AB17+CHP!AB138</f>
        <v>8741404481590.9482</v>
      </c>
      <c r="AC17" s="16">
        <f>'BIFUbC-biomass pre-CHP'!AC17+CHP!AC138</f>
        <v>8720357303601.7314</v>
      </c>
      <c r="AD17" s="16">
        <f>'BIFUbC-biomass pre-CHP'!AD17+CHP!AD138</f>
        <v>8699310125612.5146</v>
      </c>
      <c r="AE17" s="16">
        <f>'BIFUbC-biomass pre-CHP'!AE17+CHP!AE138</f>
        <v>8678262947623.2998</v>
      </c>
      <c r="AF17" s="16">
        <f>'BIFUbC-biomass pre-CHP'!AF17+CHP!AF138</f>
        <v>8657215769634.083</v>
      </c>
    </row>
    <row r="18" spans="1:32">
      <c r="A18" t="s">
        <v>67</v>
      </c>
      <c r="B18" s="16">
        <f>'BIFUbC-biomass pre-CHP'!B18+CHP!B139</f>
        <v>15311979437357.389</v>
      </c>
      <c r="C18" s="16">
        <f>'BIFUbC-biomass pre-CHP'!C18+CHP!C139</f>
        <v>16009247665341.049</v>
      </c>
      <c r="D18" s="16">
        <f>'BIFUbC-biomass pre-CHP'!D18+CHP!D139</f>
        <v>16706515893324.777</v>
      </c>
      <c r="E18" s="16">
        <f>'BIFUbC-biomass pre-CHP'!E18+CHP!E139</f>
        <v>17403784121308.473</v>
      </c>
      <c r="F18" s="16">
        <f>'BIFUbC-biomass pre-CHP'!F18+CHP!F139</f>
        <v>18036508496201.777</v>
      </c>
      <c r="G18" s="16">
        <f>'BIFUbC-biomass pre-CHP'!G18+CHP!G139</f>
        <v>18669232871095.082</v>
      </c>
      <c r="H18" s="16">
        <f>'BIFUbC-biomass pre-CHP'!H18+CHP!H139</f>
        <v>19301957245988.387</v>
      </c>
      <c r="I18" s="16">
        <f>'BIFUbC-biomass pre-CHP'!I18+CHP!I139</f>
        <v>19934681620881.695</v>
      </c>
      <c r="J18" s="16">
        <f>'BIFUbC-biomass pre-CHP'!J18+CHP!J139</f>
        <v>20567405995775</v>
      </c>
      <c r="K18" s="16">
        <f>'BIFUbC-biomass pre-CHP'!K18+CHP!K139</f>
        <v>21200130370668.305</v>
      </c>
      <c r="L18" s="16">
        <f>'BIFUbC-biomass pre-CHP'!L18+CHP!L139</f>
        <v>21832854745561.609</v>
      </c>
      <c r="M18" s="16">
        <f>'BIFUbC-biomass pre-CHP'!M18+CHP!M139</f>
        <v>22035532270981.699</v>
      </c>
      <c r="N18" s="16">
        <f>'BIFUbC-biomass pre-CHP'!N18+CHP!N139</f>
        <v>22238209796401.793</v>
      </c>
      <c r="O18" s="16">
        <f>'BIFUbC-biomass pre-CHP'!O18+CHP!O139</f>
        <v>22440887321821.883</v>
      </c>
      <c r="P18" s="16">
        <f>'BIFUbC-biomass pre-CHP'!P18+CHP!P139</f>
        <v>22643564847241.977</v>
      </c>
      <c r="Q18" s="16">
        <f>'BIFUbC-biomass pre-CHP'!Q18+CHP!Q139</f>
        <v>22846242372662.07</v>
      </c>
      <c r="R18" s="16">
        <f>'BIFUbC-biomass pre-CHP'!R18+CHP!R139</f>
        <v>23048919898082.16</v>
      </c>
      <c r="S18" s="16">
        <f>'BIFUbC-biomass pre-CHP'!S18+CHP!S139</f>
        <v>23251597423502.254</v>
      </c>
      <c r="T18" s="16">
        <f>'BIFUbC-biomass pre-CHP'!T18+CHP!T139</f>
        <v>23454274948922.344</v>
      </c>
      <c r="U18" s="16">
        <f>'BIFUbC-biomass pre-CHP'!U18+CHP!U139</f>
        <v>23656952474342.438</v>
      </c>
      <c r="V18" s="16">
        <f>'BIFUbC-biomass pre-CHP'!V18+CHP!V139</f>
        <v>23859629999762.527</v>
      </c>
      <c r="W18" s="16">
        <f>'BIFUbC-biomass pre-CHP'!W18+CHP!W139</f>
        <v>23889466530241.57</v>
      </c>
      <c r="X18" s="16">
        <f>'BIFUbC-biomass pre-CHP'!X18+CHP!X139</f>
        <v>23919303060720.613</v>
      </c>
      <c r="Y18" s="16">
        <f>'BIFUbC-biomass pre-CHP'!Y18+CHP!Y139</f>
        <v>23949139591199.656</v>
      </c>
      <c r="Z18" s="16">
        <f>'BIFUbC-biomass pre-CHP'!Z18+CHP!Z139</f>
        <v>23978976121678.703</v>
      </c>
      <c r="AA18" s="16">
        <f>'BIFUbC-biomass pre-CHP'!AA18+CHP!AA139</f>
        <v>24008812652157.746</v>
      </c>
      <c r="AB18" s="16">
        <f>'BIFUbC-biomass pre-CHP'!AB18+CHP!AB139</f>
        <v>24038649182636.793</v>
      </c>
      <c r="AC18" s="16">
        <f>'BIFUbC-biomass pre-CHP'!AC18+CHP!AC139</f>
        <v>24068485713115.836</v>
      </c>
      <c r="AD18" s="16">
        <f>'BIFUbC-biomass pre-CHP'!AD18+CHP!AD139</f>
        <v>24098322243594.883</v>
      </c>
      <c r="AE18" s="16">
        <f>'BIFUbC-biomass pre-CHP'!AE18+CHP!AE139</f>
        <v>24128158774073.926</v>
      </c>
      <c r="AF18" s="16">
        <f>'BIFUbC-biomass pre-CHP'!AF18+CHP!AF139</f>
        <v>24157995304552.977</v>
      </c>
    </row>
    <row r="19" spans="1:32">
      <c r="A19" t="s">
        <v>71</v>
      </c>
      <c r="B19" s="16">
        <f>'BIFUbC-biomass pre-CHP'!B19+CHP!B140</f>
        <v>825503328345.49878</v>
      </c>
      <c r="C19" s="16">
        <f>'BIFUbC-biomass pre-CHP'!C19+CHP!C140</f>
        <v>854879384387.00134</v>
      </c>
      <c r="D19" s="16">
        <f>'BIFUbC-biomass pre-CHP'!D19+CHP!D140</f>
        <v>884255440428.51563</v>
      </c>
      <c r="E19" s="16">
        <f>'BIFUbC-biomass pre-CHP'!E19+CHP!E140</f>
        <v>913631496470.02417</v>
      </c>
      <c r="F19" s="16">
        <f>'BIFUbC-biomass pre-CHP'!F19+CHP!F140</f>
        <v>929475784329.76941</v>
      </c>
      <c r="G19" s="16">
        <f>'BIFUbC-biomass pre-CHP'!G19+CHP!G140</f>
        <v>945320072189.51465</v>
      </c>
      <c r="H19" s="16">
        <f>'BIFUbC-biomass pre-CHP'!H19+CHP!H140</f>
        <v>961164360049.26013</v>
      </c>
      <c r="I19" s="16">
        <f>'BIFUbC-biomass pre-CHP'!I19+CHP!I140</f>
        <v>977008647909.00549</v>
      </c>
      <c r="J19" s="16">
        <f>'BIFUbC-biomass pre-CHP'!J19+CHP!J140</f>
        <v>992852935768.75073</v>
      </c>
      <c r="K19" s="16">
        <f>'BIFUbC-biomass pre-CHP'!K19+CHP!K140</f>
        <v>1008697223628.496</v>
      </c>
      <c r="L19" s="16">
        <f>'BIFUbC-biomass pre-CHP'!L19+CHP!L140</f>
        <v>1024541511488.2415</v>
      </c>
      <c r="M19" s="16">
        <f>'BIFUbC-biomass pre-CHP'!M19+CHP!M140</f>
        <v>1030701877686.7189</v>
      </c>
      <c r="N19" s="16">
        <f>'BIFUbC-biomass pre-CHP'!N19+CHP!N140</f>
        <v>1036862243885.1965</v>
      </c>
      <c r="O19" s="16">
        <f>'BIFUbC-biomass pre-CHP'!O19+CHP!O140</f>
        <v>1043022610083.674</v>
      </c>
      <c r="P19" s="16">
        <f>'BIFUbC-biomass pre-CHP'!P19+CHP!P140</f>
        <v>1049182976282.1516</v>
      </c>
      <c r="Q19" s="16">
        <f>'BIFUbC-biomass pre-CHP'!Q19+CHP!Q140</f>
        <v>1055343342480.629</v>
      </c>
      <c r="R19" s="16">
        <f>'BIFUbC-biomass pre-CHP'!R19+CHP!R140</f>
        <v>1061503708679.1067</v>
      </c>
      <c r="S19" s="16">
        <f>'BIFUbC-biomass pre-CHP'!S19+CHP!S140</f>
        <v>1067664074877.5841</v>
      </c>
      <c r="T19" s="16">
        <f>'BIFUbC-biomass pre-CHP'!T19+CHP!T140</f>
        <v>1073824441076.0616</v>
      </c>
      <c r="U19" s="16">
        <f>'BIFUbC-biomass pre-CHP'!U19+CHP!U140</f>
        <v>1079984807274.5392</v>
      </c>
      <c r="V19" s="16">
        <f>'BIFUbC-biomass pre-CHP'!V19+CHP!V140</f>
        <v>1086145173473.0166</v>
      </c>
      <c r="W19" s="16">
        <f>'BIFUbC-biomass pre-CHP'!W19+CHP!W140</f>
        <v>1082924449700.0477</v>
      </c>
      <c r="X19" s="16">
        <f>'BIFUbC-biomass pre-CHP'!X19+CHP!X140</f>
        <v>1079703725927.0795</v>
      </c>
      <c r="Y19" s="16">
        <f>'BIFUbC-biomass pre-CHP'!Y19+CHP!Y140</f>
        <v>1076483002154.1112</v>
      </c>
      <c r="Z19" s="16">
        <f>'BIFUbC-biomass pre-CHP'!Z19+CHP!Z140</f>
        <v>1073262278381.1428</v>
      </c>
      <c r="AA19" s="16">
        <f>'BIFUbC-biomass pre-CHP'!AA19+CHP!AA140</f>
        <v>1070041554608.1746</v>
      </c>
      <c r="AB19" s="16">
        <f>'BIFUbC-biomass pre-CHP'!AB19+CHP!AB140</f>
        <v>1066820830835.2063</v>
      </c>
      <c r="AC19" s="16">
        <f>'BIFUbC-biomass pre-CHP'!AC19+CHP!AC140</f>
        <v>1063600107062.2379</v>
      </c>
      <c r="AD19" s="16">
        <f>'BIFUbC-biomass pre-CHP'!AD19+CHP!AD140</f>
        <v>1060379383289.2697</v>
      </c>
      <c r="AE19" s="16">
        <f>'BIFUbC-biomass pre-CHP'!AE19+CHP!AE140</f>
        <v>1057158659516.3014</v>
      </c>
      <c r="AF19" s="16">
        <f>'BIFUbC-biomass pre-CHP'!AF19+CHP!AF140</f>
        <v>1053937935743.3339</v>
      </c>
    </row>
    <row r="20" spans="1:32">
      <c r="A20" t="s">
        <v>73</v>
      </c>
      <c r="B20" s="16">
        <f>'BIFUbC-biomass pre-CHP'!B20+CHP!B141</f>
        <v>1993481327543.5732</v>
      </c>
      <c r="C20" s="16">
        <f>'BIFUbC-biomass pre-CHP'!C20+CHP!C141</f>
        <v>2074579402729.5103</v>
      </c>
      <c r="D20" s="16">
        <f>'BIFUbC-biomass pre-CHP'!D20+CHP!D141</f>
        <v>2155677477915.4656</v>
      </c>
      <c r="E20" s="16">
        <f>'BIFUbC-biomass pre-CHP'!E20+CHP!E141</f>
        <v>2236775553101.4121</v>
      </c>
      <c r="F20" s="16">
        <f>'BIFUbC-biomass pre-CHP'!F20+CHP!F141</f>
        <v>2297626351361.373</v>
      </c>
      <c r="G20" s="16">
        <f>'BIFUbC-biomass pre-CHP'!G20+CHP!G141</f>
        <v>2358477149621.333</v>
      </c>
      <c r="H20" s="16">
        <f>'BIFUbC-biomass pre-CHP'!H20+CHP!H141</f>
        <v>2419327947881.2944</v>
      </c>
      <c r="I20" s="16">
        <f>'BIFUbC-biomass pre-CHP'!I20+CHP!I141</f>
        <v>2480178746141.2549</v>
      </c>
      <c r="J20" s="16">
        <f>'BIFUbC-biomass pre-CHP'!J20+CHP!J141</f>
        <v>2541029544401.2158</v>
      </c>
      <c r="K20" s="16">
        <f>'BIFUbC-biomass pre-CHP'!K20+CHP!K141</f>
        <v>2601880342661.1768</v>
      </c>
      <c r="L20" s="16">
        <f>'BIFUbC-biomass pre-CHP'!L20+CHP!L141</f>
        <v>2662731140921.1367</v>
      </c>
      <c r="M20" s="16">
        <f>'BIFUbC-biomass pre-CHP'!M20+CHP!M141</f>
        <v>2683501676685.085</v>
      </c>
      <c r="N20" s="16">
        <f>'BIFUbC-biomass pre-CHP'!N20+CHP!N141</f>
        <v>2704272212449.0322</v>
      </c>
      <c r="O20" s="16">
        <f>'BIFUbC-biomass pre-CHP'!O20+CHP!O141</f>
        <v>2725042748212.98</v>
      </c>
      <c r="P20" s="16">
        <f>'BIFUbC-biomass pre-CHP'!P20+CHP!P141</f>
        <v>2745813283976.9277</v>
      </c>
      <c r="Q20" s="16">
        <f>'BIFUbC-biomass pre-CHP'!Q20+CHP!Q141</f>
        <v>2766583819740.875</v>
      </c>
      <c r="R20" s="16">
        <f>'BIFUbC-biomass pre-CHP'!R20+CHP!R141</f>
        <v>2787354355504.8228</v>
      </c>
      <c r="S20" s="16">
        <f>'BIFUbC-biomass pre-CHP'!S20+CHP!S141</f>
        <v>2808124891268.7705</v>
      </c>
      <c r="T20" s="16">
        <f>'BIFUbC-biomass pre-CHP'!T20+CHP!T141</f>
        <v>2828895427032.7178</v>
      </c>
      <c r="U20" s="16">
        <f>'BIFUbC-biomass pre-CHP'!U20+CHP!U141</f>
        <v>2849665962796.6655</v>
      </c>
      <c r="V20" s="16">
        <f>'BIFUbC-biomass pre-CHP'!V20+CHP!V141</f>
        <v>2870436498560.6128</v>
      </c>
      <c r="W20" s="16">
        <f>'BIFUbC-biomass pre-CHP'!W20+CHP!W141</f>
        <v>2868630652489.1567</v>
      </c>
      <c r="X20" s="16">
        <f>'BIFUbC-biomass pre-CHP'!X20+CHP!X141</f>
        <v>2866824806417.7012</v>
      </c>
      <c r="Y20" s="16">
        <f>'BIFUbC-biomass pre-CHP'!Y20+CHP!Y141</f>
        <v>2865018960346.2461</v>
      </c>
      <c r="Z20" s="16">
        <f>'BIFUbC-biomass pre-CHP'!Z20+CHP!Z141</f>
        <v>2863213114274.791</v>
      </c>
      <c r="AA20" s="16">
        <f>'BIFUbC-biomass pre-CHP'!AA20+CHP!AA141</f>
        <v>2861407268203.3359</v>
      </c>
      <c r="AB20" s="16">
        <f>'BIFUbC-biomass pre-CHP'!AB20+CHP!AB141</f>
        <v>2859601422131.8809</v>
      </c>
      <c r="AC20" s="16">
        <f>'BIFUbC-biomass pre-CHP'!AC20+CHP!AC141</f>
        <v>2857795576060.4258</v>
      </c>
      <c r="AD20" s="16">
        <f>'BIFUbC-biomass pre-CHP'!AD20+CHP!AD141</f>
        <v>2855989729988.9707</v>
      </c>
      <c r="AE20" s="16">
        <f>'BIFUbC-biomass pre-CHP'!AE20+CHP!AE141</f>
        <v>2854183883917.5156</v>
      </c>
      <c r="AF20" s="16">
        <f>'BIFUbC-biomass pre-CHP'!AF20+CHP!AF141</f>
        <v>2852378037846.0615</v>
      </c>
    </row>
    <row r="21" spans="1:32">
      <c r="A21" t="s">
        <v>75</v>
      </c>
      <c r="B21" s="16">
        <f>'BIFUbC-biomass pre-CHP'!B21+CHP!B142</f>
        <v>1345520076286.2925</v>
      </c>
      <c r="C21" s="16">
        <f>'BIFUbC-biomass pre-CHP'!C21+CHP!C142</f>
        <v>1393401255936.0127</v>
      </c>
      <c r="D21" s="16">
        <f>'BIFUbC-biomass pre-CHP'!D21+CHP!D142</f>
        <v>1441282435585.7522</v>
      </c>
      <c r="E21" s="16">
        <f>'BIFUbC-biomass pre-CHP'!E21+CHP!E142</f>
        <v>1489163615235.4824</v>
      </c>
      <c r="F21" s="16">
        <f>'BIFUbC-biomass pre-CHP'!F21+CHP!F142</f>
        <v>1514988838075.5579</v>
      </c>
      <c r="G21" s="16">
        <f>'BIFUbC-biomass pre-CHP'!G21+CHP!G142</f>
        <v>1540814060915.6331</v>
      </c>
      <c r="H21" s="16">
        <f>'BIFUbC-biomass pre-CHP'!H21+CHP!H142</f>
        <v>1566639283755.7085</v>
      </c>
      <c r="I21" s="16">
        <f>'BIFUbC-biomass pre-CHP'!I21+CHP!I142</f>
        <v>1592464506595.7842</v>
      </c>
      <c r="J21" s="16">
        <f>'BIFUbC-biomass pre-CHP'!J21+CHP!J142</f>
        <v>1618289729435.8596</v>
      </c>
      <c r="K21" s="16">
        <f>'BIFUbC-biomass pre-CHP'!K21+CHP!K142</f>
        <v>1644114952275.9351</v>
      </c>
      <c r="L21" s="16">
        <f>'BIFUbC-biomass pre-CHP'!L21+CHP!L142</f>
        <v>1669940175116.0105</v>
      </c>
      <c r="M21" s="16">
        <f>'BIFUbC-biomass pre-CHP'!M21+CHP!M142</f>
        <v>1679981196287.833</v>
      </c>
      <c r="N21" s="16">
        <f>'BIFUbC-biomass pre-CHP'!N21+CHP!N142</f>
        <v>1690022217459.6555</v>
      </c>
      <c r="O21" s="16">
        <f>'BIFUbC-biomass pre-CHP'!O21+CHP!O142</f>
        <v>1700063238631.4778</v>
      </c>
      <c r="P21" s="16">
        <f>'BIFUbC-biomass pre-CHP'!P21+CHP!P142</f>
        <v>1710104259803.3</v>
      </c>
      <c r="Q21" s="16">
        <f>'BIFUbC-biomass pre-CHP'!Q21+CHP!Q142</f>
        <v>1720145280975.1223</v>
      </c>
      <c r="R21" s="16">
        <f>'BIFUbC-biomass pre-CHP'!R21+CHP!R142</f>
        <v>1730186302146.9448</v>
      </c>
      <c r="S21" s="16">
        <f>'BIFUbC-biomass pre-CHP'!S21+CHP!S142</f>
        <v>1740227323318.7671</v>
      </c>
      <c r="T21" s="16">
        <f>'BIFUbC-biomass pre-CHP'!T21+CHP!T142</f>
        <v>1750268344490.5894</v>
      </c>
      <c r="U21" s="16">
        <f>'BIFUbC-biomass pre-CHP'!U21+CHP!U142</f>
        <v>1760309365662.4119</v>
      </c>
      <c r="V21" s="16">
        <f>'BIFUbC-biomass pre-CHP'!V21+CHP!V142</f>
        <v>1770350386834.2339</v>
      </c>
      <c r="W21" s="16">
        <f>'BIFUbC-biomass pre-CHP'!W21+CHP!W142</f>
        <v>1765100803521.9688</v>
      </c>
      <c r="X21" s="16">
        <f>'BIFUbC-biomass pre-CHP'!X21+CHP!X142</f>
        <v>1759851220209.7041</v>
      </c>
      <c r="Y21" s="16">
        <f>'BIFUbC-biomass pre-CHP'!Y21+CHP!Y142</f>
        <v>1754601636897.4395</v>
      </c>
      <c r="Z21" s="16">
        <f>'BIFUbC-biomass pre-CHP'!Z21+CHP!Z142</f>
        <v>1749352053585.1748</v>
      </c>
      <c r="AA21" s="16">
        <f>'BIFUbC-biomass pre-CHP'!AA21+CHP!AA142</f>
        <v>1744102470272.9104</v>
      </c>
      <c r="AB21" s="16">
        <f>'BIFUbC-biomass pre-CHP'!AB21+CHP!AB142</f>
        <v>1738852886960.6458</v>
      </c>
      <c r="AC21" s="16">
        <f>'BIFUbC-biomass pre-CHP'!AC21+CHP!AC142</f>
        <v>1733603303648.3813</v>
      </c>
      <c r="AD21" s="16">
        <f>'BIFUbC-biomass pre-CHP'!AD21+CHP!AD142</f>
        <v>1728353720336.1167</v>
      </c>
      <c r="AE21" s="16">
        <f>'BIFUbC-biomass pre-CHP'!AE21+CHP!AE142</f>
        <v>1723104137023.8523</v>
      </c>
      <c r="AF21" s="16">
        <f>'BIFUbC-biomass pre-CHP'!AF21+CHP!AF142</f>
        <v>1717854553711.5889</v>
      </c>
    </row>
    <row r="22" spans="1:32">
      <c r="A22" t="s">
        <v>78</v>
      </c>
      <c r="B22" s="16">
        <f>'BIFUbC-biomass pre-CHP'!B22+CHP!B143</f>
        <v>344561718063.06427</v>
      </c>
      <c r="C22" s="16">
        <f>'BIFUbC-biomass pre-CHP'!C22+CHP!C143</f>
        <v>356823163888.92609</v>
      </c>
      <c r="D22" s="16">
        <f>'BIFUbC-biomass pre-CHP'!D22+CHP!D143</f>
        <v>369084609714.79291</v>
      </c>
      <c r="E22" s="16">
        <f>'BIFUbC-biomass pre-CHP'!E22+CHP!E143</f>
        <v>381346055540.65723</v>
      </c>
      <c r="F22" s="16">
        <f>'BIFUbC-biomass pre-CHP'!F22+CHP!F143</f>
        <v>387959396588.45331</v>
      </c>
      <c r="G22" s="16">
        <f>'BIFUbC-biomass pre-CHP'!G22+CHP!G143</f>
        <v>394572737636.24939</v>
      </c>
      <c r="H22" s="16">
        <f>'BIFUbC-biomass pre-CHP'!H22+CHP!H143</f>
        <v>401186078684.04559</v>
      </c>
      <c r="I22" s="16">
        <f>'BIFUbC-biomass pre-CHP'!I22+CHP!I143</f>
        <v>407799419731.84167</v>
      </c>
      <c r="J22" s="16">
        <f>'BIFUbC-biomass pre-CHP'!J22+CHP!J143</f>
        <v>414412760779.63782</v>
      </c>
      <c r="K22" s="16">
        <f>'BIFUbC-biomass pre-CHP'!K22+CHP!K143</f>
        <v>421026101827.4339</v>
      </c>
      <c r="L22" s="16">
        <f>'BIFUbC-biomass pre-CHP'!L22+CHP!L143</f>
        <v>427639442875.22998</v>
      </c>
      <c r="M22" s="16">
        <f>'BIFUbC-biomass pre-CHP'!M22+CHP!M143</f>
        <v>430210754568.78705</v>
      </c>
      <c r="N22" s="16">
        <f>'BIFUbC-biomass pre-CHP'!N22+CHP!N143</f>
        <v>432782066262.34412</v>
      </c>
      <c r="O22" s="16">
        <f>'BIFUbC-biomass pre-CHP'!O22+CHP!O143</f>
        <v>435353377955.90118</v>
      </c>
      <c r="P22" s="16">
        <f>'BIFUbC-biomass pre-CHP'!P22+CHP!P143</f>
        <v>437924689649.45825</v>
      </c>
      <c r="Q22" s="16">
        <f>'BIFUbC-biomass pre-CHP'!Q22+CHP!Q143</f>
        <v>440496001343.01532</v>
      </c>
      <c r="R22" s="16">
        <f>'BIFUbC-biomass pre-CHP'!R22+CHP!R143</f>
        <v>443067313036.57227</v>
      </c>
      <c r="S22" s="16">
        <f>'BIFUbC-biomass pre-CHP'!S22+CHP!S143</f>
        <v>445638624730.12933</v>
      </c>
      <c r="T22" s="16">
        <f>'BIFUbC-biomass pre-CHP'!T22+CHP!T143</f>
        <v>448209936423.6864</v>
      </c>
      <c r="U22" s="16">
        <f>'BIFUbC-biomass pre-CHP'!U22+CHP!U143</f>
        <v>450781248117.24347</v>
      </c>
      <c r="V22" s="16">
        <f>'BIFUbC-biomass pre-CHP'!V22+CHP!V143</f>
        <v>453352559810.80042</v>
      </c>
      <c r="W22" s="16">
        <f>'BIFUbC-biomass pre-CHP'!W22+CHP!W143</f>
        <v>452008242860.74658</v>
      </c>
      <c r="X22" s="16">
        <f>'BIFUbC-biomass pre-CHP'!X22+CHP!X143</f>
        <v>450663925910.69299</v>
      </c>
      <c r="Y22" s="16">
        <f>'BIFUbC-biomass pre-CHP'!Y22+CHP!Y143</f>
        <v>449319608960.63947</v>
      </c>
      <c r="Z22" s="16">
        <f>'BIFUbC-biomass pre-CHP'!Z22+CHP!Z143</f>
        <v>447975292010.58582</v>
      </c>
      <c r="AA22" s="16">
        <f>'BIFUbC-biomass pre-CHP'!AA22+CHP!AA143</f>
        <v>446630975060.53223</v>
      </c>
      <c r="AB22" s="16">
        <f>'BIFUbC-biomass pre-CHP'!AB22+CHP!AB143</f>
        <v>445286658110.4787</v>
      </c>
      <c r="AC22" s="16">
        <f>'BIFUbC-biomass pre-CHP'!AC22+CHP!AC143</f>
        <v>443942341160.42511</v>
      </c>
      <c r="AD22" s="16">
        <f>'BIFUbC-biomass pre-CHP'!AD22+CHP!AD143</f>
        <v>442598024210.37146</v>
      </c>
      <c r="AE22" s="16">
        <f>'BIFUbC-biomass pre-CHP'!AE22+CHP!AE143</f>
        <v>441253707260.31787</v>
      </c>
      <c r="AF22" s="16">
        <f>'BIFUbC-biomass pre-CHP'!AF22+CHP!AF143</f>
        <v>439909390310.26465</v>
      </c>
    </row>
    <row r="23" spans="1:32">
      <c r="A23" t="s">
        <v>80</v>
      </c>
      <c r="B23" s="16">
        <f>'BIFUbC-biomass pre-CHP'!B23+CHP!B144</f>
        <v>792449548651.40576</v>
      </c>
      <c r="C23" s="16">
        <f>'BIFUbC-biomass pre-CHP'!C23+CHP!C144</f>
        <v>829047476572.65186</v>
      </c>
      <c r="D23" s="16">
        <f>'BIFUbC-biomass pre-CHP'!D23+CHP!D144</f>
        <v>865645404493.89783</v>
      </c>
      <c r="E23" s="16">
        <f>'BIFUbC-biomass pre-CHP'!E23+CHP!E144</f>
        <v>902243332415.14392</v>
      </c>
      <c r="F23" s="16">
        <f>'BIFUbC-biomass pre-CHP'!F23+CHP!F144</f>
        <v>912293350798.20166</v>
      </c>
      <c r="G23" s="16">
        <f>'BIFUbC-biomass pre-CHP'!G23+CHP!G144</f>
        <v>922343369181.25928</v>
      </c>
      <c r="H23" s="16">
        <f>'BIFUbC-biomass pre-CHP'!H23+CHP!H144</f>
        <v>932393387564.31689</v>
      </c>
      <c r="I23" s="16">
        <f>'BIFUbC-biomass pre-CHP'!I23+CHP!I144</f>
        <v>942443405947.37463</v>
      </c>
      <c r="J23" s="16">
        <f>'BIFUbC-biomass pre-CHP'!J23+CHP!J144</f>
        <v>952493424330.43237</v>
      </c>
      <c r="K23" s="16">
        <f>'BIFUbC-biomass pre-CHP'!K23+CHP!K144</f>
        <v>962543442713.48999</v>
      </c>
      <c r="L23" s="16">
        <f>'BIFUbC-biomass pre-CHP'!L23+CHP!L144</f>
        <v>972593461096.54773</v>
      </c>
      <c r="M23" s="16">
        <f>'BIFUbC-biomass pre-CHP'!M23+CHP!M144</f>
        <v>977714333674.10156</v>
      </c>
      <c r="N23" s="16">
        <f>'BIFUbC-biomass pre-CHP'!N23+CHP!N144</f>
        <v>982835206251.6554</v>
      </c>
      <c r="O23" s="16">
        <f>'BIFUbC-biomass pre-CHP'!O23+CHP!O144</f>
        <v>987956078829.20911</v>
      </c>
      <c r="P23" s="16">
        <f>'BIFUbC-biomass pre-CHP'!P23+CHP!P144</f>
        <v>993076951406.76294</v>
      </c>
      <c r="Q23" s="16">
        <f>'BIFUbC-biomass pre-CHP'!Q23+CHP!Q144</f>
        <v>998197823984.31665</v>
      </c>
      <c r="R23" s="16">
        <f>'BIFUbC-biomass pre-CHP'!R23+CHP!R144</f>
        <v>1003318696561.8704</v>
      </c>
      <c r="S23" s="16">
        <f>'BIFUbC-biomass pre-CHP'!S23+CHP!S144</f>
        <v>1008439569139.4242</v>
      </c>
      <c r="T23" s="16">
        <f>'BIFUbC-biomass pre-CHP'!T23+CHP!T144</f>
        <v>1013560441716.9779</v>
      </c>
      <c r="U23" s="16">
        <f>'BIFUbC-biomass pre-CHP'!U23+CHP!U144</f>
        <v>1018681314294.5319</v>
      </c>
      <c r="V23" s="16">
        <f>'BIFUbC-biomass pre-CHP'!V23+CHP!V144</f>
        <v>1023802186872.0856</v>
      </c>
      <c r="W23" s="16">
        <f>'BIFUbC-biomass pre-CHP'!W23+CHP!W144</f>
        <v>1024125592461.2279</v>
      </c>
      <c r="X23" s="16">
        <f>'BIFUbC-biomass pre-CHP'!X23+CHP!X144</f>
        <v>1024448998050.3704</v>
      </c>
      <c r="Y23" s="16">
        <f>'BIFUbC-biomass pre-CHP'!Y23+CHP!Y144</f>
        <v>1024772403639.5127</v>
      </c>
      <c r="Z23" s="16">
        <f>'BIFUbC-biomass pre-CHP'!Z23+CHP!Z144</f>
        <v>1025095809228.6552</v>
      </c>
      <c r="AA23" s="16">
        <f>'BIFUbC-biomass pre-CHP'!AA23+CHP!AA144</f>
        <v>1025419214817.7975</v>
      </c>
      <c r="AB23" s="16">
        <f>'BIFUbC-biomass pre-CHP'!AB23+CHP!AB144</f>
        <v>1025742620406.9399</v>
      </c>
      <c r="AC23" s="16">
        <f>'BIFUbC-biomass pre-CHP'!AC23+CHP!AC144</f>
        <v>1026066025996.0823</v>
      </c>
      <c r="AD23" s="16">
        <f>'BIFUbC-biomass pre-CHP'!AD23+CHP!AD144</f>
        <v>1026389431585.2246</v>
      </c>
      <c r="AE23" s="16">
        <f>'BIFUbC-biomass pre-CHP'!AE23+CHP!AE144</f>
        <v>1026712837174.3671</v>
      </c>
      <c r="AF23" s="16">
        <f>'BIFUbC-biomass pre-CHP'!AF23+CHP!AF144</f>
        <v>1027036242763.5095</v>
      </c>
    </row>
    <row r="24" spans="1:32">
      <c r="A24" t="s">
        <v>82</v>
      </c>
      <c r="B24" s="16">
        <f>'BIFUbC-biomass pre-CHP'!B24+CHP!B145</f>
        <v>0</v>
      </c>
      <c r="C24" s="16">
        <f>'BIFUbC-biomass pre-CHP'!C24+CHP!C145</f>
        <v>0</v>
      </c>
      <c r="D24" s="16">
        <f>'BIFUbC-biomass pre-CHP'!D24+CHP!D145</f>
        <v>1</v>
      </c>
      <c r="E24" s="16">
        <f>'BIFUbC-biomass pre-CHP'!E24+CHP!E145</f>
        <v>2</v>
      </c>
      <c r="F24" s="16">
        <f>'BIFUbC-biomass pre-CHP'!F24+CHP!F145</f>
        <v>3</v>
      </c>
      <c r="G24" s="16">
        <f>'BIFUbC-biomass pre-CHP'!G24+CHP!G145</f>
        <v>4</v>
      </c>
      <c r="H24" s="16">
        <f>'BIFUbC-biomass pre-CHP'!H24+CHP!H145</f>
        <v>5</v>
      </c>
      <c r="I24" s="16">
        <f>'BIFUbC-biomass pre-CHP'!I24+CHP!I145</f>
        <v>6</v>
      </c>
      <c r="J24" s="16">
        <f>'BIFUbC-biomass pre-CHP'!J24+CHP!J145</f>
        <v>7</v>
      </c>
      <c r="K24" s="16">
        <f>'BIFUbC-biomass pre-CHP'!K24+CHP!K145</f>
        <v>8</v>
      </c>
      <c r="L24" s="16">
        <f>'BIFUbC-biomass pre-CHP'!L24+CHP!L145</f>
        <v>9</v>
      </c>
      <c r="M24" s="16">
        <f>'BIFUbC-biomass pre-CHP'!M24+CHP!M145</f>
        <v>10</v>
      </c>
      <c r="N24" s="16">
        <f>'BIFUbC-biomass pre-CHP'!N24+CHP!N145</f>
        <v>11</v>
      </c>
      <c r="O24" s="16">
        <f>'BIFUbC-biomass pre-CHP'!O24+CHP!O145</f>
        <v>12</v>
      </c>
      <c r="P24" s="16">
        <f>'BIFUbC-biomass pre-CHP'!P24+CHP!P145</f>
        <v>13</v>
      </c>
      <c r="Q24" s="16">
        <f>'BIFUbC-biomass pre-CHP'!Q24+CHP!Q145</f>
        <v>14</v>
      </c>
      <c r="R24" s="16">
        <f>'BIFUbC-biomass pre-CHP'!R24+CHP!R145</f>
        <v>15</v>
      </c>
      <c r="S24" s="16">
        <f>'BIFUbC-biomass pre-CHP'!S24+CHP!S145</f>
        <v>16</v>
      </c>
      <c r="T24" s="16">
        <f>'BIFUbC-biomass pre-CHP'!T24+CHP!T145</f>
        <v>17</v>
      </c>
      <c r="U24" s="16">
        <f>'BIFUbC-biomass pre-CHP'!U24+CHP!U145</f>
        <v>18</v>
      </c>
      <c r="V24" s="16">
        <f>'BIFUbC-biomass pre-CHP'!V24+CHP!V145</f>
        <v>19</v>
      </c>
      <c r="W24" s="16">
        <f>'BIFUbC-biomass pre-CHP'!W24+CHP!W145</f>
        <v>20</v>
      </c>
      <c r="X24" s="16">
        <f>'BIFUbC-biomass pre-CHP'!X24+CHP!X145</f>
        <v>21</v>
      </c>
      <c r="Y24" s="16">
        <f>'BIFUbC-biomass pre-CHP'!Y24+CHP!Y145</f>
        <v>22</v>
      </c>
      <c r="Z24" s="16">
        <f>'BIFUbC-biomass pre-CHP'!Z24+CHP!Z145</f>
        <v>23</v>
      </c>
      <c r="AA24" s="16">
        <f>'BIFUbC-biomass pre-CHP'!AA24+CHP!AA145</f>
        <v>24</v>
      </c>
      <c r="AB24" s="16">
        <f>'BIFUbC-biomass pre-CHP'!AB24+CHP!AB145</f>
        <v>25</v>
      </c>
      <c r="AC24" s="16">
        <f>'BIFUbC-biomass pre-CHP'!AC24+CHP!AC145</f>
        <v>26</v>
      </c>
      <c r="AD24" s="16">
        <f>'BIFUbC-biomass pre-CHP'!AD24+CHP!AD145</f>
        <v>27</v>
      </c>
      <c r="AE24" s="16">
        <f>'BIFUbC-biomass pre-CHP'!AE24+CHP!AE145</f>
        <v>28</v>
      </c>
      <c r="AF24" s="16">
        <f>'BIFUbC-biomass pre-CHP'!AF24+CHP!AF145</f>
        <v>29</v>
      </c>
    </row>
    <row r="25" spans="1:32">
      <c r="A25" t="s">
        <v>85</v>
      </c>
      <c r="B25" s="16">
        <f>'BIFUbC-biomass pre-CHP'!B25+CHP!B146</f>
        <v>149539572658.57932</v>
      </c>
      <c r="C25" s="16">
        <f>'BIFUbC-biomass pre-CHP'!C25+CHP!C146</f>
        <v>149689112231.23785</v>
      </c>
      <c r="D25" s="16">
        <f>'BIFUbC-biomass pre-CHP'!D25+CHP!D146</f>
        <v>149838801343.46909</v>
      </c>
      <c r="E25" s="16">
        <f>'BIFUbC-biomass pre-CHP'!E25+CHP!E146</f>
        <v>149988640144.81253</v>
      </c>
      <c r="F25" s="16">
        <f>'BIFUbC-biomass pre-CHP'!F25+CHP!F146</f>
        <v>150138628784.95734</v>
      </c>
      <c r="G25" s="16">
        <f>'BIFUbC-biomass pre-CHP'!G25+CHP!G146</f>
        <v>150288767413.74228</v>
      </c>
      <c r="H25" s="16">
        <f>'BIFUbC-biomass pre-CHP'!H25+CHP!H146</f>
        <v>150439056181.15601</v>
      </c>
      <c r="I25" s="16">
        <f>'BIFUbC-biomass pre-CHP'!I25+CHP!I146</f>
        <v>150589495237.33716</v>
      </c>
      <c r="J25" s="16">
        <f>'BIFUbC-biomass pre-CHP'!J25+CHP!J146</f>
        <v>150740084732.57449</v>
      </c>
      <c r="K25" s="16">
        <f>'BIFUbC-biomass pre-CHP'!K25+CHP!K146</f>
        <v>150890824817.30704</v>
      </c>
      <c r="L25" s="16">
        <f>'BIFUbC-biomass pre-CHP'!L25+CHP!L146</f>
        <v>151041715642.12433</v>
      </c>
      <c r="M25" s="16">
        <f>'BIFUbC-biomass pre-CHP'!M25+CHP!M146</f>
        <v>151192757357.76645</v>
      </c>
      <c r="N25" s="16">
        <f>'BIFUbC-biomass pre-CHP'!N25+CHP!N146</f>
        <v>151343950115.12418</v>
      </c>
      <c r="O25" s="16">
        <f>'BIFUbC-biomass pre-CHP'!O25+CHP!O146</f>
        <v>151495294065.23929</v>
      </c>
      <c r="P25" s="16">
        <f>'BIFUbC-biomass pre-CHP'!P25+CHP!P146</f>
        <v>151646789359.3045</v>
      </c>
      <c r="Q25" s="16">
        <f>'BIFUbC-biomass pre-CHP'!Q25+CHP!Q146</f>
        <v>151798436148.66379</v>
      </c>
      <c r="R25" s="16">
        <f>'BIFUbC-biomass pre-CHP'!R25+CHP!R146</f>
        <v>151950234584.81244</v>
      </c>
      <c r="S25" s="16">
        <f>'BIFUbC-biomass pre-CHP'!S25+CHP!S146</f>
        <v>152102184819.39722</v>
      </c>
      <c r="T25" s="16">
        <f>'BIFUbC-biomass pre-CHP'!T25+CHP!T146</f>
        <v>152254287004.21661</v>
      </c>
      <c r="U25" s="16">
        <f>'BIFUbC-biomass pre-CHP'!U25+CHP!U146</f>
        <v>152406541291.22083</v>
      </c>
      <c r="V25" s="16">
        <f>'BIFUbC-biomass pre-CHP'!V25+CHP!V146</f>
        <v>152558947832.51199</v>
      </c>
      <c r="W25" s="16">
        <f>'BIFUbC-biomass pre-CHP'!W25+CHP!W146</f>
        <v>151796153093.34943</v>
      </c>
      <c r="X25" s="16">
        <f>'BIFUbC-biomass pre-CHP'!X25+CHP!X146</f>
        <v>151037172327.88269</v>
      </c>
      <c r="Y25" s="16">
        <f>'BIFUbC-biomass pre-CHP'!Y25+CHP!Y146</f>
        <v>150281986466.24326</v>
      </c>
      <c r="Z25" s="16">
        <f>'BIFUbC-biomass pre-CHP'!Z25+CHP!Z146</f>
        <v>149530576533.91205</v>
      </c>
      <c r="AA25" s="16">
        <f>'BIFUbC-biomass pre-CHP'!AA25+CHP!AA146</f>
        <v>148782923651.24249</v>
      </c>
      <c r="AB25" s="16">
        <f>'BIFUbC-biomass pre-CHP'!AB25+CHP!AB146</f>
        <v>148039009032.98627</v>
      </c>
      <c r="AC25" s="16">
        <f>'BIFUbC-biomass pre-CHP'!AC25+CHP!AC146</f>
        <v>147298813987.82135</v>
      </c>
      <c r="AD25" s="16">
        <f>'BIFUbC-biomass pre-CHP'!AD25+CHP!AD146</f>
        <v>146562319917.88226</v>
      </c>
      <c r="AE25" s="16">
        <f>'BIFUbC-biomass pre-CHP'!AE25+CHP!AE146</f>
        <v>145829508318.29282</v>
      </c>
      <c r="AF25" s="16">
        <f>'BIFUbC-biomass pre-CHP'!AF25+CHP!AF146</f>
        <v>145100360776.70135</v>
      </c>
    </row>
    <row r="26" spans="1:32">
      <c r="A26" t="s">
        <v>89</v>
      </c>
      <c r="B26" s="16">
        <f>'BIFUbC-biomass pre-CHP'!B26+CHP!B147</f>
        <v>58232236863.436943</v>
      </c>
      <c r="C26" s="16">
        <f>'BIFUbC-biomass pre-CHP'!C26+CHP!C147</f>
        <v>61137119722.636139</v>
      </c>
      <c r="D26" s="16">
        <f>'BIFUbC-biomass pre-CHP'!D26+CHP!D147</f>
        <v>64042002581.835342</v>
      </c>
      <c r="E26" s="16">
        <f>'BIFUbC-biomass pre-CHP'!E26+CHP!E147</f>
        <v>66946885441.034538</v>
      </c>
      <c r="F26" s="16">
        <f>'BIFUbC-biomass pre-CHP'!F26+CHP!F147</f>
        <v>67682866417.950851</v>
      </c>
      <c r="G26" s="16">
        <f>'BIFUbC-biomass pre-CHP'!G26+CHP!G147</f>
        <v>68418847394.867172</v>
      </c>
      <c r="H26" s="16">
        <f>'BIFUbC-biomass pre-CHP'!H26+CHP!H147</f>
        <v>69154828371.783493</v>
      </c>
      <c r="I26" s="16">
        <f>'BIFUbC-biomass pre-CHP'!I26+CHP!I147</f>
        <v>69890809348.699799</v>
      </c>
      <c r="J26" s="16">
        <f>'BIFUbC-biomass pre-CHP'!J26+CHP!J147</f>
        <v>70626790325.616119</v>
      </c>
      <c r="K26" s="16">
        <f>'BIFUbC-biomass pre-CHP'!K26+CHP!K147</f>
        <v>71362771302.53244</v>
      </c>
      <c r="L26" s="16">
        <f>'BIFUbC-biomass pre-CHP'!L26+CHP!L147</f>
        <v>72098752279.448761</v>
      </c>
      <c r="M26" s="16">
        <f>'BIFUbC-biomass pre-CHP'!M26+CHP!M147</f>
        <v>72547238497.127045</v>
      </c>
      <c r="N26" s="16">
        <f>'BIFUbC-biomass pre-CHP'!N26+CHP!N147</f>
        <v>72995724714.805328</v>
      </c>
      <c r="O26" s="16">
        <f>'BIFUbC-biomass pre-CHP'!O26+CHP!O147</f>
        <v>73444210932.483627</v>
      </c>
      <c r="P26" s="16">
        <f>'BIFUbC-biomass pre-CHP'!P26+CHP!P147</f>
        <v>73892697150.161911</v>
      </c>
      <c r="Q26" s="16">
        <f>'BIFUbC-biomass pre-CHP'!Q26+CHP!Q147</f>
        <v>74341183367.840225</v>
      </c>
      <c r="R26" s="16">
        <f>'BIFUbC-biomass pre-CHP'!R26+CHP!R147</f>
        <v>74789669585.518509</v>
      </c>
      <c r="S26" s="16">
        <f>'BIFUbC-biomass pre-CHP'!S26+CHP!S147</f>
        <v>75238155803.196808</v>
      </c>
      <c r="T26" s="16">
        <f>'BIFUbC-biomass pre-CHP'!T26+CHP!T147</f>
        <v>75686642020.875092</v>
      </c>
      <c r="U26" s="16">
        <f>'BIFUbC-biomass pre-CHP'!U26+CHP!U147</f>
        <v>76135128238.553391</v>
      </c>
      <c r="V26" s="16">
        <f>'BIFUbC-biomass pre-CHP'!V26+CHP!V147</f>
        <v>76583614456.231674</v>
      </c>
      <c r="W26" s="16">
        <f>'BIFUbC-biomass pre-CHP'!W26+CHP!W147</f>
        <v>76709217781.820404</v>
      </c>
      <c r="X26" s="16">
        <f>'BIFUbC-biomass pre-CHP'!X26+CHP!X147</f>
        <v>76834821107.409119</v>
      </c>
      <c r="Y26" s="16">
        <f>'BIFUbC-biomass pre-CHP'!Y26+CHP!Y147</f>
        <v>76960424432.997849</v>
      </c>
      <c r="Z26" s="16">
        <f>'BIFUbC-biomass pre-CHP'!Z26+CHP!Z147</f>
        <v>77086027758.586548</v>
      </c>
      <c r="AA26" s="16">
        <f>'BIFUbC-biomass pre-CHP'!AA26+CHP!AA147</f>
        <v>77211631084.175278</v>
      </c>
      <c r="AB26" s="16">
        <f>'BIFUbC-biomass pre-CHP'!AB26+CHP!AB147</f>
        <v>77337234409.763992</v>
      </c>
      <c r="AC26" s="16">
        <f>'BIFUbC-biomass pre-CHP'!AC26+CHP!AC147</f>
        <v>77462837735.352722</v>
      </c>
      <c r="AD26" s="16">
        <f>'BIFUbC-biomass pre-CHP'!AD26+CHP!AD147</f>
        <v>77588441060.941422</v>
      </c>
      <c r="AE26" s="16">
        <f>'BIFUbC-biomass pre-CHP'!AE26+CHP!AE147</f>
        <v>77714044386.530151</v>
      </c>
      <c r="AF26" s="16">
        <f>'BIFUbC-biomass pre-CHP'!AF26+CHP!AF147</f>
        <v>77839647712.118866</v>
      </c>
    </row>
  </sheetData>
  <phoneticPr fontId="35" type="noConversion"/>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22" workbookViewId="0"/>
  </sheetViews>
  <sheetFormatPr defaultColWidth="9.125" defaultRowHeight="16.5"/>
  <cols>
    <col min="1" max="1" width="39.625" customWidth="1"/>
    <col min="2" max="33" width="11.625" customWidth="1"/>
    <col min="34" max="35" width="9.5" bestFit="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'BIFUbC-petroleum-diesel pre-CHP'!B2+CHP!B67</f>
        <v>6609046639163.6904</v>
      </c>
      <c r="C2" s="16">
        <f>'BIFUbC-petroleum-diesel pre-CHP'!C2+CHP!C67</f>
        <v>6275550710029.4551</v>
      </c>
      <c r="D2" s="16">
        <f>'BIFUbC-petroleum-diesel pre-CHP'!D2+CHP!D67</f>
        <v>5942054780895.2197</v>
      </c>
      <c r="E2" s="16">
        <f>'BIFUbC-petroleum-diesel pre-CHP'!E2+CHP!E67</f>
        <v>5608558851760.9844</v>
      </c>
      <c r="F2" s="16">
        <f>'BIFUbC-petroleum-diesel pre-CHP'!F2+CHP!F67</f>
        <v>5557806261468.7773</v>
      </c>
      <c r="G2" s="16">
        <f>'BIFUbC-petroleum-diesel pre-CHP'!G2+CHP!G67</f>
        <v>5507053671176.5693</v>
      </c>
      <c r="H2" s="16">
        <f>'BIFUbC-petroleum-diesel pre-CHP'!H2+CHP!H67</f>
        <v>5456301080884.3613</v>
      </c>
      <c r="I2" s="16">
        <f>'BIFUbC-petroleum-diesel pre-CHP'!I2+CHP!I67</f>
        <v>5405548490592.1533</v>
      </c>
      <c r="J2" s="16">
        <f>'BIFUbC-petroleum-diesel pre-CHP'!J2+CHP!J67</f>
        <v>5354795900299.9453</v>
      </c>
      <c r="K2" s="16">
        <f>'BIFUbC-petroleum-diesel pre-CHP'!K2+CHP!K67</f>
        <v>5304043310007.7373</v>
      </c>
      <c r="L2" s="16">
        <f>'BIFUbC-petroleum-diesel pre-CHP'!L2+CHP!L67</f>
        <v>5253290719715.5293</v>
      </c>
      <c r="M2" s="16">
        <f>'BIFUbC-petroleum-diesel pre-CHP'!M2+CHP!M67</f>
        <v>5245019314392.8828</v>
      </c>
      <c r="N2" s="16">
        <f>'BIFUbC-petroleum-diesel pre-CHP'!N2+CHP!N67</f>
        <v>5236747909070.2344</v>
      </c>
      <c r="O2" s="16">
        <f>'BIFUbC-petroleum-diesel pre-CHP'!O2+CHP!O67</f>
        <v>5228476503747.5879</v>
      </c>
      <c r="P2" s="16">
        <f>'BIFUbC-petroleum-diesel pre-CHP'!P2+CHP!P67</f>
        <v>5220205098424.9404</v>
      </c>
      <c r="Q2" s="16">
        <f>'BIFUbC-petroleum-diesel pre-CHP'!Q2+CHP!Q67</f>
        <v>5211933693102.293</v>
      </c>
      <c r="R2" s="16">
        <f>'BIFUbC-petroleum-diesel pre-CHP'!R2+CHP!R67</f>
        <v>5203662287779.6455</v>
      </c>
      <c r="S2" s="16">
        <f>'BIFUbC-petroleum-diesel pre-CHP'!S2+CHP!S67</f>
        <v>5195390882456.999</v>
      </c>
      <c r="T2" s="16">
        <f>'BIFUbC-petroleum-diesel pre-CHP'!T2+CHP!T67</f>
        <v>5187119477134.3516</v>
      </c>
      <c r="U2" s="16">
        <f>'BIFUbC-petroleum-diesel pre-CHP'!U2+CHP!U67</f>
        <v>5178848071811.7041</v>
      </c>
      <c r="V2" s="16">
        <f>'BIFUbC-petroleum-diesel pre-CHP'!V2+CHP!V67</f>
        <v>5170576666489.0566</v>
      </c>
      <c r="W2" s="16">
        <f>'BIFUbC-petroleum-diesel pre-CHP'!W2+CHP!W67</f>
        <v>5124641654883.8047</v>
      </c>
      <c r="X2" s="16">
        <f>'BIFUbC-petroleum-diesel pre-CHP'!X2+CHP!X67</f>
        <v>5078706643278.5518</v>
      </c>
      <c r="Y2" s="16">
        <f>'BIFUbC-petroleum-diesel pre-CHP'!Y2+CHP!Y67</f>
        <v>5032771631673.2998</v>
      </c>
      <c r="Z2" s="16">
        <f>'BIFUbC-petroleum-diesel pre-CHP'!Z2+CHP!Z67</f>
        <v>4986836620068.0469</v>
      </c>
      <c r="AA2" s="16">
        <f>'BIFUbC-petroleum-diesel pre-CHP'!AA2+CHP!AA67</f>
        <v>4940901608462.7949</v>
      </c>
      <c r="AB2" s="16">
        <f>'BIFUbC-petroleum-diesel pre-CHP'!AB2+CHP!AB67</f>
        <v>4894966596857.543</v>
      </c>
      <c r="AC2" s="16">
        <f>'BIFUbC-petroleum-diesel pre-CHP'!AC2+CHP!AC67</f>
        <v>4849031585252.29</v>
      </c>
      <c r="AD2" s="16">
        <f>'BIFUbC-petroleum-diesel pre-CHP'!AD2+CHP!AD67</f>
        <v>4803096573647.0381</v>
      </c>
      <c r="AE2" s="16">
        <f>'BIFUbC-petroleum-diesel pre-CHP'!AE2+CHP!AE67</f>
        <v>4757161562041.7852</v>
      </c>
      <c r="AF2" s="16">
        <f>'BIFUbC-petroleum-diesel pre-CHP'!AF2+CHP!AF67</f>
        <v>4711226550436.5332</v>
      </c>
    </row>
    <row r="3" spans="1:35">
      <c r="A3" t="s">
        <v>28</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32</v>
      </c>
      <c r="B4" s="16">
        <f>'BIFUbC-petroleum-diesel pre-CHP'!B4+CHP!B69</f>
        <v>0</v>
      </c>
      <c r="C4" s="16">
        <f>'BIFUbC-petroleum-diesel pre-CHP'!C4+CHP!C69</f>
        <v>0</v>
      </c>
      <c r="D4" s="16">
        <f>'BIFUbC-petroleum-diesel pre-CHP'!D4+CHP!D69</f>
        <v>1</v>
      </c>
      <c r="E4" s="16">
        <f>'BIFUbC-petroleum-diesel pre-CHP'!E4+CHP!E69</f>
        <v>2</v>
      </c>
      <c r="F4" s="16">
        <f>'BIFUbC-petroleum-diesel pre-CHP'!F4+CHP!F69</f>
        <v>3</v>
      </c>
      <c r="G4" s="16">
        <f>'BIFUbC-petroleum-diesel pre-CHP'!G4+CHP!G69</f>
        <v>4</v>
      </c>
      <c r="H4" s="16">
        <f>'BIFUbC-petroleum-diesel pre-CHP'!H4+CHP!H69</f>
        <v>5</v>
      </c>
      <c r="I4" s="16">
        <f>'BIFUbC-petroleum-diesel pre-CHP'!I4+CHP!I69</f>
        <v>6</v>
      </c>
      <c r="J4" s="16">
        <f>'BIFUbC-petroleum-diesel pre-CHP'!J4+CHP!J69</f>
        <v>7</v>
      </c>
      <c r="K4" s="16">
        <f>'BIFUbC-petroleum-diesel pre-CHP'!K4+CHP!K69</f>
        <v>8</v>
      </c>
      <c r="L4" s="16">
        <f>'BIFUbC-petroleum-diesel pre-CHP'!L4+CHP!L69</f>
        <v>9</v>
      </c>
      <c r="M4" s="16">
        <f>'BIFUbC-petroleum-diesel pre-CHP'!M4+CHP!M69</f>
        <v>10</v>
      </c>
      <c r="N4" s="16">
        <f>'BIFUbC-petroleum-diesel pre-CHP'!N4+CHP!N69</f>
        <v>11</v>
      </c>
      <c r="O4" s="16">
        <f>'BIFUbC-petroleum-diesel pre-CHP'!O4+CHP!O69</f>
        <v>12</v>
      </c>
      <c r="P4" s="16">
        <f>'BIFUbC-petroleum-diesel pre-CHP'!P4+CHP!P69</f>
        <v>13</v>
      </c>
      <c r="Q4" s="16">
        <f>'BIFUbC-petroleum-diesel pre-CHP'!Q4+CHP!Q69</f>
        <v>14</v>
      </c>
      <c r="R4" s="16">
        <f>'BIFUbC-petroleum-diesel pre-CHP'!R4+CHP!R69</f>
        <v>15</v>
      </c>
      <c r="S4" s="16">
        <f>'BIFUbC-petroleum-diesel pre-CHP'!S4+CHP!S69</f>
        <v>16</v>
      </c>
      <c r="T4" s="16">
        <f>'BIFUbC-petroleum-diesel pre-CHP'!T4+CHP!T69</f>
        <v>17</v>
      </c>
      <c r="U4" s="16">
        <f>'BIFUbC-petroleum-diesel pre-CHP'!U4+CHP!U69</f>
        <v>18</v>
      </c>
      <c r="V4" s="16">
        <f>'BIFUbC-petroleum-diesel pre-CHP'!V4+CHP!V69</f>
        <v>19</v>
      </c>
      <c r="W4" s="16">
        <f>'BIFUbC-petroleum-diesel pre-CHP'!W4+CHP!W69</f>
        <v>20</v>
      </c>
      <c r="X4" s="16">
        <f>'BIFUbC-petroleum-diesel pre-CHP'!X4+CHP!X69</f>
        <v>21</v>
      </c>
      <c r="Y4" s="16">
        <f>'BIFUbC-petroleum-diesel pre-CHP'!Y4+CHP!Y69</f>
        <v>22</v>
      </c>
      <c r="Z4" s="16">
        <f>'BIFUbC-petroleum-diesel pre-CHP'!Z4+CHP!Z69</f>
        <v>23</v>
      </c>
      <c r="AA4" s="16">
        <f>'BIFUbC-petroleum-diesel pre-CHP'!AA4+CHP!AA69</f>
        <v>24</v>
      </c>
      <c r="AB4" s="16">
        <f>'BIFUbC-petroleum-diesel pre-CHP'!AB4+CHP!AB69</f>
        <v>25</v>
      </c>
      <c r="AC4" s="16">
        <f>'BIFUbC-petroleum-diesel pre-CHP'!AC4+CHP!AC69</f>
        <v>26</v>
      </c>
      <c r="AD4" s="16">
        <f>'BIFUbC-petroleum-diesel pre-CHP'!AD4+CHP!AD69</f>
        <v>27</v>
      </c>
      <c r="AE4" s="16">
        <f>'BIFUbC-petroleum-diesel pre-CHP'!AE4+CHP!AE69</f>
        <v>28</v>
      </c>
      <c r="AF4" s="16">
        <f>'BIFUbC-petroleum-diesel pre-CHP'!AF4+CHP!AF69</f>
        <v>29</v>
      </c>
    </row>
    <row r="5" spans="1:35">
      <c r="A5" t="s">
        <v>34</v>
      </c>
      <c r="B5" s="16">
        <f>'BIFUbC-petroleum-diesel pre-CHP'!B5+CHP!B70</f>
        <v>263757905001.30505</v>
      </c>
      <c r="C5" s="16">
        <f>'BIFUbC-petroleum-diesel pre-CHP'!C5+CHP!C70</f>
        <v>257736063339.84918</v>
      </c>
      <c r="D5" s="16">
        <f>'BIFUbC-petroleum-diesel pre-CHP'!D5+CHP!D70</f>
        <v>251714221678.39337</v>
      </c>
      <c r="E5" s="16">
        <f>'BIFUbC-petroleum-diesel pre-CHP'!E5+CHP!E70</f>
        <v>245692380016.93747</v>
      </c>
      <c r="F5" s="16">
        <f>'BIFUbC-petroleum-diesel pre-CHP'!F5+CHP!F70</f>
        <v>245565742979.14624</v>
      </c>
      <c r="G5" s="16">
        <f>'BIFUbC-petroleum-diesel pre-CHP'!G5+CHP!G70</f>
        <v>245439105941.35504</v>
      </c>
      <c r="H5" s="16">
        <f>'BIFUbC-petroleum-diesel pre-CHP'!H5+CHP!H70</f>
        <v>245312468903.56378</v>
      </c>
      <c r="I5" s="16">
        <f>'BIFUbC-petroleum-diesel pre-CHP'!I5+CHP!I70</f>
        <v>245185831865.77252</v>
      </c>
      <c r="J5" s="16">
        <f>'BIFUbC-petroleum-diesel pre-CHP'!J5+CHP!J70</f>
        <v>245059194827.98132</v>
      </c>
      <c r="K5" s="16">
        <f>'BIFUbC-petroleum-diesel pre-CHP'!K5+CHP!K70</f>
        <v>244932557790.19006</v>
      </c>
      <c r="L5" s="16">
        <f>'BIFUbC-petroleum-diesel pre-CHP'!L5+CHP!L70</f>
        <v>244805920752.39883</v>
      </c>
      <c r="M5" s="16">
        <f>'BIFUbC-petroleum-diesel pre-CHP'!M5+CHP!M70</f>
        <v>244640639698.9032</v>
      </c>
      <c r="N5" s="16">
        <f>'BIFUbC-petroleum-diesel pre-CHP'!N5+CHP!N70</f>
        <v>244475358645.40753</v>
      </c>
      <c r="O5" s="16">
        <f>'BIFUbC-petroleum-diesel pre-CHP'!O5+CHP!O70</f>
        <v>244310077591.91193</v>
      </c>
      <c r="P5" s="16">
        <f>'BIFUbC-petroleum-diesel pre-CHP'!P5+CHP!P70</f>
        <v>244144796538.41626</v>
      </c>
      <c r="Q5" s="16">
        <f>'BIFUbC-petroleum-diesel pre-CHP'!Q5+CHP!Q70</f>
        <v>243979515484.92062</v>
      </c>
      <c r="R5" s="16">
        <f>'BIFUbC-petroleum-diesel pre-CHP'!R5+CHP!R70</f>
        <v>243814234431.42499</v>
      </c>
      <c r="S5" s="16">
        <f>'BIFUbC-petroleum-diesel pre-CHP'!S5+CHP!S70</f>
        <v>243648953377.92935</v>
      </c>
      <c r="T5" s="16">
        <f>'BIFUbC-petroleum-diesel pre-CHP'!T5+CHP!T70</f>
        <v>243483672324.43369</v>
      </c>
      <c r="U5" s="16">
        <f>'BIFUbC-petroleum-diesel pre-CHP'!U5+CHP!U70</f>
        <v>243318391270.93805</v>
      </c>
      <c r="V5" s="16">
        <f>'BIFUbC-petroleum-diesel pre-CHP'!V5+CHP!V70</f>
        <v>243153110217.44238</v>
      </c>
      <c r="W5" s="16">
        <f>'BIFUbC-petroleum-diesel pre-CHP'!W5+CHP!W70</f>
        <v>241227131846.60449</v>
      </c>
      <c r="X5" s="16">
        <f>'BIFUbC-petroleum-diesel pre-CHP'!X5+CHP!X70</f>
        <v>239301153475.7666</v>
      </c>
      <c r="Y5" s="16">
        <f>'BIFUbC-petroleum-diesel pre-CHP'!Y5+CHP!Y70</f>
        <v>237375175104.92877</v>
      </c>
      <c r="Z5" s="16">
        <f>'BIFUbC-petroleum-diesel pre-CHP'!Z5+CHP!Z70</f>
        <v>235449196734.09088</v>
      </c>
      <c r="AA5" s="16">
        <f>'BIFUbC-petroleum-diesel pre-CHP'!AA5+CHP!AA70</f>
        <v>233523218363.25299</v>
      </c>
      <c r="AB5" s="16">
        <f>'BIFUbC-petroleum-diesel pre-CHP'!AB5+CHP!AB70</f>
        <v>231597239992.41513</v>
      </c>
      <c r="AC5" s="16">
        <f>'BIFUbC-petroleum-diesel pre-CHP'!AC5+CHP!AC70</f>
        <v>229671261621.57721</v>
      </c>
      <c r="AD5" s="16">
        <f>'BIFUbC-petroleum-diesel pre-CHP'!AD5+CHP!AD70</f>
        <v>227745283250.73935</v>
      </c>
      <c r="AE5" s="16">
        <f>'BIFUbC-petroleum-diesel pre-CHP'!AE5+CHP!AE70</f>
        <v>225819304879.90143</v>
      </c>
      <c r="AF5" s="16">
        <f>'BIFUbC-petroleum-diesel pre-CHP'!AF5+CHP!AF70</f>
        <v>223893326509.0636</v>
      </c>
    </row>
    <row r="6" spans="1:35">
      <c r="A6" t="s">
        <v>36</v>
      </c>
      <c r="B6" s="16">
        <f>'BIFUbC-petroleum-diesel pre-CHP'!B6+CHP!B71</f>
        <v>1364519196262.3118</v>
      </c>
      <c r="C6" s="16">
        <f>'BIFUbC-petroleum-diesel pre-CHP'!C6+CHP!C71</f>
        <v>1387785657373.5771</v>
      </c>
      <c r="D6" s="16">
        <f>'BIFUbC-petroleum-diesel pre-CHP'!D6+CHP!D71</f>
        <v>1411052118484.8425</v>
      </c>
      <c r="E6" s="16">
        <f>'BIFUbC-petroleum-diesel pre-CHP'!E6+CHP!E71</f>
        <v>1434318579596.1079</v>
      </c>
      <c r="F6" s="16">
        <f>'BIFUbC-petroleum-diesel pre-CHP'!F6+CHP!F71</f>
        <v>1447842985360.314</v>
      </c>
      <c r="G6" s="16">
        <f>'BIFUbC-petroleum-diesel pre-CHP'!G6+CHP!G71</f>
        <v>1461367391124.52</v>
      </c>
      <c r="H6" s="16">
        <f>'BIFUbC-petroleum-diesel pre-CHP'!H6+CHP!H71</f>
        <v>1474891796888.7261</v>
      </c>
      <c r="I6" s="16">
        <f>'BIFUbC-petroleum-diesel pre-CHP'!I6+CHP!I71</f>
        <v>1488416202652.9319</v>
      </c>
      <c r="J6" s="16">
        <f>'BIFUbC-petroleum-diesel pre-CHP'!J6+CHP!J71</f>
        <v>1501940608417.1382</v>
      </c>
      <c r="K6" s="16">
        <f>'BIFUbC-petroleum-diesel pre-CHP'!K6+CHP!K71</f>
        <v>1515465014181.344</v>
      </c>
      <c r="L6" s="16">
        <f>'BIFUbC-petroleum-diesel pre-CHP'!L6+CHP!L71</f>
        <v>1528989419945.5503</v>
      </c>
      <c r="M6" s="16">
        <f>'BIFUbC-petroleum-diesel pre-CHP'!M6+CHP!M71</f>
        <v>1529365150540.4812</v>
      </c>
      <c r="N6" s="16">
        <f>'BIFUbC-petroleum-diesel pre-CHP'!N6+CHP!N71</f>
        <v>1529740881135.4119</v>
      </c>
      <c r="O6" s="16">
        <f>'BIFUbC-petroleum-diesel pre-CHP'!O6+CHP!O71</f>
        <v>1530116611730.3428</v>
      </c>
      <c r="P6" s="16">
        <f>'BIFUbC-petroleum-diesel pre-CHP'!P6+CHP!P71</f>
        <v>1530492342325.2734</v>
      </c>
      <c r="Q6" s="16">
        <f>'BIFUbC-petroleum-diesel pre-CHP'!Q6+CHP!Q71</f>
        <v>1530868072920.2043</v>
      </c>
      <c r="R6" s="16">
        <f>'BIFUbC-petroleum-diesel pre-CHP'!R6+CHP!R71</f>
        <v>1531243803515.1353</v>
      </c>
      <c r="S6" s="16">
        <f>'BIFUbC-petroleum-diesel pre-CHP'!S6+CHP!S71</f>
        <v>1531619534110.0662</v>
      </c>
      <c r="T6" s="16">
        <f>'BIFUbC-petroleum-diesel pre-CHP'!T6+CHP!T71</f>
        <v>1531995264704.9971</v>
      </c>
      <c r="U6" s="16">
        <f>'BIFUbC-petroleum-diesel pre-CHP'!U6+CHP!U71</f>
        <v>1532370995299.9277</v>
      </c>
      <c r="V6" s="16">
        <f>'BIFUbC-petroleum-diesel pre-CHP'!V6+CHP!V71</f>
        <v>1532746725894.8589</v>
      </c>
      <c r="W6" s="16">
        <f>'BIFUbC-petroleum-diesel pre-CHP'!W6+CHP!W71</f>
        <v>1522090108665.8328</v>
      </c>
      <c r="X6" s="16">
        <f>'BIFUbC-petroleum-diesel pre-CHP'!X6+CHP!X71</f>
        <v>1511433491436.8069</v>
      </c>
      <c r="Y6" s="16">
        <f>'BIFUbC-petroleum-diesel pre-CHP'!Y6+CHP!Y71</f>
        <v>1500776874207.7813</v>
      </c>
      <c r="Z6" s="16">
        <f>'BIFUbC-petroleum-diesel pre-CHP'!Z6+CHP!Z71</f>
        <v>1490120256978.7554</v>
      </c>
      <c r="AA6" s="16">
        <f>'BIFUbC-petroleum-diesel pre-CHP'!AA6+CHP!AA71</f>
        <v>1479463639749.7295</v>
      </c>
      <c r="AB6" s="16">
        <f>'BIFUbC-petroleum-diesel pre-CHP'!AB6+CHP!AB71</f>
        <v>1468807022520.7036</v>
      </c>
      <c r="AC6" s="16">
        <f>'BIFUbC-petroleum-diesel pre-CHP'!AC6+CHP!AC71</f>
        <v>1458150405291.6775</v>
      </c>
      <c r="AD6" s="16">
        <f>'BIFUbC-petroleum-diesel pre-CHP'!AD6+CHP!AD71</f>
        <v>1447493788062.6516</v>
      </c>
      <c r="AE6" s="16">
        <f>'BIFUbC-petroleum-diesel pre-CHP'!AE6+CHP!AE71</f>
        <v>1436837170833.6257</v>
      </c>
      <c r="AF6" s="16">
        <f>'BIFUbC-petroleum-diesel pre-CHP'!AF6+CHP!AF71</f>
        <v>1426180553604.6001</v>
      </c>
    </row>
    <row r="7" spans="1:35">
      <c r="A7" t="s">
        <v>38</v>
      </c>
      <c r="B7" s="16">
        <f>'BIFUbC-petroleum-diesel pre-CHP'!B7+CHP!B72</f>
        <v>941263050672.42188</v>
      </c>
      <c r="C7" s="16">
        <f>'BIFUbC-petroleum-diesel pre-CHP'!C7+CHP!C72</f>
        <v>965247312758.8291</v>
      </c>
      <c r="D7" s="16">
        <f>'BIFUbC-petroleum-diesel pre-CHP'!D7+CHP!D72</f>
        <v>989231574845.23621</v>
      </c>
      <c r="E7" s="16">
        <f>'BIFUbC-petroleum-diesel pre-CHP'!E7+CHP!E72</f>
        <v>1013215836931.6431</v>
      </c>
      <c r="F7" s="16">
        <f>'BIFUbC-petroleum-diesel pre-CHP'!F7+CHP!F72</f>
        <v>1024612619283.822</v>
      </c>
      <c r="G7" s="16">
        <f>'BIFUbC-petroleum-diesel pre-CHP'!G7+CHP!G72</f>
        <v>1036009401636.0007</v>
      </c>
      <c r="H7" s="16">
        <f>'BIFUbC-petroleum-diesel pre-CHP'!H7+CHP!H72</f>
        <v>1047406183988.1797</v>
      </c>
      <c r="I7" s="16">
        <f>'BIFUbC-petroleum-diesel pre-CHP'!I7+CHP!I72</f>
        <v>1058802966340.3583</v>
      </c>
      <c r="J7" s="16">
        <f>'BIFUbC-petroleum-diesel pre-CHP'!J7+CHP!J72</f>
        <v>1070199748692.5371</v>
      </c>
      <c r="K7" s="16">
        <f>'BIFUbC-petroleum-diesel pre-CHP'!K7+CHP!K72</f>
        <v>1081596531044.7159</v>
      </c>
      <c r="L7" s="16">
        <f>'BIFUbC-petroleum-diesel pre-CHP'!L7+CHP!L72</f>
        <v>1092993313396.8948</v>
      </c>
      <c r="M7" s="16">
        <f>'BIFUbC-petroleum-diesel pre-CHP'!M7+CHP!M72</f>
        <v>1093431954832.777</v>
      </c>
      <c r="N7" s="16">
        <f>'BIFUbC-petroleum-diesel pre-CHP'!N7+CHP!N72</f>
        <v>1093870596268.6591</v>
      </c>
      <c r="O7" s="16">
        <f>'BIFUbC-petroleum-diesel pre-CHP'!O7+CHP!O72</f>
        <v>1094309237704.5413</v>
      </c>
      <c r="P7" s="16">
        <f>'BIFUbC-petroleum-diesel pre-CHP'!P7+CHP!P72</f>
        <v>1094747879140.4236</v>
      </c>
      <c r="Q7" s="16">
        <f>'BIFUbC-petroleum-diesel pre-CHP'!Q7+CHP!Q72</f>
        <v>1095186520576.3058</v>
      </c>
      <c r="R7" s="16">
        <f>'BIFUbC-petroleum-diesel pre-CHP'!R7+CHP!R72</f>
        <v>1095625162012.1879</v>
      </c>
      <c r="S7" s="16">
        <f>'BIFUbC-petroleum-diesel pre-CHP'!S7+CHP!S72</f>
        <v>1096063803448.0699</v>
      </c>
      <c r="T7" s="16">
        <f>'BIFUbC-petroleum-diesel pre-CHP'!T7+CHP!T72</f>
        <v>1096502444883.9521</v>
      </c>
      <c r="U7" s="16">
        <f>'BIFUbC-petroleum-diesel pre-CHP'!U7+CHP!U72</f>
        <v>1096941086319.8345</v>
      </c>
      <c r="V7" s="16">
        <f>'BIFUbC-petroleum-diesel pre-CHP'!V7+CHP!V72</f>
        <v>1097379727755.7167</v>
      </c>
      <c r="W7" s="16">
        <f>'BIFUbC-petroleum-diesel pre-CHP'!W7+CHP!W72</f>
        <v>1089927639456.5995</v>
      </c>
      <c r="X7" s="16">
        <f>'BIFUbC-petroleum-diesel pre-CHP'!X7+CHP!X72</f>
        <v>1082475551157.4823</v>
      </c>
      <c r="Y7" s="16">
        <f>'BIFUbC-petroleum-diesel pre-CHP'!Y7+CHP!Y72</f>
        <v>1075023462858.3652</v>
      </c>
      <c r="Z7" s="16">
        <f>'BIFUbC-petroleum-diesel pre-CHP'!Z7+CHP!Z72</f>
        <v>1067571374559.2479</v>
      </c>
      <c r="AA7" s="16">
        <f>'BIFUbC-petroleum-diesel pre-CHP'!AA7+CHP!AA72</f>
        <v>1060119286260.1309</v>
      </c>
      <c r="AB7" s="16">
        <f>'BIFUbC-petroleum-diesel pre-CHP'!AB7+CHP!AB72</f>
        <v>1052667197961.0139</v>
      </c>
      <c r="AC7" s="16">
        <f>'BIFUbC-petroleum-diesel pre-CHP'!AC7+CHP!AC72</f>
        <v>1045215109661.8966</v>
      </c>
      <c r="AD7" s="16">
        <f>'BIFUbC-petroleum-diesel pre-CHP'!AD7+CHP!AD72</f>
        <v>1037763021362.7797</v>
      </c>
      <c r="AE7" s="16">
        <f>'BIFUbC-petroleum-diesel pre-CHP'!AE7+CHP!AE72</f>
        <v>1030310933063.6625</v>
      </c>
      <c r="AF7" s="16">
        <f>'BIFUbC-petroleum-diesel pre-CHP'!AF7+CHP!AF72</f>
        <v>1022858844764.5452</v>
      </c>
    </row>
    <row r="8" spans="1:35">
      <c r="A8" t="s">
        <v>40</v>
      </c>
      <c r="B8" s="16">
        <f>'BIFUbC-petroleum-diesel pre-CHP'!B8+CHP!B73</f>
        <v>157735570435.4971</v>
      </c>
      <c r="C8" s="16">
        <f>'BIFUbC-petroleum-diesel pre-CHP'!C8+CHP!C73</f>
        <v>161785991643.53522</v>
      </c>
      <c r="D8" s="16">
        <f>'BIFUbC-petroleum-diesel pre-CHP'!D8+CHP!D73</f>
        <v>165836412851.57336</v>
      </c>
      <c r="E8" s="16">
        <f>'BIFUbC-petroleum-diesel pre-CHP'!E8+CHP!E73</f>
        <v>169886834059.61148</v>
      </c>
      <c r="F8" s="16">
        <f>'BIFUbC-petroleum-diesel pre-CHP'!F8+CHP!F73</f>
        <v>171804813216.26328</v>
      </c>
      <c r="G8" s="16">
        <f>'BIFUbC-petroleum-diesel pre-CHP'!G8+CHP!G73</f>
        <v>173722792372.91507</v>
      </c>
      <c r="H8" s="16">
        <f>'BIFUbC-petroleum-diesel pre-CHP'!H8+CHP!H73</f>
        <v>175640771529.56686</v>
      </c>
      <c r="I8" s="16">
        <f>'BIFUbC-petroleum-diesel pre-CHP'!I8+CHP!I73</f>
        <v>177558750686.21869</v>
      </c>
      <c r="J8" s="16">
        <f>'BIFUbC-petroleum-diesel pre-CHP'!J8+CHP!J73</f>
        <v>179476729842.87048</v>
      </c>
      <c r="K8" s="16">
        <f>'BIFUbC-petroleum-diesel pre-CHP'!K8+CHP!K73</f>
        <v>181394708999.52228</v>
      </c>
      <c r="L8" s="16">
        <f>'BIFUbC-petroleum-diesel pre-CHP'!L8+CHP!L73</f>
        <v>183312688156.1741</v>
      </c>
      <c r="M8" s="16">
        <f>'BIFUbC-petroleum-diesel pre-CHP'!M8+CHP!M73</f>
        <v>183386900080.57111</v>
      </c>
      <c r="N8" s="16">
        <f>'BIFUbC-petroleum-diesel pre-CHP'!N8+CHP!N73</f>
        <v>183461112004.96811</v>
      </c>
      <c r="O8" s="16">
        <f>'BIFUbC-petroleum-diesel pre-CHP'!O8+CHP!O73</f>
        <v>183535323929.36508</v>
      </c>
      <c r="P8" s="16">
        <f>'BIFUbC-petroleum-diesel pre-CHP'!P8+CHP!P73</f>
        <v>183609535853.76208</v>
      </c>
      <c r="Q8" s="16">
        <f>'BIFUbC-petroleum-diesel pre-CHP'!Q8+CHP!Q73</f>
        <v>183683747778.15912</v>
      </c>
      <c r="R8" s="16">
        <f>'BIFUbC-petroleum-diesel pre-CHP'!R8+CHP!R73</f>
        <v>183757959702.55612</v>
      </c>
      <c r="S8" s="16">
        <f>'BIFUbC-petroleum-diesel pre-CHP'!S8+CHP!S73</f>
        <v>183832171626.95309</v>
      </c>
      <c r="T8" s="16">
        <f>'BIFUbC-petroleum-diesel pre-CHP'!T8+CHP!T73</f>
        <v>183906383551.3501</v>
      </c>
      <c r="U8" s="16">
        <f>'BIFUbC-petroleum-diesel pre-CHP'!U8+CHP!U73</f>
        <v>183980595475.7471</v>
      </c>
      <c r="V8" s="16">
        <f>'BIFUbC-petroleum-diesel pre-CHP'!V8+CHP!V73</f>
        <v>184054807400.14413</v>
      </c>
      <c r="W8" s="16">
        <f>'BIFUbC-petroleum-diesel pre-CHP'!W8+CHP!W73</f>
        <v>182805599832.21655</v>
      </c>
      <c r="X8" s="16">
        <f>'BIFUbC-petroleum-diesel pre-CHP'!X8+CHP!X73</f>
        <v>181556392264.28894</v>
      </c>
      <c r="Y8" s="16">
        <f>'BIFUbC-petroleum-diesel pre-CHP'!Y8+CHP!Y73</f>
        <v>180307184696.36133</v>
      </c>
      <c r="Z8" s="16">
        <f>'BIFUbC-petroleum-diesel pre-CHP'!Z8+CHP!Z73</f>
        <v>179057977128.43381</v>
      </c>
      <c r="AA8" s="16">
        <f>'BIFUbC-petroleum-diesel pre-CHP'!AA8+CHP!AA73</f>
        <v>177808769560.5062</v>
      </c>
      <c r="AB8" s="16">
        <f>'BIFUbC-petroleum-diesel pre-CHP'!AB8+CHP!AB73</f>
        <v>176559561992.57867</v>
      </c>
      <c r="AC8" s="16">
        <f>'BIFUbC-petroleum-diesel pre-CHP'!AC8+CHP!AC73</f>
        <v>175310354424.65106</v>
      </c>
      <c r="AD8" s="16">
        <f>'BIFUbC-petroleum-diesel pre-CHP'!AD8+CHP!AD73</f>
        <v>174061146856.72345</v>
      </c>
      <c r="AE8" s="16">
        <f>'BIFUbC-petroleum-diesel pre-CHP'!AE8+CHP!AE73</f>
        <v>172811939288.79593</v>
      </c>
      <c r="AF8" s="16">
        <f>'BIFUbC-petroleum-diesel pre-CHP'!AF8+CHP!AF73</f>
        <v>171562731720.86832</v>
      </c>
    </row>
    <row r="9" spans="1:35">
      <c r="A9" t="s">
        <v>42</v>
      </c>
      <c r="B9" s="16">
        <f>'BIFUbC-petroleum-diesel pre-CHP'!B9+CHP!B74</f>
        <v>889293699950.45251</v>
      </c>
      <c r="C9" s="16">
        <f>'BIFUbC-petroleum-diesel pre-CHP'!C9+CHP!C74</f>
        <v>913251525398.08582</v>
      </c>
      <c r="D9" s="16">
        <f>'BIFUbC-petroleum-diesel pre-CHP'!D9+CHP!D74</f>
        <v>937209350845.71924</v>
      </c>
      <c r="E9" s="16">
        <f>'BIFUbC-petroleum-diesel pre-CHP'!E9+CHP!E74</f>
        <v>961167176293.35266</v>
      </c>
      <c r="F9" s="16">
        <f>'BIFUbC-petroleum-diesel pre-CHP'!F9+CHP!F74</f>
        <v>972272866533.64124</v>
      </c>
      <c r="G9" s="16">
        <f>'BIFUbC-petroleum-diesel pre-CHP'!G9+CHP!G74</f>
        <v>983378556773.92993</v>
      </c>
      <c r="H9" s="16">
        <f>'BIFUbC-petroleum-diesel pre-CHP'!H9+CHP!H74</f>
        <v>994484247014.21838</v>
      </c>
      <c r="I9" s="16">
        <f>'BIFUbC-petroleum-diesel pre-CHP'!I9+CHP!I74</f>
        <v>1005589937254.507</v>
      </c>
      <c r="J9" s="16">
        <f>'BIFUbC-petroleum-diesel pre-CHP'!J9+CHP!J74</f>
        <v>1016695627494.7954</v>
      </c>
      <c r="K9" s="16">
        <f>'BIFUbC-petroleum-diesel pre-CHP'!K9+CHP!K74</f>
        <v>1027801317735.0842</v>
      </c>
      <c r="L9" s="16">
        <f>'BIFUbC-petroleum-diesel pre-CHP'!L9+CHP!L74</f>
        <v>1038907007975.3727</v>
      </c>
      <c r="M9" s="16">
        <f>'BIFUbC-petroleum-diesel pre-CHP'!M9+CHP!M74</f>
        <v>1039350782670.5579</v>
      </c>
      <c r="N9" s="16">
        <f>'BIFUbC-petroleum-diesel pre-CHP'!N9+CHP!N74</f>
        <v>1039794557365.7429</v>
      </c>
      <c r="O9" s="16">
        <f>'BIFUbC-petroleum-diesel pre-CHP'!O9+CHP!O74</f>
        <v>1040238332060.9281</v>
      </c>
      <c r="P9" s="16">
        <f>'BIFUbC-petroleum-diesel pre-CHP'!P9+CHP!P74</f>
        <v>1040682106756.1132</v>
      </c>
      <c r="Q9" s="16">
        <f>'BIFUbC-petroleum-diesel pre-CHP'!Q9+CHP!Q74</f>
        <v>1041125881451.2981</v>
      </c>
      <c r="R9" s="16">
        <f>'BIFUbC-petroleum-diesel pre-CHP'!R9+CHP!R74</f>
        <v>1041569656146.4834</v>
      </c>
      <c r="S9" s="16">
        <f>'BIFUbC-petroleum-diesel pre-CHP'!S9+CHP!S74</f>
        <v>1042013430841.6683</v>
      </c>
      <c r="T9" s="16">
        <f>'BIFUbC-petroleum-diesel pre-CHP'!T9+CHP!T74</f>
        <v>1042457205536.8535</v>
      </c>
      <c r="U9" s="16">
        <f>'BIFUbC-petroleum-diesel pre-CHP'!U9+CHP!U74</f>
        <v>1042900980232.0388</v>
      </c>
      <c r="V9" s="16">
        <f>'BIFUbC-petroleum-diesel pre-CHP'!V9+CHP!V74</f>
        <v>1043344754927.2236</v>
      </c>
      <c r="W9" s="16">
        <f>'BIFUbC-petroleum-diesel pre-CHP'!W9+CHP!W74</f>
        <v>1036287592121.0149</v>
      </c>
      <c r="X9" s="16">
        <f>'BIFUbC-petroleum-diesel pre-CHP'!X9+CHP!X74</f>
        <v>1029230429314.8058</v>
      </c>
      <c r="Y9" s="16">
        <f>'BIFUbC-petroleum-diesel pre-CHP'!Y9+CHP!Y74</f>
        <v>1022173266508.5972</v>
      </c>
      <c r="Z9" s="16">
        <f>'BIFUbC-petroleum-diesel pre-CHP'!Z9+CHP!Z74</f>
        <v>1015116103702.3881</v>
      </c>
      <c r="AA9" s="16">
        <f>'BIFUbC-petroleum-diesel pre-CHP'!AA9+CHP!AA74</f>
        <v>1008058940896.1792</v>
      </c>
      <c r="AB9" s="16">
        <f>'BIFUbC-petroleum-diesel pre-CHP'!AB9+CHP!AB74</f>
        <v>1001001778089.9703</v>
      </c>
      <c r="AC9" s="16">
        <f>'BIFUbC-petroleum-diesel pre-CHP'!AC9+CHP!AC74</f>
        <v>993944615283.76147</v>
      </c>
      <c r="AD9" s="16">
        <f>'BIFUbC-petroleum-diesel pre-CHP'!AD9+CHP!AD74</f>
        <v>986887452477.55249</v>
      </c>
      <c r="AE9" s="16">
        <f>'BIFUbC-petroleum-diesel pre-CHP'!AE9+CHP!AE74</f>
        <v>979830289671.34363</v>
      </c>
      <c r="AF9" s="16">
        <f>'BIFUbC-petroleum-diesel pre-CHP'!AF9+CHP!AF74</f>
        <v>972773126865.13477</v>
      </c>
    </row>
    <row r="10" spans="1:35">
      <c r="A10" t="s">
        <v>44</v>
      </c>
      <c r="B10" s="16">
        <f>'BIFUbC-petroleum-diesel pre-CHP'!B10+CHP!B75</f>
        <v>0</v>
      </c>
      <c r="C10" s="16">
        <f>'BIFUbC-petroleum-diesel pre-CHP'!C10+CHP!C75</f>
        <v>0</v>
      </c>
      <c r="D10" s="16">
        <f>'BIFUbC-petroleum-diesel pre-CHP'!D10+CHP!D75</f>
        <v>1</v>
      </c>
      <c r="E10" s="16">
        <f>'BIFUbC-petroleum-diesel pre-CHP'!E10+CHP!E75</f>
        <v>2</v>
      </c>
      <c r="F10" s="16">
        <f>'BIFUbC-petroleum-diesel pre-CHP'!F10+CHP!F75</f>
        <v>3</v>
      </c>
      <c r="G10" s="16">
        <f>'BIFUbC-petroleum-diesel pre-CHP'!G10+CHP!G75</f>
        <v>4</v>
      </c>
      <c r="H10" s="16">
        <f>'BIFUbC-petroleum-diesel pre-CHP'!H10+CHP!H75</f>
        <v>5</v>
      </c>
      <c r="I10" s="16">
        <f>'BIFUbC-petroleum-diesel pre-CHP'!I10+CHP!I75</f>
        <v>6</v>
      </c>
      <c r="J10" s="16">
        <f>'BIFUbC-petroleum-diesel pre-CHP'!J10+CHP!J75</f>
        <v>7</v>
      </c>
      <c r="K10" s="16">
        <f>'BIFUbC-petroleum-diesel pre-CHP'!K10+CHP!K75</f>
        <v>8</v>
      </c>
      <c r="L10" s="16">
        <f>'BIFUbC-petroleum-diesel pre-CHP'!L10+CHP!L75</f>
        <v>9</v>
      </c>
      <c r="M10" s="16">
        <f>'BIFUbC-petroleum-diesel pre-CHP'!M10+CHP!M75</f>
        <v>10</v>
      </c>
      <c r="N10" s="16">
        <f>'BIFUbC-petroleum-diesel pre-CHP'!N10+CHP!N75</f>
        <v>11</v>
      </c>
      <c r="O10" s="16">
        <f>'BIFUbC-petroleum-diesel pre-CHP'!O10+CHP!O75</f>
        <v>12</v>
      </c>
      <c r="P10" s="16">
        <f>'BIFUbC-petroleum-diesel pre-CHP'!P10+CHP!P75</f>
        <v>13</v>
      </c>
      <c r="Q10" s="16">
        <f>'BIFUbC-petroleum-diesel pre-CHP'!Q10+CHP!Q75</f>
        <v>14</v>
      </c>
      <c r="R10" s="16">
        <f>'BIFUbC-petroleum-diesel pre-CHP'!R10+CHP!R75</f>
        <v>15</v>
      </c>
      <c r="S10" s="16">
        <f>'BIFUbC-petroleum-diesel pre-CHP'!S10+CHP!S75</f>
        <v>16</v>
      </c>
      <c r="T10" s="16">
        <f>'BIFUbC-petroleum-diesel pre-CHP'!T10+CHP!T75</f>
        <v>17</v>
      </c>
      <c r="U10" s="16">
        <f>'BIFUbC-petroleum-diesel pre-CHP'!U10+CHP!U75</f>
        <v>18</v>
      </c>
      <c r="V10" s="16">
        <f>'BIFUbC-petroleum-diesel pre-CHP'!V10+CHP!V75</f>
        <v>19</v>
      </c>
      <c r="W10" s="16">
        <f>'BIFUbC-petroleum-diesel pre-CHP'!W10+CHP!W75</f>
        <v>20</v>
      </c>
      <c r="X10" s="16">
        <f>'BIFUbC-petroleum-diesel pre-CHP'!X10+CHP!X75</f>
        <v>21</v>
      </c>
      <c r="Y10" s="16">
        <f>'BIFUbC-petroleum-diesel pre-CHP'!Y10+CHP!Y75</f>
        <v>22</v>
      </c>
      <c r="Z10" s="16">
        <f>'BIFUbC-petroleum-diesel pre-CHP'!Z10+CHP!Z75</f>
        <v>23</v>
      </c>
      <c r="AA10" s="16">
        <f>'BIFUbC-petroleum-diesel pre-CHP'!AA10+CHP!AA75</f>
        <v>24</v>
      </c>
      <c r="AB10" s="16">
        <f>'BIFUbC-petroleum-diesel pre-CHP'!AB10+CHP!AB75</f>
        <v>25</v>
      </c>
      <c r="AC10" s="16">
        <f>'BIFUbC-petroleum-diesel pre-CHP'!AC10+CHP!AC75</f>
        <v>26</v>
      </c>
      <c r="AD10" s="16">
        <f>'BIFUbC-petroleum-diesel pre-CHP'!AD10+CHP!AD75</f>
        <v>27</v>
      </c>
      <c r="AE10" s="16">
        <f>'BIFUbC-petroleum-diesel pre-CHP'!AE10+CHP!AE75</f>
        <v>28</v>
      </c>
      <c r="AF10" s="16">
        <f>'BIFUbC-petroleum-diesel pre-CHP'!AF10+CHP!AF75</f>
        <v>29</v>
      </c>
    </row>
    <row r="11" spans="1:35" s="351" customFormat="1">
      <c r="A11" s="444" t="s">
        <v>47</v>
      </c>
      <c r="B11" s="445">
        <f>'BIFUbC-petroleum-diesel pre-CHP'!B11+CHP!B76</f>
        <v>69447729040406.18</v>
      </c>
      <c r="C11" s="445">
        <f>'BIFUbC-petroleum-diesel pre-CHP'!C11+CHP!C76</f>
        <v>70849955725639.328</v>
      </c>
      <c r="D11" s="445">
        <f>'BIFUbC-petroleum-diesel pre-CHP'!D11+CHP!D76</f>
        <v>72252182410872.484</v>
      </c>
      <c r="E11" s="445">
        <f>'BIFUbC-petroleum-diesel pre-CHP'!E11+CHP!E76</f>
        <v>73654409096105.609</v>
      </c>
      <c r="F11" s="445">
        <f>'BIFUbC-petroleum-diesel pre-CHP'!F11+CHP!F76</f>
        <v>75141059255005.563</v>
      </c>
      <c r="G11" s="445">
        <f>'BIFUbC-petroleum-diesel pre-CHP'!G11+CHP!G76</f>
        <v>76627709413905.438</v>
      </c>
      <c r="H11" s="445">
        <f>'BIFUbC-petroleum-diesel pre-CHP'!H11+CHP!H76</f>
        <v>78114359572805.828</v>
      </c>
      <c r="I11" s="445">
        <f>'BIFUbC-petroleum-diesel pre-CHP'!I11+CHP!I76</f>
        <v>79601009731705.719</v>
      </c>
      <c r="J11" s="445">
        <f>'BIFUbC-petroleum-diesel pre-CHP'!J11+CHP!J76</f>
        <v>81087659890605.594</v>
      </c>
      <c r="K11" s="445">
        <f>'BIFUbC-petroleum-diesel pre-CHP'!K11+CHP!K76</f>
        <v>82574310049506</v>
      </c>
      <c r="L11" s="445">
        <f>'BIFUbC-petroleum-diesel pre-CHP'!L11+CHP!L76</f>
        <v>84060960208406.141</v>
      </c>
      <c r="M11" s="445">
        <f>'BIFUbC-petroleum-diesel pre-CHP'!M11+CHP!M76</f>
        <v>84992075656144.297</v>
      </c>
      <c r="N11" s="445">
        <f>'BIFUbC-petroleum-diesel pre-CHP'!N11+CHP!N76</f>
        <v>85923191103882.438</v>
      </c>
      <c r="O11" s="445">
        <f>'BIFUbC-petroleum-diesel pre-CHP'!O11+CHP!O76</f>
        <v>86854306551620.844</v>
      </c>
      <c r="P11" s="445">
        <f>'BIFUbC-petroleum-diesel pre-CHP'!P11+CHP!P76</f>
        <v>87785421999359.016</v>
      </c>
      <c r="Q11" s="445">
        <f>'BIFUbC-petroleum-diesel pre-CHP'!Q11+CHP!Q76</f>
        <v>88716537447097.422</v>
      </c>
      <c r="R11" s="445">
        <f>'BIFUbC-petroleum-diesel pre-CHP'!R11+CHP!R76</f>
        <v>89647652894835.594</v>
      </c>
      <c r="S11" s="445">
        <f>'BIFUbC-petroleum-diesel pre-CHP'!S11+CHP!S76</f>
        <v>90578768342574</v>
      </c>
      <c r="T11" s="445">
        <f>'BIFUbC-petroleum-diesel pre-CHP'!T11+CHP!T76</f>
        <v>91509883790312.172</v>
      </c>
      <c r="U11" s="445">
        <f>'BIFUbC-petroleum-diesel pre-CHP'!U11+CHP!U76</f>
        <v>92440999238050.578</v>
      </c>
      <c r="V11" s="445">
        <f>'BIFUbC-petroleum-diesel pre-CHP'!V11+CHP!V76</f>
        <v>93372114685789</v>
      </c>
      <c r="W11" s="445">
        <f>'BIFUbC-petroleum-diesel pre-CHP'!W11+CHP!W76</f>
        <v>93765128953385.531</v>
      </c>
      <c r="X11" s="445">
        <f>'BIFUbC-petroleum-diesel pre-CHP'!X11+CHP!X76</f>
        <v>94158143220982.063</v>
      </c>
      <c r="Y11" s="445">
        <f>'BIFUbC-petroleum-diesel pre-CHP'!Y11+CHP!Y76</f>
        <v>94551157488578.578</v>
      </c>
      <c r="Z11" s="445">
        <f>'BIFUbC-petroleum-diesel pre-CHP'!Z11+CHP!Z76</f>
        <v>94944171756175.125</v>
      </c>
      <c r="AA11" s="445">
        <f>'BIFUbC-petroleum-diesel pre-CHP'!AA11+CHP!AA76</f>
        <v>95337186023771.656</v>
      </c>
      <c r="AB11" s="445">
        <f>'BIFUbC-petroleum-diesel pre-CHP'!AB11+CHP!AB76</f>
        <v>95730200291368.172</v>
      </c>
      <c r="AC11" s="445">
        <f>'BIFUbC-petroleum-diesel pre-CHP'!AC11+CHP!AC76</f>
        <v>96123214558964.703</v>
      </c>
      <c r="AD11" s="445">
        <f>'BIFUbC-petroleum-diesel pre-CHP'!AD11+CHP!AD76</f>
        <v>96516228826561.234</v>
      </c>
      <c r="AE11" s="445">
        <f>'BIFUbC-petroleum-diesel pre-CHP'!AE11+CHP!AE76</f>
        <v>96909243094157.766</v>
      </c>
      <c r="AF11" s="445">
        <f>'BIFUbC-petroleum-diesel pre-CHP'!AF11+CHP!AF76</f>
        <v>97302257361754.281</v>
      </c>
    </row>
    <row r="12" spans="1:35" s="351" customFormat="1">
      <c r="A12" s="444" t="s">
        <v>51</v>
      </c>
      <c r="B12" s="445">
        <f>'BIFUbC-petroleum-diesel pre-CHP'!B12+CHP!B77</f>
        <v>38259779395852.703</v>
      </c>
      <c r="C12" s="445">
        <f>'BIFUbC-petroleum-diesel pre-CHP'!C12+CHP!C77</f>
        <v>39047183580275.859</v>
      </c>
      <c r="D12" s="445">
        <f>'BIFUbC-petroleum-diesel pre-CHP'!D12+CHP!D77</f>
        <v>39834587764699.023</v>
      </c>
      <c r="E12" s="445">
        <f>'BIFUbC-petroleum-diesel pre-CHP'!E12+CHP!E77</f>
        <v>40621991949122.188</v>
      </c>
      <c r="F12" s="445">
        <f>'BIFUbC-petroleum-diesel pre-CHP'!F12+CHP!F77</f>
        <v>41488981338608.18</v>
      </c>
      <c r="G12" s="445">
        <f>'BIFUbC-petroleum-diesel pre-CHP'!G12+CHP!G77</f>
        <v>42355970728094.141</v>
      </c>
      <c r="H12" s="445">
        <f>'BIFUbC-petroleum-diesel pre-CHP'!H12+CHP!H77</f>
        <v>43222960117580.367</v>
      </c>
      <c r="I12" s="445">
        <f>'BIFUbC-petroleum-diesel pre-CHP'!I12+CHP!I77</f>
        <v>44089949507066.328</v>
      </c>
      <c r="J12" s="445">
        <f>'BIFUbC-petroleum-diesel pre-CHP'!J12+CHP!J77</f>
        <v>44956938896552.281</v>
      </c>
      <c r="K12" s="445">
        <f>'BIFUbC-petroleum-diesel pre-CHP'!K12+CHP!K77</f>
        <v>45823928286038.516</v>
      </c>
      <c r="L12" s="445">
        <f>'BIFUbC-petroleum-diesel pre-CHP'!L12+CHP!L77</f>
        <v>46690917675524.609</v>
      </c>
      <c r="M12" s="445">
        <f>'BIFUbC-petroleum-diesel pre-CHP'!M12+CHP!M77</f>
        <v>47245026112693.484</v>
      </c>
      <c r="N12" s="445">
        <f>'BIFUbC-petroleum-diesel pre-CHP'!N12+CHP!N77</f>
        <v>47799134549862.352</v>
      </c>
      <c r="O12" s="445">
        <f>'BIFUbC-petroleum-diesel pre-CHP'!O12+CHP!O77</f>
        <v>48353242987031.359</v>
      </c>
      <c r="P12" s="445">
        <f>'BIFUbC-petroleum-diesel pre-CHP'!P12+CHP!P77</f>
        <v>48907351424200.234</v>
      </c>
      <c r="Q12" s="445">
        <f>'BIFUbC-petroleum-diesel pre-CHP'!Q12+CHP!Q77</f>
        <v>49461459861369.242</v>
      </c>
      <c r="R12" s="445">
        <f>'BIFUbC-petroleum-diesel pre-CHP'!R12+CHP!R77</f>
        <v>50015568298538.125</v>
      </c>
      <c r="S12" s="445">
        <f>'BIFUbC-petroleum-diesel pre-CHP'!S12+CHP!S77</f>
        <v>50569676735707.125</v>
      </c>
      <c r="T12" s="445">
        <f>'BIFUbC-petroleum-diesel pre-CHP'!T12+CHP!T77</f>
        <v>51123785172876.008</v>
      </c>
      <c r="U12" s="445">
        <f>'BIFUbC-petroleum-diesel pre-CHP'!U12+CHP!U77</f>
        <v>51677893610045.016</v>
      </c>
      <c r="V12" s="445">
        <f>'BIFUbC-petroleum-diesel pre-CHP'!V12+CHP!V77</f>
        <v>52232002047214.016</v>
      </c>
      <c r="W12" s="445">
        <f>'BIFUbC-petroleum-diesel pre-CHP'!W12+CHP!W77</f>
        <v>52487148172105.414</v>
      </c>
      <c r="X12" s="445">
        <f>'BIFUbC-petroleum-diesel pre-CHP'!X12+CHP!X77</f>
        <v>52742294296996.813</v>
      </c>
      <c r="Y12" s="445">
        <f>'BIFUbC-petroleum-diesel pre-CHP'!Y12+CHP!Y77</f>
        <v>52997440421888.203</v>
      </c>
      <c r="Z12" s="445">
        <f>'BIFUbC-petroleum-diesel pre-CHP'!Z12+CHP!Z77</f>
        <v>53252586546779.594</v>
      </c>
      <c r="AA12" s="445">
        <f>'BIFUbC-petroleum-diesel pre-CHP'!AA12+CHP!AA77</f>
        <v>53507732671670.992</v>
      </c>
      <c r="AB12" s="445">
        <f>'BIFUbC-petroleum-diesel pre-CHP'!AB12+CHP!AB77</f>
        <v>53762878796562.391</v>
      </c>
      <c r="AC12" s="445">
        <f>'BIFUbC-petroleum-diesel pre-CHP'!AC12+CHP!AC77</f>
        <v>54018024921453.781</v>
      </c>
      <c r="AD12" s="445">
        <f>'BIFUbC-petroleum-diesel pre-CHP'!AD12+CHP!AD77</f>
        <v>54273171046345.172</v>
      </c>
      <c r="AE12" s="445">
        <f>'BIFUbC-petroleum-diesel pre-CHP'!AE12+CHP!AE77</f>
        <v>54528317171236.57</v>
      </c>
      <c r="AF12" s="445">
        <f>'BIFUbC-petroleum-diesel pre-CHP'!AF12+CHP!AF77</f>
        <v>54783463296127.969</v>
      </c>
    </row>
    <row r="13" spans="1:35">
      <c r="A13" t="s">
        <v>53</v>
      </c>
      <c r="B13" s="16">
        <f>'BIFUbC-petroleum-diesel pre-CHP'!B13+CHP!B78</f>
        <v>299329822576.96857</v>
      </c>
      <c r="C13" s="16">
        <f>'BIFUbC-petroleum-diesel pre-CHP'!C13+CHP!C78</f>
        <v>307370177431.67963</v>
      </c>
      <c r="D13" s="16">
        <f>'BIFUbC-petroleum-diesel pre-CHP'!D13+CHP!D78</f>
        <v>315410532286.39075</v>
      </c>
      <c r="E13" s="16">
        <f>'BIFUbC-petroleum-diesel pre-CHP'!E13+CHP!E78</f>
        <v>323450887141.10181</v>
      </c>
      <c r="F13" s="16">
        <f>'BIFUbC-petroleum-diesel pre-CHP'!F13+CHP!F78</f>
        <v>327182813154.16925</v>
      </c>
      <c r="G13" s="16">
        <f>'BIFUbC-petroleum-diesel pre-CHP'!G13+CHP!G78</f>
        <v>330914739167.23663</v>
      </c>
      <c r="H13" s="16">
        <f>'BIFUbC-petroleum-diesel pre-CHP'!H13+CHP!H78</f>
        <v>334646665180.30402</v>
      </c>
      <c r="I13" s="16">
        <f>'BIFUbC-petroleum-diesel pre-CHP'!I13+CHP!I78</f>
        <v>338378591193.37134</v>
      </c>
      <c r="J13" s="16">
        <f>'BIFUbC-petroleum-diesel pre-CHP'!J13+CHP!J78</f>
        <v>342110517206.43884</v>
      </c>
      <c r="K13" s="16">
        <f>'BIFUbC-petroleum-diesel pre-CHP'!K13+CHP!K78</f>
        <v>345842443219.50616</v>
      </c>
      <c r="L13" s="16">
        <f>'BIFUbC-petroleum-diesel pre-CHP'!L13+CHP!L78</f>
        <v>349574369232.57367</v>
      </c>
      <c r="M13" s="16">
        <f>'BIFUbC-petroleum-diesel pre-CHP'!M13+CHP!M78</f>
        <v>349723205115.98138</v>
      </c>
      <c r="N13" s="16">
        <f>'BIFUbC-petroleum-diesel pre-CHP'!N13+CHP!N78</f>
        <v>349872040999.38928</v>
      </c>
      <c r="O13" s="16">
        <f>'BIFUbC-petroleum-diesel pre-CHP'!O13+CHP!O78</f>
        <v>350020876882.79718</v>
      </c>
      <c r="P13" s="16">
        <f>'BIFUbC-petroleum-diesel pre-CHP'!P13+CHP!P78</f>
        <v>350169712766.20496</v>
      </c>
      <c r="Q13" s="16">
        <f>'BIFUbC-petroleum-diesel pre-CHP'!Q13+CHP!Q78</f>
        <v>350318548649.61285</v>
      </c>
      <c r="R13" s="16">
        <f>'BIFUbC-petroleum-diesel pre-CHP'!R13+CHP!R78</f>
        <v>350467384533.02075</v>
      </c>
      <c r="S13" s="16">
        <f>'BIFUbC-petroleum-diesel pre-CHP'!S13+CHP!S78</f>
        <v>350616220416.42847</v>
      </c>
      <c r="T13" s="16">
        <f>'BIFUbC-petroleum-diesel pre-CHP'!T13+CHP!T78</f>
        <v>350765056299.8363</v>
      </c>
      <c r="U13" s="16">
        <f>'BIFUbC-petroleum-diesel pre-CHP'!U13+CHP!U78</f>
        <v>350913892183.2442</v>
      </c>
      <c r="V13" s="16">
        <f>'BIFUbC-petroleum-diesel pre-CHP'!V13+CHP!V78</f>
        <v>351062728066.65204</v>
      </c>
      <c r="W13" s="16">
        <f>'BIFUbC-petroleum-diesel pre-CHP'!W13+CHP!W78</f>
        <v>348687639557.34998</v>
      </c>
      <c r="X13" s="16">
        <f>'BIFUbC-petroleum-diesel pre-CHP'!X13+CHP!X78</f>
        <v>346312551048.04791</v>
      </c>
      <c r="Y13" s="16">
        <f>'BIFUbC-petroleum-diesel pre-CHP'!Y13+CHP!Y78</f>
        <v>343937462538.74591</v>
      </c>
      <c r="Z13" s="16">
        <f>'BIFUbC-petroleum-diesel pre-CHP'!Z13+CHP!Z78</f>
        <v>341562374029.44385</v>
      </c>
      <c r="AA13" s="16">
        <f>'BIFUbC-petroleum-diesel pre-CHP'!AA13+CHP!AA78</f>
        <v>339187285520.14191</v>
      </c>
      <c r="AB13" s="16">
        <f>'BIFUbC-petroleum-diesel pre-CHP'!AB13+CHP!AB78</f>
        <v>336812197010.83984</v>
      </c>
      <c r="AC13" s="16">
        <f>'BIFUbC-petroleum-diesel pre-CHP'!AC13+CHP!AC78</f>
        <v>334437108501.53778</v>
      </c>
      <c r="AD13" s="16">
        <f>'BIFUbC-petroleum-diesel pre-CHP'!AD13+CHP!AD78</f>
        <v>332062019992.23572</v>
      </c>
      <c r="AE13" s="16">
        <f>'BIFUbC-petroleum-diesel pre-CHP'!AE13+CHP!AE78</f>
        <v>329686931482.93365</v>
      </c>
      <c r="AF13" s="16">
        <f>'BIFUbC-petroleum-diesel pre-CHP'!AF13+CHP!AF78</f>
        <v>327311842973.63165</v>
      </c>
    </row>
    <row r="14" spans="1:35">
      <c r="A14" t="s">
        <v>56</v>
      </c>
      <c r="B14" s="16">
        <f>'BIFUbC-petroleum-diesel pre-CHP'!B14+CHP!B79</f>
        <v>1289071690940.2122</v>
      </c>
      <c r="C14" s="16">
        <f>'BIFUbC-petroleum-diesel pre-CHP'!C14+CHP!C79</f>
        <v>1269629970473.6111</v>
      </c>
      <c r="D14" s="16">
        <f>'BIFUbC-petroleum-diesel pre-CHP'!D14+CHP!D79</f>
        <v>1250188250007.0103</v>
      </c>
      <c r="E14" s="16">
        <f>'BIFUbC-petroleum-diesel pre-CHP'!E14+CHP!E79</f>
        <v>1230746529540.4092</v>
      </c>
      <c r="F14" s="16">
        <f>'BIFUbC-petroleum-diesel pre-CHP'!F14+CHP!F79</f>
        <v>1232730336740.0024</v>
      </c>
      <c r="G14" s="16">
        <f>'BIFUbC-petroleum-diesel pre-CHP'!G14+CHP!G79</f>
        <v>1234714143939.5952</v>
      </c>
      <c r="H14" s="16">
        <f>'BIFUbC-petroleum-diesel pre-CHP'!H14+CHP!H79</f>
        <v>1236697951139.1885</v>
      </c>
      <c r="I14" s="16">
        <f>'BIFUbC-petroleum-diesel pre-CHP'!I14+CHP!I79</f>
        <v>1238681758338.7817</v>
      </c>
      <c r="J14" s="16">
        <f>'BIFUbC-petroleum-diesel pre-CHP'!J14+CHP!J79</f>
        <v>1240665565538.3748</v>
      </c>
      <c r="K14" s="16">
        <f>'BIFUbC-petroleum-diesel pre-CHP'!K14+CHP!K79</f>
        <v>1242649372737.9678</v>
      </c>
      <c r="L14" s="16">
        <f>'BIFUbC-petroleum-diesel pre-CHP'!L14+CHP!L79</f>
        <v>1244633179937.561</v>
      </c>
      <c r="M14" s="16">
        <f>'BIFUbC-petroleum-diesel pre-CHP'!M14+CHP!M79</f>
        <v>1244051314801.7358</v>
      </c>
      <c r="N14" s="16">
        <f>'BIFUbC-petroleum-diesel pre-CHP'!N14+CHP!N79</f>
        <v>1243469449665.9109</v>
      </c>
      <c r="O14" s="16">
        <f>'BIFUbC-petroleum-diesel pre-CHP'!O14+CHP!O79</f>
        <v>1242887584530.0857</v>
      </c>
      <c r="P14" s="16">
        <f>'BIFUbC-petroleum-diesel pre-CHP'!P14+CHP!P79</f>
        <v>1242305719394.2607</v>
      </c>
      <c r="Q14" s="16">
        <f>'BIFUbC-petroleum-diesel pre-CHP'!Q14+CHP!Q79</f>
        <v>1241723854258.4358</v>
      </c>
      <c r="R14" s="16">
        <f>'BIFUbC-petroleum-diesel pre-CHP'!R14+CHP!R79</f>
        <v>1241141989122.6108</v>
      </c>
      <c r="S14" s="16">
        <f>'BIFUbC-petroleum-diesel pre-CHP'!S14+CHP!S79</f>
        <v>1240560123986.7856</v>
      </c>
      <c r="T14" s="16">
        <f>'BIFUbC-petroleum-diesel pre-CHP'!T14+CHP!T79</f>
        <v>1239978258850.9607</v>
      </c>
      <c r="U14" s="16">
        <f>'BIFUbC-petroleum-diesel pre-CHP'!U14+CHP!U79</f>
        <v>1239396393715.1357</v>
      </c>
      <c r="V14" s="16">
        <f>'BIFUbC-petroleum-diesel pre-CHP'!V14+CHP!V79</f>
        <v>1238814528579.3105</v>
      </c>
      <c r="W14" s="16">
        <f>'BIFUbC-petroleum-diesel pre-CHP'!W14+CHP!W79</f>
        <v>1229274470855.02</v>
      </c>
      <c r="X14" s="16">
        <f>'BIFUbC-petroleum-diesel pre-CHP'!X14+CHP!X79</f>
        <v>1219734413130.729</v>
      </c>
      <c r="Y14" s="16">
        <f>'BIFUbC-petroleum-diesel pre-CHP'!Y14+CHP!Y79</f>
        <v>1210194355406.4385</v>
      </c>
      <c r="Z14" s="16">
        <f>'BIFUbC-petroleum-diesel pre-CHP'!Z14+CHP!Z79</f>
        <v>1200654297682.1479</v>
      </c>
      <c r="AA14" s="16">
        <f>'BIFUbC-petroleum-diesel pre-CHP'!AA14+CHP!AA79</f>
        <v>1191114239957.8572</v>
      </c>
      <c r="AB14" s="16">
        <f>'BIFUbC-petroleum-diesel pre-CHP'!AB14+CHP!AB79</f>
        <v>1181574182233.5664</v>
      </c>
      <c r="AC14" s="16">
        <f>'BIFUbC-petroleum-diesel pre-CHP'!AC14+CHP!AC79</f>
        <v>1172034124509.2759</v>
      </c>
      <c r="AD14" s="16">
        <f>'BIFUbC-petroleum-diesel pre-CHP'!AD14+CHP!AD79</f>
        <v>1162494066784.9854</v>
      </c>
      <c r="AE14" s="16">
        <f>'BIFUbC-petroleum-diesel pre-CHP'!AE14+CHP!AE79</f>
        <v>1152954009060.6946</v>
      </c>
      <c r="AF14" s="16">
        <f>'BIFUbC-petroleum-diesel pre-CHP'!AF14+CHP!AF79</f>
        <v>1143413951336.4038</v>
      </c>
    </row>
    <row r="15" spans="1:35">
      <c r="A15" t="s">
        <v>58</v>
      </c>
      <c r="B15" s="16">
        <f>'BIFUbC-petroleum-diesel pre-CHP'!B15+CHP!B80</f>
        <v>7132010195957.4961</v>
      </c>
      <c r="C15" s="16">
        <f>'BIFUbC-petroleum-diesel pre-CHP'!C15+CHP!C80</f>
        <v>7112966629286.8174</v>
      </c>
      <c r="D15" s="16">
        <f>'BIFUbC-petroleum-diesel pre-CHP'!D15+CHP!D80</f>
        <v>7093923062616.1377</v>
      </c>
      <c r="E15" s="16">
        <f>'BIFUbC-petroleum-diesel pre-CHP'!E15+CHP!E80</f>
        <v>7074879495945.46</v>
      </c>
      <c r="F15" s="16">
        <f>'BIFUbC-petroleum-diesel pre-CHP'!F15+CHP!F80</f>
        <v>7303193424988.1904</v>
      </c>
      <c r="G15" s="16">
        <f>'BIFUbC-petroleum-diesel pre-CHP'!G15+CHP!G80</f>
        <v>7531507354030.9238</v>
      </c>
      <c r="H15" s="16">
        <f>'BIFUbC-petroleum-diesel pre-CHP'!H15+CHP!H80</f>
        <v>7759821283073.6543</v>
      </c>
      <c r="I15" s="16">
        <f>'BIFUbC-petroleum-diesel pre-CHP'!I15+CHP!I80</f>
        <v>7988135212116.3887</v>
      </c>
      <c r="J15" s="16">
        <f>'BIFUbC-petroleum-diesel pre-CHP'!J15+CHP!J80</f>
        <v>8216449141159.1191</v>
      </c>
      <c r="K15" s="16">
        <f>'BIFUbC-petroleum-diesel pre-CHP'!K15+CHP!K80</f>
        <v>8444763070201.8506</v>
      </c>
      <c r="L15" s="16">
        <f>'BIFUbC-petroleum-diesel pre-CHP'!L15+CHP!L80</f>
        <v>8673076999244.582</v>
      </c>
      <c r="M15" s="16">
        <f>'BIFUbC-petroleum-diesel pre-CHP'!M15+CHP!M80</f>
        <v>8680550516398.0859</v>
      </c>
      <c r="N15" s="16">
        <f>'BIFUbC-petroleum-diesel pre-CHP'!N15+CHP!N80</f>
        <v>8688024033551.5879</v>
      </c>
      <c r="O15" s="16">
        <f>'BIFUbC-petroleum-diesel pre-CHP'!O15+CHP!O80</f>
        <v>8695497550705.0928</v>
      </c>
      <c r="P15" s="16">
        <f>'BIFUbC-petroleum-diesel pre-CHP'!P15+CHP!P80</f>
        <v>8702971067858.5938</v>
      </c>
      <c r="Q15" s="16">
        <f>'BIFUbC-petroleum-diesel pre-CHP'!Q15+CHP!Q80</f>
        <v>8710444585012.0967</v>
      </c>
      <c r="R15" s="16">
        <f>'BIFUbC-petroleum-diesel pre-CHP'!R15+CHP!R80</f>
        <v>8717918102165.5996</v>
      </c>
      <c r="S15" s="16">
        <f>'BIFUbC-petroleum-diesel pre-CHP'!S15+CHP!S80</f>
        <v>8725391619319.1025</v>
      </c>
      <c r="T15" s="16">
        <f>'BIFUbC-petroleum-diesel pre-CHP'!T15+CHP!T80</f>
        <v>8732865136472.6084</v>
      </c>
      <c r="U15" s="16">
        <f>'BIFUbC-petroleum-diesel pre-CHP'!U15+CHP!U80</f>
        <v>8740338653626.1094</v>
      </c>
      <c r="V15" s="16">
        <f>'BIFUbC-petroleum-diesel pre-CHP'!V15+CHP!V80</f>
        <v>8747812170779.6123</v>
      </c>
      <c r="W15" s="16">
        <f>'BIFUbC-petroleum-diesel pre-CHP'!W15+CHP!W80</f>
        <v>8730234406920.3057</v>
      </c>
      <c r="X15" s="16">
        <f>'BIFUbC-petroleum-diesel pre-CHP'!X15+CHP!X80</f>
        <v>8712656643060.999</v>
      </c>
      <c r="Y15" s="16">
        <f>'BIFUbC-petroleum-diesel pre-CHP'!Y15+CHP!Y80</f>
        <v>8695078879201.6924</v>
      </c>
      <c r="Z15" s="16">
        <f>'BIFUbC-petroleum-diesel pre-CHP'!Z15+CHP!Z80</f>
        <v>8677501115342.3857</v>
      </c>
      <c r="AA15" s="16">
        <f>'BIFUbC-petroleum-diesel pre-CHP'!AA15+CHP!AA80</f>
        <v>8659923351483.0811</v>
      </c>
      <c r="AB15" s="16">
        <f>'BIFUbC-petroleum-diesel pre-CHP'!AB15+CHP!AB80</f>
        <v>8642345587623.7744</v>
      </c>
      <c r="AC15" s="16">
        <f>'BIFUbC-petroleum-diesel pre-CHP'!AC15+CHP!AC80</f>
        <v>8624767823764.4688</v>
      </c>
      <c r="AD15" s="16">
        <f>'BIFUbC-petroleum-diesel pre-CHP'!AD15+CHP!AD80</f>
        <v>8607190059905.1611</v>
      </c>
      <c r="AE15" s="16">
        <f>'BIFUbC-petroleum-diesel pre-CHP'!AE15+CHP!AE80</f>
        <v>8589612296045.8564</v>
      </c>
      <c r="AF15" s="16">
        <f>'BIFUbC-petroleum-diesel pre-CHP'!AF15+CHP!AF80</f>
        <v>8572034532186.5498</v>
      </c>
    </row>
    <row r="16" spans="1:35">
      <c r="A16" t="s">
        <v>61</v>
      </c>
      <c r="B16" s="16">
        <f>'BIFUbC-petroleum-diesel pre-CHP'!B16+CHP!B81</f>
        <v>1372292492989.1086</v>
      </c>
      <c r="C16" s="16">
        <f>'BIFUbC-petroleum-diesel pre-CHP'!C16+CHP!C81</f>
        <v>1369468061109.2385</v>
      </c>
      <c r="D16" s="16">
        <f>'BIFUbC-petroleum-diesel pre-CHP'!D16+CHP!D81</f>
        <v>1366643629229.3687</v>
      </c>
      <c r="E16" s="16">
        <f>'BIFUbC-petroleum-diesel pre-CHP'!E16+CHP!E81</f>
        <v>1363819197349.4988</v>
      </c>
      <c r="F16" s="16">
        <f>'BIFUbC-petroleum-diesel pre-CHP'!F16+CHP!F81</f>
        <v>1420925120783.2495</v>
      </c>
      <c r="G16" s="16">
        <f>'BIFUbC-petroleum-diesel pre-CHP'!G16+CHP!G81</f>
        <v>1478031044217.0005</v>
      </c>
      <c r="H16" s="16">
        <f>'BIFUbC-petroleum-diesel pre-CHP'!H16+CHP!H81</f>
        <v>1535136967650.751</v>
      </c>
      <c r="I16" s="16">
        <f>'BIFUbC-petroleum-diesel pre-CHP'!I16+CHP!I81</f>
        <v>1592242891084.5017</v>
      </c>
      <c r="J16" s="16">
        <f>'BIFUbC-petroleum-diesel pre-CHP'!J16+CHP!J81</f>
        <v>1649348814518.2524</v>
      </c>
      <c r="K16" s="16">
        <f>'BIFUbC-petroleum-diesel pre-CHP'!K16+CHP!K81</f>
        <v>1706454737952.0029</v>
      </c>
      <c r="L16" s="16">
        <f>'BIFUbC-petroleum-diesel pre-CHP'!L16+CHP!L81</f>
        <v>1763560661385.7539</v>
      </c>
      <c r="M16" s="16">
        <f>'BIFUbC-petroleum-diesel pre-CHP'!M16+CHP!M81</f>
        <v>1765273790252.2856</v>
      </c>
      <c r="N16" s="16">
        <f>'BIFUbC-petroleum-diesel pre-CHP'!N16+CHP!N81</f>
        <v>1766986919118.8171</v>
      </c>
      <c r="O16" s="16">
        <f>'BIFUbC-petroleum-diesel pre-CHP'!O16+CHP!O81</f>
        <v>1768700047985.3489</v>
      </c>
      <c r="P16" s="16">
        <f>'BIFUbC-petroleum-diesel pre-CHP'!P16+CHP!P81</f>
        <v>1770413176851.8804</v>
      </c>
      <c r="Q16" s="16">
        <f>'BIFUbC-petroleum-diesel pre-CHP'!Q16+CHP!Q81</f>
        <v>1772126305718.4121</v>
      </c>
      <c r="R16" s="16">
        <f>'BIFUbC-petroleum-diesel pre-CHP'!R16+CHP!R81</f>
        <v>1773839434584.9438</v>
      </c>
      <c r="S16" s="16">
        <f>'BIFUbC-petroleum-diesel pre-CHP'!S16+CHP!S81</f>
        <v>1775552563451.4756</v>
      </c>
      <c r="T16" s="16">
        <f>'BIFUbC-petroleum-diesel pre-CHP'!T16+CHP!T81</f>
        <v>1777265692318.0073</v>
      </c>
      <c r="U16" s="16">
        <f>'BIFUbC-petroleum-diesel pre-CHP'!U16+CHP!U81</f>
        <v>1778978821184.5391</v>
      </c>
      <c r="V16" s="16">
        <f>'BIFUbC-petroleum-diesel pre-CHP'!V16+CHP!V81</f>
        <v>1780691950051.0708</v>
      </c>
      <c r="W16" s="16">
        <f>'BIFUbC-petroleum-diesel pre-CHP'!W16+CHP!W81</f>
        <v>1766299402800.3801</v>
      </c>
      <c r="X16" s="16">
        <f>'BIFUbC-petroleum-diesel pre-CHP'!X16+CHP!X81</f>
        <v>1751906855549.6895</v>
      </c>
      <c r="Y16" s="16">
        <f>'BIFUbC-petroleum-diesel pre-CHP'!Y16+CHP!Y81</f>
        <v>1737514308298.999</v>
      </c>
      <c r="Z16" s="16">
        <f>'BIFUbC-petroleum-diesel pre-CHP'!Z16+CHP!Z81</f>
        <v>1723121761048.3083</v>
      </c>
      <c r="AA16" s="16">
        <f>'BIFUbC-petroleum-diesel pre-CHP'!AA16+CHP!AA81</f>
        <v>1708729213797.6179</v>
      </c>
      <c r="AB16" s="16">
        <f>'BIFUbC-petroleum-diesel pre-CHP'!AB16+CHP!AB81</f>
        <v>1694336666546.9272</v>
      </c>
      <c r="AC16" s="16">
        <f>'BIFUbC-petroleum-diesel pre-CHP'!AC16+CHP!AC81</f>
        <v>1679944119296.2368</v>
      </c>
      <c r="AD16" s="16">
        <f>'BIFUbC-petroleum-diesel pre-CHP'!AD16+CHP!AD81</f>
        <v>1665551572045.5461</v>
      </c>
      <c r="AE16" s="16">
        <f>'BIFUbC-petroleum-diesel pre-CHP'!AE16+CHP!AE81</f>
        <v>1651159024794.8557</v>
      </c>
      <c r="AF16" s="16">
        <f>'BIFUbC-petroleum-diesel pre-CHP'!AF16+CHP!AF81</f>
        <v>1636766477544.165</v>
      </c>
    </row>
    <row r="17" spans="1:33">
      <c r="A17" t="s">
        <v>65</v>
      </c>
      <c r="B17" s="16">
        <f>'BIFUbC-petroleum-diesel pre-CHP'!B17+CHP!B82</f>
        <v>4604900739967.25</v>
      </c>
      <c r="C17" s="16">
        <f>'BIFUbC-petroleum-diesel pre-CHP'!C17+CHP!C82</f>
        <v>4512851965356.1807</v>
      </c>
      <c r="D17" s="16">
        <f>'BIFUbC-petroleum-diesel pre-CHP'!D17+CHP!D82</f>
        <v>4420803190745.1113</v>
      </c>
      <c r="E17" s="16">
        <f>'BIFUbC-petroleum-diesel pre-CHP'!E17+CHP!E82</f>
        <v>4328754416134.043</v>
      </c>
      <c r="F17" s="16">
        <f>'BIFUbC-petroleum-diesel pre-CHP'!F17+CHP!F82</f>
        <v>4533645687139.2217</v>
      </c>
      <c r="G17" s="16">
        <f>'BIFUbC-petroleum-diesel pre-CHP'!G17+CHP!G82</f>
        <v>4738536958144.4004</v>
      </c>
      <c r="H17" s="16">
        <f>'BIFUbC-petroleum-diesel pre-CHP'!H17+CHP!H82</f>
        <v>4943428229149.5801</v>
      </c>
      <c r="I17" s="16">
        <f>'BIFUbC-petroleum-diesel pre-CHP'!I17+CHP!I82</f>
        <v>5148319500154.7598</v>
      </c>
      <c r="J17" s="16">
        <f>'BIFUbC-petroleum-diesel pre-CHP'!J17+CHP!J82</f>
        <v>5353210771159.9395</v>
      </c>
      <c r="K17" s="16">
        <f>'BIFUbC-petroleum-diesel pre-CHP'!K17+CHP!K82</f>
        <v>5558102042165.1191</v>
      </c>
      <c r="L17" s="16">
        <f>'BIFUbC-petroleum-diesel pre-CHP'!L17+CHP!L82</f>
        <v>5762993313170.2969</v>
      </c>
      <c r="M17" s="16">
        <f>'BIFUbC-petroleum-diesel pre-CHP'!M17+CHP!M82</f>
        <v>5735478546808.5615</v>
      </c>
      <c r="N17" s="16">
        <f>'BIFUbC-petroleum-diesel pre-CHP'!N17+CHP!N82</f>
        <v>5707963780446.8252</v>
      </c>
      <c r="O17" s="16">
        <f>'BIFUbC-petroleum-diesel pre-CHP'!O17+CHP!O82</f>
        <v>5680449014085.0898</v>
      </c>
      <c r="P17" s="16">
        <f>'BIFUbC-petroleum-diesel pre-CHP'!P17+CHP!P82</f>
        <v>5652934247723.3535</v>
      </c>
      <c r="Q17" s="16">
        <f>'BIFUbC-petroleum-diesel pre-CHP'!Q17+CHP!Q82</f>
        <v>5625419481361.6182</v>
      </c>
      <c r="R17" s="16">
        <f>'BIFUbC-petroleum-diesel pre-CHP'!R17+CHP!R82</f>
        <v>5597904714999.8828</v>
      </c>
      <c r="S17" s="16">
        <f>'BIFUbC-petroleum-diesel pre-CHP'!S17+CHP!S82</f>
        <v>5570389948638.1455</v>
      </c>
      <c r="T17" s="16">
        <f>'BIFUbC-petroleum-diesel pre-CHP'!T17+CHP!T82</f>
        <v>5542875182276.4102</v>
      </c>
      <c r="U17" s="16">
        <f>'BIFUbC-petroleum-diesel pre-CHP'!U17+CHP!U82</f>
        <v>5515360415914.6738</v>
      </c>
      <c r="V17" s="16">
        <f>'BIFUbC-petroleum-diesel pre-CHP'!V17+CHP!V82</f>
        <v>5487845649552.9375</v>
      </c>
      <c r="W17" s="16">
        <f>'BIFUbC-petroleum-diesel pre-CHP'!W17+CHP!W82</f>
        <v>5405370814295.2578</v>
      </c>
      <c r="X17" s="16">
        <f>'BIFUbC-petroleum-diesel pre-CHP'!X17+CHP!X82</f>
        <v>5322895979037.5771</v>
      </c>
      <c r="Y17" s="16">
        <f>'BIFUbC-petroleum-diesel pre-CHP'!Y17+CHP!Y82</f>
        <v>5240421143779.8965</v>
      </c>
      <c r="Z17" s="16">
        <f>'BIFUbC-petroleum-diesel pre-CHP'!Z17+CHP!Z82</f>
        <v>5157946308522.2168</v>
      </c>
      <c r="AA17" s="16">
        <f>'BIFUbC-petroleum-diesel pre-CHP'!AA17+CHP!AA82</f>
        <v>5075471473264.5361</v>
      </c>
      <c r="AB17" s="16">
        <f>'BIFUbC-petroleum-diesel pre-CHP'!AB17+CHP!AB82</f>
        <v>4992996638006.8555</v>
      </c>
      <c r="AC17" s="16">
        <f>'BIFUbC-petroleum-diesel pre-CHP'!AC17+CHP!AC82</f>
        <v>4910521802749.1758</v>
      </c>
      <c r="AD17" s="16">
        <f>'BIFUbC-petroleum-diesel pre-CHP'!AD17+CHP!AD82</f>
        <v>4828046967491.4941</v>
      </c>
      <c r="AE17" s="16">
        <f>'BIFUbC-petroleum-diesel pre-CHP'!AE17+CHP!AE82</f>
        <v>4745572132233.8145</v>
      </c>
      <c r="AF17" s="16">
        <f>'BIFUbC-petroleum-diesel pre-CHP'!AF17+CHP!AF82</f>
        <v>4663097296976.1338</v>
      </c>
    </row>
    <row r="18" spans="1:33">
      <c r="A18" t="s">
        <v>67</v>
      </c>
      <c r="B18" s="16">
        <f>'BIFUbC-petroleum-diesel pre-CHP'!B18+CHP!B83</f>
        <v>13097539857147.09</v>
      </c>
      <c r="C18" s="16">
        <f>'BIFUbC-petroleum-diesel pre-CHP'!C18+CHP!C83</f>
        <v>13564539314352.797</v>
      </c>
      <c r="D18" s="16">
        <f>'BIFUbC-petroleum-diesel pre-CHP'!D18+CHP!D83</f>
        <v>14031538771558.691</v>
      </c>
      <c r="E18" s="16">
        <f>'BIFUbC-petroleum-diesel pre-CHP'!E18+CHP!E83</f>
        <v>14498538228764.49</v>
      </c>
      <c r="F18" s="16">
        <f>'BIFUbC-petroleum-diesel pre-CHP'!F18+CHP!F83</f>
        <v>14751960833136.482</v>
      </c>
      <c r="G18" s="16">
        <f>'BIFUbC-petroleum-diesel pre-CHP'!G18+CHP!G83</f>
        <v>15005383437508.473</v>
      </c>
      <c r="H18" s="16">
        <f>'BIFUbC-petroleum-diesel pre-CHP'!H18+CHP!H83</f>
        <v>15258806041880.461</v>
      </c>
      <c r="I18" s="16">
        <f>'BIFUbC-petroleum-diesel pre-CHP'!I18+CHP!I83</f>
        <v>15512228646252.453</v>
      </c>
      <c r="J18" s="16">
        <f>'BIFUbC-petroleum-diesel pre-CHP'!J18+CHP!J83</f>
        <v>15765651250624.441</v>
      </c>
      <c r="K18" s="16">
        <f>'BIFUbC-petroleum-diesel pre-CHP'!K18+CHP!K83</f>
        <v>16019073854996.432</v>
      </c>
      <c r="L18" s="16">
        <f>'BIFUbC-petroleum-diesel pre-CHP'!L18+CHP!L83</f>
        <v>16272496459368.42</v>
      </c>
      <c r="M18" s="16">
        <f>'BIFUbC-petroleum-diesel pre-CHP'!M18+CHP!M83</f>
        <v>16370768628112.701</v>
      </c>
      <c r="N18" s="16">
        <f>'BIFUbC-petroleum-diesel pre-CHP'!N18+CHP!N83</f>
        <v>16469040796856.984</v>
      </c>
      <c r="O18" s="16">
        <f>'BIFUbC-petroleum-diesel pre-CHP'!O18+CHP!O83</f>
        <v>16567312965601.268</v>
      </c>
      <c r="P18" s="16">
        <f>'BIFUbC-petroleum-diesel pre-CHP'!P18+CHP!P83</f>
        <v>16665585134345.547</v>
      </c>
      <c r="Q18" s="16">
        <f>'BIFUbC-petroleum-diesel pre-CHP'!Q18+CHP!Q83</f>
        <v>16763857303089.828</v>
      </c>
      <c r="R18" s="16">
        <f>'BIFUbC-petroleum-diesel pre-CHP'!R18+CHP!R83</f>
        <v>16862129471834.107</v>
      </c>
      <c r="S18" s="16">
        <f>'BIFUbC-petroleum-diesel pre-CHP'!S18+CHP!S83</f>
        <v>16960401640578.391</v>
      </c>
      <c r="T18" s="16">
        <f>'BIFUbC-petroleum-diesel pre-CHP'!T18+CHP!T83</f>
        <v>17058673809322.674</v>
      </c>
      <c r="U18" s="16">
        <f>'BIFUbC-petroleum-diesel pre-CHP'!U18+CHP!U83</f>
        <v>17156945978066.955</v>
      </c>
      <c r="V18" s="16">
        <f>'BIFUbC-petroleum-diesel pre-CHP'!V18+CHP!V83</f>
        <v>17255218146811.23</v>
      </c>
      <c r="W18" s="16">
        <f>'BIFUbC-petroleum-diesel pre-CHP'!W18+CHP!W83</f>
        <v>17204655760816.061</v>
      </c>
      <c r="X18" s="16">
        <f>'BIFUbC-petroleum-diesel pre-CHP'!X18+CHP!X83</f>
        <v>17154093374820.898</v>
      </c>
      <c r="Y18" s="16">
        <f>'BIFUbC-petroleum-diesel pre-CHP'!Y18+CHP!Y83</f>
        <v>17103530988825.734</v>
      </c>
      <c r="Z18" s="16">
        <f>'BIFUbC-petroleum-diesel pre-CHP'!Z18+CHP!Z83</f>
        <v>17052968602830.57</v>
      </c>
      <c r="AA18" s="16">
        <f>'BIFUbC-petroleum-diesel pre-CHP'!AA18+CHP!AA83</f>
        <v>17002406216835.408</v>
      </c>
      <c r="AB18" s="16">
        <f>'BIFUbC-petroleum-diesel pre-CHP'!AB18+CHP!AB83</f>
        <v>16951843830840.246</v>
      </c>
      <c r="AC18" s="16">
        <f>'BIFUbC-petroleum-diesel pre-CHP'!AC18+CHP!AC83</f>
        <v>16901281444845.084</v>
      </c>
      <c r="AD18" s="16">
        <f>'BIFUbC-petroleum-diesel pre-CHP'!AD18+CHP!AD83</f>
        <v>16850719058849.92</v>
      </c>
      <c r="AE18" s="16">
        <f>'BIFUbC-petroleum-diesel pre-CHP'!AE18+CHP!AE83</f>
        <v>16800156672854.756</v>
      </c>
      <c r="AF18" s="16">
        <f>'BIFUbC-petroleum-diesel pre-CHP'!AF18+CHP!AF83</f>
        <v>16749594286859.609</v>
      </c>
    </row>
    <row r="19" spans="1:33">
      <c r="A19" t="s">
        <v>71</v>
      </c>
      <c r="B19" s="16">
        <f>'BIFUbC-petroleum-diesel pre-CHP'!B19+CHP!B84</f>
        <v>2349116966928.0127</v>
      </c>
      <c r="C19" s="16">
        <f>'BIFUbC-petroleum-diesel pre-CHP'!C19+CHP!C84</f>
        <v>2433855835965.1377</v>
      </c>
      <c r="D19" s="16">
        <f>'BIFUbC-petroleum-diesel pre-CHP'!D19+CHP!D84</f>
        <v>2518594705002.2949</v>
      </c>
      <c r="E19" s="16">
        <f>'BIFUbC-petroleum-diesel pre-CHP'!E19+CHP!E84</f>
        <v>2603333574039.4365</v>
      </c>
      <c r="F19" s="16">
        <f>'BIFUbC-petroleum-diesel pre-CHP'!F19+CHP!F84</f>
        <v>2650965241453.7227</v>
      </c>
      <c r="G19" s="16">
        <f>'BIFUbC-petroleum-diesel pre-CHP'!G19+CHP!G84</f>
        <v>2698596908868.0098</v>
      </c>
      <c r="H19" s="16">
        <f>'BIFUbC-petroleum-diesel pre-CHP'!H19+CHP!H84</f>
        <v>2746228576282.2959</v>
      </c>
      <c r="I19" s="16">
        <f>'BIFUbC-petroleum-diesel pre-CHP'!I19+CHP!I84</f>
        <v>2793860243696.5825</v>
      </c>
      <c r="J19" s="16">
        <f>'BIFUbC-petroleum-diesel pre-CHP'!J19+CHP!J84</f>
        <v>2841491911110.8691</v>
      </c>
      <c r="K19" s="16">
        <f>'BIFUbC-petroleum-diesel pre-CHP'!K19+CHP!K84</f>
        <v>2889123578525.1558</v>
      </c>
      <c r="L19" s="16">
        <f>'BIFUbC-petroleum-diesel pre-CHP'!L19+CHP!L84</f>
        <v>2936755245939.4424</v>
      </c>
      <c r="M19" s="16">
        <f>'BIFUbC-petroleum-diesel pre-CHP'!M19+CHP!M84</f>
        <v>2954949444493.5874</v>
      </c>
      <c r="N19" s="16">
        <f>'BIFUbC-petroleum-diesel pre-CHP'!N19+CHP!N84</f>
        <v>2973143643047.7314</v>
      </c>
      <c r="O19" s="16">
        <f>'BIFUbC-petroleum-diesel pre-CHP'!O19+CHP!O84</f>
        <v>2991337841601.8765</v>
      </c>
      <c r="P19" s="16">
        <f>'BIFUbC-petroleum-diesel pre-CHP'!P19+CHP!P84</f>
        <v>3009532040156.021</v>
      </c>
      <c r="Q19" s="16">
        <f>'BIFUbC-petroleum-diesel pre-CHP'!Q19+CHP!Q84</f>
        <v>3027726238710.166</v>
      </c>
      <c r="R19" s="16">
        <f>'BIFUbC-petroleum-diesel pre-CHP'!R19+CHP!R84</f>
        <v>3045920437264.3101</v>
      </c>
      <c r="S19" s="16">
        <f>'BIFUbC-petroleum-diesel pre-CHP'!S19+CHP!S84</f>
        <v>3064114635818.4546</v>
      </c>
      <c r="T19" s="16">
        <f>'BIFUbC-petroleum-diesel pre-CHP'!T19+CHP!T84</f>
        <v>3082308834372.5996</v>
      </c>
      <c r="U19" s="16">
        <f>'BIFUbC-petroleum-diesel pre-CHP'!U19+CHP!U84</f>
        <v>3100503032926.7441</v>
      </c>
      <c r="V19" s="16">
        <f>'BIFUbC-petroleum-diesel pre-CHP'!V19+CHP!V84</f>
        <v>3118697231480.8887</v>
      </c>
      <c r="W19" s="16">
        <f>'BIFUbC-petroleum-diesel pre-CHP'!W19+CHP!W84</f>
        <v>3110204616674.1138</v>
      </c>
      <c r="X19" s="16">
        <f>'BIFUbC-petroleum-diesel pre-CHP'!X19+CHP!X84</f>
        <v>3101712001867.3408</v>
      </c>
      <c r="Y19" s="16">
        <f>'BIFUbC-petroleum-diesel pre-CHP'!Y19+CHP!Y84</f>
        <v>3093219387060.5684</v>
      </c>
      <c r="Z19" s="16">
        <f>'BIFUbC-petroleum-diesel pre-CHP'!Z19+CHP!Z84</f>
        <v>3084726772253.7949</v>
      </c>
      <c r="AA19" s="16">
        <f>'BIFUbC-petroleum-diesel pre-CHP'!AA19+CHP!AA84</f>
        <v>3076234157447.0229</v>
      </c>
      <c r="AB19" s="16">
        <f>'BIFUbC-petroleum-diesel pre-CHP'!AB19+CHP!AB84</f>
        <v>3067741542640.25</v>
      </c>
      <c r="AC19" s="16">
        <f>'BIFUbC-petroleum-diesel pre-CHP'!AC19+CHP!AC84</f>
        <v>3059248927833.4771</v>
      </c>
      <c r="AD19" s="16">
        <f>'BIFUbC-petroleum-diesel pre-CHP'!AD19+CHP!AD84</f>
        <v>3050756313026.7041</v>
      </c>
      <c r="AE19" s="16">
        <f>'BIFUbC-petroleum-diesel pre-CHP'!AE19+CHP!AE84</f>
        <v>3042263698219.9312</v>
      </c>
      <c r="AF19" s="16">
        <f>'BIFUbC-petroleum-diesel pre-CHP'!AF19+CHP!AF84</f>
        <v>3033771083413.1602</v>
      </c>
    </row>
    <row r="20" spans="1:33">
      <c r="A20" t="s">
        <v>73</v>
      </c>
      <c r="B20" s="16">
        <f>'BIFUbC-petroleum-diesel pre-CHP'!B20+CHP!B85</f>
        <v>3868773103273.4355</v>
      </c>
      <c r="C20" s="16">
        <f>'BIFUbC-petroleum-diesel pre-CHP'!C20+CHP!C85</f>
        <v>4011136484718.2773</v>
      </c>
      <c r="D20" s="16">
        <f>'BIFUbC-petroleum-diesel pre-CHP'!D20+CHP!D85</f>
        <v>4153499866163.1709</v>
      </c>
      <c r="E20" s="16">
        <f>'BIFUbC-petroleum-diesel pre-CHP'!E20+CHP!E85</f>
        <v>4295863247608.0386</v>
      </c>
      <c r="F20" s="16">
        <f>'BIFUbC-petroleum-diesel pre-CHP'!F20+CHP!F85</f>
        <v>4380548568606.7915</v>
      </c>
      <c r="G20" s="16">
        <f>'BIFUbC-petroleum-diesel pre-CHP'!G20+CHP!G85</f>
        <v>4465233889605.543</v>
      </c>
      <c r="H20" s="16">
        <f>'BIFUbC-petroleum-diesel pre-CHP'!H20+CHP!H85</f>
        <v>4549919210604.2959</v>
      </c>
      <c r="I20" s="16">
        <f>'BIFUbC-petroleum-diesel pre-CHP'!I20+CHP!I85</f>
        <v>4634604531603.0479</v>
      </c>
      <c r="J20" s="16">
        <f>'BIFUbC-petroleum-diesel pre-CHP'!J20+CHP!J85</f>
        <v>4719289852601.8008</v>
      </c>
      <c r="K20" s="16">
        <f>'BIFUbC-petroleum-diesel pre-CHP'!K20+CHP!K85</f>
        <v>4803975173600.5527</v>
      </c>
      <c r="L20" s="16">
        <f>'BIFUbC-petroleum-diesel pre-CHP'!L20+CHP!L85</f>
        <v>4888660494599.3037</v>
      </c>
      <c r="M20" s="16">
        <f>'BIFUbC-petroleum-diesel pre-CHP'!M20+CHP!M85</f>
        <v>4920252925598.209</v>
      </c>
      <c r="N20" s="16">
        <f>'BIFUbC-petroleum-diesel pre-CHP'!N20+CHP!N85</f>
        <v>4951845356597.1143</v>
      </c>
      <c r="O20" s="16">
        <f>'BIFUbC-petroleum-diesel pre-CHP'!O20+CHP!O85</f>
        <v>4983437787596.0186</v>
      </c>
      <c r="P20" s="16">
        <f>'BIFUbC-petroleum-diesel pre-CHP'!P20+CHP!P85</f>
        <v>5015030218594.9238</v>
      </c>
      <c r="Q20" s="16">
        <f>'BIFUbC-petroleum-diesel pre-CHP'!Q20+CHP!Q85</f>
        <v>5046622649593.8281</v>
      </c>
      <c r="R20" s="16">
        <f>'BIFUbC-petroleum-diesel pre-CHP'!R20+CHP!R85</f>
        <v>5078215080592.7334</v>
      </c>
      <c r="S20" s="16">
        <f>'BIFUbC-petroleum-diesel pre-CHP'!S20+CHP!S85</f>
        <v>5109807511591.6387</v>
      </c>
      <c r="T20" s="16">
        <f>'BIFUbC-petroleum-diesel pre-CHP'!T20+CHP!T85</f>
        <v>5141399942590.5439</v>
      </c>
      <c r="U20" s="16">
        <f>'BIFUbC-petroleum-diesel pre-CHP'!U20+CHP!U85</f>
        <v>5172992373589.4473</v>
      </c>
      <c r="V20" s="16">
        <f>'BIFUbC-petroleum-diesel pre-CHP'!V20+CHP!V85</f>
        <v>5204584804588.3516</v>
      </c>
      <c r="W20" s="16">
        <f>'BIFUbC-petroleum-diesel pre-CHP'!W20+CHP!W85</f>
        <v>5192248050316.1309</v>
      </c>
      <c r="X20" s="16">
        <f>'BIFUbC-petroleum-diesel pre-CHP'!X20+CHP!X85</f>
        <v>5179911296043.9121</v>
      </c>
      <c r="Y20" s="16">
        <f>'BIFUbC-petroleum-diesel pre-CHP'!Y20+CHP!Y85</f>
        <v>5167574541771.6943</v>
      </c>
      <c r="Z20" s="16">
        <f>'BIFUbC-petroleum-diesel pre-CHP'!Z20+CHP!Z85</f>
        <v>5155237787499.4746</v>
      </c>
      <c r="AA20" s="16">
        <f>'BIFUbC-petroleum-diesel pre-CHP'!AA20+CHP!AA85</f>
        <v>5142901033227.2549</v>
      </c>
      <c r="AB20" s="16">
        <f>'BIFUbC-petroleum-diesel pre-CHP'!AB20+CHP!AB85</f>
        <v>5130564278955.0371</v>
      </c>
      <c r="AC20" s="16">
        <f>'BIFUbC-petroleum-diesel pre-CHP'!AC20+CHP!AC85</f>
        <v>5118227524682.8184</v>
      </c>
      <c r="AD20" s="16">
        <f>'BIFUbC-petroleum-diesel pre-CHP'!AD20+CHP!AD85</f>
        <v>5105890770410.5986</v>
      </c>
      <c r="AE20" s="16">
        <f>'BIFUbC-petroleum-diesel pre-CHP'!AE20+CHP!AE85</f>
        <v>5093554016138.3809</v>
      </c>
      <c r="AF20" s="16">
        <f>'BIFUbC-petroleum-diesel pre-CHP'!AF20+CHP!AF85</f>
        <v>5081217261866.165</v>
      </c>
    </row>
    <row r="21" spans="1:33">
      <c r="A21" t="s">
        <v>75</v>
      </c>
      <c r="B21" s="16">
        <f>'BIFUbC-petroleum-diesel pre-CHP'!B21+CHP!B86</f>
        <v>6501294193151.0938</v>
      </c>
      <c r="C21" s="16">
        <f>'BIFUbC-petroleum-diesel pre-CHP'!C21+CHP!C86</f>
        <v>6773032222001.3135</v>
      </c>
      <c r="D21" s="16">
        <f>'BIFUbC-petroleum-diesel pre-CHP'!D21+CHP!D86</f>
        <v>7044770250851.5859</v>
      </c>
      <c r="E21" s="16">
        <f>'BIFUbC-petroleum-diesel pre-CHP'!E21+CHP!E86</f>
        <v>7316508279701.832</v>
      </c>
      <c r="F21" s="16">
        <f>'BIFUbC-petroleum-diesel pre-CHP'!F21+CHP!F86</f>
        <v>7531091169934.248</v>
      </c>
      <c r="G21" s="16">
        <f>'BIFUbC-petroleum-diesel pre-CHP'!G21+CHP!G86</f>
        <v>7745674060166.6631</v>
      </c>
      <c r="H21" s="16">
        <f>'BIFUbC-petroleum-diesel pre-CHP'!H21+CHP!H86</f>
        <v>7960256950399.0791</v>
      </c>
      <c r="I21" s="16">
        <f>'BIFUbC-petroleum-diesel pre-CHP'!I21+CHP!I86</f>
        <v>8174839840631.4951</v>
      </c>
      <c r="J21" s="16">
        <f>'BIFUbC-petroleum-diesel pre-CHP'!J21+CHP!J86</f>
        <v>8389422730863.9102</v>
      </c>
      <c r="K21" s="16">
        <f>'BIFUbC-petroleum-diesel pre-CHP'!K21+CHP!K86</f>
        <v>8604005621096.3271</v>
      </c>
      <c r="L21" s="16">
        <f>'BIFUbC-petroleum-diesel pre-CHP'!L21+CHP!L86</f>
        <v>8818588511328.7422</v>
      </c>
      <c r="M21" s="16">
        <f>'BIFUbC-petroleum-diesel pre-CHP'!M21+CHP!M86</f>
        <v>8890536147146.5234</v>
      </c>
      <c r="N21" s="16">
        <f>'BIFUbC-petroleum-diesel pre-CHP'!N21+CHP!N86</f>
        <v>8962483782964.3086</v>
      </c>
      <c r="O21" s="16">
        <f>'BIFUbC-petroleum-diesel pre-CHP'!O21+CHP!O86</f>
        <v>9034431418782.0918</v>
      </c>
      <c r="P21" s="16">
        <f>'BIFUbC-petroleum-diesel pre-CHP'!P21+CHP!P86</f>
        <v>9106379054599.875</v>
      </c>
      <c r="Q21" s="16">
        <f>'BIFUbC-petroleum-diesel pre-CHP'!Q21+CHP!Q86</f>
        <v>9178326690417.6602</v>
      </c>
      <c r="R21" s="16">
        <f>'BIFUbC-petroleum-diesel pre-CHP'!R21+CHP!R86</f>
        <v>9250274326235.4414</v>
      </c>
      <c r="S21" s="16">
        <f>'BIFUbC-petroleum-diesel pre-CHP'!S21+CHP!S86</f>
        <v>9322221962053.2266</v>
      </c>
      <c r="T21" s="16">
        <f>'BIFUbC-petroleum-diesel pre-CHP'!T21+CHP!T86</f>
        <v>9394169597871.0078</v>
      </c>
      <c r="U21" s="16">
        <f>'BIFUbC-petroleum-diesel pre-CHP'!U21+CHP!U86</f>
        <v>9466117233688.791</v>
      </c>
      <c r="V21" s="16">
        <f>'BIFUbC-petroleum-diesel pre-CHP'!V21+CHP!V86</f>
        <v>9538064869506.5742</v>
      </c>
      <c r="W21" s="16">
        <f>'BIFUbC-petroleum-diesel pre-CHP'!W21+CHP!W86</f>
        <v>9536440172558.418</v>
      </c>
      <c r="X21" s="16">
        <f>'BIFUbC-petroleum-diesel pre-CHP'!X21+CHP!X86</f>
        <v>9534815475610.2656</v>
      </c>
      <c r="Y21" s="16">
        <f>'BIFUbC-petroleum-diesel pre-CHP'!Y21+CHP!Y86</f>
        <v>9533190778662.1133</v>
      </c>
      <c r="Z21" s="16">
        <f>'BIFUbC-petroleum-diesel pre-CHP'!Z21+CHP!Z86</f>
        <v>9531566081713.9609</v>
      </c>
      <c r="AA21" s="16">
        <f>'BIFUbC-petroleum-diesel pre-CHP'!AA21+CHP!AA86</f>
        <v>9529941384765.8086</v>
      </c>
      <c r="AB21" s="16">
        <f>'BIFUbC-petroleum-diesel pre-CHP'!AB21+CHP!AB86</f>
        <v>9528316687817.6523</v>
      </c>
      <c r="AC21" s="16">
        <f>'BIFUbC-petroleum-diesel pre-CHP'!AC21+CHP!AC86</f>
        <v>9526691990869.5</v>
      </c>
      <c r="AD21" s="16">
        <f>'BIFUbC-petroleum-diesel pre-CHP'!AD21+CHP!AD86</f>
        <v>9525067293921.3496</v>
      </c>
      <c r="AE21" s="16">
        <f>'BIFUbC-petroleum-diesel pre-CHP'!AE21+CHP!AE86</f>
        <v>9523442596973.1953</v>
      </c>
      <c r="AF21" s="16">
        <f>'BIFUbC-petroleum-diesel pre-CHP'!AF21+CHP!AF86</f>
        <v>9521817900025.0469</v>
      </c>
    </row>
    <row r="22" spans="1:33">
      <c r="A22" t="s">
        <v>78</v>
      </c>
      <c r="B22" s="16">
        <f>'BIFUbC-petroleum-diesel pre-CHP'!B22+CHP!B87</f>
        <v>3693568945324.0771</v>
      </c>
      <c r="C22" s="16">
        <f>'BIFUbC-petroleum-diesel pre-CHP'!C22+CHP!C87</f>
        <v>3864591459036.105</v>
      </c>
      <c r="D22" s="16">
        <f>'BIFUbC-petroleum-diesel pre-CHP'!D22+CHP!D87</f>
        <v>4035613972748.146</v>
      </c>
      <c r="E22" s="16">
        <f>'BIFUbC-petroleum-diesel pre-CHP'!E22+CHP!E87</f>
        <v>4206636486460.1802</v>
      </c>
      <c r="F22" s="16">
        <f>'BIFUbC-petroleum-diesel pre-CHP'!F22+CHP!F87</f>
        <v>4365548592988.7949</v>
      </c>
      <c r="G22" s="16">
        <f>'BIFUbC-petroleum-diesel pre-CHP'!G22+CHP!G87</f>
        <v>4524460699517.4102</v>
      </c>
      <c r="H22" s="16">
        <f>'BIFUbC-petroleum-diesel pre-CHP'!H22+CHP!H87</f>
        <v>4683372806046.0254</v>
      </c>
      <c r="I22" s="16">
        <f>'BIFUbC-petroleum-diesel pre-CHP'!I22+CHP!I87</f>
        <v>4842284912574.6396</v>
      </c>
      <c r="J22" s="16">
        <f>'BIFUbC-petroleum-diesel pre-CHP'!J22+CHP!J87</f>
        <v>5001197019103.2539</v>
      </c>
      <c r="K22" s="16">
        <f>'BIFUbC-petroleum-diesel pre-CHP'!K22+CHP!K87</f>
        <v>5160109125631.8691</v>
      </c>
      <c r="L22" s="16">
        <f>'BIFUbC-petroleum-diesel pre-CHP'!L22+CHP!L87</f>
        <v>5319021232160.4844</v>
      </c>
      <c r="M22" s="16">
        <f>'BIFUbC-petroleum-diesel pre-CHP'!M22+CHP!M87</f>
        <v>5369551411988.9082</v>
      </c>
      <c r="N22" s="16">
        <f>'BIFUbC-petroleum-diesel pre-CHP'!N22+CHP!N87</f>
        <v>5420081591817.3311</v>
      </c>
      <c r="O22" s="16">
        <f>'BIFUbC-petroleum-diesel pre-CHP'!O22+CHP!O87</f>
        <v>5470611771645.7539</v>
      </c>
      <c r="P22" s="16">
        <f>'BIFUbC-petroleum-diesel pre-CHP'!P22+CHP!P87</f>
        <v>5521141951474.1777</v>
      </c>
      <c r="Q22" s="16">
        <f>'BIFUbC-petroleum-diesel pre-CHP'!Q22+CHP!Q87</f>
        <v>5571672131302.6006</v>
      </c>
      <c r="R22" s="16">
        <f>'BIFUbC-petroleum-diesel pre-CHP'!R22+CHP!R87</f>
        <v>5622202311131.0244</v>
      </c>
      <c r="S22" s="16">
        <f>'BIFUbC-petroleum-diesel pre-CHP'!S22+CHP!S87</f>
        <v>5672732490959.4473</v>
      </c>
      <c r="T22" s="16">
        <f>'BIFUbC-petroleum-diesel pre-CHP'!T22+CHP!T87</f>
        <v>5723262670787.8711</v>
      </c>
      <c r="U22" s="16">
        <f>'BIFUbC-petroleum-diesel pre-CHP'!U22+CHP!U87</f>
        <v>5773792850616.2939</v>
      </c>
      <c r="V22" s="16">
        <f>'BIFUbC-petroleum-diesel pre-CHP'!V22+CHP!V87</f>
        <v>5824323030444.7168</v>
      </c>
      <c r="W22" s="16">
        <f>'BIFUbC-petroleum-diesel pre-CHP'!W22+CHP!W87</f>
        <v>5833181979784.1211</v>
      </c>
      <c r="X22" s="16">
        <f>'BIFUbC-petroleum-diesel pre-CHP'!X22+CHP!X87</f>
        <v>5842040929123.5254</v>
      </c>
      <c r="Y22" s="16">
        <f>'BIFUbC-petroleum-diesel pre-CHP'!Y22+CHP!Y87</f>
        <v>5850899878462.9277</v>
      </c>
      <c r="Z22" s="16">
        <f>'BIFUbC-petroleum-diesel pre-CHP'!Z22+CHP!Z87</f>
        <v>5859758827802.332</v>
      </c>
      <c r="AA22" s="16">
        <f>'BIFUbC-petroleum-diesel pre-CHP'!AA22+CHP!AA87</f>
        <v>5868617777141.7363</v>
      </c>
      <c r="AB22" s="16">
        <f>'BIFUbC-petroleum-diesel pre-CHP'!AB22+CHP!AB87</f>
        <v>5877476726481.1406</v>
      </c>
      <c r="AC22" s="16">
        <f>'BIFUbC-petroleum-diesel pre-CHP'!AC22+CHP!AC87</f>
        <v>5886335675820.5439</v>
      </c>
      <c r="AD22" s="16">
        <f>'BIFUbC-petroleum-diesel pre-CHP'!AD22+CHP!AD87</f>
        <v>5895194625159.9482</v>
      </c>
      <c r="AE22" s="16">
        <f>'BIFUbC-petroleum-diesel pre-CHP'!AE22+CHP!AE87</f>
        <v>5904053574499.3525</v>
      </c>
      <c r="AF22" s="16">
        <f>'BIFUbC-petroleum-diesel pre-CHP'!AF22+CHP!AF87</f>
        <v>5912912523838.7568</v>
      </c>
    </row>
    <row r="23" spans="1:33">
      <c r="A23" t="s">
        <v>80</v>
      </c>
      <c r="B23" s="16">
        <f>'BIFUbC-petroleum-diesel pre-CHP'!B23+CHP!B88</f>
        <v>1188071693992.3728</v>
      </c>
      <c r="C23" s="16">
        <f>'BIFUbC-petroleum-diesel pre-CHP'!C23+CHP!C88</f>
        <v>1139558890429.646</v>
      </c>
      <c r="D23" s="16">
        <f>'BIFUbC-petroleum-diesel pre-CHP'!D23+CHP!D88</f>
        <v>1091046086866.9187</v>
      </c>
      <c r="E23" s="16">
        <f>'BIFUbC-petroleum-diesel pre-CHP'!E23+CHP!E88</f>
        <v>1042533283304.1919</v>
      </c>
      <c r="F23" s="16">
        <f>'BIFUbC-petroleum-diesel pre-CHP'!F23+CHP!F88</f>
        <v>1036390021975.9973</v>
      </c>
      <c r="G23" s="16">
        <f>'BIFUbC-petroleum-diesel pre-CHP'!G23+CHP!G88</f>
        <v>1030246760647.8027</v>
      </c>
      <c r="H23" s="16">
        <f>'BIFUbC-petroleum-diesel pre-CHP'!H23+CHP!H88</f>
        <v>1024103499319.6082</v>
      </c>
      <c r="I23" s="16">
        <f>'BIFUbC-petroleum-diesel pre-CHP'!I23+CHP!I88</f>
        <v>1017960237991.4136</v>
      </c>
      <c r="J23" s="16">
        <f>'BIFUbC-petroleum-diesel pre-CHP'!J23+CHP!J88</f>
        <v>1011816976663.2191</v>
      </c>
      <c r="K23" s="16">
        <f>'BIFUbC-petroleum-diesel pre-CHP'!K23+CHP!K88</f>
        <v>1005673715335.0244</v>
      </c>
      <c r="L23" s="16">
        <f>'BIFUbC-petroleum-diesel pre-CHP'!L23+CHP!L88</f>
        <v>999530454006.83008</v>
      </c>
      <c r="M23" s="16">
        <f>'BIFUbC-petroleum-diesel pre-CHP'!M23+CHP!M88</f>
        <v>998302236568.21704</v>
      </c>
      <c r="N23" s="16">
        <f>'BIFUbC-petroleum-diesel pre-CHP'!N23+CHP!N88</f>
        <v>997074019129.60388</v>
      </c>
      <c r="O23" s="16">
        <f>'BIFUbC-petroleum-diesel pre-CHP'!O23+CHP!O88</f>
        <v>995845801690.99072</v>
      </c>
      <c r="P23" s="16">
        <f>'BIFUbC-petroleum-diesel pre-CHP'!P23+CHP!P88</f>
        <v>994617584252.37769</v>
      </c>
      <c r="Q23" s="16">
        <f>'BIFUbC-petroleum-diesel pre-CHP'!Q23+CHP!Q88</f>
        <v>993389366813.76465</v>
      </c>
      <c r="R23" s="16">
        <f>'BIFUbC-petroleum-diesel pre-CHP'!R23+CHP!R88</f>
        <v>992161149375.15161</v>
      </c>
      <c r="S23" s="16">
        <f>'BIFUbC-petroleum-diesel pre-CHP'!S23+CHP!S88</f>
        <v>990932931936.53857</v>
      </c>
      <c r="T23" s="16">
        <f>'BIFUbC-petroleum-diesel pre-CHP'!T23+CHP!T88</f>
        <v>989704714497.92554</v>
      </c>
      <c r="U23" s="16">
        <f>'BIFUbC-petroleum-diesel pre-CHP'!U23+CHP!U88</f>
        <v>988476497059.31238</v>
      </c>
      <c r="V23" s="16">
        <f>'BIFUbC-petroleum-diesel pre-CHP'!V23+CHP!V88</f>
        <v>987248279620.69922</v>
      </c>
      <c r="W23" s="16">
        <f>'BIFUbC-petroleum-diesel pre-CHP'!W23+CHP!W88</f>
        <v>978845183848.28711</v>
      </c>
      <c r="X23" s="16">
        <f>'BIFUbC-petroleum-diesel pre-CHP'!X23+CHP!X88</f>
        <v>970442088075.87524</v>
      </c>
      <c r="Y23" s="16">
        <f>'BIFUbC-petroleum-diesel pre-CHP'!Y23+CHP!Y88</f>
        <v>962038992303.46313</v>
      </c>
      <c r="Z23" s="16">
        <f>'BIFUbC-petroleum-diesel pre-CHP'!Z23+CHP!Z88</f>
        <v>953635896531.05103</v>
      </c>
      <c r="AA23" s="16">
        <f>'BIFUbC-petroleum-diesel pre-CHP'!AA23+CHP!AA88</f>
        <v>945232800758.63916</v>
      </c>
      <c r="AB23" s="16">
        <f>'BIFUbC-petroleum-diesel pre-CHP'!AB23+CHP!AB88</f>
        <v>936829704986.22705</v>
      </c>
      <c r="AC23" s="16">
        <f>'BIFUbC-petroleum-diesel pre-CHP'!AC23+CHP!AC88</f>
        <v>928426609213.81494</v>
      </c>
      <c r="AD23" s="16">
        <f>'BIFUbC-petroleum-diesel pre-CHP'!AD23+CHP!AD88</f>
        <v>920023513441.40308</v>
      </c>
      <c r="AE23" s="16">
        <f>'BIFUbC-petroleum-diesel pre-CHP'!AE23+CHP!AE88</f>
        <v>911620417668.99084</v>
      </c>
      <c r="AF23" s="16">
        <f>'BIFUbC-petroleum-diesel pre-CHP'!AF23+CHP!AF88</f>
        <v>903217321896.57886</v>
      </c>
    </row>
    <row r="24" spans="1:33">
      <c r="A24" t="s">
        <v>82</v>
      </c>
      <c r="B24" s="16">
        <f>'BIFUbC-petroleum-diesel pre-CHP'!B24+CHP!B89</f>
        <v>0</v>
      </c>
      <c r="C24" s="16">
        <f>'BIFUbC-petroleum-diesel pre-CHP'!C24+CHP!C89</f>
        <v>0</v>
      </c>
      <c r="D24" s="16">
        <f>'BIFUbC-petroleum-diesel pre-CHP'!D24+CHP!D89</f>
        <v>1</v>
      </c>
      <c r="E24" s="16">
        <f>'BIFUbC-petroleum-diesel pre-CHP'!E24+CHP!E89</f>
        <v>2</v>
      </c>
      <c r="F24" s="16">
        <f>'BIFUbC-petroleum-diesel pre-CHP'!F24+CHP!F89</f>
        <v>3</v>
      </c>
      <c r="G24" s="16">
        <f>'BIFUbC-petroleum-diesel pre-CHP'!G24+CHP!G89</f>
        <v>4</v>
      </c>
      <c r="H24" s="16">
        <f>'BIFUbC-petroleum-diesel pre-CHP'!H24+CHP!H89</f>
        <v>5</v>
      </c>
      <c r="I24" s="16">
        <f>'BIFUbC-petroleum-diesel pre-CHP'!I24+CHP!I89</f>
        <v>6</v>
      </c>
      <c r="J24" s="16">
        <f>'BIFUbC-petroleum-diesel pre-CHP'!J24+CHP!J89</f>
        <v>7</v>
      </c>
      <c r="K24" s="16">
        <f>'BIFUbC-petroleum-diesel pre-CHP'!K24+CHP!K89</f>
        <v>8</v>
      </c>
      <c r="L24" s="16">
        <f>'BIFUbC-petroleum-diesel pre-CHP'!L24+CHP!L89</f>
        <v>9</v>
      </c>
      <c r="M24" s="16">
        <f>'BIFUbC-petroleum-diesel pre-CHP'!M24+CHP!M89</f>
        <v>10</v>
      </c>
      <c r="N24" s="16">
        <f>'BIFUbC-petroleum-diesel pre-CHP'!N24+CHP!N89</f>
        <v>11</v>
      </c>
      <c r="O24" s="16">
        <f>'BIFUbC-petroleum-diesel pre-CHP'!O24+CHP!O89</f>
        <v>12</v>
      </c>
      <c r="P24" s="16">
        <f>'BIFUbC-petroleum-diesel pre-CHP'!P24+CHP!P89</f>
        <v>13</v>
      </c>
      <c r="Q24" s="16">
        <f>'BIFUbC-petroleum-diesel pre-CHP'!Q24+CHP!Q89</f>
        <v>14</v>
      </c>
      <c r="R24" s="16">
        <f>'BIFUbC-petroleum-diesel pre-CHP'!R24+CHP!R89</f>
        <v>15</v>
      </c>
      <c r="S24" s="16">
        <f>'BIFUbC-petroleum-diesel pre-CHP'!S24+CHP!S89</f>
        <v>16</v>
      </c>
      <c r="T24" s="16">
        <f>'BIFUbC-petroleum-diesel pre-CHP'!T24+CHP!T89</f>
        <v>17</v>
      </c>
      <c r="U24" s="16">
        <f>'BIFUbC-petroleum-diesel pre-CHP'!U24+CHP!U89</f>
        <v>18</v>
      </c>
      <c r="V24" s="16">
        <f>'BIFUbC-petroleum-diesel pre-CHP'!V24+CHP!V89</f>
        <v>19</v>
      </c>
      <c r="W24" s="16">
        <f>'BIFUbC-petroleum-diesel pre-CHP'!W24+CHP!W89</f>
        <v>20</v>
      </c>
      <c r="X24" s="16">
        <f>'BIFUbC-petroleum-diesel pre-CHP'!X24+CHP!X89</f>
        <v>21</v>
      </c>
      <c r="Y24" s="16">
        <f>'BIFUbC-petroleum-diesel pre-CHP'!Y24+CHP!Y89</f>
        <v>22</v>
      </c>
      <c r="Z24" s="16">
        <f>'BIFUbC-petroleum-diesel pre-CHP'!Z24+CHP!Z89</f>
        <v>23</v>
      </c>
      <c r="AA24" s="16">
        <f>'BIFUbC-petroleum-diesel pre-CHP'!AA24+CHP!AA89</f>
        <v>24</v>
      </c>
      <c r="AB24" s="16">
        <f>'BIFUbC-petroleum-diesel pre-CHP'!AB24+CHP!AB89</f>
        <v>25</v>
      </c>
      <c r="AC24" s="16">
        <f>'BIFUbC-petroleum-diesel pre-CHP'!AC24+CHP!AC89</f>
        <v>26</v>
      </c>
      <c r="AD24" s="16">
        <f>'BIFUbC-petroleum-diesel pre-CHP'!AD24+CHP!AD89</f>
        <v>27</v>
      </c>
      <c r="AE24" s="16">
        <f>'BIFUbC-petroleum-diesel pre-CHP'!AE24+CHP!AE89</f>
        <v>28</v>
      </c>
      <c r="AF24" s="16">
        <f>'BIFUbC-petroleum-diesel pre-CHP'!AF24+CHP!AF89</f>
        <v>29</v>
      </c>
    </row>
    <row r="25" spans="1:33">
      <c r="A25" t="s">
        <v>85</v>
      </c>
      <c r="B25" s="16">
        <f>'BIFUbC-petroleum-diesel pre-CHP'!B25+CHP!B90</f>
        <v>696556262805.27344</v>
      </c>
      <c r="C25" s="16">
        <f>'BIFUbC-petroleum-diesel pre-CHP'!C25+CHP!C90</f>
        <v>697252819068.07849</v>
      </c>
      <c r="D25" s="16">
        <f>'BIFUbC-petroleum-diesel pre-CHP'!D25+CHP!D90</f>
        <v>697950071887.14648</v>
      </c>
      <c r="E25" s="16">
        <f>'BIFUbC-petroleum-diesel pre-CHP'!E25+CHP!E90</f>
        <v>698648021959.03369</v>
      </c>
      <c r="F25" s="16">
        <f>'BIFUbC-petroleum-diesel pre-CHP'!F25+CHP!F90</f>
        <v>699346669980.99268</v>
      </c>
      <c r="G25" s="16">
        <f>'BIFUbC-petroleum-diesel pre-CHP'!G25+CHP!G90</f>
        <v>700046016650.97363</v>
      </c>
      <c r="H25" s="16">
        <f>'BIFUbC-petroleum-diesel pre-CHP'!H25+CHP!H90</f>
        <v>700746062667.62451</v>
      </c>
      <c r="I25" s="16">
        <f>'BIFUbC-petroleum-diesel pre-CHP'!I25+CHP!I90</f>
        <v>701446808730.29199</v>
      </c>
      <c r="J25" s="16">
        <f>'BIFUbC-petroleum-diesel pre-CHP'!J25+CHP!J90</f>
        <v>702148255539.02234</v>
      </c>
      <c r="K25" s="16">
        <f>'BIFUbC-petroleum-diesel pre-CHP'!K25+CHP!K90</f>
        <v>702850403794.56128</v>
      </c>
      <c r="L25" s="16">
        <f>'BIFUbC-petroleum-diesel pre-CHP'!L25+CHP!L90</f>
        <v>703553254198.35571</v>
      </c>
      <c r="M25" s="16">
        <f>'BIFUbC-petroleum-diesel pre-CHP'!M25+CHP!M90</f>
        <v>704256807452.55396</v>
      </c>
      <c r="N25" s="16">
        <f>'BIFUbC-petroleum-diesel pre-CHP'!N25+CHP!N90</f>
        <v>704961064260.00647</v>
      </c>
      <c r="O25" s="16">
        <f>'BIFUbC-petroleum-diesel pre-CHP'!O25+CHP!O90</f>
        <v>705666025324.26636</v>
      </c>
      <c r="P25" s="16">
        <f>'BIFUbC-petroleum-diesel pre-CHP'!P25+CHP!P90</f>
        <v>706371691349.59058</v>
      </c>
      <c r="Q25" s="16">
        <f>'BIFUbC-petroleum-diesel pre-CHP'!Q25+CHP!Q90</f>
        <v>707078063040.94006</v>
      </c>
      <c r="R25" s="16">
        <f>'BIFUbC-petroleum-diesel pre-CHP'!R25+CHP!R90</f>
        <v>707785141103.98096</v>
      </c>
      <c r="S25" s="16">
        <f>'BIFUbC-petroleum-diesel pre-CHP'!S25+CHP!S90</f>
        <v>708492926245.08472</v>
      </c>
      <c r="T25" s="16">
        <f>'BIFUbC-petroleum-diesel pre-CHP'!T25+CHP!T90</f>
        <v>709201419171.32971</v>
      </c>
      <c r="U25" s="16">
        <f>'BIFUbC-petroleum-diesel pre-CHP'!U25+CHP!U90</f>
        <v>709910620590.50098</v>
      </c>
      <c r="V25" s="16">
        <f>'BIFUbC-petroleum-diesel pre-CHP'!V25+CHP!V90</f>
        <v>710620531211.09131</v>
      </c>
      <c r="W25" s="16">
        <f>'BIFUbC-petroleum-diesel pre-CHP'!W25+CHP!W90</f>
        <v>707067428555.03589</v>
      </c>
      <c r="X25" s="16">
        <f>'BIFUbC-petroleum-diesel pre-CHP'!X25+CHP!X90</f>
        <v>703532091412.26074</v>
      </c>
      <c r="Y25" s="16">
        <f>'BIFUbC-petroleum-diesel pre-CHP'!Y25+CHP!Y90</f>
        <v>700014430955.19946</v>
      </c>
      <c r="Z25" s="16">
        <f>'BIFUbC-petroleum-diesel pre-CHP'!Z25+CHP!Z90</f>
        <v>696514358800.42334</v>
      </c>
      <c r="AA25" s="16">
        <f>'BIFUbC-petroleum-diesel pre-CHP'!AA25+CHP!AA90</f>
        <v>693031787006.42126</v>
      </c>
      <c r="AB25" s="16">
        <f>'BIFUbC-petroleum-diesel pre-CHP'!AB25+CHP!AB90</f>
        <v>689566628071.38916</v>
      </c>
      <c r="AC25" s="16">
        <f>'BIFUbC-petroleum-diesel pre-CHP'!AC25+CHP!AC90</f>
        <v>686118794931.03223</v>
      </c>
      <c r="AD25" s="16">
        <f>'BIFUbC-petroleum-diesel pre-CHP'!AD25+CHP!AD90</f>
        <v>682688200956.37695</v>
      </c>
      <c r="AE25" s="16">
        <f>'BIFUbC-petroleum-diesel pre-CHP'!AE25+CHP!AE90</f>
        <v>679274759951.59521</v>
      </c>
      <c r="AF25" s="16">
        <f>'BIFUbC-petroleum-diesel pre-CHP'!AF25+CHP!AF90</f>
        <v>675878386151.83716</v>
      </c>
    </row>
    <row r="26" spans="1:33">
      <c r="A26" t="s">
        <v>89</v>
      </c>
      <c r="B26" s="16">
        <f>'BIFUbC-petroleum-diesel pre-CHP'!B26+CHP!B91</f>
        <v>2863994577862.7012</v>
      </c>
      <c r="C26" s="16">
        <f>'BIFUbC-petroleum-diesel pre-CHP'!C26+CHP!C91</f>
        <v>2651416358697.2275</v>
      </c>
      <c r="D26" s="16">
        <f>'BIFUbC-petroleum-diesel pre-CHP'!D26+CHP!D91</f>
        <v>2438838139531.7544</v>
      </c>
      <c r="E26" s="16">
        <f>'BIFUbC-petroleum-diesel pre-CHP'!E26+CHP!E91</f>
        <v>2226259920366.2808</v>
      </c>
      <c r="F26" s="16">
        <f>'BIFUbC-petroleum-diesel pre-CHP'!F26+CHP!F91</f>
        <v>2186533029622.0669</v>
      </c>
      <c r="G26" s="16">
        <f>'BIFUbC-petroleum-diesel pre-CHP'!G26+CHP!G91</f>
        <v>2146806138877.853</v>
      </c>
      <c r="H26" s="16">
        <f>'BIFUbC-petroleum-diesel pre-CHP'!H26+CHP!H91</f>
        <v>2107079248133.6392</v>
      </c>
      <c r="I26" s="16">
        <f>'BIFUbC-petroleum-diesel pre-CHP'!I26+CHP!I91</f>
        <v>2067352357389.4253</v>
      </c>
      <c r="J26" s="16">
        <f>'BIFUbC-petroleum-diesel pre-CHP'!J26+CHP!J91</f>
        <v>2027625466645.2114</v>
      </c>
      <c r="K26" s="16">
        <f>'BIFUbC-petroleum-diesel pre-CHP'!K26+CHP!K91</f>
        <v>1987898575900.9976</v>
      </c>
      <c r="L26" s="16">
        <f>'BIFUbC-petroleum-diesel pre-CHP'!L26+CHP!L91</f>
        <v>1948171685156.7837</v>
      </c>
      <c r="M26" s="16">
        <f>'BIFUbC-petroleum-diesel pre-CHP'!M26+CHP!M91</f>
        <v>1943048036998.2227</v>
      </c>
      <c r="N26" s="16">
        <f>'BIFUbC-petroleum-diesel pre-CHP'!N26+CHP!N91</f>
        <v>1937924388839.6611</v>
      </c>
      <c r="O26" s="16">
        <f>'BIFUbC-petroleum-diesel pre-CHP'!O26+CHP!O91</f>
        <v>1932800740681.1001</v>
      </c>
      <c r="P26" s="16">
        <f>'BIFUbC-petroleum-diesel pre-CHP'!P26+CHP!P91</f>
        <v>1927677092522.5388</v>
      </c>
      <c r="Q26" s="16">
        <f>'BIFUbC-petroleum-diesel pre-CHP'!Q26+CHP!Q91</f>
        <v>1922553444363.9773</v>
      </c>
      <c r="R26" s="16">
        <f>'BIFUbC-petroleum-diesel pre-CHP'!R26+CHP!R91</f>
        <v>1917429796205.4163</v>
      </c>
      <c r="S26" s="16">
        <f>'BIFUbC-petroleum-diesel pre-CHP'!S26+CHP!S91</f>
        <v>1912306148046.855</v>
      </c>
      <c r="T26" s="16">
        <f>'BIFUbC-petroleum-diesel pre-CHP'!T26+CHP!T91</f>
        <v>1907182499888.2939</v>
      </c>
      <c r="U26" s="16">
        <f>'BIFUbC-petroleum-diesel pre-CHP'!U26+CHP!U91</f>
        <v>1902058851729.7327</v>
      </c>
      <c r="V26" s="16">
        <f>'BIFUbC-petroleum-diesel pre-CHP'!V26+CHP!V91</f>
        <v>1896935203571.1711</v>
      </c>
      <c r="W26" s="16">
        <f>'BIFUbC-petroleum-diesel pre-CHP'!W26+CHP!W91</f>
        <v>1877895964673.6685</v>
      </c>
      <c r="X26" s="16">
        <f>'BIFUbC-petroleum-diesel pre-CHP'!X26+CHP!X91</f>
        <v>1858856725776.1663</v>
      </c>
      <c r="Y26" s="16">
        <f>'BIFUbC-petroleum-diesel pre-CHP'!Y26+CHP!Y91</f>
        <v>1839817486878.6638</v>
      </c>
      <c r="Z26" s="16">
        <f>'BIFUbC-petroleum-diesel pre-CHP'!Z26+CHP!Z91</f>
        <v>1820778247981.1609</v>
      </c>
      <c r="AA26" s="16">
        <f>'BIFUbC-petroleum-diesel pre-CHP'!AA26+CHP!AA91</f>
        <v>1801739009083.6584</v>
      </c>
      <c r="AB26" s="16">
        <f>'BIFUbC-petroleum-diesel pre-CHP'!AB26+CHP!AB91</f>
        <v>1782699770186.156</v>
      </c>
      <c r="AC26" s="16">
        <f>'BIFUbC-petroleum-diesel pre-CHP'!AC26+CHP!AC91</f>
        <v>1763660531288.6533</v>
      </c>
      <c r="AD26" s="16">
        <f>'BIFUbC-petroleum-diesel pre-CHP'!AD26+CHP!AD91</f>
        <v>1744621292391.1509</v>
      </c>
      <c r="AE26" s="16">
        <f>'BIFUbC-petroleum-diesel pre-CHP'!AE26+CHP!AE91</f>
        <v>1725582053493.6482</v>
      </c>
      <c r="AF26" s="16">
        <f>'BIFUbC-petroleum-diesel pre-CHP'!AF26+CHP!AF91</f>
        <v>1706542814596.1458</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5"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workbookViewId="0">
      <selection activeCell="A24" sqref="A24"/>
    </sheetView>
  </sheetViews>
  <sheetFormatPr defaultRowHeight="16.5"/>
  <cols>
    <col min="1" max="1" width="39.625" customWidth="1"/>
    <col min="2" max="2" width="17.625" style="16" customWidth="1"/>
    <col min="3" max="3" width="9.5" customWidth="1"/>
    <col min="4" max="35" width="9.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25</v>
      </c>
      <c r="B2" s="16">
        <f>'KEEI BAU - Industry'!P41*'Others Split'!$E$6</f>
        <v>18211341387996.891</v>
      </c>
      <c r="C2" s="16">
        <f>'KEEI BAU - Industry'!Q41*'Others Split'!$E$6</f>
        <v>18730058967343.012</v>
      </c>
      <c r="D2" s="16">
        <f>'KEEI BAU - Industry'!R41*'Others Split'!$E$6</f>
        <v>19248776546689.133</v>
      </c>
      <c r="E2" s="16">
        <f>'KEEI BAU - Industry'!S41*'Others Split'!$E$6</f>
        <v>19767494126035.254</v>
      </c>
      <c r="F2" s="16">
        <f>'KEEI BAU - Industry'!T41*'Others Split'!$E$6</f>
        <v>20002242668463.754</v>
      </c>
      <c r="G2" s="16">
        <f>'KEEI BAU - Industry'!U41*'Others Split'!$E$6</f>
        <v>20236991210892.25</v>
      </c>
      <c r="H2" s="16">
        <f>'KEEI BAU - Industry'!V41*'Others Split'!$E$6</f>
        <v>20471739753320.75</v>
      </c>
      <c r="I2" s="16">
        <f>'KEEI BAU - Industry'!W41*'Others Split'!$E$6</f>
        <v>20706488295749.246</v>
      </c>
      <c r="J2" s="16">
        <f>'KEEI BAU - Industry'!X41*'Others Split'!$E$6</f>
        <v>20941236838177.746</v>
      </c>
      <c r="K2" s="16">
        <f>'KEEI BAU - Industry'!Y41*'Others Split'!$E$6</f>
        <v>21175985380606.242</v>
      </c>
      <c r="L2" s="16">
        <f>'KEEI BAU - Industry'!Z41*'Others Split'!$E$6</f>
        <v>21410733923034.742</v>
      </c>
      <c r="M2" s="16">
        <f>'KEEI BAU - Industry'!AA41*'Others Split'!$E$6</f>
        <v>21420457235443.023</v>
      </c>
      <c r="N2" s="16">
        <f>'KEEI BAU - Industry'!AB41*'Others Split'!$E$6</f>
        <v>21430180547851.305</v>
      </c>
      <c r="O2" s="16">
        <f>'KEEI BAU - Industry'!AC41*'Others Split'!$E$6</f>
        <v>21439903860259.586</v>
      </c>
      <c r="P2" s="16">
        <f>'KEEI BAU - Industry'!AD41*'Others Split'!$E$6</f>
        <v>21449627172667.867</v>
      </c>
      <c r="Q2" s="16">
        <f>'KEEI BAU - Industry'!AE41*'Others Split'!$E$6</f>
        <v>21459350485076.148</v>
      </c>
      <c r="R2" s="16">
        <f>'KEEI BAU - Industry'!AF41*'Others Split'!$E$6</f>
        <v>21469073797484.426</v>
      </c>
      <c r="S2" s="16">
        <f>'KEEI BAU - Industry'!AG41*'Others Split'!$E$6</f>
        <v>21478797109892.707</v>
      </c>
      <c r="T2" s="16">
        <f>'KEEI BAU - Industry'!AH41*'Others Split'!$E$6</f>
        <v>21488520422300.988</v>
      </c>
      <c r="U2" s="16">
        <f>'KEEI BAU - Industry'!AI41*'Others Split'!$E$6</f>
        <v>21498243734709.27</v>
      </c>
      <c r="V2" s="16">
        <f>'KEEI BAU - Industry'!AJ41*'Others Split'!$E$6</f>
        <v>21507967047117.551</v>
      </c>
      <c r="W2" s="16">
        <f>'KEEI BAU - Industry'!AK41*'Others Split'!$E$6</f>
        <v>21363089692234.164</v>
      </c>
      <c r="X2" s="16">
        <f>'KEEI BAU - Industry'!AL41*'Others Split'!$E$6</f>
        <v>21218212337350.777</v>
      </c>
      <c r="Y2" s="16">
        <f>'KEEI BAU - Industry'!AM41*'Others Split'!$E$6</f>
        <v>21073334982467.391</v>
      </c>
      <c r="Z2" s="16">
        <f>'KEEI BAU - Industry'!AN41*'Others Split'!$E$6</f>
        <v>20928457627584.004</v>
      </c>
      <c r="AA2" s="16">
        <f>'KEEI BAU - Industry'!AO41*'Others Split'!$E$6</f>
        <v>20783580272700.617</v>
      </c>
      <c r="AB2" s="16">
        <f>'KEEI BAU - Industry'!AP41*'Others Split'!$E$6</f>
        <v>20638702917817.23</v>
      </c>
      <c r="AC2" s="16">
        <f>'KEEI BAU - Industry'!AQ41*'Others Split'!$E$6</f>
        <v>20493825562933.844</v>
      </c>
      <c r="AD2" s="16">
        <f>'KEEI BAU - Industry'!AR41*'Others Split'!$E$6</f>
        <v>20348948208050.457</v>
      </c>
      <c r="AE2" s="16">
        <f>'KEEI BAU - Industry'!AS41*'Others Split'!$E$6</f>
        <v>20204070853167.07</v>
      </c>
      <c r="AF2" s="16">
        <f>'KEEI BAU - Industry'!AT41*'Others Split'!$E$6</f>
        <v>20059193498283.684</v>
      </c>
      <c r="AG2" s="14"/>
    </row>
    <row r="3" spans="1:35">
      <c r="A3" t="s">
        <v>28</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34</v>
      </c>
      <c r="B5" s="16">
        <f>'KEEI BAU - Industry'!P$41*'Others Split'!$E$7</f>
        <v>1570711842820.781</v>
      </c>
      <c r="C5" s="16">
        <f>'KEEI BAU - Industry'!Q$41*'Others Split'!$E$7</f>
        <v>1615450768284.8484</v>
      </c>
      <c r="D5" s="16">
        <f>'KEEI BAU - Industry'!R$41*'Others Split'!$E$7</f>
        <v>1660189693748.916</v>
      </c>
      <c r="E5" s="16">
        <f>'KEEI BAU - Industry'!S$41*'Others Split'!$E$7</f>
        <v>1704928619212.9834</v>
      </c>
      <c r="F5" s="16">
        <f>'KEEI BAU - Industry'!T$41*'Others Split'!$E$7</f>
        <v>1725175470217.6208</v>
      </c>
      <c r="G5" s="16">
        <f>'KEEI BAU - Industry'!U$41*'Others Split'!$E$7</f>
        <v>1745422321222.2581</v>
      </c>
      <c r="H5" s="16">
        <f>'KEEI BAU - Industry'!V$41*'Others Split'!$E$7</f>
        <v>1765669172226.8955</v>
      </c>
      <c r="I5" s="16">
        <f>'KEEI BAU - Industry'!W$41*'Others Split'!$E$7</f>
        <v>1785916023231.5327</v>
      </c>
      <c r="J5" s="16">
        <f>'KEEI BAU - Industry'!X$41*'Others Split'!$E$7</f>
        <v>1806162874236.1702</v>
      </c>
      <c r="K5" s="16">
        <f>'KEEI BAU - Industry'!Y$41*'Others Split'!$E$7</f>
        <v>1826409725240.8076</v>
      </c>
      <c r="L5" s="16">
        <f>'KEEI BAU - Industry'!Z$41*'Others Split'!$E$7</f>
        <v>1846656576245.4448</v>
      </c>
      <c r="M5" s="16">
        <f>'KEEI BAU - Industry'!AA$41*'Others Split'!$E$7</f>
        <v>1847495203210.134</v>
      </c>
      <c r="N5" s="16">
        <f>'KEEI BAU - Industry'!AB$41*'Others Split'!$E$7</f>
        <v>1848333830174.823</v>
      </c>
      <c r="O5" s="16">
        <f>'KEEI BAU - Industry'!AC$41*'Others Split'!$E$7</f>
        <v>1849172457139.5122</v>
      </c>
      <c r="P5" s="16">
        <f>'KEEI BAU - Industry'!AD$41*'Others Split'!$E$7</f>
        <v>1850011084104.2014</v>
      </c>
      <c r="Q5" s="16">
        <f>'KEEI BAU - Industry'!AE$41*'Others Split'!$E$7</f>
        <v>1850849711068.8904</v>
      </c>
      <c r="R5" s="16">
        <f>'KEEI BAU - Industry'!AF$41*'Others Split'!$E$7</f>
        <v>1851688338033.5796</v>
      </c>
      <c r="S5" s="16">
        <f>'KEEI BAU - Industry'!AG$41*'Others Split'!$E$7</f>
        <v>1852526964998.2688</v>
      </c>
      <c r="T5" s="16">
        <f>'KEEI BAU - Industry'!AH$41*'Others Split'!$E$7</f>
        <v>1853365591962.9578</v>
      </c>
      <c r="U5" s="16">
        <f>'KEEI BAU - Industry'!AI$41*'Others Split'!$E$7</f>
        <v>1854204218927.647</v>
      </c>
      <c r="V5" s="16">
        <f>'KEEI BAU - Industry'!AJ$41*'Others Split'!$E$7</f>
        <v>1855042845892.3362</v>
      </c>
      <c r="W5" s="16">
        <f>'KEEI BAU - Industry'!AK$41*'Others Split'!$E$7</f>
        <v>1842547304118.4683</v>
      </c>
      <c r="X5" s="16">
        <f>'KEEI BAU - Industry'!AL$41*'Others Split'!$E$7</f>
        <v>1830051762344.6003</v>
      </c>
      <c r="Y5" s="16">
        <f>'KEEI BAU - Industry'!AM$41*'Others Split'!$E$7</f>
        <v>1817556220570.7324</v>
      </c>
      <c r="Z5" s="16">
        <f>'KEEI BAU - Industry'!AN$41*'Others Split'!$E$7</f>
        <v>1805060678796.8645</v>
      </c>
      <c r="AA5" s="16">
        <f>'KEEI BAU - Industry'!AO$41*'Others Split'!$E$7</f>
        <v>1792565137022.9966</v>
      </c>
      <c r="AB5" s="16">
        <f>'KEEI BAU - Industry'!AP$41*'Others Split'!$E$7</f>
        <v>1780069595249.1287</v>
      </c>
      <c r="AC5" s="16">
        <f>'KEEI BAU - Industry'!AQ$41*'Others Split'!$E$7</f>
        <v>1767574053475.2607</v>
      </c>
      <c r="AD5" s="16">
        <f>'KEEI BAU - Industry'!AR$41*'Others Split'!$E$7</f>
        <v>1755078511701.3928</v>
      </c>
      <c r="AE5" s="16">
        <f>'KEEI BAU - Industry'!AS$41*'Others Split'!$E$7</f>
        <v>1742582969927.5249</v>
      </c>
      <c r="AF5" s="16">
        <f>'KEEI BAU - Industry'!AT$41*'Others Split'!$E$7</f>
        <v>1730087428153.657</v>
      </c>
    </row>
    <row r="6" spans="1:35">
      <c r="A6" t="s">
        <v>36</v>
      </c>
      <c r="B6" s="16">
        <f>'KEEI BAU - Industry'!P$41*'Others Split'!$E$8</f>
        <v>14427895538735.457</v>
      </c>
      <c r="C6" s="16">
        <f>'KEEI BAU - Industry'!Q$41*'Others Split'!$E$8</f>
        <v>14838848410875.027</v>
      </c>
      <c r="D6" s="16">
        <f>'KEEI BAU - Industry'!R$41*'Others Split'!$E$8</f>
        <v>15249801283014.598</v>
      </c>
      <c r="E6" s="16">
        <f>'KEEI BAU - Industry'!S$41*'Others Split'!$E$8</f>
        <v>15660754155154.168</v>
      </c>
      <c r="F6" s="16">
        <f>'KEEI BAU - Industry'!T$41*'Others Split'!$E$8</f>
        <v>15846733176461.248</v>
      </c>
      <c r="G6" s="16">
        <f>'KEEI BAU - Industry'!U$41*'Others Split'!$E$8</f>
        <v>16032712197768.328</v>
      </c>
      <c r="H6" s="16">
        <f>'KEEI BAU - Industry'!V$41*'Others Split'!$E$8</f>
        <v>16218691219075.408</v>
      </c>
      <c r="I6" s="16">
        <f>'KEEI BAU - Industry'!W$41*'Others Split'!$E$8</f>
        <v>16404670240382.486</v>
      </c>
      <c r="J6" s="16">
        <f>'KEEI BAU - Industry'!X$41*'Others Split'!$E$8</f>
        <v>16590649261689.566</v>
      </c>
      <c r="K6" s="16">
        <f>'KEEI BAU - Industry'!Y$41*'Others Split'!$E$8</f>
        <v>16776628282996.646</v>
      </c>
      <c r="L6" s="16">
        <f>'KEEI BAU - Industry'!Z$41*'Others Split'!$E$8</f>
        <v>16962607304303.727</v>
      </c>
      <c r="M6" s="16">
        <f>'KEEI BAU - Industry'!AA$41*'Others Split'!$E$8</f>
        <v>16970310577375.617</v>
      </c>
      <c r="N6" s="16">
        <f>'KEEI BAU - Industry'!AB$41*'Others Split'!$E$8</f>
        <v>16978013850447.508</v>
      </c>
      <c r="O6" s="16">
        <f>'KEEI BAU - Industry'!AC$41*'Others Split'!$E$8</f>
        <v>16985717123519.4</v>
      </c>
      <c r="P6" s="16">
        <f>'KEEI BAU - Industry'!AD$41*'Others Split'!$E$8</f>
        <v>16993420396591.291</v>
      </c>
      <c r="Q6" s="16">
        <f>'KEEI BAU - Industry'!AE$41*'Others Split'!$E$8</f>
        <v>17001123669663.182</v>
      </c>
      <c r="R6" s="16">
        <f>'KEEI BAU - Industry'!AF$41*'Others Split'!$E$8</f>
        <v>17008826942735.072</v>
      </c>
      <c r="S6" s="16">
        <f>'KEEI BAU - Industry'!AG$41*'Others Split'!$E$8</f>
        <v>17016530215806.963</v>
      </c>
      <c r="T6" s="16">
        <f>'KEEI BAU - Industry'!AH$41*'Others Split'!$E$8</f>
        <v>17024233488878.854</v>
      </c>
      <c r="U6" s="16">
        <f>'KEEI BAU - Industry'!AI$41*'Others Split'!$E$8</f>
        <v>17031936761950.744</v>
      </c>
      <c r="V6" s="16">
        <f>'KEEI BAU - Industry'!AJ$41*'Others Split'!$E$8</f>
        <v>17039640035022.637</v>
      </c>
      <c r="W6" s="16">
        <f>'KEEI BAU - Industry'!AK$41*'Others Split'!$E$8</f>
        <v>16924861266251.461</v>
      </c>
      <c r="X6" s="16">
        <f>'KEEI BAU - Industry'!AL$41*'Others Split'!$E$8</f>
        <v>16810082497480.287</v>
      </c>
      <c r="Y6" s="16">
        <f>'KEEI BAU - Industry'!AM$41*'Others Split'!$E$8</f>
        <v>16695303728709.113</v>
      </c>
      <c r="Z6" s="16">
        <f>'KEEI BAU - Industry'!AN$41*'Others Split'!$E$8</f>
        <v>16580524959937.939</v>
      </c>
      <c r="AA6" s="16">
        <f>'KEEI BAU - Industry'!AO$41*'Others Split'!$E$8</f>
        <v>16465746191166.766</v>
      </c>
      <c r="AB6" s="16">
        <f>'KEEI BAU - Industry'!AP$41*'Others Split'!$E$8</f>
        <v>16350967422395.59</v>
      </c>
      <c r="AC6" s="16">
        <f>'KEEI BAU - Industry'!AQ$41*'Others Split'!$E$8</f>
        <v>16236188653624.416</v>
      </c>
      <c r="AD6" s="16">
        <f>'KEEI BAU - Industry'!AR$41*'Others Split'!$E$8</f>
        <v>16121409884853.242</v>
      </c>
      <c r="AE6" s="16">
        <f>'KEEI BAU - Industry'!AS$41*'Others Split'!$E$8</f>
        <v>16006631116082.068</v>
      </c>
      <c r="AF6" s="16">
        <f>'KEEI BAU - Industry'!AT$41*'Others Split'!$E$8</f>
        <v>15891852347310.895</v>
      </c>
    </row>
    <row r="7" spans="1:35">
      <c r="A7" t="s">
        <v>38</v>
      </c>
      <c r="B7" s="16">
        <f>'KEEI BAU - Industry'!P$41*'Others Split'!$E$9</f>
        <v>10871424379092.271</v>
      </c>
      <c r="C7" s="16">
        <f>'KEEI BAU - Industry'!Q$41*'Others Split'!$E$9</f>
        <v>11181077513247.67</v>
      </c>
      <c r="D7" s="16">
        <f>'KEEI BAU - Industry'!R$41*'Others Split'!$E$9</f>
        <v>11490730647403.068</v>
      </c>
      <c r="E7" s="16">
        <f>'KEEI BAU - Industry'!S$41*'Others Split'!$E$9</f>
        <v>11800383781558.465</v>
      </c>
      <c r="F7" s="16">
        <f>'KEEI BAU - Industry'!T$41*'Others Split'!$E$9</f>
        <v>11940519039733.111</v>
      </c>
      <c r="G7" s="16">
        <f>'KEEI BAU - Industry'!U$41*'Others Split'!$E$9</f>
        <v>12080654297907.756</v>
      </c>
      <c r="H7" s="16">
        <f>'KEEI BAU - Industry'!V$41*'Others Split'!$E$9</f>
        <v>12220789556082.402</v>
      </c>
      <c r="I7" s="16">
        <f>'KEEI BAU - Industry'!W$41*'Others Split'!$E$9</f>
        <v>12360924814257.047</v>
      </c>
      <c r="J7" s="16">
        <f>'KEEI BAU - Industry'!X$41*'Others Split'!$E$9</f>
        <v>12501060072431.693</v>
      </c>
      <c r="K7" s="16">
        <f>'KEEI BAU - Industry'!Y$41*'Others Split'!$E$9</f>
        <v>12641195330606.338</v>
      </c>
      <c r="L7" s="16">
        <f>'KEEI BAU - Industry'!Z$41*'Others Split'!$E$9</f>
        <v>12781330588780.984</v>
      </c>
      <c r="M7" s="16">
        <f>'KEEI BAU - Industry'!AA$41*'Others Split'!$E$9</f>
        <v>12787135007758.633</v>
      </c>
      <c r="N7" s="16">
        <f>'KEEI BAU - Industry'!AB$41*'Others Split'!$E$9</f>
        <v>12792939426736.279</v>
      </c>
      <c r="O7" s="16">
        <f>'KEEI BAU - Industry'!AC$41*'Others Split'!$E$9</f>
        <v>12798743845713.928</v>
      </c>
      <c r="P7" s="16">
        <f>'KEEI BAU - Industry'!AD$41*'Others Split'!$E$9</f>
        <v>12804548264691.576</v>
      </c>
      <c r="Q7" s="16">
        <f>'KEEI BAU - Industry'!AE$41*'Others Split'!$E$9</f>
        <v>12810352683669.225</v>
      </c>
      <c r="R7" s="16">
        <f>'KEEI BAU - Industry'!AF$41*'Others Split'!$E$9</f>
        <v>12816157102646.873</v>
      </c>
      <c r="S7" s="16">
        <f>'KEEI BAU - Industry'!AG$41*'Others Split'!$E$9</f>
        <v>12821961521624.52</v>
      </c>
      <c r="T7" s="16">
        <f>'KEEI BAU - Industry'!AH$41*'Others Split'!$E$9</f>
        <v>12827765940602.168</v>
      </c>
      <c r="U7" s="16">
        <f>'KEEI BAU - Industry'!AI$41*'Others Split'!$E$9</f>
        <v>12833570359579.816</v>
      </c>
      <c r="V7" s="16">
        <f>'KEEI BAU - Industry'!AJ$41*'Others Split'!$E$9</f>
        <v>12839374778557.465</v>
      </c>
      <c r="W7" s="16">
        <f>'KEEI BAU - Industry'!AK$41*'Others Split'!$E$9</f>
        <v>12752888935790.508</v>
      </c>
      <c r="X7" s="16">
        <f>'KEEI BAU - Industry'!AL$41*'Others Split'!$E$9</f>
        <v>12666403093023.553</v>
      </c>
      <c r="Y7" s="16">
        <f>'KEEI BAU - Industry'!AM$41*'Others Split'!$E$9</f>
        <v>12579917250256.598</v>
      </c>
      <c r="Z7" s="16">
        <f>'KEEI BAU - Industry'!AN$41*'Others Split'!$E$9</f>
        <v>12493431407489.641</v>
      </c>
      <c r="AA7" s="16">
        <f>'KEEI BAU - Industry'!AO$41*'Others Split'!$E$9</f>
        <v>12406945564722.686</v>
      </c>
      <c r="AB7" s="16">
        <f>'KEEI BAU - Industry'!AP$41*'Others Split'!$E$9</f>
        <v>12320459721955.73</v>
      </c>
      <c r="AC7" s="16">
        <f>'KEEI BAU - Industry'!AQ$41*'Others Split'!$E$9</f>
        <v>12233973879188.773</v>
      </c>
      <c r="AD7" s="16">
        <f>'KEEI BAU - Industry'!AR$41*'Others Split'!$E$9</f>
        <v>12147488036421.818</v>
      </c>
      <c r="AE7" s="16">
        <f>'KEEI BAU - Industry'!AS$41*'Others Split'!$E$9</f>
        <v>12061002193654.861</v>
      </c>
      <c r="AF7" s="16">
        <f>'KEEI BAU - Industry'!AT$41*'Others Split'!$E$9</f>
        <v>11974516350887.906</v>
      </c>
    </row>
    <row r="8" spans="1:35">
      <c r="A8" t="s">
        <v>40</v>
      </c>
      <c r="B8" s="16">
        <f>'KEEI BAU - Industry'!P$41*'Others Split'!$E$10</f>
        <v>1825428155329.0747</v>
      </c>
      <c r="C8" s="16">
        <f>'KEEI BAU - Industry'!Q$41*'Others Split'!$E$10</f>
        <v>1877422220666.1091</v>
      </c>
      <c r="D8" s="16">
        <f>'KEEI BAU - Industry'!R$41*'Others Split'!$E$10</f>
        <v>1929416286003.1438</v>
      </c>
      <c r="E8" s="16">
        <f>'KEEI BAU - Industry'!S$41*'Others Split'!$E$10</f>
        <v>1981410351340.1782</v>
      </c>
      <c r="F8" s="16">
        <f>'KEEI BAU - Industry'!T$41*'Others Split'!$E$10</f>
        <v>2004940556482.2266</v>
      </c>
      <c r="G8" s="16">
        <f>'KEEI BAU - Industry'!U$41*'Others Split'!$E$10</f>
        <v>2028470761624.2749</v>
      </c>
      <c r="H8" s="16">
        <f>'KEEI BAU - Industry'!V$41*'Others Split'!$E$10</f>
        <v>2052000966766.3232</v>
      </c>
      <c r="I8" s="16">
        <f>'KEEI BAU - Industry'!W$41*'Others Split'!$E$10</f>
        <v>2075531171908.3716</v>
      </c>
      <c r="J8" s="16">
        <f>'KEEI BAU - Industry'!X$41*'Others Split'!$E$10</f>
        <v>2099061377050.4202</v>
      </c>
      <c r="K8" s="16">
        <f>'KEEI BAU - Industry'!Y$41*'Others Split'!$E$10</f>
        <v>2122591582192.4685</v>
      </c>
      <c r="L8" s="16">
        <f>'KEEI BAU - Industry'!Z$41*'Others Split'!$E$10</f>
        <v>2146121787334.5168</v>
      </c>
      <c r="M8" s="16">
        <f>'KEEI BAU - Industry'!AA$41*'Others Split'!$E$10</f>
        <v>2147096411216.1401</v>
      </c>
      <c r="N8" s="16">
        <f>'KEEI BAU - Industry'!AB$41*'Others Split'!$E$10</f>
        <v>2148071035097.7634</v>
      </c>
      <c r="O8" s="16">
        <f>'KEEI BAU - Industry'!AC$41*'Others Split'!$E$10</f>
        <v>2149045658979.3867</v>
      </c>
      <c r="P8" s="16">
        <f>'KEEI BAU - Industry'!AD$41*'Others Split'!$E$10</f>
        <v>2150020282861.01</v>
      </c>
      <c r="Q8" s="16">
        <f>'KEEI BAU - Industry'!AE$41*'Others Split'!$E$10</f>
        <v>2150994906742.6333</v>
      </c>
      <c r="R8" s="16">
        <f>'KEEI BAU - Industry'!AF$41*'Others Split'!$E$10</f>
        <v>2151969530624.2566</v>
      </c>
      <c r="S8" s="16">
        <f>'KEEI BAU - Industry'!AG$41*'Others Split'!$E$10</f>
        <v>2152944154505.8799</v>
      </c>
      <c r="T8" s="16">
        <f>'KEEI BAU - Industry'!AH$41*'Others Split'!$E$10</f>
        <v>2153918778387.5032</v>
      </c>
      <c r="U8" s="16">
        <f>'KEEI BAU - Industry'!AI$41*'Others Split'!$E$10</f>
        <v>2154893402269.1265</v>
      </c>
      <c r="V8" s="16">
        <f>'KEEI BAU - Industry'!AJ$41*'Others Split'!$E$10</f>
        <v>2155868026150.7498</v>
      </c>
      <c r="W8" s="16">
        <f>'KEEI BAU - Industry'!AK$41*'Others Split'!$E$10</f>
        <v>2141346130314.5625</v>
      </c>
      <c r="X8" s="16">
        <f>'KEEI BAU - Industry'!AL$41*'Others Split'!$E$10</f>
        <v>2126824234478.3752</v>
      </c>
      <c r="Y8" s="16">
        <f>'KEEI BAU - Industry'!AM$41*'Others Split'!$E$10</f>
        <v>2112302338642.188</v>
      </c>
      <c r="Z8" s="16">
        <f>'KEEI BAU - Industry'!AN$41*'Others Split'!$E$10</f>
        <v>2097780442806.0007</v>
      </c>
      <c r="AA8" s="16">
        <f>'KEEI BAU - Industry'!AO$41*'Others Split'!$E$10</f>
        <v>2083258546969.8137</v>
      </c>
      <c r="AB8" s="16">
        <f>'KEEI BAU - Industry'!AP$41*'Others Split'!$E$10</f>
        <v>2068736651133.6265</v>
      </c>
      <c r="AC8" s="16">
        <f>'KEEI BAU - Industry'!AQ$41*'Others Split'!$E$10</f>
        <v>2054214755297.4392</v>
      </c>
      <c r="AD8" s="16">
        <f>'KEEI BAU - Industry'!AR$41*'Others Split'!$E$10</f>
        <v>2039692859461.252</v>
      </c>
      <c r="AE8" s="16">
        <f>'KEEI BAU - Industry'!AS$41*'Others Split'!$E$10</f>
        <v>2025170963625.0647</v>
      </c>
      <c r="AF8" s="16">
        <f>'KEEI BAU - Industry'!AT$41*'Others Split'!$E$10</f>
        <v>2010649067788.8774</v>
      </c>
    </row>
    <row r="9" spans="1:35">
      <c r="A9" t="s">
        <v>42</v>
      </c>
      <c r="B9" s="16">
        <f>'KEEI BAU - Industry'!P$41*'Others Split'!$E$11</f>
        <v>10421476548459.678</v>
      </c>
      <c r="C9" s="16">
        <f>'KEEI BAU - Industry'!Q$41*'Others Split'!$E$11</f>
        <v>10718313721145.504</v>
      </c>
      <c r="D9" s="16">
        <f>'KEEI BAU - Industry'!R$41*'Others Split'!$E$11</f>
        <v>11015150893831.33</v>
      </c>
      <c r="E9" s="16">
        <f>'KEEI BAU - Industry'!S$41*'Others Split'!$E$11</f>
        <v>11311988066517.156</v>
      </c>
      <c r="F9" s="16">
        <f>'KEEI BAU - Industry'!T$41*'Others Split'!$E$11</f>
        <v>11446323389631.584</v>
      </c>
      <c r="G9" s="16">
        <f>'KEEI BAU - Industry'!U$41*'Others Split'!$E$11</f>
        <v>11580658712746.01</v>
      </c>
      <c r="H9" s="16">
        <f>'KEEI BAU - Industry'!V$41*'Others Split'!$E$11</f>
        <v>11714994035860.436</v>
      </c>
      <c r="I9" s="16">
        <f>'KEEI BAU - Industry'!W$41*'Others Split'!$E$11</f>
        <v>11849329358974.861</v>
      </c>
      <c r="J9" s="16">
        <f>'KEEI BAU - Industry'!X$41*'Others Split'!$E$11</f>
        <v>11983664682089.287</v>
      </c>
      <c r="K9" s="16">
        <f>'KEEI BAU - Industry'!Y$41*'Others Split'!$E$11</f>
        <v>12118000005203.715</v>
      </c>
      <c r="L9" s="16">
        <f>'KEEI BAU - Industry'!Z$41*'Others Split'!$E$11</f>
        <v>12252335328318.141</v>
      </c>
      <c r="M9" s="16">
        <f>'KEEI BAU - Industry'!AA$41*'Others Split'!$E$11</f>
        <v>12257899513299.211</v>
      </c>
      <c r="N9" s="16">
        <f>'KEEI BAU - Industry'!AB$41*'Others Split'!$E$11</f>
        <v>12263463698280.283</v>
      </c>
      <c r="O9" s="16">
        <f>'KEEI BAU - Industry'!AC$41*'Others Split'!$E$11</f>
        <v>12269027883261.354</v>
      </c>
      <c r="P9" s="16">
        <f>'KEEI BAU - Industry'!AD$41*'Others Split'!$E$11</f>
        <v>12274592068242.424</v>
      </c>
      <c r="Q9" s="16">
        <f>'KEEI BAU - Industry'!AE$41*'Others Split'!$E$11</f>
        <v>12280156253223.494</v>
      </c>
      <c r="R9" s="16">
        <f>'KEEI BAU - Industry'!AF$41*'Others Split'!$E$11</f>
        <v>12285720438204.566</v>
      </c>
      <c r="S9" s="16">
        <f>'KEEI BAU - Industry'!AG$41*'Others Split'!$E$11</f>
        <v>12291284623185.637</v>
      </c>
      <c r="T9" s="16">
        <f>'KEEI BAU - Industry'!AH$41*'Others Split'!$E$11</f>
        <v>12296848808166.707</v>
      </c>
      <c r="U9" s="16">
        <f>'KEEI BAU - Industry'!AI$41*'Others Split'!$E$11</f>
        <v>12302412993147.779</v>
      </c>
      <c r="V9" s="16">
        <f>'KEEI BAU - Industry'!AJ$41*'Others Split'!$E$11</f>
        <v>12307977178128.85</v>
      </c>
      <c r="W9" s="16">
        <f>'KEEI BAU - Industry'!AK$41*'Others Split'!$E$11</f>
        <v>12225070821910.893</v>
      </c>
      <c r="X9" s="16">
        <f>'KEEI BAU - Industry'!AL$41*'Others Split'!$E$11</f>
        <v>12142164465692.936</v>
      </c>
      <c r="Y9" s="16">
        <f>'KEEI BAU - Industry'!AM$41*'Others Split'!$E$11</f>
        <v>12059258109474.98</v>
      </c>
      <c r="Z9" s="16">
        <f>'KEEI BAU - Industry'!AN$41*'Others Split'!$E$11</f>
        <v>11976351753257.023</v>
      </c>
      <c r="AA9" s="16">
        <f>'KEEI BAU - Industry'!AO$41*'Others Split'!$E$11</f>
        <v>11893445397039.066</v>
      </c>
      <c r="AB9" s="16">
        <f>'KEEI BAU - Industry'!AP$41*'Others Split'!$E$11</f>
        <v>11810539040821.111</v>
      </c>
      <c r="AC9" s="16">
        <f>'KEEI BAU - Industry'!AQ$41*'Others Split'!$E$11</f>
        <v>11727632684603.154</v>
      </c>
      <c r="AD9" s="16">
        <f>'KEEI BAU - Industry'!AR$41*'Others Split'!$E$11</f>
        <v>11644726328385.197</v>
      </c>
      <c r="AE9" s="16">
        <f>'KEEI BAU - Industry'!AS$41*'Others Split'!$E$11</f>
        <v>11561819972167.24</v>
      </c>
      <c r="AF9" s="16">
        <f>'KEEI BAU - Industry'!AT$41*'Others Split'!$E$11</f>
        <v>11478913615949.285</v>
      </c>
      <c r="AG9" s="14"/>
    </row>
    <row r="10" spans="1:35">
      <c r="A10" t="s">
        <v>1022</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1023</v>
      </c>
      <c r="B11" s="16">
        <f>'KEEI BAU - Industry'!P$13*'Petrochemicals Split'!$E$6</f>
        <v>93087861472087.031</v>
      </c>
      <c r="C11" s="16">
        <f>'KEEI BAU - Industry'!Q$13*'Petrochemicals Split'!$E$6</f>
        <v>95571435601904.047</v>
      </c>
      <c r="D11" s="16">
        <f>'KEEI BAU - Industry'!R$13*'Petrochemicals Split'!$E$6</f>
        <v>98055009731721.063</v>
      </c>
      <c r="E11" s="16">
        <f>'KEEI BAU - Industry'!S$13*'Petrochemicals Split'!$E$6</f>
        <v>100538583861538.64</v>
      </c>
      <c r="F11" s="16">
        <f>'KEEI BAU - Industry'!T$13*'Petrochemicals Split'!$E$6</f>
        <v>104476428469604.75</v>
      </c>
      <c r="G11" s="16">
        <f>'KEEI BAU - Industry'!U$13*'Petrochemicals Split'!$E$6</f>
        <v>108414273077670.86</v>
      </c>
      <c r="H11" s="16">
        <f>'KEEI BAU - Industry'!V$13*'Petrochemicals Split'!$E$6</f>
        <v>112352117685736.98</v>
      </c>
      <c r="I11" s="16">
        <f>'KEEI BAU - Industry'!W$13*'Petrochemicals Split'!$E$6</f>
        <v>116289962293803.09</v>
      </c>
      <c r="J11" s="16">
        <f>'KEEI BAU - Industry'!X$13*'Petrochemicals Split'!$E$6</f>
        <v>120227806901869.2</v>
      </c>
      <c r="K11" s="16">
        <f>'KEEI BAU - Industry'!Y$13*'Petrochemicals Split'!$E$6</f>
        <v>124165651509935.31</v>
      </c>
      <c r="L11" s="16">
        <f>'KEEI BAU - Industry'!Z$13*'Petrochemicals Split'!$E$6</f>
        <v>128103496118001.44</v>
      </c>
      <c r="M11" s="16">
        <f>'KEEI BAU - Industry'!AA$13*'Petrochemicals Split'!$E$6</f>
        <v>131019815667295.19</v>
      </c>
      <c r="N11" s="16">
        <f>'KEEI BAU - Industry'!AB$13*'Petrochemicals Split'!$E$6</f>
        <v>133936135216588.95</v>
      </c>
      <c r="O11" s="16">
        <f>'KEEI BAU - Industry'!AC$13*'Petrochemicals Split'!$E$6</f>
        <v>136852454765882.72</v>
      </c>
      <c r="P11" s="16">
        <f>'KEEI BAU - Industry'!AD$13*'Petrochemicals Split'!$E$6</f>
        <v>139768774315176.47</v>
      </c>
      <c r="Q11" s="16">
        <f>'KEEI BAU - Industry'!AE$13*'Petrochemicals Split'!$E$6</f>
        <v>142685093864470.22</v>
      </c>
      <c r="R11" s="16">
        <f>'KEEI BAU - Industry'!AF$13*'Petrochemicals Split'!$E$6</f>
        <v>145601413413764</v>
      </c>
      <c r="S11" s="16">
        <f>'KEEI BAU - Industry'!AG$13*'Petrochemicals Split'!$E$6</f>
        <v>148517732963057.75</v>
      </c>
      <c r="T11" s="16">
        <f>'KEEI BAU - Industry'!AH$13*'Petrochemicals Split'!$E$6</f>
        <v>151434052512351.5</v>
      </c>
      <c r="U11" s="16">
        <f>'KEEI BAU - Industry'!AI$13*'Petrochemicals Split'!$E$6</f>
        <v>154350372061645.28</v>
      </c>
      <c r="V11" s="16">
        <f>'KEEI BAU - Industry'!AJ$13*'Petrochemicals Split'!$E$6</f>
        <v>157266691610939.03</v>
      </c>
      <c r="W11" s="16">
        <f>'KEEI BAU - Industry'!AK$13*'Petrochemicals Split'!$E$6</f>
        <v>159359785821993.72</v>
      </c>
      <c r="X11" s="16">
        <f>'KEEI BAU - Industry'!AL$13*'Petrochemicals Split'!$E$6</f>
        <v>161452880033048.41</v>
      </c>
      <c r="Y11" s="16">
        <f>'KEEI BAU - Industry'!AM$13*'Petrochemicals Split'!$E$6</f>
        <v>163545974244103.06</v>
      </c>
      <c r="Z11" s="16">
        <f>'KEEI BAU - Industry'!AN$13*'Petrochemicals Split'!$E$6</f>
        <v>165639068455157.75</v>
      </c>
      <c r="AA11" s="16">
        <f>'KEEI BAU - Industry'!AO$13*'Petrochemicals Split'!$E$6</f>
        <v>167732162666212.44</v>
      </c>
      <c r="AB11" s="16">
        <f>'KEEI BAU - Industry'!AP$13*'Petrochemicals Split'!$E$6</f>
        <v>169825256877267.13</v>
      </c>
      <c r="AC11" s="16">
        <f>'KEEI BAU - Industry'!AQ$13*'Petrochemicals Split'!$E$6</f>
        <v>171918351088321.81</v>
      </c>
      <c r="AD11" s="16">
        <f>'KEEI BAU - Industry'!AR$13*'Petrochemicals Split'!$E$6</f>
        <v>174011445299376.47</v>
      </c>
      <c r="AE11" s="16">
        <f>'KEEI BAU - Industry'!AS$13*'Petrochemicals Split'!$E$6</f>
        <v>176104539510431.16</v>
      </c>
      <c r="AF11" s="16">
        <f>'KEEI BAU - Industry'!AT$13*'Petrochemicals Split'!$E$6</f>
        <v>178197633721485.84</v>
      </c>
    </row>
    <row r="12" spans="1:35">
      <c r="A12" t="s">
        <v>51</v>
      </c>
      <c r="B12" s="16">
        <f>'KEEI BAU - Industry'!P$13*'Petrochemicals Split'!$E$7</f>
        <v>75520222761241.984</v>
      </c>
      <c r="C12" s="16">
        <f>'KEEI BAU - Industry'!Q$13*'Petrochemicals Split'!$E$7</f>
        <v>77535094180154.969</v>
      </c>
      <c r="D12" s="16">
        <f>'KEEI BAU - Industry'!R$13*'Petrochemicals Split'!$E$7</f>
        <v>79549965599067.938</v>
      </c>
      <c r="E12" s="16">
        <f>'KEEI BAU - Industry'!S$13*'Petrochemicals Split'!$E$7</f>
        <v>81564837017981.375</v>
      </c>
      <c r="F12" s="16">
        <f>'KEEI BAU - Industry'!T$13*'Petrochemicals Split'!$E$7</f>
        <v>84759527467385.266</v>
      </c>
      <c r="G12" s="16">
        <f>'KEEI BAU - Industry'!U$13*'Petrochemicals Split'!$E$7</f>
        <v>87954217916789.141</v>
      </c>
      <c r="H12" s="16">
        <f>'KEEI BAU - Industry'!V$13*'Petrochemicals Split'!$E$7</f>
        <v>91148908366193.031</v>
      </c>
      <c r="I12" s="16">
        <f>'KEEI BAU - Industry'!W$13*'Petrochemicals Split'!$E$7</f>
        <v>94343598815596.922</v>
      </c>
      <c r="J12" s="16">
        <f>'KEEI BAU - Industry'!X$13*'Petrochemicals Split'!$E$7</f>
        <v>97538289265000.813</v>
      </c>
      <c r="K12" s="16">
        <f>'KEEI BAU - Industry'!Y$13*'Petrochemicals Split'!$E$7</f>
        <v>100732979714404.69</v>
      </c>
      <c r="L12" s="16">
        <f>'KEEI BAU - Industry'!Z$13*'Petrochemicals Split'!$E$7</f>
        <v>103927670163808.58</v>
      </c>
      <c r="M12" s="16">
        <f>'KEEI BAU - Industry'!AA$13*'Petrochemicals Split'!$E$7</f>
        <v>106293618833406.83</v>
      </c>
      <c r="N12" s="16">
        <f>'KEEI BAU - Industry'!AB$13*'Petrochemicals Split'!$E$7</f>
        <v>108659567503005.06</v>
      </c>
      <c r="O12" s="16">
        <f>'KEEI BAU - Industry'!AC$13*'Petrochemicals Split'!$E$7</f>
        <v>111025516172603.3</v>
      </c>
      <c r="P12" s="16">
        <f>'KEEI BAU - Industry'!AD$13*'Petrochemicals Split'!$E$7</f>
        <v>113391464842201.55</v>
      </c>
      <c r="Q12" s="16">
        <f>'KEEI BAU - Industry'!AE$13*'Petrochemicals Split'!$E$7</f>
        <v>115757413511799.78</v>
      </c>
      <c r="R12" s="16">
        <f>'KEEI BAU - Industry'!AF$13*'Petrochemicals Split'!$E$7</f>
        <v>118123362181398.02</v>
      </c>
      <c r="S12" s="16">
        <f>'KEEI BAU - Industry'!AG$13*'Petrochemicals Split'!$E$7</f>
        <v>120489310850996.27</v>
      </c>
      <c r="T12" s="16">
        <f>'KEEI BAU - Industry'!AH$13*'Petrochemicals Split'!$E$7</f>
        <v>122855259520594.5</v>
      </c>
      <c r="U12" s="16">
        <f>'KEEI BAU - Industry'!AI$13*'Petrochemicals Split'!$E$7</f>
        <v>125221208190192.73</v>
      </c>
      <c r="V12" s="16">
        <f>'KEEI BAU - Industry'!AJ$13*'Petrochemicals Split'!$E$7</f>
        <v>127587156859790.98</v>
      </c>
      <c r="W12" s="16">
        <f>'KEEI BAU - Industry'!AK$13*'Petrochemicals Split'!$E$7</f>
        <v>129285240139172.3</v>
      </c>
      <c r="X12" s="16">
        <f>'KEEI BAU - Industry'!AL$13*'Petrochemicals Split'!$E$7</f>
        <v>130983323418553.63</v>
      </c>
      <c r="Y12" s="16">
        <f>'KEEI BAU - Industry'!AM$13*'Petrochemicals Split'!$E$7</f>
        <v>132681406697934.94</v>
      </c>
      <c r="Z12" s="16">
        <f>'KEEI BAU - Industry'!AN$13*'Petrochemicals Split'!$E$7</f>
        <v>134379489977316.27</v>
      </c>
      <c r="AA12" s="16">
        <f>'KEEI BAU - Industry'!AO$13*'Petrochemicals Split'!$E$7</f>
        <v>136077573256697.58</v>
      </c>
      <c r="AB12" s="16">
        <f>'KEEI BAU - Industry'!AP$13*'Petrochemicals Split'!$E$7</f>
        <v>137775656536078.89</v>
      </c>
      <c r="AC12" s="16">
        <f>'KEEI BAU - Industry'!AQ$13*'Petrochemicals Split'!$E$7</f>
        <v>139473739815460.22</v>
      </c>
      <c r="AD12" s="16">
        <f>'KEEI BAU - Industry'!AR$13*'Petrochemicals Split'!$E$7</f>
        <v>141171823094841.53</v>
      </c>
      <c r="AE12" s="16">
        <f>'KEEI BAU - Industry'!AS$13*'Petrochemicals Split'!$E$7</f>
        <v>142869906374222.84</v>
      </c>
      <c r="AF12" s="16">
        <f>'KEEI BAU - Industry'!AT$13*'Petrochemicals Split'!$E$7</f>
        <v>144567989653604.19</v>
      </c>
    </row>
    <row r="13" spans="1:35">
      <c r="A13" t="s">
        <v>53</v>
      </c>
      <c r="B13" s="16">
        <f>'KEEI BAU - Industry'!P$41*'Others Split'!$E$12</f>
        <v>3505051828832.603</v>
      </c>
      <c r="C13" s="16">
        <f>'KEEI BAU - Industry'!Q$41*'Others Split'!$E$12</f>
        <v>3604886978885.4746</v>
      </c>
      <c r="D13" s="16">
        <f>'KEEI BAU - Industry'!R$41*'Others Split'!$E$12</f>
        <v>3704722128938.3462</v>
      </c>
      <c r="E13" s="16">
        <f>'KEEI BAU - Industry'!S$41*'Others Split'!$E$12</f>
        <v>3804557278991.2178</v>
      </c>
      <c r="F13" s="16">
        <f>'KEEI BAU - Industry'!T$41*'Others Split'!$E$12</f>
        <v>3849738234661.9028</v>
      </c>
      <c r="G13" s="16">
        <f>'KEEI BAU - Industry'!U$41*'Others Split'!$E$12</f>
        <v>3894919190332.5874</v>
      </c>
      <c r="H13" s="16">
        <f>'KEEI BAU - Industry'!V$41*'Others Split'!$E$12</f>
        <v>3940100146003.2725</v>
      </c>
      <c r="I13" s="16">
        <f>'KEEI BAU - Industry'!W$41*'Others Split'!$E$12</f>
        <v>3985281101673.957</v>
      </c>
      <c r="J13" s="16">
        <f>'KEEI BAU - Industry'!X$41*'Others Split'!$E$12</f>
        <v>4030462057344.6421</v>
      </c>
      <c r="K13" s="16">
        <f>'KEEI BAU - Industry'!Y$41*'Others Split'!$E$12</f>
        <v>4075643013015.3267</v>
      </c>
      <c r="L13" s="16">
        <f>'KEEI BAU - Industry'!Z$41*'Others Split'!$E$12</f>
        <v>4120823968686.0117</v>
      </c>
      <c r="M13" s="16">
        <f>'KEEI BAU - Industry'!AA$41*'Others Split'!$E$12</f>
        <v>4122695369216.75</v>
      </c>
      <c r="N13" s="16">
        <f>'KEEI BAU - Industry'!AB$41*'Others Split'!$E$12</f>
        <v>4124566769747.4883</v>
      </c>
      <c r="O13" s="16">
        <f>'KEEI BAU - Industry'!AC$41*'Others Split'!$E$12</f>
        <v>4126438170278.2271</v>
      </c>
      <c r="P13" s="16">
        <f>'KEEI BAU - Industry'!AD$41*'Others Split'!$E$12</f>
        <v>4128309570808.9653</v>
      </c>
      <c r="Q13" s="16">
        <f>'KEEI BAU - Industry'!AE$41*'Others Split'!$E$12</f>
        <v>4130180971339.7036</v>
      </c>
      <c r="R13" s="16">
        <f>'KEEI BAU - Industry'!AF$41*'Others Split'!$E$12</f>
        <v>4132052371870.4424</v>
      </c>
      <c r="S13" s="16">
        <f>'KEEI BAU - Industry'!AG$41*'Others Split'!$E$12</f>
        <v>4133923772401.1807</v>
      </c>
      <c r="T13" s="16">
        <f>'KEEI BAU - Industry'!AH$41*'Others Split'!$E$12</f>
        <v>4135795172931.9189</v>
      </c>
      <c r="U13" s="16">
        <f>'KEEI BAU - Industry'!AI$41*'Others Split'!$E$12</f>
        <v>4137666573462.6572</v>
      </c>
      <c r="V13" s="16">
        <f>'KEEI BAU - Industry'!AJ$41*'Others Split'!$E$12</f>
        <v>4139537973993.396</v>
      </c>
      <c r="W13" s="16">
        <f>'KEEI BAU - Industry'!AK$41*'Others Split'!$E$12</f>
        <v>4111654106085.3936</v>
      </c>
      <c r="X13" s="16">
        <f>'KEEI BAU - Industry'!AL$41*'Others Split'!$E$12</f>
        <v>4083770238177.3906</v>
      </c>
      <c r="Y13" s="16">
        <f>'KEEI BAU - Industry'!AM$41*'Others Split'!$E$12</f>
        <v>4055886370269.3882</v>
      </c>
      <c r="Z13" s="16">
        <f>'KEEI BAU - Industry'!AN$41*'Others Split'!$E$12</f>
        <v>4028002502361.3857</v>
      </c>
      <c r="AA13" s="16">
        <f>'KEEI BAU - Industry'!AO$41*'Others Split'!$E$12</f>
        <v>4000118634453.3833</v>
      </c>
      <c r="AB13" s="16">
        <f>'KEEI BAU - Industry'!AP$41*'Others Split'!$E$12</f>
        <v>3972234766545.3809</v>
      </c>
      <c r="AC13" s="16">
        <f>'KEEI BAU - Industry'!AQ$41*'Others Split'!$E$12</f>
        <v>3944350898637.3779</v>
      </c>
      <c r="AD13" s="16">
        <f>'KEEI BAU - Industry'!AR$41*'Others Split'!$E$12</f>
        <v>3916467030729.3755</v>
      </c>
      <c r="AE13" s="16">
        <f>'KEEI BAU - Industry'!AS$41*'Others Split'!$E$12</f>
        <v>3888583162821.373</v>
      </c>
      <c r="AF13" s="16">
        <f>'KEEI BAU - Industry'!AT$41*'Others Split'!$E$12</f>
        <v>3860699294913.3706</v>
      </c>
    </row>
    <row r="14" spans="1:35">
      <c r="A14" t="s">
        <v>56</v>
      </c>
      <c r="B14" s="16">
        <f>'KEEI BAU - Industry'!P$41*'Others Split'!$E$13</f>
        <v>8833350058171.3555</v>
      </c>
      <c r="C14" s="16">
        <f>'KEEI BAU - Industry'!Q$41*'Others Split'!$E$13</f>
        <v>9084952280219.1816</v>
      </c>
      <c r="D14" s="16">
        <f>'KEEI BAU - Industry'!R$41*'Others Split'!$E$13</f>
        <v>9336554502267.0078</v>
      </c>
      <c r="E14" s="16">
        <f>'KEEI BAU - Industry'!S$41*'Others Split'!$E$13</f>
        <v>9588156724314.834</v>
      </c>
      <c r="F14" s="16">
        <f>'KEEI BAU - Industry'!T$41*'Others Split'!$E$13</f>
        <v>9702020717457.2148</v>
      </c>
      <c r="G14" s="16">
        <f>'KEEI BAU - Industry'!U$41*'Others Split'!$E$13</f>
        <v>9815884710599.5938</v>
      </c>
      <c r="H14" s="16">
        <f>'KEEI BAU - Industry'!V$41*'Others Split'!$E$13</f>
        <v>9929748703741.9746</v>
      </c>
      <c r="I14" s="16">
        <f>'KEEI BAU - Industry'!W$41*'Others Split'!$E$13</f>
        <v>10043612696884.354</v>
      </c>
      <c r="J14" s="16">
        <f>'KEEI BAU - Industry'!X$41*'Others Split'!$E$13</f>
        <v>10157476690026.734</v>
      </c>
      <c r="K14" s="16">
        <f>'KEEI BAU - Industry'!Y$41*'Others Split'!$E$13</f>
        <v>10271340683169.113</v>
      </c>
      <c r="L14" s="16">
        <f>'KEEI BAU - Industry'!Z$41*'Others Split'!$E$13</f>
        <v>10385204676311.494</v>
      </c>
      <c r="M14" s="16">
        <f>'KEEI BAU - Industry'!AA$41*'Others Split'!$E$13</f>
        <v>10389920936382.479</v>
      </c>
      <c r="N14" s="16">
        <f>'KEEI BAU - Industry'!AB$41*'Others Split'!$E$13</f>
        <v>10394637196453.465</v>
      </c>
      <c r="O14" s="16">
        <f>'KEEI BAU - Industry'!AC$41*'Others Split'!$E$13</f>
        <v>10399353456524.451</v>
      </c>
      <c r="P14" s="16">
        <f>'KEEI BAU - Industry'!AD$41*'Others Split'!$E$13</f>
        <v>10404069716595.438</v>
      </c>
      <c r="Q14" s="16">
        <f>'KEEI BAU - Industry'!AE$41*'Others Split'!$E$13</f>
        <v>10408785976666.424</v>
      </c>
      <c r="R14" s="16">
        <f>'KEEI BAU - Industry'!AF$41*'Others Split'!$E$13</f>
        <v>10413502236737.41</v>
      </c>
      <c r="S14" s="16">
        <f>'KEEI BAU - Industry'!AG$41*'Others Split'!$E$13</f>
        <v>10418218496808.396</v>
      </c>
      <c r="T14" s="16">
        <f>'KEEI BAU - Industry'!AH$41*'Others Split'!$E$13</f>
        <v>10422934756879.383</v>
      </c>
      <c r="U14" s="16">
        <f>'KEEI BAU - Industry'!AI$41*'Others Split'!$E$13</f>
        <v>10427651016950.369</v>
      </c>
      <c r="V14" s="16">
        <f>'KEEI BAU - Industry'!AJ$41*'Others Split'!$E$13</f>
        <v>10432367277021.355</v>
      </c>
      <c r="W14" s="16">
        <f>'KEEI BAU - Industry'!AK$41*'Others Split'!$E$13</f>
        <v>10362095001963.662</v>
      </c>
      <c r="X14" s="16">
        <f>'KEEI BAU - Industry'!AL$41*'Others Split'!$E$13</f>
        <v>10291822726905.967</v>
      </c>
      <c r="Y14" s="16">
        <f>'KEEI BAU - Industry'!AM$41*'Others Split'!$E$13</f>
        <v>10221550451848.273</v>
      </c>
      <c r="Z14" s="16">
        <f>'KEEI BAU - Industry'!AN$41*'Others Split'!$E$13</f>
        <v>10151278176790.58</v>
      </c>
      <c r="AA14" s="16">
        <f>'KEEI BAU - Industry'!AO$41*'Others Split'!$E$13</f>
        <v>10081005901732.887</v>
      </c>
      <c r="AB14" s="16">
        <f>'KEEI BAU - Industry'!AP$41*'Others Split'!$E$13</f>
        <v>10010733626675.193</v>
      </c>
      <c r="AC14" s="16">
        <f>'KEEI BAU - Industry'!AQ$41*'Others Split'!$E$13</f>
        <v>9940461351617.5</v>
      </c>
      <c r="AD14" s="16">
        <f>'KEEI BAU - Industry'!AR$41*'Others Split'!$E$13</f>
        <v>9870189076559.8066</v>
      </c>
      <c r="AE14" s="16">
        <f>'KEEI BAU - Industry'!AS$41*'Others Split'!$E$13</f>
        <v>9799916801502.1133</v>
      </c>
      <c r="AF14" s="16">
        <f>'KEEI BAU - Industry'!AT$41*'Others Split'!$E$13</f>
        <v>9729644526444.4199</v>
      </c>
    </row>
    <row r="15" spans="1:35">
      <c r="A15" s="390" t="s">
        <v>58</v>
      </c>
      <c r="B15" s="467">
        <f>'KEEI BAU - Industry'!P27</f>
        <v>80934087411800</v>
      </c>
      <c r="C15" s="467">
        <f>'KEEI BAU - Industry'!Q27</f>
        <v>81570318307730</v>
      </c>
      <c r="D15" s="467">
        <f>'KEEI BAU - Industry'!R27</f>
        <v>82206549203660</v>
      </c>
      <c r="E15" s="467">
        <f>'KEEI BAU - Industry'!S27</f>
        <v>82842780099590</v>
      </c>
      <c r="F15" s="467">
        <f>'KEEI BAU - Industry'!T27</f>
        <v>85601751166300</v>
      </c>
      <c r="G15" s="467">
        <f>'KEEI BAU - Industry'!U27</f>
        <v>88360722233010</v>
      </c>
      <c r="H15" s="467">
        <f>'KEEI BAU - Industry'!V27</f>
        <v>91119693299720</v>
      </c>
      <c r="I15" s="467">
        <f>'KEEI BAU - Industry'!W27</f>
        <v>93878664366430</v>
      </c>
      <c r="J15" s="467">
        <f>'KEEI BAU - Industry'!X27</f>
        <v>96637635433140</v>
      </c>
      <c r="K15" s="467">
        <f>'KEEI BAU - Industry'!Y27</f>
        <v>99396606499850</v>
      </c>
      <c r="L15" s="467">
        <f>'KEEI BAU - Industry'!Z27</f>
        <v>102155577566560</v>
      </c>
      <c r="M15" s="467">
        <f>'KEEI BAU - Industry'!AA27</f>
        <v>102246787903673</v>
      </c>
      <c r="N15" s="467">
        <f>'KEEI BAU - Industry'!AB27</f>
        <v>102337998240786</v>
      </c>
      <c r="O15" s="467">
        <f>'KEEI BAU - Industry'!AC27</f>
        <v>102429208577899</v>
      </c>
      <c r="P15" s="467">
        <f>'KEEI BAU - Industry'!AD27</f>
        <v>102520418915012</v>
      </c>
      <c r="Q15" s="467">
        <f>'KEEI BAU - Industry'!AE27</f>
        <v>102611629252125</v>
      </c>
      <c r="R15" s="467">
        <f>'KEEI BAU - Industry'!AF27</f>
        <v>102702839589238</v>
      </c>
      <c r="S15" s="467">
        <f>'KEEI BAU - Industry'!AG27</f>
        <v>102794049926351</v>
      </c>
      <c r="T15" s="467">
        <f>'KEEI BAU - Industry'!AH27</f>
        <v>102885260263464.03</v>
      </c>
      <c r="U15" s="467">
        <f>'KEEI BAU - Industry'!AI27</f>
        <v>102976470600577.03</v>
      </c>
      <c r="V15" s="467">
        <f>'KEEI BAU - Industry'!AJ27</f>
        <v>103067680937690.02</v>
      </c>
      <c r="W15" s="467">
        <f>'KEEI BAU - Industry'!AK27</f>
        <v>102865431929309</v>
      </c>
      <c r="X15" s="467">
        <f>'KEEI BAU - Industry'!AL27</f>
        <v>102663182920928</v>
      </c>
      <c r="Y15" s="467">
        <f>'KEEI BAU - Industry'!AM27</f>
        <v>102460933912547</v>
      </c>
      <c r="Z15" s="467">
        <f>'KEEI BAU - Industry'!AN27</f>
        <v>102258684904166</v>
      </c>
      <c r="AA15" s="467">
        <f>'KEEI BAU - Industry'!AO27</f>
        <v>102056435895785</v>
      </c>
      <c r="AB15" s="467">
        <f>'KEEI BAU - Industry'!AP27</f>
        <v>101854186887404</v>
      </c>
      <c r="AC15" s="467">
        <f>'KEEI BAU - Industry'!AQ27</f>
        <v>101651937879023</v>
      </c>
      <c r="AD15" s="467">
        <f>'KEEI BAU - Industry'!AR27</f>
        <v>101449688870642</v>
      </c>
      <c r="AE15" s="467">
        <f>'KEEI BAU - Industry'!AS27</f>
        <v>101247439862261</v>
      </c>
      <c r="AF15" s="467">
        <f>'KEEI BAU - Industry'!AT27</f>
        <v>101045190853880</v>
      </c>
      <c r="AG15" s="14"/>
    </row>
    <row r="16" spans="1:35">
      <c r="A16" t="s">
        <v>61</v>
      </c>
      <c r="B16" s="16">
        <f>'KEEI BAU - Industry'!P$20*'Non-ferrous Metals Split'!$E$6</f>
        <v>12833368166293.609</v>
      </c>
      <c r="C16" s="16">
        <f>'KEEI BAU - Industry'!Q$20*'Non-ferrous Metals Split'!$E$6</f>
        <v>12957057657621.77</v>
      </c>
      <c r="D16" s="16">
        <f>'KEEI BAU - Industry'!R$20*'Non-ferrous Metals Split'!$E$6</f>
        <v>13080747148949.932</v>
      </c>
      <c r="E16" s="16">
        <f>'KEEI BAU - Industry'!S$20*'Non-ferrous Metals Split'!$E$6</f>
        <v>13204436640278.094</v>
      </c>
      <c r="F16" s="16">
        <f>'KEEI BAU - Industry'!T$20*'Non-ferrous Metals Split'!$E$6</f>
        <v>13714364071508.346</v>
      </c>
      <c r="G16" s="16">
        <f>'KEEI BAU - Industry'!U$20*'Non-ferrous Metals Split'!$E$6</f>
        <v>14224291502738.598</v>
      </c>
      <c r="H16" s="16">
        <f>'KEEI BAU - Industry'!V$20*'Non-ferrous Metals Split'!$E$6</f>
        <v>14734218933968.85</v>
      </c>
      <c r="I16" s="16">
        <f>'KEEI BAU - Industry'!W$20*'Non-ferrous Metals Split'!$E$6</f>
        <v>15244146365199.1</v>
      </c>
      <c r="J16" s="16">
        <f>'KEEI BAU - Industry'!X$20*'Non-ferrous Metals Split'!$E$6</f>
        <v>15754073796429.352</v>
      </c>
      <c r="K16" s="16">
        <f>'KEEI BAU - Industry'!Y$20*'Non-ferrous Metals Split'!$E$6</f>
        <v>16264001227659.604</v>
      </c>
      <c r="L16" s="16">
        <f>'KEEI BAU - Industry'!Z$20*'Non-ferrous Metals Split'!$E$6</f>
        <v>16773928658889.855</v>
      </c>
      <c r="M16" s="16">
        <f>'KEEI BAU - Industry'!AA$20*'Non-ferrous Metals Split'!$E$6</f>
        <v>16850417773574.393</v>
      </c>
      <c r="N16" s="16">
        <f>'KEEI BAU - Industry'!AB$20*'Non-ferrous Metals Split'!$E$6</f>
        <v>16926906888258.93</v>
      </c>
      <c r="O16" s="16">
        <f>'KEEI BAU - Industry'!AC$20*'Non-ferrous Metals Split'!$E$6</f>
        <v>17003396002943.469</v>
      </c>
      <c r="P16" s="16">
        <f>'KEEI BAU - Industry'!AD$20*'Non-ferrous Metals Split'!$E$6</f>
        <v>17079885117628.006</v>
      </c>
      <c r="Q16" s="16">
        <f>'KEEI BAU - Industry'!AE$20*'Non-ferrous Metals Split'!$E$6</f>
        <v>17156374232312.543</v>
      </c>
      <c r="R16" s="16">
        <f>'KEEI BAU - Industry'!AF$20*'Non-ferrous Metals Split'!$E$6</f>
        <v>17232863346997.082</v>
      </c>
      <c r="S16" s="16">
        <f>'KEEI BAU - Industry'!AG$20*'Non-ferrous Metals Split'!$E$6</f>
        <v>17309352461681.619</v>
      </c>
      <c r="T16" s="16">
        <f>'KEEI BAU - Industry'!AH$20*'Non-ferrous Metals Split'!$E$6</f>
        <v>17385841576366.156</v>
      </c>
      <c r="U16" s="16">
        <f>'KEEI BAU - Industry'!AI$20*'Non-ferrous Metals Split'!$E$6</f>
        <v>17462330691050.695</v>
      </c>
      <c r="V16" s="16">
        <f>'KEEI BAU - Industry'!AJ$20*'Non-ferrous Metals Split'!$E$6</f>
        <v>17538819805735.232</v>
      </c>
      <c r="W16" s="16">
        <f>'KEEI BAU - Industry'!AK$20*'Non-ferrous Metals Split'!$E$6</f>
        <v>17466356433928.828</v>
      </c>
      <c r="X16" s="16">
        <f>'KEEI BAU - Industry'!AL$20*'Non-ferrous Metals Split'!$E$6</f>
        <v>17393893062122.424</v>
      </c>
      <c r="Y16" s="16">
        <f>'KEEI BAU - Industry'!AM$20*'Non-ferrous Metals Split'!$E$6</f>
        <v>17321429690316.02</v>
      </c>
      <c r="Z16" s="16">
        <f>'KEEI BAU - Industry'!AN$20*'Non-ferrous Metals Split'!$E$6</f>
        <v>17248966318509.615</v>
      </c>
      <c r="AA16" s="16">
        <f>'KEEI BAU - Industry'!AO$20*'Non-ferrous Metals Split'!$E$6</f>
        <v>17176502946703.211</v>
      </c>
      <c r="AB16" s="16">
        <f>'KEEI BAU - Industry'!AP$20*'Non-ferrous Metals Split'!$E$6</f>
        <v>17104039574896.807</v>
      </c>
      <c r="AC16" s="16">
        <f>'KEEI BAU - Industry'!AQ$20*'Non-ferrous Metals Split'!$E$6</f>
        <v>17031576203090.402</v>
      </c>
      <c r="AD16" s="16">
        <f>'KEEI BAU - Industry'!AR$20*'Non-ferrous Metals Split'!$E$6</f>
        <v>16959112831284</v>
      </c>
      <c r="AE16" s="16">
        <f>'KEEI BAU - Industry'!AS$20*'Non-ferrous Metals Split'!$E$6</f>
        <v>16886649459477.596</v>
      </c>
      <c r="AF16" s="16">
        <f>'KEEI BAU - Industry'!AT$20*'Non-ferrous Metals Split'!$E$6</f>
        <v>16814186087671.188</v>
      </c>
    </row>
    <row r="17" spans="1:33">
      <c r="A17" t="s">
        <v>65</v>
      </c>
      <c r="B17" s="16">
        <f>'KEEI BAU - Industry'!P$20*'Non-ferrous Metals Split'!$E$7</f>
        <v>25092200361826.391</v>
      </c>
      <c r="C17" s="16">
        <f>'KEEI BAU - Industry'!Q$20*'Non-ferrous Metals Split'!$E$7</f>
        <v>25334041900138.23</v>
      </c>
      <c r="D17" s="16">
        <f>'KEEI BAU - Industry'!R$20*'Non-ferrous Metals Split'!$E$7</f>
        <v>25575883438450.066</v>
      </c>
      <c r="E17" s="16">
        <f>'KEEI BAU - Industry'!S$20*'Non-ferrous Metals Split'!$E$7</f>
        <v>25817724976761.906</v>
      </c>
      <c r="F17" s="16">
        <f>'KEEI BAU - Industry'!T$20*'Non-ferrous Metals Split'!$E$7</f>
        <v>26814750941311.656</v>
      </c>
      <c r="G17" s="16">
        <f>'KEEI BAU - Industry'!U$20*'Non-ferrous Metals Split'!$E$7</f>
        <v>27811776905861.402</v>
      </c>
      <c r="H17" s="16">
        <f>'KEEI BAU - Industry'!V$20*'Non-ferrous Metals Split'!$E$7</f>
        <v>28808802870411.152</v>
      </c>
      <c r="I17" s="16">
        <f>'KEEI BAU - Industry'!W$20*'Non-ferrous Metals Split'!$E$7</f>
        <v>29805828834960.898</v>
      </c>
      <c r="J17" s="16">
        <f>'KEEI BAU - Industry'!X$20*'Non-ferrous Metals Split'!$E$7</f>
        <v>30802854799510.648</v>
      </c>
      <c r="K17" s="16">
        <f>'KEEI BAU - Industry'!Y$20*'Non-ferrous Metals Split'!$E$7</f>
        <v>31799880764060.398</v>
      </c>
      <c r="L17" s="16">
        <f>'KEEI BAU - Industry'!Z$20*'Non-ferrous Metals Split'!$E$7</f>
        <v>32796906728610.145</v>
      </c>
      <c r="M17" s="16">
        <f>'KEEI BAU - Industry'!AA$20*'Non-ferrous Metals Split'!$E$7</f>
        <v>32946460623292.605</v>
      </c>
      <c r="N17" s="16">
        <f>'KEEI BAU - Industry'!AB$20*'Non-ferrous Metals Split'!$E$7</f>
        <v>33096014517975.07</v>
      </c>
      <c r="O17" s="16">
        <f>'KEEI BAU - Industry'!AC$20*'Non-ferrous Metals Split'!$E$7</f>
        <v>33245568412657.531</v>
      </c>
      <c r="P17" s="16">
        <f>'KEEI BAU - Industry'!AD$20*'Non-ferrous Metals Split'!$E$7</f>
        <v>33395122307339.992</v>
      </c>
      <c r="Q17" s="16">
        <f>'KEEI BAU - Industry'!AE$20*'Non-ferrous Metals Split'!$E$7</f>
        <v>33544676202022.457</v>
      </c>
      <c r="R17" s="16">
        <f>'KEEI BAU - Industry'!AF$20*'Non-ferrous Metals Split'!$E$7</f>
        <v>33694230096704.918</v>
      </c>
      <c r="S17" s="16">
        <f>'KEEI BAU - Industry'!AG$20*'Non-ferrous Metals Split'!$E$7</f>
        <v>33843783991387.379</v>
      </c>
      <c r="T17" s="16">
        <f>'KEEI BAU - Industry'!AH$20*'Non-ferrous Metals Split'!$E$7</f>
        <v>33993337886069.844</v>
      </c>
      <c r="U17" s="16">
        <f>'KEEI BAU - Industry'!AI$20*'Non-ferrous Metals Split'!$E$7</f>
        <v>34142891780752.305</v>
      </c>
      <c r="V17" s="16">
        <f>'KEEI BAU - Industry'!AJ$20*'Non-ferrous Metals Split'!$E$7</f>
        <v>34292445675434.766</v>
      </c>
      <c r="W17" s="16">
        <f>'KEEI BAU - Industry'!AK$20*'Non-ferrous Metals Split'!$E$7</f>
        <v>34150763038367.172</v>
      </c>
      <c r="X17" s="16">
        <f>'KEEI BAU - Industry'!AL$20*'Non-ferrous Metals Split'!$E$7</f>
        <v>34009080401299.574</v>
      </c>
      <c r="Y17" s="16">
        <f>'KEEI BAU - Industry'!AM$20*'Non-ferrous Metals Split'!$E$7</f>
        <v>33867397764231.98</v>
      </c>
      <c r="Z17" s="16">
        <f>'KEEI BAU - Industry'!AN$20*'Non-ferrous Metals Split'!$E$7</f>
        <v>33725715127164.383</v>
      </c>
      <c r="AA17" s="16">
        <f>'KEEI BAU - Industry'!AO$20*'Non-ferrous Metals Split'!$E$7</f>
        <v>33584032490096.789</v>
      </c>
      <c r="AB17" s="16">
        <f>'KEEI BAU - Industry'!AP$20*'Non-ferrous Metals Split'!$E$7</f>
        <v>33442349853029.191</v>
      </c>
      <c r="AC17" s="16">
        <f>'KEEI BAU - Industry'!AQ$20*'Non-ferrous Metals Split'!$E$7</f>
        <v>33300667215961.598</v>
      </c>
      <c r="AD17" s="16">
        <f>'KEEI BAU - Industry'!AR$20*'Non-ferrous Metals Split'!$E$7</f>
        <v>33158984578894</v>
      </c>
      <c r="AE17" s="16">
        <f>'KEEI BAU - Industry'!AS$20*'Non-ferrous Metals Split'!$E$7</f>
        <v>33017301941826.406</v>
      </c>
      <c r="AF17" s="16">
        <f>'KEEI BAU - Industry'!AT$20*'Non-ferrous Metals Split'!$E$7</f>
        <v>32875619304758.805</v>
      </c>
    </row>
    <row r="18" spans="1:33">
      <c r="A18" t="s">
        <v>67</v>
      </c>
      <c r="B18" s="16">
        <f>'KEEI BAU - Industry'!P$34*'Machinery Split'!$E6</f>
        <v>155072561888205.75</v>
      </c>
      <c r="C18" s="16">
        <f>'KEEI BAU - Industry'!Q$34*'Machinery Split'!$E6</f>
        <v>160590916705329.78</v>
      </c>
      <c r="D18" s="16">
        <f>'KEEI BAU - Industry'!R$34*'Machinery Split'!$E6</f>
        <v>166109271522456.03</v>
      </c>
      <c r="E18" s="16">
        <f>'KEEI BAU - Industry'!S$34*'Machinery Split'!$E6</f>
        <v>171627626339581.16</v>
      </c>
      <c r="F18" s="16">
        <f>'KEEI BAU - Industry'!T$34*'Machinery Split'!$E6</f>
        <v>174604009626404.91</v>
      </c>
      <c r="G18" s="16">
        <f>'KEEI BAU - Industry'!U$34*'Machinery Split'!$E6</f>
        <v>177580392913228.63</v>
      </c>
      <c r="H18" s="16">
        <f>'KEEI BAU - Industry'!V$34*'Machinery Split'!$E6</f>
        <v>180556776200052.34</v>
      </c>
      <c r="I18" s="16">
        <f>'KEEI BAU - Industry'!W$34*'Machinery Split'!$E6</f>
        <v>183533159486876.09</v>
      </c>
      <c r="J18" s="16">
        <f>'KEEI BAU - Industry'!X$34*'Machinery Split'!$E6</f>
        <v>186509542773699.81</v>
      </c>
      <c r="K18" s="16">
        <f>'KEEI BAU - Industry'!Y$34*'Machinery Split'!$E6</f>
        <v>189485926060523.53</v>
      </c>
      <c r="L18" s="16">
        <f>'KEEI BAU - Industry'!Z$34*'Machinery Split'!$E6</f>
        <v>192462309347347.25</v>
      </c>
      <c r="M18" s="16">
        <f>'KEEI BAU - Industry'!AA$34*'Machinery Split'!$E6</f>
        <v>193619547284209.47</v>
      </c>
      <c r="N18" s="16">
        <f>'KEEI BAU - Industry'!AB$34*'Machinery Split'!$E6</f>
        <v>194776785221071.66</v>
      </c>
      <c r="O18" s="16">
        <f>'KEEI BAU - Industry'!AC$34*'Machinery Split'!$E6</f>
        <v>195934023157933.84</v>
      </c>
      <c r="P18" s="16">
        <f>'KEEI BAU - Industry'!AD$34*'Machinery Split'!$E6</f>
        <v>197091261094796.03</v>
      </c>
      <c r="Q18" s="16">
        <f>'KEEI BAU - Industry'!AE$34*'Machinery Split'!$E6</f>
        <v>198248499031658.22</v>
      </c>
      <c r="R18" s="16">
        <f>'KEEI BAU - Industry'!AF$34*'Machinery Split'!$E6</f>
        <v>199405736968520.44</v>
      </c>
      <c r="S18" s="16">
        <f>'KEEI BAU - Industry'!AG$34*'Machinery Split'!$E6</f>
        <v>200562974905382.63</v>
      </c>
      <c r="T18" s="16">
        <f>'KEEI BAU - Industry'!AH$34*'Machinery Split'!$E6</f>
        <v>201720212842244.81</v>
      </c>
      <c r="U18" s="16">
        <f>'KEEI BAU - Industry'!AI$34*'Machinery Split'!$E6</f>
        <v>202877450779107</v>
      </c>
      <c r="V18" s="16">
        <f>'KEEI BAU - Industry'!AJ$34*'Machinery Split'!$E6</f>
        <v>204034688715969.16</v>
      </c>
      <c r="W18" s="16">
        <f>'KEEI BAU - Industry'!AK$34*'Machinery Split'!$E6</f>
        <v>203429668882058.22</v>
      </c>
      <c r="X18" s="16">
        <f>'KEEI BAU - Industry'!AL$34*'Machinery Split'!$E6</f>
        <v>202824649048147.38</v>
      </c>
      <c r="Y18" s="16">
        <f>'KEEI BAU - Industry'!AM$34*'Machinery Split'!$E6</f>
        <v>202219629214236.53</v>
      </c>
      <c r="Z18" s="16">
        <f>'KEEI BAU - Industry'!AN$34*'Machinery Split'!$E6</f>
        <v>201614609380325.69</v>
      </c>
      <c r="AA18" s="16">
        <f>'KEEI BAU - Industry'!AO$34*'Machinery Split'!$E6</f>
        <v>201009589546414.84</v>
      </c>
      <c r="AB18" s="16">
        <f>'KEEI BAU - Industry'!AP$34*'Machinery Split'!$E6</f>
        <v>200404569712504</v>
      </c>
      <c r="AC18" s="16">
        <f>'KEEI BAU - Industry'!AQ$34*'Machinery Split'!$E6</f>
        <v>199799549878593.16</v>
      </c>
      <c r="AD18" s="16">
        <f>'KEEI BAU - Industry'!AR$34*'Machinery Split'!$E6</f>
        <v>199194530044682.31</v>
      </c>
      <c r="AE18" s="16">
        <f>'KEEI BAU - Industry'!AS$34*'Machinery Split'!$E6</f>
        <v>198589510210771.47</v>
      </c>
      <c r="AF18" s="16">
        <f>'KEEI BAU - Industry'!AT$34*'Machinery Split'!$E6</f>
        <v>197984490376860.78</v>
      </c>
      <c r="AG18" s="16"/>
    </row>
    <row r="19" spans="1:33">
      <c r="A19" t="s">
        <v>71</v>
      </c>
      <c r="B19" s="16">
        <f>'KEEI BAU - Industry'!P$34*'Machinery Split'!$E7</f>
        <v>27004323753425.258</v>
      </c>
      <c r="C19" s="16">
        <f>'KEEI BAU - Industry'!Q$34*'Machinery Split'!$E7</f>
        <v>27965289628067.359</v>
      </c>
      <c r="D19" s="16">
        <f>'KEEI BAU - Industry'!R$34*'Machinery Split'!$E7</f>
        <v>28926255502709.848</v>
      </c>
      <c r="E19" s="16">
        <f>'KEEI BAU - Industry'!S$34*'Machinery Split'!$E7</f>
        <v>29887221377352.145</v>
      </c>
      <c r="F19" s="16">
        <f>'KEEI BAU - Industry'!T$34*'Machinery Split'!$E7</f>
        <v>30405528529262.199</v>
      </c>
      <c r="G19" s="16">
        <f>'KEEI BAU - Industry'!U$34*'Machinery Split'!$E7</f>
        <v>30923835681172.258</v>
      </c>
      <c r="H19" s="16">
        <f>'KEEI BAU - Industry'!V$34*'Machinery Split'!$E7</f>
        <v>31442142833082.316</v>
      </c>
      <c r="I19" s="16">
        <f>'KEEI BAU - Industry'!W$34*'Machinery Split'!$E7</f>
        <v>31960449984992.371</v>
      </c>
      <c r="J19" s="16">
        <f>'KEEI BAU - Industry'!X$34*'Machinery Split'!$E7</f>
        <v>32478757136902.43</v>
      </c>
      <c r="K19" s="16">
        <f>'KEEI BAU - Industry'!Y$34*'Machinery Split'!$E7</f>
        <v>32997064288812.484</v>
      </c>
      <c r="L19" s="16">
        <f>'KEEI BAU - Industry'!Z$34*'Machinery Split'!$E7</f>
        <v>33515371440722.543</v>
      </c>
      <c r="M19" s="16">
        <f>'KEEI BAU - Industry'!AA$34*'Machinery Split'!$E7</f>
        <v>33716892764200.137</v>
      </c>
      <c r="N19" s="16">
        <f>'KEEI BAU - Industry'!AB$34*'Machinery Split'!$E7</f>
        <v>33918414087677.734</v>
      </c>
      <c r="O19" s="16">
        <f>'KEEI BAU - Industry'!AC$34*'Machinery Split'!$E7</f>
        <v>34119935411155.328</v>
      </c>
      <c r="P19" s="16">
        <f>'KEEI BAU - Industry'!AD$34*'Machinery Split'!$E7</f>
        <v>34321456734632.926</v>
      </c>
      <c r="Q19" s="16">
        <f>'KEEI BAU - Industry'!AE$34*'Machinery Split'!$E7</f>
        <v>34522978058110.52</v>
      </c>
      <c r="R19" s="16">
        <f>'KEEI BAU - Industry'!AF$34*'Machinery Split'!$E7</f>
        <v>34724499381588.117</v>
      </c>
      <c r="S19" s="16">
        <f>'KEEI BAU - Industry'!AG$34*'Machinery Split'!$E7</f>
        <v>34926020705065.711</v>
      </c>
      <c r="T19" s="16">
        <f>'KEEI BAU - Industry'!AH$34*'Machinery Split'!$E7</f>
        <v>35127542028543.309</v>
      </c>
      <c r="U19" s="16">
        <f>'KEEI BAU - Industry'!AI$34*'Machinery Split'!$E7</f>
        <v>35329063352020.898</v>
      </c>
      <c r="V19" s="16">
        <f>'KEEI BAU - Industry'!AJ$34*'Machinery Split'!$E7</f>
        <v>35530584675498.492</v>
      </c>
      <c r="W19" s="16">
        <f>'KEEI BAU - Industry'!AK$34*'Machinery Split'!$E7</f>
        <v>35425226569117.602</v>
      </c>
      <c r="X19" s="16">
        <f>'KEEI BAU - Industry'!AL$34*'Machinery Split'!$E7</f>
        <v>35319868462736.727</v>
      </c>
      <c r="Y19" s="16">
        <f>'KEEI BAU - Industry'!AM$34*'Machinery Split'!$E7</f>
        <v>35214510356355.859</v>
      </c>
      <c r="Z19" s="16">
        <f>'KEEI BAU - Industry'!AN$34*'Machinery Split'!$E7</f>
        <v>35109152249974.984</v>
      </c>
      <c r="AA19" s="16">
        <f>'KEEI BAU - Industry'!AO$34*'Machinery Split'!$E7</f>
        <v>35003794143594.113</v>
      </c>
      <c r="AB19" s="16">
        <f>'KEEI BAU - Industry'!AP$34*'Machinery Split'!$E7</f>
        <v>34898436037213.242</v>
      </c>
      <c r="AC19" s="16">
        <f>'KEEI BAU - Industry'!AQ$34*'Machinery Split'!$E7</f>
        <v>34793077930832.367</v>
      </c>
      <c r="AD19" s="16">
        <f>'KEEI BAU - Industry'!AR$34*'Machinery Split'!$E7</f>
        <v>34687719824451.496</v>
      </c>
      <c r="AE19" s="16">
        <f>'KEEI BAU - Industry'!AS$34*'Machinery Split'!$E7</f>
        <v>34582361718070.625</v>
      </c>
      <c r="AF19" s="16">
        <f>'KEEI BAU - Industry'!AT$34*'Machinery Split'!$E7</f>
        <v>34477003611689.777</v>
      </c>
    </row>
    <row r="20" spans="1:33">
      <c r="A20" t="s">
        <v>73</v>
      </c>
      <c r="B20" s="16">
        <f>'KEEI BAU - Industry'!P$34*'Machinery Split'!$E8</f>
        <v>42157107912069.617</v>
      </c>
      <c r="C20" s="16">
        <f>'KEEI BAU - Industry'!Q$34*'Machinery Split'!$E8</f>
        <v>43657295157897.789</v>
      </c>
      <c r="D20" s="16">
        <f>'KEEI BAU - Industry'!R$34*'Machinery Split'!$E8</f>
        <v>45157482403726.57</v>
      </c>
      <c r="E20" s="16">
        <f>'KEEI BAU - Industry'!S$34*'Machinery Split'!$E8</f>
        <v>46657669649555.047</v>
      </c>
      <c r="F20" s="16">
        <f>'KEEI BAU - Industry'!T$34*'Machinery Split'!$E8</f>
        <v>47466811575647.469</v>
      </c>
      <c r="G20" s="16">
        <f>'KEEI BAU - Industry'!U$34*'Machinery Split'!$E8</f>
        <v>48275953501739.883</v>
      </c>
      <c r="H20" s="16">
        <f>'KEEI BAU - Industry'!V$34*'Machinery Split'!$E8</f>
        <v>49085095427832.305</v>
      </c>
      <c r="I20" s="16">
        <f>'KEEI BAU - Industry'!W$34*'Machinery Split'!$E8</f>
        <v>49894237353924.719</v>
      </c>
      <c r="J20" s="16">
        <f>'KEEI BAU - Industry'!X$34*'Machinery Split'!$E8</f>
        <v>50703379280017.141</v>
      </c>
      <c r="K20" s="16">
        <f>'KEEI BAU - Industry'!Y$34*'Machinery Split'!$E8</f>
        <v>51512521206109.555</v>
      </c>
      <c r="L20" s="16">
        <f>'KEEI BAU - Industry'!Z$34*'Machinery Split'!$E8</f>
        <v>52321663132201.969</v>
      </c>
      <c r="M20" s="16">
        <f>'KEEI BAU - Industry'!AA$34*'Machinery Split'!$E8</f>
        <v>52636262981396.508</v>
      </c>
      <c r="N20" s="16">
        <f>'KEEI BAU - Industry'!AB$34*'Machinery Split'!$E8</f>
        <v>52950862830591.047</v>
      </c>
      <c r="O20" s="16">
        <f>'KEEI BAU - Industry'!AC$34*'Machinery Split'!$E8</f>
        <v>53265462679785.586</v>
      </c>
      <c r="P20" s="16">
        <f>'KEEI BAU - Industry'!AD$34*'Machinery Split'!$E8</f>
        <v>53580062528980.125</v>
      </c>
      <c r="Q20" s="16">
        <f>'KEEI BAU - Industry'!AE$34*'Machinery Split'!$E8</f>
        <v>53894662378174.664</v>
      </c>
      <c r="R20" s="16">
        <f>'KEEI BAU - Industry'!AF$34*'Machinery Split'!$E8</f>
        <v>54209262227369.203</v>
      </c>
      <c r="S20" s="16">
        <f>'KEEI BAU - Industry'!AG$34*'Machinery Split'!$E8</f>
        <v>54523862076563.742</v>
      </c>
      <c r="T20" s="16">
        <f>'KEEI BAU - Industry'!AH$34*'Machinery Split'!$E8</f>
        <v>54838461925758.281</v>
      </c>
      <c r="U20" s="16">
        <f>'KEEI BAU - Industry'!AI$34*'Machinery Split'!$E8</f>
        <v>55153061774952.82</v>
      </c>
      <c r="V20" s="16">
        <f>'KEEI BAU - Industry'!AJ$34*'Machinery Split'!$E8</f>
        <v>55467661624147.352</v>
      </c>
      <c r="W20" s="16">
        <f>'KEEI BAU - Industry'!AK$34*'Machinery Split'!$E8</f>
        <v>55303184516678.695</v>
      </c>
      <c r="X20" s="16">
        <f>'KEEI BAU - Industry'!AL$34*'Machinery Split'!$E8</f>
        <v>55138707409210.063</v>
      </c>
      <c r="Y20" s="16">
        <f>'KEEI BAU - Industry'!AM$34*'Machinery Split'!$E8</f>
        <v>54974230301741.438</v>
      </c>
      <c r="Z20" s="16">
        <f>'KEEI BAU - Industry'!AN$34*'Machinery Split'!$E8</f>
        <v>54809753194272.813</v>
      </c>
      <c r="AA20" s="16">
        <f>'KEEI BAU - Industry'!AO$34*'Machinery Split'!$E8</f>
        <v>54645276086804.18</v>
      </c>
      <c r="AB20" s="16">
        <f>'KEEI BAU - Industry'!AP$34*'Machinery Split'!$E8</f>
        <v>54480798979335.555</v>
      </c>
      <c r="AC20" s="16">
        <f>'KEEI BAU - Industry'!AQ$34*'Machinery Split'!$E8</f>
        <v>54316321871866.93</v>
      </c>
      <c r="AD20" s="16">
        <f>'KEEI BAU - Industry'!AR$34*'Machinery Split'!$E8</f>
        <v>54151844764398.297</v>
      </c>
      <c r="AE20" s="16">
        <f>'KEEI BAU - Industry'!AS$34*'Machinery Split'!$E8</f>
        <v>53987367656929.672</v>
      </c>
      <c r="AF20" s="16">
        <f>'KEEI BAU - Industry'!AT$34*'Machinery Split'!$E8</f>
        <v>53822890549461.078</v>
      </c>
      <c r="AG20" s="14"/>
    </row>
    <row r="21" spans="1:33">
      <c r="A21" t="s">
        <v>75</v>
      </c>
      <c r="B21" s="16">
        <f>'KEEI BAU - Industry'!P$34*'Machinery Split'!$E9</f>
        <v>44015400676326.797</v>
      </c>
      <c r="C21" s="16">
        <f>'KEEI BAU - Industry'!Q$34*'Machinery Split'!$E9</f>
        <v>45581716440974.813</v>
      </c>
      <c r="D21" s="16">
        <f>'KEEI BAU - Industry'!R$34*'Machinery Split'!$E9</f>
        <v>47148032205623.461</v>
      </c>
      <c r="E21" s="16">
        <f>'KEEI BAU - Industry'!S$34*'Machinery Split'!$E9</f>
        <v>48714347970271.797</v>
      </c>
      <c r="F21" s="16">
        <f>'KEEI BAU - Industry'!T$34*'Machinery Split'!$E9</f>
        <v>49559157015409.734</v>
      </c>
      <c r="G21" s="16">
        <f>'KEEI BAU - Industry'!U$34*'Machinery Split'!$E9</f>
        <v>50403966060547.672</v>
      </c>
      <c r="H21" s="16">
        <f>'KEEI BAU - Industry'!V$34*'Machinery Split'!$E9</f>
        <v>51248775105685.609</v>
      </c>
      <c r="I21" s="16">
        <f>'KEEI BAU - Industry'!W$34*'Machinery Split'!$E9</f>
        <v>52093584150823.547</v>
      </c>
      <c r="J21" s="16">
        <f>'KEEI BAU - Industry'!X$34*'Machinery Split'!$E9</f>
        <v>52938393195961.484</v>
      </c>
      <c r="K21" s="16">
        <f>'KEEI BAU - Industry'!Y$34*'Machinery Split'!$E9</f>
        <v>53783202241099.422</v>
      </c>
      <c r="L21" s="16">
        <f>'KEEI BAU - Industry'!Z$34*'Machinery Split'!$E9</f>
        <v>54628011286237.359</v>
      </c>
      <c r="M21" s="16">
        <f>'KEEI BAU - Industry'!AA$34*'Machinery Split'!$E9</f>
        <v>54956478752361.742</v>
      </c>
      <c r="N21" s="16">
        <f>'KEEI BAU - Industry'!AB$34*'Machinery Split'!$E9</f>
        <v>55284946218486.125</v>
      </c>
      <c r="O21" s="16">
        <f>'KEEI BAU - Industry'!AC$34*'Machinery Split'!$E9</f>
        <v>55613413684610.508</v>
      </c>
      <c r="P21" s="16">
        <f>'KEEI BAU - Industry'!AD$34*'Machinery Split'!$E9</f>
        <v>55941881150734.883</v>
      </c>
      <c r="Q21" s="16">
        <f>'KEEI BAU - Industry'!AE$34*'Machinery Split'!$E9</f>
        <v>56270348616859.266</v>
      </c>
      <c r="R21" s="16">
        <f>'KEEI BAU - Industry'!AF$34*'Machinery Split'!$E9</f>
        <v>56598816082983.648</v>
      </c>
      <c r="S21" s="16">
        <f>'KEEI BAU - Industry'!AG$34*'Machinery Split'!$E9</f>
        <v>56927283549108.031</v>
      </c>
      <c r="T21" s="16">
        <f>'KEEI BAU - Industry'!AH$34*'Machinery Split'!$E9</f>
        <v>57255751015232.406</v>
      </c>
      <c r="U21" s="16">
        <f>'KEEI BAU - Industry'!AI$34*'Machinery Split'!$E9</f>
        <v>57584218481356.789</v>
      </c>
      <c r="V21" s="16">
        <f>'KEEI BAU - Industry'!AJ$34*'Machinery Split'!$E9</f>
        <v>57912685947481.164</v>
      </c>
      <c r="W21" s="16">
        <f>'KEEI BAU - Industry'!AK$34*'Machinery Split'!$E9</f>
        <v>57740958660058.688</v>
      </c>
      <c r="X21" s="16">
        <f>'KEEI BAU - Industry'!AL$34*'Machinery Split'!$E9</f>
        <v>57569231372636.25</v>
      </c>
      <c r="Y21" s="16">
        <f>'KEEI BAU - Industry'!AM$34*'Machinery Split'!$E9</f>
        <v>57397504085213.805</v>
      </c>
      <c r="Z21" s="16">
        <f>'KEEI BAU - Industry'!AN$34*'Machinery Split'!$E9</f>
        <v>57225776797791.359</v>
      </c>
      <c r="AA21" s="16">
        <f>'KEEI BAU - Industry'!AO$34*'Machinery Split'!$E9</f>
        <v>57054049510368.922</v>
      </c>
      <c r="AB21" s="16">
        <f>'KEEI BAU - Industry'!AP$34*'Machinery Split'!$E9</f>
        <v>56882322222946.477</v>
      </c>
      <c r="AC21" s="16">
        <f>'KEEI BAU - Industry'!AQ$34*'Machinery Split'!$E9</f>
        <v>56710594935524.031</v>
      </c>
      <c r="AD21" s="16">
        <f>'KEEI BAU - Industry'!AR$34*'Machinery Split'!$E9</f>
        <v>56538867648101.594</v>
      </c>
      <c r="AE21" s="16">
        <f>'KEEI BAU - Industry'!AS$34*'Machinery Split'!$E9</f>
        <v>56367140360679.148</v>
      </c>
      <c r="AF21" s="16">
        <f>'KEEI BAU - Industry'!AT$34*'Machinery Split'!$E9</f>
        <v>56195413073256.75</v>
      </c>
    </row>
    <row r="22" spans="1:33">
      <c r="A22" t="s">
        <v>78</v>
      </c>
      <c r="B22" s="16">
        <f>'KEEI BAU - Industry'!P$34*'Machinery Split'!$E10</f>
        <v>11271494454492.537</v>
      </c>
      <c r="C22" s="16">
        <f>'KEEI BAU - Industry'!Q$34*'Machinery Split'!$E10</f>
        <v>11672597686178.209</v>
      </c>
      <c r="D22" s="16">
        <f>'KEEI BAU - Industry'!R$34*'Machinery Split'!$E10</f>
        <v>12073700917864.043</v>
      </c>
      <c r="E22" s="16">
        <f>'KEEI BAU - Industry'!S$34*'Machinery Split'!$E10</f>
        <v>12474804149549.795</v>
      </c>
      <c r="F22" s="16">
        <f>'KEEI BAU - Industry'!T$34*'Machinery Split'!$E10</f>
        <v>12691143438095.652</v>
      </c>
      <c r="G22" s="16">
        <f>'KEEI BAU - Industry'!U$34*'Machinery Split'!$E10</f>
        <v>12907482726641.51</v>
      </c>
      <c r="H22" s="16">
        <f>'KEEI BAU - Industry'!V$34*'Machinery Split'!$E10</f>
        <v>13123822015187.369</v>
      </c>
      <c r="I22" s="16">
        <f>'KEEI BAU - Industry'!W$34*'Machinery Split'!$E10</f>
        <v>13340161303733.227</v>
      </c>
      <c r="J22" s="16">
        <f>'KEEI BAU - Industry'!X$34*'Machinery Split'!$E10</f>
        <v>13556500592279.084</v>
      </c>
      <c r="K22" s="16">
        <f>'KEEI BAU - Industry'!Y$34*'Machinery Split'!$E10</f>
        <v>13772839880824.941</v>
      </c>
      <c r="L22" s="16">
        <f>'KEEI BAU - Industry'!Z$34*'Machinery Split'!$E10</f>
        <v>13989179169370.799</v>
      </c>
      <c r="M22" s="16">
        <f>'KEEI BAU - Industry'!AA$34*'Machinery Split'!$E10</f>
        <v>14073293346818.092</v>
      </c>
      <c r="N22" s="16">
        <f>'KEEI BAU - Industry'!AB$34*'Machinery Split'!$E10</f>
        <v>14157407524265.383</v>
      </c>
      <c r="O22" s="16">
        <f>'KEEI BAU - Industry'!AC$34*'Machinery Split'!$E10</f>
        <v>14241521701712.674</v>
      </c>
      <c r="P22" s="16">
        <f>'KEEI BAU - Industry'!AD$34*'Machinery Split'!$E10</f>
        <v>14325635879159.965</v>
      </c>
      <c r="Q22" s="16">
        <f>'KEEI BAU - Industry'!AE$34*'Machinery Split'!$E10</f>
        <v>14409750056607.256</v>
      </c>
      <c r="R22" s="16">
        <f>'KEEI BAU - Industry'!AF$34*'Machinery Split'!$E10</f>
        <v>14493864234054.547</v>
      </c>
      <c r="S22" s="16">
        <f>'KEEI BAU - Industry'!AG$34*'Machinery Split'!$E10</f>
        <v>14577978411501.838</v>
      </c>
      <c r="T22" s="16">
        <f>'KEEI BAU - Industry'!AH$34*'Machinery Split'!$E10</f>
        <v>14662092588949.129</v>
      </c>
      <c r="U22" s="16">
        <f>'KEEI BAU - Industry'!AI$34*'Machinery Split'!$E10</f>
        <v>14746206766396.422</v>
      </c>
      <c r="V22" s="16">
        <f>'KEEI BAU - Industry'!AJ$34*'Machinery Split'!$E10</f>
        <v>14830320943843.709</v>
      </c>
      <c r="W22" s="16">
        <f>'KEEI BAU - Industry'!AK$34*'Machinery Split'!$E10</f>
        <v>14786344900501.486</v>
      </c>
      <c r="X22" s="16">
        <f>'KEEI BAU - Industry'!AL$34*'Machinery Split'!$E10</f>
        <v>14742368857159.271</v>
      </c>
      <c r="Y22" s="16">
        <f>'KEEI BAU - Industry'!AM$34*'Machinery Split'!$E10</f>
        <v>14698392813817.057</v>
      </c>
      <c r="Z22" s="16">
        <f>'KEEI BAU - Industry'!AN$34*'Machinery Split'!$E10</f>
        <v>14654416770474.842</v>
      </c>
      <c r="AA22" s="16">
        <f>'KEEI BAU - Industry'!AO$34*'Machinery Split'!$E10</f>
        <v>14610440727132.627</v>
      </c>
      <c r="AB22" s="16">
        <f>'KEEI BAU - Industry'!AP$34*'Machinery Split'!$E10</f>
        <v>14566464683790.412</v>
      </c>
      <c r="AC22" s="16">
        <f>'KEEI BAU - Industry'!AQ$34*'Machinery Split'!$E10</f>
        <v>14522488640448.197</v>
      </c>
      <c r="AD22" s="16">
        <f>'KEEI BAU - Industry'!AR$34*'Machinery Split'!$E10</f>
        <v>14478512597105.982</v>
      </c>
      <c r="AE22" s="16">
        <f>'KEEI BAU - Industry'!AS$34*'Machinery Split'!$E10</f>
        <v>14434536553763.768</v>
      </c>
      <c r="AF22" s="16">
        <f>'KEEI BAU - Industry'!AT$34*'Machinery Split'!$E10</f>
        <v>14390560510421.563</v>
      </c>
    </row>
    <row r="23" spans="1:33">
      <c r="A23" t="s">
        <v>80</v>
      </c>
      <c r="B23" s="16">
        <f>'KEEI BAU - Industry'!P$41*'Others Split'!$E$14</f>
        <v>4598305543405.79</v>
      </c>
      <c r="C23" s="16">
        <f>'KEEI BAU - Industry'!Q$41*'Others Split'!$E$14</f>
        <v>4729280075690.458</v>
      </c>
      <c r="D23" s="16">
        <f>'KEEI BAU - Industry'!R$41*'Others Split'!$E$14</f>
        <v>4860254607975.125</v>
      </c>
      <c r="E23" s="16">
        <f>'KEEI BAU - Industry'!S$41*'Others Split'!$E$14</f>
        <v>4991229140259.793</v>
      </c>
      <c r="F23" s="16">
        <f>'KEEI BAU - Industry'!T$41*'Others Split'!$E$14</f>
        <v>5050502397564.543</v>
      </c>
      <c r="G23" s="16">
        <f>'KEEI BAU - Industry'!U$41*'Others Split'!$E$14</f>
        <v>5109775654869.2939</v>
      </c>
      <c r="H23" s="16">
        <f>'KEEI BAU - Industry'!V$41*'Others Split'!$E$14</f>
        <v>5169048912174.0439</v>
      </c>
      <c r="I23" s="16">
        <f>'KEEI BAU - Industry'!W$41*'Others Split'!$E$14</f>
        <v>5228322169478.7949</v>
      </c>
      <c r="J23" s="16">
        <f>'KEEI BAU - Industry'!X$41*'Others Split'!$E$14</f>
        <v>5287595426783.5459</v>
      </c>
      <c r="K23" s="16">
        <f>'KEEI BAU - Industry'!Y$41*'Others Split'!$E$14</f>
        <v>5346868684088.2959</v>
      </c>
      <c r="L23" s="16">
        <f>'KEEI BAU - Industry'!Z$41*'Others Split'!$E$14</f>
        <v>5406141941393.0469</v>
      </c>
      <c r="M23" s="16">
        <f>'KEEI BAU - Industry'!AA$41*'Others Split'!$E$14</f>
        <v>5408597046725.1963</v>
      </c>
      <c r="N23" s="16">
        <f>'KEEI BAU - Industry'!AB$41*'Others Split'!$E$14</f>
        <v>5411052152057.3457</v>
      </c>
      <c r="O23" s="16">
        <f>'KEEI BAU - Industry'!AC$41*'Others Split'!$E$14</f>
        <v>5413507257389.4951</v>
      </c>
      <c r="P23" s="16">
        <f>'KEEI BAU - Industry'!AD$41*'Others Split'!$E$14</f>
        <v>5415962362721.6445</v>
      </c>
      <c r="Q23" s="16">
        <f>'KEEI BAU - Industry'!AE$41*'Others Split'!$E$14</f>
        <v>5418417468053.7939</v>
      </c>
      <c r="R23" s="16">
        <f>'KEEI BAU - Industry'!AF$41*'Others Split'!$E$14</f>
        <v>5420872573385.9434</v>
      </c>
      <c r="S23" s="16">
        <f>'KEEI BAU - Industry'!AG$41*'Others Split'!$E$14</f>
        <v>5423327678718.0928</v>
      </c>
      <c r="T23" s="16">
        <f>'KEEI BAU - Industry'!AH$41*'Others Split'!$E$14</f>
        <v>5425782784050.2422</v>
      </c>
      <c r="U23" s="16">
        <f>'KEEI BAU - Industry'!AI$41*'Others Split'!$E$14</f>
        <v>5428237889382.3916</v>
      </c>
      <c r="V23" s="16">
        <f>'KEEI BAU - Industry'!AJ$41*'Others Split'!$E$14</f>
        <v>5430692994714.541</v>
      </c>
      <c r="W23" s="16">
        <f>'KEEI BAU - Industry'!AK$41*'Others Split'!$E$14</f>
        <v>5394111925265.5146</v>
      </c>
      <c r="X23" s="16">
        <f>'KEEI BAU - Industry'!AL$41*'Others Split'!$E$14</f>
        <v>5357530855816.4883</v>
      </c>
      <c r="Y23" s="16">
        <f>'KEEI BAU - Industry'!AM$41*'Others Split'!$E$14</f>
        <v>5320949786367.4609</v>
      </c>
      <c r="Z23" s="16">
        <f>'KEEI BAU - Industry'!AN$41*'Others Split'!$E$14</f>
        <v>5284368716918.4346</v>
      </c>
      <c r="AA23" s="16">
        <f>'KEEI BAU - Industry'!AO$41*'Others Split'!$E$14</f>
        <v>5247787647469.4082</v>
      </c>
      <c r="AB23" s="16">
        <f>'KEEI BAU - Industry'!AP$41*'Others Split'!$E$14</f>
        <v>5211206578020.3818</v>
      </c>
      <c r="AC23" s="16">
        <f>'KEEI BAU - Industry'!AQ$41*'Others Split'!$E$14</f>
        <v>5174625508571.3555</v>
      </c>
      <c r="AD23" s="16">
        <f>'KEEI BAU - Industry'!AR$41*'Others Split'!$E$14</f>
        <v>5138044439122.3291</v>
      </c>
      <c r="AE23" s="16">
        <f>'KEEI BAU - Industry'!AS$41*'Others Split'!$E$14</f>
        <v>5101463369673.3018</v>
      </c>
      <c r="AF23" s="16">
        <f>'KEEI BAU - Industry'!AT$41*'Others Split'!$E$14</f>
        <v>5064882300224.2754</v>
      </c>
    </row>
    <row r="24" spans="1:33">
      <c r="A24" t="s">
        <v>82</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85</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89</v>
      </c>
      <c r="B26" s="16">
        <f>'KEEI BAU - Industry'!P$41*'Others Split'!$E$15</f>
        <v>10230258816.090973</v>
      </c>
      <c r="C26" s="16">
        <f>'KEEI BAU - Industry'!Q$41*'Others Split'!$E$15</f>
        <v>10521649492.70882</v>
      </c>
      <c r="D26" s="16">
        <f>'KEEI BAU - Industry'!R$41*'Others Split'!$E$15</f>
        <v>10813040169.326668</v>
      </c>
      <c r="E26" s="16">
        <f>'KEEI BAU - Industry'!S$41*'Others Split'!$E$15</f>
        <v>11104430845.944515</v>
      </c>
      <c r="F26" s="16">
        <f>'KEEI BAU - Industry'!T$41*'Others Split'!$E$15</f>
        <v>11236301326.79369</v>
      </c>
      <c r="G26" s="16">
        <f>'KEEI BAU - Industry'!U$41*'Others Split'!$E$15</f>
        <v>11368171807.642866</v>
      </c>
      <c r="H26" s="16">
        <f>'KEEI BAU - Industry'!V$41*'Others Split'!$E$15</f>
        <v>11500042288.492043</v>
      </c>
      <c r="I26" s="16">
        <f>'KEEI BAU - Industry'!W$41*'Others Split'!$E$15</f>
        <v>11631912769.341219</v>
      </c>
      <c r="J26" s="16">
        <f>'KEEI BAU - Industry'!X$41*'Others Split'!$E$15</f>
        <v>11763783250.190393</v>
      </c>
      <c r="K26" s="16">
        <f>'KEEI BAU - Industry'!Y$41*'Others Split'!$E$15</f>
        <v>11895653731.03957</v>
      </c>
      <c r="L26" s="16">
        <f>'KEEI BAU - Industry'!Z$41*'Others Split'!$E$15</f>
        <v>12027524211.888746</v>
      </c>
      <c r="M26" s="16">
        <f>'KEEI BAU - Industry'!AA$41*'Others Split'!$E$15</f>
        <v>12032986302.811493</v>
      </c>
      <c r="N26" s="16">
        <f>'KEEI BAU - Industry'!AB$41*'Others Split'!$E$15</f>
        <v>12038448393.73424</v>
      </c>
      <c r="O26" s="16">
        <f>'KEEI BAU - Industry'!AC$41*'Others Split'!$E$15</f>
        <v>12043910484.656986</v>
      </c>
      <c r="P26" s="16">
        <f>'KEEI BAU - Industry'!AD$41*'Others Split'!$E$15</f>
        <v>12049372575.579735</v>
      </c>
      <c r="Q26" s="16">
        <f>'KEEI BAU - Industry'!AE$41*'Others Split'!$E$15</f>
        <v>12054834666.502481</v>
      </c>
      <c r="R26" s="16">
        <f>'KEEI BAU - Industry'!AF$41*'Others Split'!$E$15</f>
        <v>12060296757.425228</v>
      </c>
      <c r="S26" s="16">
        <f>'KEEI BAU - Industry'!AG$41*'Others Split'!$E$15</f>
        <v>12065758848.347975</v>
      </c>
      <c r="T26" s="16">
        <f>'KEEI BAU - Industry'!AH$41*'Others Split'!$E$15</f>
        <v>12071220939.270721</v>
      </c>
      <c r="U26" s="16">
        <f>'KEEI BAU - Industry'!AI$41*'Others Split'!$E$15</f>
        <v>12076683030.193468</v>
      </c>
      <c r="V26" s="16">
        <f>'KEEI BAU - Industry'!AJ$41*'Others Split'!$E$15</f>
        <v>12082145121.116215</v>
      </c>
      <c r="W26" s="16">
        <f>'KEEI BAU - Industry'!AK$41*'Others Split'!$E$15</f>
        <v>12000759966.367287</v>
      </c>
      <c r="X26" s="16">
        <f>'KEEI BAU - Industry'!AL$41*'Others Split'!$E$15</f>
        <v>11919374811.618357</v>
      </c>
      <c r="Y26" s="16">
        <f>'KEEI BAU - Industry'!AM$41*'Others Split'!$E$15</f>
        <v>11837989656.869429</v>
      </c>
      <c r="Z26" s="16">
        <f>'KEEI BAU - Industry'!AN$41*'Others Split'!$E$15</f>
        <v>11756604502.120499</v>
      </c>
      <c r="AA26" s="16">
        <f>'KEEI BAU - Industry'!AO$41*'Others Split'!$E$15</f>
        <v>11675219347.371569</v>
      </c>
      <c r="AB26" s="16">
        <f>'KEEI BAU - Industry'!AP$41*'Others Split'!$E$15</f>
        <v>11593834192.622641</v>
      </c>
      <c r="AC26" s="16">
        <f>'KEEI BAU - Industry'!AQ$41*'Others Split'!$E$15</f>
        <v>11512449037.873711</v>
      </c>
      <c r="AD26" s="16">
        <f>'KEEI BAU - Industry'!AR$41*'Others Split'!$E$15</f>
        <v>11431063883.124781</v>
      </c>
      <c r="AE26" s="16">
        <f>'KEEI BAU - Industry'!AS$41*'Others Split'!$E$15</f>
        <v>11349678728.375853</v>
      </c>
      <c r="AF26" s="16">
        <f>'KEEI BAU - Industry'!AT$41*'Others Split'!$E$15</f>
        <v>11268293573.626923</v>
      </c>
    </row>
    <row r="28" spans="1:33">
      <c r="A28" s="1"/>
    </row>
    <row r="30" spans="1:33">
      <c r="A30" s="24" t="s">
        <v>1028</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5" type="noConversion"/>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zoomScale="70" zoomScaleNormal="70" workbookViewId="0">
      <selection activeCell="B2" sqref="B2"/>
    </sheetView>
  </sheetViews>
  <sheetFormatPr defaultColWidth="9.125" defaultRowHeight="16.5"/>
  <cols>
    <col min="1" max="1" width="39.625"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'2019 KESIS Energy Balance'!BI51*(1+'KEEI BAU - Industry'!$AU$37)</f>
        <v>0</v>
      </c>
      <c r="C2" s="16">
        <f>B2*(1+'KEEI BAU - Industry'!$AU$37)</f>
        <v>0</v>
      </c>
      <c r="D2" s="16">
        <f>C2*(1+'KEEI BAU - Industry'!$AU$37)</f>
        <v>0</v>
      </c>
      <c r="E2" s="16">
        <f>D2*(1+'KEEI BAU - Industry'!$AU$37)</f>
        <v>0</v>
      </c>
      <c r="F2" s="16">
        <f>E2*(1+'KEEI BAU - Industry'!$AU$37)</f>
        <v>0</v>
      </c>
      <c r="G2" s="16">
        <f>F2*(1+'KEEI BAU - Industry'!$AU$37)</f>
        <v>0</v>
      </c>
      <c r="H2" s="16">
        <f>G2*(1+'KEEI BAU - Industry'!$AU$37)</f>
        <v>0</v>
      </c>
      <c r="I2" s="16">
        <f>H2*(1+'KEEI BAU - Industry'!$AU$37)</f>
        <v>0</v>
      </c>
      <c r="J2" s="16">
        <f>I2*(1+'KEEI BAU - Industry'!$AU$37)</f>
        <v>0</v>
      </c>
      <c r="K2" s="16">
        <f>J2*(1+'KEEI BAU - Industry'!$AU$37)</f>
        <v>0</v>
      </c>
      <c r="L2" s="16">
        <f>K2*(1+'KEEI BAU - Industry'!$AU$37)</f>
        <v>0</v>
      </c>
      <c r="M2" s="16">
        <f>L2*(1+'KEEI BAU - Industry'!$AU$37)</f>
        <v>0</v>
      </c>
      <c r="N2" s="16">
        <f>M2*(1+'KEEI BAU - Industry'!$AU$37)</f>
        <v>0</v>
      </c>
      <c r="O2" s="16">
        <f>N2*(1+'KEEI BAU - Industry'!$AU$37)</f>
        <v>0</v>
      </c>
      <c r="P2" s="16">
        <f>O2*(1+'KEEI BAU - Industry'!$AU$37)</f>
        <v>0</v>
      </c>
      <c r="Q2" s="16">
        <f>P2*(1+'KEEI BAU - Industry'!$AU$37)</f>
        <v>0</v>
      </c>
      <c r="R2" s="16">
        <f>Q2*(1+'KEEI BAU - Industry'!$AU$37)</f>
        <v>0</v>
      </c>
      <c r="S2" s="16">
        <f>R2*(1+'KEEI BAU - Industry'!$AU$37)</f>
        <v>0</v>
      </c>
      <c r="T2" s="16">
        <f>S2*(1+'KEEI BAU - Industry'!$AU$37)</f>
        <v>0</v>
      </c>
      <c r="U2" s="16">
        <f>T2*(1+'KEEI BAU - Industry'!$AU$37)</f>
        <v>0</v>
      </c>
      <c r="V2" s="16">
        <f>U2*(1+'KEEI BAU - Industry'!$AU$37)</f>
        <v>0</v>
      </c>
      <c r="W2" s="16">
        <f>V2*(1+'KEEI BAU - Industry'!$AU$37)</f>
        <v>0</v>
      </c>
      <c r="X2" s="16">
        <f>W2*(1+'KEEI BAU - Industry'!$AU$37)</f>
        <v>0</v>
      </c>
      <c r="Y2" s="16">
        <f>X2*(1+'KEEI BAU - Industry'!$AU$37)</f>
        <v>0</v>
      </c>
      <c r="Z2" s="16">
        <f>Y2*(1+'KEEI BAU - Industry'!$AU$37)</f>
        <v>0</v>
      </c>
      <c r="AA2" s="16">
        <f>Z2*(1+'KEEI BAU - Industry'!$AU$37)</f>
        <v>0</v>
      </c>
      <c r="AB2" s="16">
        <f>AA2*(1+'KEEI BAU - Industry'!$AU$37)</f>
        <v>0</v>
      </c>
      <c r="AC2" s="16">
        <f>AB2*(1+'KEEI BAU - Industry'!$AU$37)</f>
        <v>0</v>
      </c>
      <c r="AD2" s="16">
        <f>AC2*(1+'KEEI BAU - Industry'!$AU$37)</f>
        <v>0</v>
      </c>
      <c r="AE2" s="16">
        <f>AD2*(1+'KEEI BAU - Industry'!$AU$37)</f>
        <v>0</v>
      </c>
      <c r="AF2" s="16">
        <f>AE2*(1+'KEEI BAU - Industry'!$AU$37)</f>
        <v>0</v>
      </c>
    </row>
    <row r="3" spans="1:35">
      <c r="A3" t="s">
        <v>28</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34</v>
      </c>
      <c r="B5" s="16">
        <f>'2019 KESIS Energy Balance'!BI53*(1+'KEEI BAU - Industry'!$AU$37)</f>
        <v>0</v>
      </c>
      <c r="C5" s="16">
        <f>B5*(1+'KEEI BAU - Industry'!$AU$37)</f>
        <v>0</v>
      </c>
      <c r="D5" s="16">
        <f>C5*(1+'KEEI BAU - Industry'!$AU$37)</f>
        <v>0</v>
      </c>
      <c r="E5" s="16">
        <f>D5*(1+'KEEI BAU - Industry'!$AU$37)</f>
        <v>0</v>
      </c>
      <c r="F5" s="16">
        <f>E5*(1+'KEEI BAU - Industry'!$AU$37)</f>
        <v>0</v>
      </c>
      <c r="G5" s="16">
        <f>F5*(1+'KEEI BAU - Industry'!$AU$37)</f>
        <v>0</v>
      </c>
      <c r="H5" s="16">
        <f>G5*(1+'KEEI BAU - Industry'!$AU$37)</f>
        <v>0</v>
      </c>
      <c r="I5" s="16">
        <f>H5*(1+'KEEI BAU - Industry'!$AU$37)</f>
        <v>0</v>
      </c>
      <c r="J5" s="16">
        <f>I5*(1+'KEEI BAU - Industry'!$AU$37)</f>
        <v>0</v>
      </c>
      <c r="K5" s="16">
        <f>J5*(1+'KEEI BAU - Industry'!$AU$37)</f>
        <v>0</v>
      </c>
      <c r="L5" s="16">
        <f>K5*(1+'KEEI BAU - Industry'!$AU$37)</f>
        <v>0</v>
      </c>
      <c r="M5" s="16">
        <f>L5*(1+'KEEI BAU - Industry'!$AU$37)</f>
        <v>0</v>
      </c>
      <c r="N5" s="16">
        <f>M5*(1+'KEEI BAU - Industry'!$AU$37)</f>
        <v>0</v>
      </c>
      <c r="O5" s="16">
        <f>N5*(1+'KEEI BAU - Industry'!$AU$37)</f>
        <v>0</v>
      </c>
      <c r="P5" s="16">
        <f>O5*(1+'KEEI BAU - Industry'!$AU$37)</f>
        <v>0</v>
      </c>
      <c r="Q5" s="16">
        <f>P5*(1+'KEEI BAU - Industry'!$AU$37)</f>
        <v>0</v>
      </c>
      <c r="R5" s="16">
        <f>Q5*(1+'KEEI BAU - Industry'!$AU$37)</f>
        <v>0</v>
      </c>
      <c r="S5" s="16">
        <f>R5*(1+'KEEI BAU - Industry'!$AU$37)</f>
        <v>0</v>
      </c>
      <c r="T5" s="16">
        <f>S5*(1+'KEEI BAU - Industry'!$AU$37)</f>
        <v>0</v>
      </c>
      <c r="U5" s="16">
        <f>T5*(1+'KEEI BAU - Industry'!$AU$37)</f>
        <v>0</v>
      </c>
      <c r="V5" s="16">
        <f>U5*(1+'KEEI BAU - Industry'!$AU$37)</f>
        <v>0</v>
      </c>
      <c r="W5" s="16">
        <f>V5*(1+'KEEI BAU - Industry'!$AU$37)</f>
        <v>0</v>
      </c>
      <c r="X5" s="16">
        <f>W5*(1+'KEEI BAU - Industry'!$AU$37)</f>
        <v>0</v>
      </c>
      <c r="Y5" s="16">
        <f>X5*(1+'KEEI BAU - Industry'!$AU$37)</f>
        <v>0</v>
      </c>
      <c r="Z5" s="16">
        <f>Y5*(1+'KEEI BAU - Industry'!$AU$37)</f>
        <v>0</v>
      </c>
      <c r="AA5" s="16">
        <f>Z5*(1+'KEEI BAU - Industry'!$AU$37)</f>
        <v>0</v>
      </c>
      <c r="AB5" s="16">
        <f>AA5*(1+'KEEI BAU - Industry'!$AU$37)</f>
        <v>0</v>
      </c>
      <c r="AC5" s="16">
        <f>AB5*(1+'KEEI BAU - Industry'!$AU$37)</f>
        <v>0</v>
      </c>
      <c r="AD5" s="16">
        <f>AC5*(1+'KEEI BAU - Industry'!$AU$37)</f>
        <v>0</v>
      </c>
      <c r="AE5" s="16">
        <f>AD5*(1+'KEEI BAU - Industry'!$AU$37)</f>
        <v>0</v>
      </c>
      <c r="AF5" s="16">
        <f>AE5*(1+'KEEI BAU - Industry'!$AU$37)</f>
        <v>0</v>
      </c>
    </row>
    <row r="6" spans="1:35">
      <c r="A6" t="s">
        <v>36</v>
      </c>
      <c r="B6" s="16">
        <f>'2019 KESIS Energy Balance'!BI55*(1+'KEEI BAU - Industry'!$AU$37)</f>
        <v>134.08496154127255</v>
      </c>
      <c r="C6" s="16">
        <f>B6*(1+'KEEI BAU - Industry'!$AU$37)</f>
        <v>134.18099180921223</v>
      </c>
      <c r="D6" s="16">
        <f>C6*(1+'KEEI BAU - Industry'!$AU$37)</f>
        <v>134.27709085304039</v>
      </c>
      <c r="E6" s="16">
        <f>D6*(1+'KEEI BAU - Industry'!$AU$37)</f>
        <v>134.37325872201359</v>
      </c>
      <c r="F6" s="16">
        <f>E6*(1+'KEEI BAU - Industry'!$AU$37)</f>
        <v>134.46949546542371</v>
      </c>
      <c r="G6" s="16">
        <f>F6*(1+'KEEI BAU - Industry'!$AU$37)</f>
        <v>134.5658011325979</v>
      </c>
      <c r="H6" s="16">
        <f>G6*(1+'KEEI BAU - Industry'!$AU$37)</f>
        <v>134.66217577289865</v>
      </c>
      <c r="I6" s="16">
        <f>H6*(1+'KEEI BAU - Industry'!$AU$37)</f>
        <v>134.75861943572383</v>
      </c>
      <c r="J6" s="16">
        <f>I6*(1+'KEEI BAU - Industry'!$AU$37)</f>
        <v>134.85513217050664</v>
      </c>
      <c r="K6" s="16">
        <f>J6*(1+'KEEI BAU - Industry'!$AU$37)</f>
        <v>134.95171402671568</v>
      </c>
      <c r="L6" s="16">
        <f>K6*(1+'KEEI BAU - Industry'!$AU$37)</f>
        <v>135.04836505385504</v>
      </c>
      <c r="M6" s="16">
        <f>L6*(1+'KEEI BAU - Industry'!$AU$37)</f>
        <v>135.14508530146421</v>
      </c>
      <c r="N6" s="16">
        <f>M6*(1+'KEEI BAU - Industry'!$AU$37)</f>
        <v>135.24187481911818</v>
      </c>
      <c r="O6" s="16">
        <f>N6*(1+'KEEI BAU - Industry'!$AU$37)</f>
        <v>135.33873365642745</v>
      </c>
      <c r="P6" s="16">
        <f>O6*(1+'KEEI BAU - Industry'!$AU$37)</f>
        <v>135.43566186303804</v>
      </c>
      <c r="Q6" s="16">
        <f>P6*(1+'KEEI BAU - Industry'!$AU$37)</f>
        <v>135.53265948863151</v>
      </c>
      <c r="R6" s="16">
        <f>Q6*(1+'KEEI BAU - Industry'!$AU$37)</f>
        <v>135.62972658292503</v>
      </c>
      <c r="S6" s="16">
        <f>R6*(1+'KEEI BAU - Industry'!$AU$37)</f>
        <v>135.72686319567137</v>
      </c>
      <c r="T6" s="16">
        <f>S6*(1+'KEEI BAU - Industry'!$AU$37)</f>
        <v>135.82406937665894</v>
      </c>
      <c r="U6" s="16">
        <f>T6*(1+'KEEI BAU - Industry'!$AU$37)</f>
        <v>135.92134517571179</v>
      </c>
      <c r="V6" s="16">
        <f>U6*(1+'KEEI BAU - Industry'!$AU$37)</f>
        <v>136.01869064268968</v>
      </c>
      <c r="W6" s="16">
        <f>V6*(1+'KEEI BAU - Industry'!$AU$37)</f>
        <v>136.11610582748801</v>
      </c>
      <c r="X6" s="16">
        <f>W6*(1+'KEEI BAU - Industry'!$AU$37)</f>
        <v>136.213590780038</v>
      </c>
      <c r="Y6" s="16">
        <f>X6*(1+'KEEI BAU - Industry'!$AU$37)</f>
        <v>136.31114555030661</v>
      </c>
      <c r="Z6" s="16">
        <f>Y6*(1+'KEEI BAU - Industry'!$AU$37)</f>
        <v>136.40877018829653</v>
      </c>
      <c r="AA6" s="16">
        <f>Z6*(1+'KEEI BAU - Industry'!$AU$37)</f>
        <v>136.50646474404633</v>
      </c>
      <c r="AB6" s="16">
        <f>AA6*(1+'KEEI BAU - Industry'!$AU$37)</f>
        <v>136.60422926763039</v>
      </c>
      <c r="AC6" s="16">
        <f>AB6*(1+'KEEI BAU - Industry'!$AU$37)</f>
        <v>136.70206380915894</v>
      </c>
      <c r="AD6" s="16">
        <f>AC6*(1+'KEEI BAU - Industry'!$AU$37)</f>
        <v>136.79996841877812</v>
      </c>
      <c r="AE6" s="16">
        <f>AD6*(1+'KEEI BAU - Industry'!$AU$37)</f>
        <v>136.89794314666997</v>
      </c>
      <c r="AF6" s="16">
        <f>AE6*(1+'KEEI BAU - Industry'!$AU$37)</f>
        <v>136.99598804305248</v>
      </c>
    </row>
    <row r="7" spans="1:35">
      <c r="A7" t="s">
        <v>38</v>
      </c>
      <c r="B7" s="16">
        <f>'2019 KESIS Energy Balance'!BI56*(1+'KEEI BAU - Industry'!$AU$37)</f>
        <v>253.22822965418351</v>
      </c>
      <c r="C7" s="16">
        <f>B7*(1+'KEEI BAU - Industry'!$AU$37)</f>
        <v>253.40958910317806</v>
      </c>
      <c r="D7" s="16">
        <f>C7*(1+'KEEI BAU - Industry'!$AU$37)</f>
        <v>253.59107843994141</v>
      </c>
      <c r="E7" s="16">
        <f>D7*(1+'KEEI BAU - Industry'!$AU$37)</f>
        <v>253.77269775749781</v>
      </c>
      <c r="F7" s="16">
        <f>E7*(1+'KEEI BAU - Industry'!$AU$37)</f>
        <v>253.95444714893816</v>
      </c>
      <c r="G7" s="16">
        <f>F7*(1+'KEEI BAU - Industry'!$AU$37)</f>
        <v>254.13632670742004</v>
      </c>
      <c r="H7" s="16">
        <f>G7*(1+'KEEI BAU - Industry'!$AU$37)</f>
        <v>254.31833652616774</v>
      </c>
      <c r="I7" s="16">
        <f>H7*(1+'KEEI BAU - Industry'!$AU$37)</f>
        <v>254.50047669847234</v>
      </c>
      <c r="J7" s="16">
        <f>I7*(1+'KEEI BAU - Industry'!$AU$37)</f>
        <v>254.68274731769171</v>
      </c>
      <c r="K7" s="16">
        <f>J7*(1+'KEEI BAU - Industry'!$AU$37)</f>
        <v>254.86514847725056</v>
      </c>
      <c r="L7" s="16">
        <f>K7*(1+'KEEI BAU - Industry'!$AU$37)</f>
        <v>255.04768027064057</v>
      </c>
      <c r="M7" s="16">
        <f>L7*(1+'KEEI BAU - Industry'!$AU$37)</f>
        <v>255.23034279142033</v>
      </c>
      <c r="N7" s="16">
        <f>M7*(1+'KEEI BAU - Industry'!$AU$37)</f>
        <v>255.41313613321543</v>
      </c>
      <c r="O7" s="16">
        <f>N7*(1+'KEEI BAU - Industry'!$AU$37)</f>
        <v>255.59606038971856</v>
      </c>
      <c r="P7" s="16">
        <f>O7*(1+'KEEI BAU - Industry'!$AU$37)</f>
        <v>255.77911565468946</v>
      </c>
      <c r="Q7" s="16">
        <f>P7*(1+'KEEI BAU - Industry'!$AU$37)</f>
        <v>255.96230202195508</v>
      </c>
      <c r="R7" s="16">
        <f>Q7*(1+'KEEI BAU - Industry'!$AU$37)</f>
        <v>256.14561958540952</v>
      </c>
      <c r="S7" s="16">
        <f>R7*(1+'KEEI BAU - Industry'!$AU$37)</f>
        <v>256.32906843901412</v>
      </c>
      <c r="T7" s="16">
        <f>S7*(1+'KEEI BAU - Industry'!$AU$37)</f>
        <v>256.51264867679754</v>
      </c>
      <c r="U7" s="16">
        <f>T7*(1+'KEEI BAU - Industry'!$AU$37)</f>
        <v>256.69636039285581</v>
      </c>
      <c r="V7" s="16">
        <f>U7*(1+'KEEI BAU - Industry'!$AU$37)</f>
        <v>256.88020368135227</v>
      </c>
      <c r="W7" s="16">
        <f>V7*(1+'KEEI BAU - Industry'!$AU$37)</f>
        <v>257.06417863651774</v>
      </c>
      <c r="X7" s="16">
        <f>W7*(1+'KEEI BAU - Industry'!$AU$37)</f>
        <v>257.24828535265056</v>
      </c>
      <c r="Y7" s="16">
        <f>X7*(1+'KEEI BAU - Industry'!$AU$37)</f>
        <v>257.43252392411659</v>
      </c>
      <c r="Z7" s="16">
        <f>Y7*(1+'KEEI BAU - Industry'!$AU$37)</f>
        <v>257.6168944453492</v>
      </c>
      <c r="AA7" s="16">
        <f>Z7*(1+'KEEI BAU - Industry'!$AU$37)</f>
        <v>257.80139701084954</v>
      </c>
      <c r="AB7" s="16">
        <f>AA7*(1+'KEEI BAU - Industry'!$AU$37)</f>
        <v>257.9860317151863</v>
      </c>
      <c r="AC7" s="16">
        <f>AB7*(1+'KEEI BAU - Industry'!$AU$37)</f>
        <v>258.17079865299593</v>
      </c>
      <c r="AD7" s="16">
        <f>AC7*(1+'KEEI BAU - Industry'!$AU$37)</f>
        <v>258.35569791898274</v>
      </c>
      <c r="AE7" s="16">
        <f>AD7*(1+'KEEI BAU - Industry'!$AU$37)</f>
        <v>258.54072960791876</v>
      </c>
      <c r="AF7" s="16">
        <f>AE7*(1+'KEEI BAU - Industry'!$AU$37)</f>
        <v>258.725893814644</v>
      </c>
    </row>
    <row r="8" spans="1:35">
      <c r="A8" t="s">
        <v>40</v>
      </c>
      <c r="B8" s="16">
        <f>'2019 KESIS Energy Balance'!BI57*(1+'KEEI BAU - Industry'!$AU$37)</f>
        <v>8.7482609303286445</v>
      </c>
      <c r="C8" s="16">
        <f>B8*(1+'KEEI BAU - Industry'!$AU$37)</f>
        <v>8.7545263446710813</v>
      </c>
      <c r="D8" s="16">
        <f>C8*(1+'KEEI BAU - Industry'!$AU$37)</f>
        <v>8.7607962462387157</v>
      </c>
      <c r="E8" s="16">
        <f>D8*(1+'KEEI BAU - Industry'!$AU$37)</f>
        <v>8.7670706382452526</v>
      </c>
      <c r="F8" s="16">
        <f>E8*(1+'KEEI BAU - Industry'!$AU$37)</f>
        <v>8.7733495239066972</v>
      </c>
      <c r="G8" s="16">
        <f>F8*(1+'KEEI BAU - Industry'!$AU$37)</f>
        <v>8.7796329064413587</v>
      </c>
      <c r="H8" s="16">
        <f>G8*(1+'KEEI BAU - Industry'!$AU$37)</f>
        <v>8.7859207890698521</v>
      </c>
      <c r="I8" s="16">
        <f>H8*(1+'KEEI BAU - Industry'!$AU$37)</f>
        <v>8.7922131750150978</v>
      </c>
      <c r="J8" s="16">
        <f>I8*(1+'KEEI BAU - Industry'!$AU$37)</f>
        <v>8.7985100675023258</v>
      </c>
      <c r="K8" s="16">
        <f>J8*(1+'KEEI BAU - Industry'!$AU$37)</f>
        <v>8.8048114697590751</v>
      </c>
      <c r="L8" s="16">
        <f>K8*(1+'KEEI BAU - Industry'!$AU$37)</f>
        <v>8.8111173850151943</v>
      </c>
      <c r="M8" s="16">
        <f>L8*(1+'KEEI BAU - Industry'!$AU$37)</f>
        <v>8.8174278165028497</v>
      </c>
      <c r="N8" s="16">
        <f>M8*(1+'KEEI BAU - Industry'!$AU$37)</f>
        <v>8.8237427674565172</v>
      </c>
      <c r="O8" s="16">
        <f>N8*(1+'KEEI BAU - Industry'!$AU$37)</f>
        <v>8.8300622411129925</v>
      </c>
      <c r="P8" s="16">
        <f>O8*(1+'KEEI BAU - Industry'!$AU$37)</f>
        <v>8.8363862407113896</v>
      </c>
      <c r="Q8" s="16">
        <f>P8*(1+'KEEI BAU - Industry'!$AU$37)</f>
        <v>8.8427147694931421</v>
      </c>
      <c r="R8" s="16">
        <f>Q8*(1+'KEEI BAU - Industry'!$AU$37)</f>
        <v>8.849047830702002</v>
      </c>
      <c r="S8" s="16">
        <f>R8*(1+'KEEI BAU - Industry'!$AU$37)</f>
        <v>8.85538542758405</v>
      </c>
      <c r="T8" s="16">
        <f>S8*(1+'KEEI BAU - Industry'!$AU$37)</f>
        <v>8.8617275633876869</v>
      </c>
      <c r="U8" s="16">
        <f>T8*(1+'KEEI BAU - Industry'!$AU$37)</f>
        <v>8.8680742413636402</v>
      </c>
      <c r="V8" s="16">
        <f>U8*(1+'KEEI BAU - Industry'!$AU$37)</f>
        <v>8.8744254647649683</v>
      </c>
      <c r="W8" s="16">
        <f>V8*(1+'KEEI BAU - Industry'!$AU$37)</f>
        <v>8.8807812368470582</v>
      </c>
      <c r="X8" s="16">
        <f>W8*(1+'KEEI BAU - Industry'!$AU$37)</f>
        <v>8.8871415608676276</v>
      </c>
      <c r="Y8" s="16">
        <f>X8*(1+'KEEI BAU - Industry'!$AU$37)</f>
        <v>8.8935064400867283</v>
      </c>
      <c r="Z8" s="16">
        <f>Y8*(1+'KEEI BAU - Industry'!$AU$37)</f>
        <v>8.8998758777667462</v>
      </c>
      <c r="AA8" s="16">
        <f>Z8*(1+'KEEI BAU - Industry'!$AU$37)</f>
        <v>8.9062498771724048</v>
      </c>
      <c r="AB8" s="16">
        <f>AA8*(1+'KEEI BAU - Industry'!$AU$37)</f>
        <v>8.9126284415707655</v>
      </c>
      <c r="AC8" s="16">
        <f>AB8*(1+'KEEI BAU - Industry'!$AU$37)</f>
        <v>8.9190115742312273</v>
      </c>
      <c r="AD8" s="16">
        <f>AC8*(1+'KEEI BAU - Industry'!$AU$37)</f>
        <v>8.9253992784255338</v>
      </c>
      <c r="AE8" s="16">
        <f>AD8*(1+'KEEI BAU - Industry'!$AU$37)</f>
        <v>8.9317915574277702</v>
      </c>
      <c r="AF8" s="16">
        <f>AE8*(1+'KEEI BAU - Industry'!$AU$37)</f>
        <v>8.9381884145143662</v>
      </c>
    </row>
    <row r="9" spans="1:35">
      <c r="A9" t="s">
        <v>42</v>
      </c>
      <c r="B9" s="16">
        <f>'2019 KESIS Energy Balance'!BI58*(1+'KEEI BAU - Industry'!$AU$37)</f>
        <v>255.65896927895682</v>
      </c>
      <c r="C9" s="16">
        <f>B9*(1+'KEEI BAU - Industry'!$AU$37)</f>
        <v>255.84206959862604</v>
      </c>
      <c r="D9" s="16">
        <f>C9*(1+'KEEI BAU - Industry'!$AU$37)</f>
        <v>256.02530105285769</v>
      </c>
      <c r="E9" s="16">
        <f>D9*(1+'KEEI BAU - Industry'!$AU$37)</f>
        <v>256.20866373556896</v>
      </c>
      <c r="F9" s="16">
        <f>E9*(1+'KEEI BAU - Industry'!$AU$37)</f>
        <v>256.39215774074432</v>
      </c>
      <c r="G9" s="16">
        <f>F9*(1+'KEEI BAU - Industry'!$AU$37)</f>
        <v>256.57578316243564</v>
      </c>
      <c r="H9" s="16">
        <f>G9*(1+'KEEI BAU - Industry'!$AU$37)</f>
        <v>256.75954009476203</v>
      </c>
      <c r="I9" s="16">
        <f>H9*(1+'KEEI BAU - Industry'!$AU$37)</f>
        <v>256.94342863191002</v>
      </c>
      <c r="J9" s="16">
        <f>I9*(1+'KEEI BAU - Industry'!$AU$37)</f>
        <v>257.12744886813368</v>
      </c>
      <c r="K9" s="16">
        <f>J9*(1+'KEEI BAU - Industry'!$AU$37)</f>
        <v>257.31160089775449</v>
      </c>
      <c r="L9" s="16">
        <f>K9*(1+'KEEI BAU - Industry'!$AU$37)</f>
        <v>257.49588481516156</v>
      </c>
      <c r="M9" s="16">
        <f>L9*(1+'KEEI BAU - Industry'!$AU$37)</f>
        <v>257.68030071481155</v>
      </c>
      <c r="N9" s="16">
        <f>M9*(1+'KEEI BAU - Industry'!$AU$37)</f>
        <v>257.86484869122876</v>
      </c>
      <c r="O9" s="16">
        <f>N9*(1+'KEEI BAU - Industry'!$AU$37)</f>
        <v>258.04952883900523</v>
      </c>
      <c r="P9" s="16">
        <f>O9*(1+'KEEI BAU - Industry'!$AU$37)</f>
        <v>258.23434125280073</v>
      </c>
      <c r="Q9" s="16">
        <f>P9*(1+'KEEI BAU - Industry'!$AU$37)</f>
        <v>258.41928602734282</v>
      </c>
      <c r="R9" s="16">
        <f>Q9*(1+'KEEI BAU - Industry'!$AU$37)</f>
        <v>258.60436325742688</v>
      </c>
      <c r="S9" s="16">
        <f>R9*(1+'KEEI BAU - Industry'!$AU$37)</f>
        <v>258.78957303791623</v>
      </c>
      <c r="T9" s="16">
        <f>S9*(1+'KEEI BAU - Industry'!$AU$37)</f>
        <v>258.97491546374209</v>
      </c>
      <c r="U9" s="16">
        <f>T9*(1+'KEEI BAU - Industry'!$AU$37)</f>
        <v>259.1603906299037</v>
      </c>
      <c r="V9" s="16">
        <f>U9*(1+'KEEI BAU - Industry'!$AU$37)</f>
        <v>259.34599863146832</v>
      </c>
      <c r="W9" s="16">
        <f>V9*(1+'KEEI BAU - Industry'!$AU$37)</f>
        <v>259.53173956357125</v>
      </c>
      <c r="X9" s="16">
        <f>W9*(1+'KEEI BAU - Industry'!$AU$37)</f>
        <v>259.71761352141601</v>
      </c>
      <c r="Y9" s="16">
        <f>X9*(1+'KEEI BAU - Industry'!$AU$37)</f>
        <v>259.90362060027428</v>
      </c>
      <c r="Z9" s="16">
        <f>Y9*(1+'KEEI BAU - Industry'!$AU$37)</f>
        <v>260.08976089548594</v>
      </c>
      <c r="AA9" s="16">
        <f>Z9*(1+'KEEI BAU - Industry'!$AU$37)</f>
        <v>260.2760345024592</v>
      </c>
      <c r="AB9" s="16">
        <f>AA9*(1+'KEEI BAU - Industry'!$AU$37)</f>
        <v>260.46244151667054</v>
      </c>
      <c r="AC9" s="16">
        <f>AB9*(1+'KEEI BAU - Industry'!$AU$37)</f>
        <v>260.64898203366482</v>
      </c>
      <c r="AD9" s="16">
        <f>AC9*(1+'KEEI BAU - Industry'!$AU$37)</f>
        <v>260.83565614905541</v>
      </c>
      <c r="AE9" s="16">
        <f>AD9*(1+'KEEI BAU - Industry'!$AU$37)</f>
        <v>261.0224639585241</v>
      </c>
      <c r="AF9" s="16">
        <f>AE9*(1+'KEEI BAU - Industry'!$AU$37)</f>
        <v>261.20940555782119</v>
      </c>
    </row>
    <row r="10" spans="1:35">
      <c r="A10" t="s">
        <v>44</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47</v>
      </c>
      <c r="B11" s="16">
        <f>'2019 KESIS Energy Balance'!BI59*(1+'KEEI BAU - Industry'!$AU$9)*'Petrochemicals Split'!$J$6</f>
        <v>1392.7632270668405</v>
      </c>
      <c r="C11" s="16">
        <f>B11*(1+'KEEI BAU - Industry'!$AU$9)</f>
        <v>1410.1165581901132</v>
      </c>
      <c r="D11" s="16">
        <f>C11*(1+'KEEI BAU - Industry'!$AU$9)</f>
        <v>1427.6861056057332</v>
      </c>
      <c r="E11" s="16">
        <f>D11*(1+'KEEI BAU - Industry'!$AU$9)</f>
        <v>1445.4745632912857</v>
      </c>
      <c r="F11" s="16">
        <f>E11*(1+'KEEI BAU - Industry'!$AU$9)</f>
        <v>1463.4846587903521</v>
      </c>
      <c r="G11" s="16">
        <f>F11*(1+'KEEI BAU - Industry'!$AU$9)</f>
        <v>1481.7191536307303</v>
      </c>
      <c r="H11" s="16">
        <f>G11*(1+'KEEI BAU - Industry'!$AU$9)</f>
        <v>1500.1808437478658</v>
      </c>
      <c r="I11" s="16">
        <f>H11*(1+'KEEI BAU - Industry'!$AU$9)</f>
        <v>1518.8725599135582</v>
      </c>
      <c r="J11" s="16">
        <f>I11*(1+'KEEI BAU - Industry'!$AU$9)</f>
        <v>1537.797168170011</v>
      </c>
      <c r="K11" s="16">
        <f>J11*(1+'KEEI BAU - Industry'!$AU$9)</f>
        <v>1556.9575702692866</v>
      </c>
      <c r="L11" s="16">
        <f>K11*(1+'KEEI BAU - Industry'!$AU$9)</f>
        <v>1576.3567041182396</v>
      </c>
      <c r="M11" s="16">
        <f>L11*(1+'KEEI BAU - Industry'!$AU$9)</f>
        <v>1595.9975442289915</v>
      </c>
      <c r="N11" s="16">
        <f>M11*(1+'KEEI BAU - Industry'!$AU$9)</f>
        <v>1615.8831021750204</v>
      </c>
      <c r="O11" s="16">
        <f>N11*(1+'KEEI BAU - Industry'!$AU$9)</f>
        <v>1636.0164270529312</v>
      </c>
      <c r="P11" s="16">
        <f>O11*(1+'KEEI BAU - Industry'!$AU$9)</f>
        <v>1656.4006059499811</v>
      </c>
      <c r="Q11" s="16">
        <f>P11*(1+'KEEI BAU - Industry'!$AU$9)</f>
        <v>1677.0387644174291</v>
      </c>
      <c r="R11" s="16">
        <f>Q11*(1+'KEEI BAU - Industry'!$AU$9)</f>
        <v>1697.9340669497835</v>
      </c>
      <c r="S11" s="16">
        <f>R11*(1+'KEEI BAU - Industry'!$AU$9)</f>
        <v>1719.0897174700215</v>
      </c>
      <c r="T11" s="16">
        <f>S11*(1+'KEEI BAU - Industry'!$AU$9)</f>
        <v>1740.5089598208529</v>
      </c>
      <c r="U11" s="16">
        <f>T11*(1+'KEEI BAU - Industry'!$AU$9)</f>
        <v>1762.1950782621066</v>
      </c>
      <c r="V11" s="16">
        <f>U11*(1+'KEEI BAU - Industry'!$AU$9)</f>
        <v>1784.1513979743129</v>
      </c>
      <c r="W11" s="16">
        <f>V11*(1+'KEEI BAU - Industry'!$AU$9)</f>
        <v>1806.381285568561</v>
      </c>
      <c r="X11" s="16">
        <f>W11*(1+'KEEI BAU - Industry'!$AU$9)</f>
        <v>1828.8881496027088</v>
      </c>
      <c r="Y11" s="16">
        <f>X11*(1+'KEEI BAU - Industry'!$AU$9)</f>
        <v>1851.6754411040247</v>
      </c>
      <c r="Z11" s="16">
        <f>Y11*(1+'KEEI BAU - Industry'!$AU$9)</f>
        <v>1874.746654098341</v>
      </c>
      <c r="AA11" s="16">
        <f>Z11*(1+'KEEI BAU - Industry'!$AU$9)</f>
        <v>1898.1053261458007</v>
      </c>
      <c r="AB11" s="16">
        <f>AA11*(1+'KEEI BAU - Industry'!$AU$9)</f>
        <v>1921.7550388832803</v>
      </c>
      <c r="AC11" s="16">
        <f>AB11*(1+'KEEI BAU - Industry'!$AU$9)</f>
        <v>1945.6994185735684</v>
      </c>
      <c r="AD11" s="16">
        <f>AC11*(1+'KEEI BAU - Industry'!$AU$9)</f>
        <v>1969.9421366613904</v>
      </c>
      <c r="AE11" s="16">
        <f>AD11*(1+'KEEI BAU - Industry'!$AU$9)</f>
        <v>1994.4869103363576</v>
      </c>
      <c r="AF11" s="16">
        <f>AE11*(1+'KEEI BAU - Industry'!$AU$9)</f>
        <v>2019.3375031029334</v>
      </c>
    </row>
    <row r="12" spans="1:35">
      <c r="A12" t="s">
        <v>51</v>
      </c>
      <c r="B12" s="16">
        <f>'2019 KESIS Energy Balance'!BI59*(1+'KEEI BAU - Industry'!$AU$9)*'Petrochemicals Split'!$J$7</f>
        <v>994.37868062337077</v>
      </c>
      <c r="C12" s="16">
        <f>B12*(1+'KEEI BAU - Industry'!$AU$9)</f>
        <v>1006.7682829415775</v>
      </c>
      <c r="D12" s="16">
        <f>C12*(1+'KEEI BAU - Industry'!$AU$9)</f>
        <v>1019.3122552685087</v>
      </c>
      <c r="E12" s="16">
        <f>D12*(1+'KEEI BAU - Industry'!$AU$9)</f>
        <v>1032.0125209992002</v>
      </c>
      <c r="F12" s="16">
        <f>E12*(1+'KEEI BAU - Industry'!$AU$9)</f>
        <v>1044.8710274935013</v>
      </c>
      <c r="G12" s="16">
        <f>F12*(1+'KEEI BAU - Industry'!$AU$9)</f>
        <v>1057.8897463746673</v>
      </c>
      <c r="H12" s="16">
        <f>G12*(1+'KEEI BAU - Industry'!$AU$9)</f>
        <v>1071.070673831674</v>
      </c>
      <c r="I12" s="16">
        <f>H12*(1+'KEEI BAU - Industry'!$AU$9)</f>
        <v>1084.4158309252966</v>
      </c>
      <c r="J12" s="16">
        <f>I12*(1+'KEEI BAU - Industry'!$AU$9)</f>
        <v>1097.9272638980042</v>
      </c>
      <c r="K12" s="16">
        <f>J12*(1+'KEEI BAU - Industry'!$AU$9)</f>
        <v>1111.6070444877143</v>
      </c>
      <c r="L12" s="16">
        <f>K12*(1+'KEEI BAU - Industry'!$AU$9)</f>
        <v>1125.457270245457</v>
      </c>
      <c r="M12" s="16">
        <f>L12*(1+'KEEI BAU - Industry'!$AU$9)</f>
        <v>1139.4800648569972</v>
      </c>
      <c r="N12" s="16">
        <f>M12*(1+'KEEI BAU - Industry'!$AU$9)</f>
        <v>1153.6775784684639</v>
      </c>
      <c r="O12" s="16">
        <f>N12*(1+'KEEI BAU - Industry'!$AU$9)</f>
        <v>1168.0519880160373</v>
      </c>
      <c r="P12" s="16">
        <f>O12*(1+'KEEI BAU - Industry'!$AU$9)</f>
        <v>1182.6054975597428</v>
      </c>
      <c r="Q12" s="16">
        <f>P12*(1+'KEEI BAU - Industry'!$AU$9)</f>
        <v>1197.3403386214045</v>
      </c>
      <c r="R12" s="16">
        <f>Q12*(1+'KEEI BAU - Industry'!$AU$9)</f>
        <v>1212.2587705268095</v>
      </c>
      <c r="S12" s="16">
        <f>R12*(1+'KEEI BAU - Industry'!$AU$9)</f>
        <v>1227.3630807521351</v>
      </c>
      <c r="T12" s="16">
        <f>S12*(1+'KEEI BAU - Industry'!$AU$9)</f>
        <v>1242.6555852746931</v>
      </c>
      <c r="U12" s="16">
        <f>T12*(1+'KEEI BAU - Industry'!$AU$9)</f>
        <v>1258.1386289280426</v>
      </c>
      <c r="V12" s="16">
        <f>U12*(1+'KEEI BAU - Industry'!$AU$9)</f>
        <v>1273.8145857615302</v>
      </c>
      <c r="W12" s="16">
        <f>V12*(1+'KEEI BAU - Industry'!$AU$9)</f>
        <v>1289.6858594043067</v>
      </c>
      <c r="X12" s="16">
        <f>W12*(1+'KEEI BAU - Industry'!$AU$9)</f>
        <v>1305.7548834338818</v>
      </c>
      <c r="Y12" s="16">
        <f>X12*(1+'KEEI BAU - Industry'!$AU$9)</f>
        <v>1322.0241217492692</v>
      </c>
      <c r="Z12" s="16">
        <f>Y12*(1+'KEEI BAU - Industry'!$AU$9)</f>
        <v>1338.4960689487825</v>
      </c>
      <c r="AA12" s="16">
        <f>Z12*(1+'KEEI BAU - Industry'!$AU$9)</f>
        <v>1355.1732507125371</v>
      </c>
      <c r="AB12" s="16">
        <f>AA12*(1+'KEEI BAU - Industry'!$AU$9)</f>
        <v>1372.058224189718</v>
      </c>
      <c r="AC12" s="16">
        <f>AB12*(1+'KEEI BAU - Industry'!$AU$9)</f>
        <v>1389.1535783906736</v>
      </c>
      <c r="AD12" s="16">
        <f>AC12*(1+'KEEI BAU - Industry'!$AU$9)</f>
        <v>1406.4619345838944</v>
      </c>
      <c r="AE12" s="16">
        <f>AD12*(1+'KEEI BAU - Industry'!$AU$9)</f>
        <v>1423.9859466979376</v>
      </c>
      <c r="AF12" s="16">
        <f>AE12*(1+'KEEI BAU - Industry'!$AU$9)</f>
        <v>1441.7283017283598</v>
      </c>
    </row>
    <row r="13" spans="1:35">
      <c r="A13" t="s">
        <v>53</v>
      </c>
      <c r="B13" s="16">
        <f>'2019 KESIS Energy Balance'!BI60*'Others Split'!$J$12*(1+'KEEI BAU - Industry'!$AU$37)</f>
        <v>0</v>
      </c>
      <c r="C13" s="16">
        <f>B13*(1+'KEEI BAU - Industry'!$AU$37)</f>
        <v>0</v>
      </c>
      <c r="D13" s="16">
        <f>C13*(1+'KEEI BAU - Industry'!$AU$37)</f>
        <v>0</v>
      </c>
      <c r="E13" s="16">
        <f>D13*(1+'KEEI BAU - Industry'!$AU$37)</f>
        <v>0</v>
      </c>
      <c r="F13" s="16">
        <f>E13*(1+'KEEI BAU - Industry'!$AU$37)</f>
        <v>0</v>
      </c>
      <c r="G13" s="16">
        <f>F13*(1+'KEEI BAU - Industry'!$AU$37)</f>
        <v>0</v>
      </c>
      <c r="H13" s="16">
        <f>G13*(1+'KEEI BAU - Industry'!$AU$37)</f>
        <v>0</v>
      </c>
      <c r="I13" s="16">
        <f>H13*(1+'KEEI BAU - Industry'!$AU$37)</f>
        <v>0</v>
      </c>
      <c r="J13" s="16">
        <f>I13*(1+'KEEI BAU - Industry'!$AU$37)</f>
        <v>0</v>
      </c>
      <c r="K13" s="16">
        <f>J13*(1+'KEEI BAU - Industry'!$AU$37)</f>
        <v>0</v>
      </c>
      <c r="L13" s="16">
        <f>K13*(1+'KEEI BAU - Industry'!$AU$37)</f>
        <v>0</v>
      </c>
      <c r="M13" s="16">
        <f>L13*(1+'KEEI BAU - Industry'!$AU$37)</f>
        <v>0</v>
      </c>
      <c r="N13" s="16">
        <f>M13*(1+'KEEI BAU - Industry'!$AU$37)</f>
        <v>0</v>
      </c>
      <c r="O13" s="16">
        <f>N13*(1+'KEEI BAU - Industry'!$AU$37)</f>
        <v>0</v>
      </c>
      <c r="P13" s="16">
        <f>O13*(1+'KEEI BAU - Industry'!$AU$37)</f>
        <v>0</v>
      </c>
      <c r="Q13" s="16">
        <f>P13*(1+'KEEI BAU - Industry'!$AU$37)</f>
        <v>0</v>
      </c>
      <c r="R13" s="16">
        <f>Q13*(1+'KEEI BAU - Industry'!$AU$37)</f>
        <v>0</v>
      </c>
      <c r="S13" s="16">
        <f>R13*(1+'KEEI BAU - Industry'!$AU$37)</f>
        <v>0</v>
      </c>
      <c r="T13" s="16">
        <f>S13*(1+'KEEI BAU - Industry'!$AU$37)</f>
        <v>0</v>
      </c>
      <c r="U13" s="16">
        <f>T13*(1+'KEEI BAU - Industry'!$AU$37)</f>
        <v>0</v>
      </c>
      <c r="V13" s="16">
        <f>U13*(1+'KEEI BAU - Industry'!$AU$37)</f>
        <v>0</v>
      </c>
      <c r="W13" s="16">
        <f>V13*(1+'KEEI BAU - Industry'!$AU$37)</f>
        <v>0</v>
      </c>
      <c r="X13" s="16">
        <f>W13*(1+'KEEI BAU - Industry'!$AU$37)</f>
        <v>0</v>
      </c>
      <c r="Y13" s="16">
        <f>X13*(1+'KEEI BAU - Industry'!$AU$37)</f>
        <v>0</v>
      </c>
      <c r="Z13" s="16">
        <f>Y13*(1+'KEEI BAU - Industry'!$AU$37)</f>
        <v>0</v>
      </c>
      <c r="AA13" s="16">
        <f>Z13*(1+'KEEI BAU - Industry'!$AU$37)</f>
        <v>0</v>
      </c>
      <c r="AB13" s="16">
        <f>AA13*(1+'KEEI BAU - Industry'!$AU$37)</f>
        <v>0</v>
      </c>
      <c r="AC13" s="16">
        <f>AB13*(1+'KEEI BAU - Industry'!$AU$37)</f>
        <v>0</v>
      </c>
      <c r="AD13" s="16">
        <f>AC13*(1+'KEEI BAU - Industry'!$AU$37)</f>
        <v>0</v>
      </c>
      <c r="AE13" s="16">
        <f>AD13*(1+'KEEI BAU - Industry'!$AU$37)</f>
        <v>0</v>
      </c>
      <c r="AF13" s="16">
        <f>AE13*(1+'KEEI BAU - Industry'!$AU$37)</f>
        <v>0</v>
      </c>
    </row>
    <row r="14" spans="1:35">
      <c r="A14" t="s">
        <v>56</v>
      </c>
      <c r="B14" s="16">
        <f>'2019 KESIS Energy Balance'!BI60*'Others Split'!$J$13*(1+'KEEI BAU - Industry'!$AU$37)</f>
        <v>0</v>
      </c>
      <c r="C14" s="16">
        <f>B14*(1+'KEEI BAU - Industry'!$AU$37)</f>
        <v>0</v>
      </c>
      <c r="D14" s="16">
        <f>C14*(1+'KEEI BAU - Industry'!$AU$37)</f>
        <v>0</v>
      </c>
      <c r="E14" s="16">
        <f>D14*(1+'KEEI BAU - Industry'!$AU$37)</f>
        <v>0</v>
      </c>
      <c r="F14" s="16">
        <f>E14*(1+'KEEI BAU - Industry'!$AU$37)</f>
        <v>0</v>
      </c>
      <c r="G14" s="16">
        <f>F14*(1+'KEEI BAU - Industry'!$AU$37)</f>
        <v>0</v>
      </c>
      <c r="H14" s="16">
        <f>G14*(1+'KEEI BAU - Industry'!$AU$37)</f>
        <v>0</v>
      </c>
      <c r="I14" s="16">
        <f>H14*(1+'KEEI BAU - Industry'!$AU$37)</f>
        <v>0</v>
      </c>
      <c r="J14" s="16">
        <f>I14*(1+'KEEI BAU - Industry'!$AU$37)</f>
        <v>0</v>
      </c>
      <c r="K14" s="16">
        <f>J14*(1+'KEEI BAU - Industry'!$AU$37)</f>
        <v>0</v>
      </c>
      <c r="L14" s="16">
        <f>K14*(1+'KEEI BAU - Industry'!$AU$37)</f>
        <v>0</v>
      </c>
      <c r="M14" s="16">
        <f>L14*(1+'KEEI BAU - Industry'!$AU$37)</f>
        <v>0</v>
      </c>
      <c r="N14" s="16">
        <f>M14*(1+'KEEI BAU - Industry'!$AU$37)</f>
        <v>0</v>
      </c>
      <c r="O14" s="16">
        <f>N14*(1+'KEEI BAU - Industry'!$AU$37)</f>
        <v>0</v>
      </c>
      <c r="P14" s="16">
        <f>O14*(1+'KEEI BAU - Industry'!$AU$37)</f>
        <v>0</v>
      </c>
      <c r="Q14" s="16">
        <f>P14*(1+'KEEI BAU - Industry'!$AU$37)</f>
        <v>0</v>
      </c>
      <c r="R14" s="16">
        <f>Q14*(1+'KEEI BAU - Industry'!$AU$37)</f>
        <v>0</v>
      </c>
      <c r="S14" s="16">
        <f>R14*(1+'KEEI BAU - Industry'!$AU$37)</f>
        <v>0</v>
      </c>
      <c r="T14" s="16">
        <f>S14*(1+'KEEI BAU - Industry'!$AU$37)</f>
        <v>0</v>
      </c>
      <c r="U14" s="16">
        <f>T14*(1+'KEEI BAU - Industry'!$AU$37)</f>
        <v>0</v>
      </c>
      <c r="V14" s="16">
        <f>U14*(1+'KEEI BAU - Industry'!$AU$37)</f>
        <v>0</v>
      </c>
      <c r="W14" s="16">
        <f>V14*(1+'KEEI BAU - Industry'!$AU$37)</f>
        <v>0</v>
      </c>
      <c r="X14" s="16">
        <f>W14*(1+'KEEI BAU - Industry'!$AU$37)</f>
        <v>0</v>
      </c>
      <c r="Y14" s="16">
        <f>X14*(1+'KEEI BAU - Industry'!$AU$37)</f>
        <v>0</v>
      </c>
      <c r="Z14" s="16">
        <f>Y14*(1+'KEEI BAU - Industry'!$AU$37)</f>
        <v>0</v>
      </c>
      <c r="AA14" s="16">
        <f>Z14*(1+'KEEI BAU - Industry'!$AU$37)</f>
        <v>0</v>
      </c>
      <c r="AB14" s="16">
        <f>AA14*(1+'KEEI BAU - Industry'!$AU$37)</f>
        <v>0</v>
      </c>
      <c r="AC14" s="16">
        <f>AB14*(1+'KEEI BAU - Industry'!$AU$37)</f>
        <v>0</v>
      </c>
      <c r="AD14" s="16">
        <f>AC14*(1+'KEEI BAU - Industry'!$AU$37)</f>
        <v>0</v>
      </c>
      <c r="AE14" s="16">
        <f>AD14*(1+'KEEI BAU - Industry'!$AU$37)</f>
        <v>0</v>
      </c>
      <c r="AF14" s="16">
        <f>AE14*(1+'KEEI BAU - Industry'!$AU$37)</f>
        <v>0</v>
      </c>
    </row>
    <row r="15" spans="1:35">
      <c r="A15" t="s">
        <v>58</v>
      </c>
      <c r="B15" s="16">
        <f>'2019 KESIS Energy Balance'!BI61*(1+'KEEI BAU - Industry'!$AU$23)</f>
        <v>6.2017328380374526</v>
      </c>
      <c r="C15" s="16">
        <f>B15*(1+'KEEI BAU - Industry'!$AU$23)</f>
        <v>6.1994665045764146</v>
      </c>
      <c r="D15" s="16">
        <f>'2022 Energy Balance'!BI61*(1+'KEEI BAU - Industry'!$AU$23)</f>
        <v>6.4436444026417501</v>
      </c>
      <c r="E15" s="16">
        <f>D15*(1+'KEEI BAU - Industry'!$AU$23)</f>
        <v>6.4412896661024446</v>
      </c>
      <c r="F15" s="16">
        <f>E15*(1+'KEEI BAU - Industry'!$AU$23)</f>
        <v>6.4389357900675099</v>
      </c>
      <c r="G15" s="16">
        <f>F15*(1+'KEEI BAU - Industry'!$AU$23)</f>
        <v>6.4365827742224866</v>
      </c>
      <c r="H15" s="16">
        <f>G15*(1+'KEEI BAU - Industry'!$AU$23)</f>
        <v>6.4342306182530304</v>
      </c>
      <c r="I15" s="16">
        <f>H15*(1+'KEEI BAU - Industry'!$AU$23)</f>
        <v>6.4318793218449128</v>
      </c>
      <c r="J15" s="16">
        <f>I15*(1+'KEEI BAU - Industry'!$AU$23)</f>
        <v>6.4295288846840197</v>
      </c>
      <c r="K15" s="16">
        <f>J15*(1+'KEEI BAU - Industry'!$AU$23)</f>
        <v>6.4271793064563516</v>
      </c>
      <c r="L15" s="16">
        <f>K15*(1+'KEEI BAU - Industry'!$AU$23)</f>
        <v>6.4248305868480236</v>
      </c>
      <c r="M15" s="16">
        <f>L15*(1+'KEEI BAU - Industry'!$AU$23)</f>
        <v>6.4224827255452652</v>
      </c>
      <c r="N15" s="16">
        <f>M15*(1+'KEEI BAU - Industry'!$AU$23)</f>
        <v>6.4201357222344217</v>
      </c>
      <c r="O15" s="16">
        <f>N15*(1+'KEEI BAU - Industry'!$AU$23)</f>
        <v>6.4177895766019519</v>
      </c>
      <c r="P15" s="16">
        <f>O15*(1+'KEEI BAU - Industry'!$AU$23)</f>
        <v>6.41544428833443</v>
      </c>
      <c r="Q15" s="16">
        <f>P15*(1+'KEEI BAU - Industry'!$AU$23)</f>
        <v>6.4130998571185449</v>
      </c>
      <c r="R15" s="16">
        <f>Q15*(1+'KEEI BAU - Industry'!$AU$23)</f>
        <v>6.4107562826410982</v>
      </c>
      <c r="S15" s="16">
        <f>R15*(1+'KEEI BAU - Industry'!$AU$23)</f>
        <v>6.4084135645890088</v>
      </c>
      <c r="T15" s="16">
        <f>S15*(1+'KEEI BAU - Industry'!$AU$23)</f>
        <v>6.4060717026493075</v>
      </c>
      <c r="U15" s="16">
        <f>T15*(1+'KEEI BAU - Industry'!$AU$23)</f>
        <v>6.4037306965091405</v>
      </c>
      <c r="V15" s="16">
        <f>U15*(1+'KEEI BAU - Industry'!$AU$23)</f>
        <v>6.4013905458557678</v>
      </c>
      <c r="W15" s="16">
        <f>V15*(1+'KEEI BAU - Industry'!$AU$23)</f>
        <v>6.3990512503765649</v>
      </c>
      <c r="X15" s="16">
        <f>W15*(1+'KEEI BAU - Industry'!$AU$23)</f>
        <v>6.3967128097590207</v>
      </c>
      <c r="Y15" s="16">
        <f>X15*(1+'KEEI BAU - Industry'!$AU$23)</f>
        <v>6.3943752236907381</v>
      </c>
      <c r="Z15" s="16">
        <f>Y15*(1+'KEEI BAU - Industry'!$AU$23)</f>
        <v>6.3920384918594344</v>
      </c>
      <c r="AA15" s="16">
        <f>Z15*(1+'KEEI BAU - Industry'!$AU$23)</f>
        <v>6.3897026139529416</v>
      </c>
      <c r="AB15" s="16">
        <f>AA15*(1+'KEEI BAU - Industry'!$AU$23)</f>
        <v>6.3873675896592044</v>
      </c>
      <c r="AC15" s="16">
        <f>AB15*(1+'KEEI BAU - Industry'!$AU$23)</f>
        <v>6.3850334186662829</v>
      </c>
      <c r="AD15" s="16">
        <f>AC15*(1+'KEEI BAU - Industry'!$AU$23)</f>
        <v>6.3827001006623512</v>
      </c>
      <c r="AE15" s="16">
        <f>AD15*(1+'KEEI BAU - Industry'!$AU$23)</f>
        <v>6.3803676353356957</v>
      </c>
      <c r="AF15" s="16">
        <f>AE15*(1+'KEEI BAU - Industry'!$AU$23)</f>
        <v>6.3780360223747188</v>
      </c>
    </row>
    <row r="16" spans="1:35">
      <c r="A16" t="s">
        <v>61</v>
      </c>
      <c r="B16" s="16">
        <f>'2019 KESIS Energy Balance'!BI62*'Non-ferrous Metals Split'!$J$6*(1+'KEEI BAU - Industry'!$AU$16)</f>
        <v>2.3131397301367498</v>
      </c>
      <c r="C16" s="16">
        <f>B16*(1+'KEEI BAU - Industry'!$AU$16)</f>
        <v>2.3094450931547237</v>
      </c>
      <c r="D16" s="16">
        <f>C16*(1+'KEEI BAU - Industry'!$AU$16)</f>
        <v>2.3057563573909641</v>
      </c>
      <c r="E16" s="16">
        <f>D16*(1+'KEEI BAU - Industry'!$AU$16)</f>
        <v>2.3020735134198156</v>
      </c>
      <c r="F16" s="16">
        <f>E16*(1+'KEEI BAU - Industry'!$AU$16)</f>
        <v>2.2983965518306766</v>
      </c>
      <c r="G16" s="16">
        <f>F16*(1+'KEEI BAU - Industry'!$AU$16)</f>
        <v>2.2947254632279779</v>
      </c>
      <c r="H16" s="16">
        <f>G16*(1+'KEEI BAU - Industry'!$AU$16)</f>
        <v>2.291060238231156</v>
      </c>
      <c r="I16" s="16">
        <f>H16*(1+'KEEI BAU - Industry'!$AU$16)</f>
        <v>2.2874008674746311</v>
      </c>
      <c r="J16" s="16">
        <f>I16*(1+'KEEI BAU - Industry'!$AU$16)</f>
        <v>2.283747341607782</v>
      </c>
      <c r="K16" s="16">
        <f>J16*(1+'KEEI BAU - Industry'!$AU$16)</f>
        <v>2.2800996512949236</v>
      </c>
      <c r="L16" s="16">
        <f>K16*(1+'KEEI BAU - Industry'!$AU$16)</f>
        <v>2.2764577872152811</v>
      </c>
      <c r="M16" s="16">
        <f>L16*(1+'KEEI BAU - Industry'!$AU$16)</f>
        <v>2.2728217400629678</v>
      </c>
      <c r="N16" s="16">
        <f>M16*(1+'KEEI BAU - Industry'!$AU$16)</f>
        <v>2.2691915005469601</v>
      </c>
      <c r="O16" s="16">
        <f>N16*(1+'KEEI BAU - Industry'!$AU$16)</f>
        <v>2.2655670593910751</v>
      </c>
      <c r="P16" s="16">
        <f>O16*(1+'KEEI BAU - Industry'!$AU$16)</f>
        <v>2.261948407333946</v>
      </c>
      <c r="Q16" s="16">
        <f>P16*(1+'KEEI BAU - Industry'!$AU$16)</f>
        <v>2.2583355351289982</v>
      </c>
      <c r="R16" s="16">
        <f>Q16*(1+'KEEI BAU - Industry'!$AU$16)</f>
        <v>2.2547284335444266</v>
      </c>
      <c r="S16" s="16">
        <f>R16*(1+'KEEI BAU - Industry'!$AU$16)</f>
        <v>2.2511270933631713</v>
      </c>
      <c r="T16" s="16">
        <f>S16*(1+'KEEI BAU - Industry'!$AU$16)</f>
        <v>2.2475315053828946</v>
      </c>
      <c r="U16" s="16">
        <f>T16*(1+'KEEI BAU - Industry'!$AU$16)</f>
        <v>2.2439416604159561</v>
      </c>
      <c r="V16" s="16">
        <f>U16*(1+'KEEI BAU - Industry'!$AU$16)</f>
        <v>2.2403575492893912</v>
      </c>
      <c r="W16" s="16">
        <f>V16*(1+'KEEI BAU - Industry'!$AU$16)</f>
        <v>2.2367791628448868</v>
      </c>
      <c r="X16" s="16">
        <f>W16*(1+'KEEI BAU - Industry'!$AU$16)</f>
        <v>2.2332064919387569</v>
      </c>
      <c r="Y16" s="16">
        <f>X16*(1+'KEEI BAU - Industry'!$AU$16)</f>
        <v>2.2296395274419214</v>
      </c>
      <c r="Z16" s="16">
        <f>Y16*(1+'KEEI BAU - Industry'!$AU$16)</f>
        <v>2.2260782602398801</v>
      </c>
      <c r="AA16" s="16">
        <f>Z16*(1+'KEEI BAU - Industry'!$AU$16)</f>
        <v>2.2225226812326921</v>
      </c>
      <c r="AB16" s="16">
        <f>AA16*(1+'KEEI BAU - Industry'!$AU$16)</f>
        <v>2.2189727813349505</v>
      </c>
      <c r="AC16" s="16">
        <f>AB16*(1+'KEEI BAU - Industry'!$AU$16)</f>
        <v>2.2154285514757603</v>
      </c>
      <c r="AD16" s="16">
        <f>AC16*(1+'KEEI BAU - Industry'!$AU$16)</f>
        <v>2.2118899825987151</v>
      </c>
      <c r="AE16" s="16">
        <f>AD16*(1+'KEEI BAU - Industry'!$AU$16)</f>
        <v>2.2083570656618732</v>
      </c>
      <c r="AF16" s="16">
        <f>AE16*(1+'KEEI BAU - Industry'!$AU$16)</f>
        <v>2.2048297916377351</v>
      </c>
    </row>
    <row r="17" spans="1:32">
      <c r="A17" t="s">
        <v>65</v>
      </c>
      <c r="B17" s="16">
        <f>'2019 KESIS Energy Balance'!BI62*'Non-ferrous Metals Split'!$J$7*(1+'KEEI BAU - Industry'!$AU$16)</f>
        <v>1.6055911068008029</v>
      </c>
      <c r="C17" s="16">
        <f>B17*(1+'KEEI BAU - Industry'!$AU$16)</f>
        <v>1.6030265940721022</v>
      </c>
      <c r="D17" s="16">
        <f>C17*(1+'KEEI BAU - Industry'!$AU$16)</f>
        <v>1.6004661774831399</v>
      </c>
      <c r="E17" s="16">
        <f>D17*(1+'KEEI BAU - Industry'!$AU$16)</f>
        <v>1.5979098504914013</v>
      </c>
      <c r="F17" s="16">
        <f>E17*(1+'KEEI BAU - Industry'!$AU$16)</f>
        <v>1.5953576065648227</v>
      </c>
      <c r="G17" s="16">
        <f>F17*(1+'KEEI BAU - Industry'!$AU$16)</f>
        <v>1.5928094391817729</v>
      </c>
      <c r="H17" s="16">
        <f>G17*(1+'KEEI BAU - Industry'!$AU$16)</f>
        <v>1.5902653418310377</v>
      </c>
      <c r="I17" s="16">
        <f>H17*(1+'KEEI BAU - Industry'!$AU$16)</f>
        <v>1.5877253080118028</v>
      </c>
      <c r="J17" s="16">
        <f>I17*(1+'KEEI BAU - Industry'!$AU$16)</f>
        <v>1.5851893312336371</v>
      </c>
      <c r="K17" s="16">
        <f>J17*(1+'KEEI BAU - Industry'!$AU$16)</f>
        <v>1.5826574050164766</v>
      </c>
      <c r="L17" s="16">
        <f>K17*(1+'KEEI BAU - Industry'!$AU$16)</f>
        <v>1.5801295228906069</v>
      </c>
      <c r="M17" s="16">
        <f>L17*(1+'KEEI BAU - Industry'!$AU$16)</f>
        <v>1.5776056783966481</v>
      </c>
      <c r="N17" s="16">
        <f>M17*(1+'KEEI BAU - Industry'!$AU$16)</f>
        <v>1.5750858650855368</v>
      </c>
      <c r="O17" s="16">
        <f>N17*(1+'KEEI BAU - Industry'!$AU$16)</f>
        <v>1.5725700765185109</v>
      </c>
      <c r="P17" s="16">
        <f>O17*(1+'KEEI BAU - Industry'!$AU$16)</f>
        <v>1.5700583062670919</v>
      </c>
      <c r="Q17" s="16">
        <f>P17*(1+'KEEI BAU - Industry'!$AU$16)</f>
        <v>1.5675505479130694</v>
      </c>
      <c r="R17" s="16">
        <f>Q17*(1+'KEEI BAU - Industry'!$AU$16)</f>
        <v>1.5650467950484845</v>
      </c>
      <c r="S17" s="16">
        <f>R17*(1+'KEEI BAU - Industry'!$AU$16)</f>
        <v>1.5625470412756133</v>
      </c>
      <c r="T17" s="16">
        <f>S17*(1+'KEEI BAU - Industry'!$AU$16)</f>
        <v>1.5600512802069506</v>
      </c>
      <c r="U17" s="16">
        <f>T17*(1+'KEEI BAU - Industry'!$AU$16)</f>
        <v>1.5575595054651934</v>
      </c>
      <c r="V17" s="16">
        <f>U17*(1+'KEEI BAU - Industry'!$AU$16)</f>
        <v>1.555071710683225</v>
      </c>
      <c r="W17" s="16">
        <f>V17*(1+'KEEI BAU - Industry'!$AU$16)</f>
        <v>1.5525878895040983</v>
      </c>
      <c r="X17" s="16">
        <f>W17*(1+'KEEI BAU - Industry'!$AU$16)</f>
        <v>1.5501080355810202</v>
      </c>
      <c r="Y17" s="16">
        <f>X17*(1+'KEEI BAU - Industry'!$AU$16)</f>
        <v>1.5476321425773343</v>
      </c>
      <c r="Z17" s="16">
        <f>Y17*(1+'KEEI BAU - Industry'!$AU$16)</f>
        <v>1.5451602041665058</v>
      </c>
      <c r="AA17" s="16">
        <f>Z17*(1+'KEEI BAU - Industry'!$AU$16)</f>
        <v>1.5426922140321047</v>
      </c>
      <c r="AB17" s="16">
        <f>AA17*(1+'KEEI BAU - Industry'!$AU$16)</f>
        <v>1.5402281658677899</v>
      </c>
      <c r="AC17" s="16">
        <f>AB17*(1+'KEEI BAU - Industry'!$AU$16)</f>
        <v>1.5377680533772933</v>
      </c>
      <c r="AD17" s="16">
        <f>AC17*(1+'KEEI BAU - Industry'!$AU$16)</f>
        <v>1.5353118702744031</v>
      </c>
      <c r="AE17" s="16">
        <f>AD17*(1+'KEEI BAU - Industry'!$AU$16)</f>
        <v>1.5328596102829479</v>
      </c>
      <c r="AF17" s="16">
        <f>AE17*(1+'KEEI BAU - Industry'!$AU$16)</f>
        <v>1.5304112671367816</v>
      </c>
    </row>
    <row r="18" spans="1:32">
      <c r="A18" t="s">
        <v>67</v>
      </c>
      <c r="B18" s="16">
        <f>SUM('2019 KESIS Energy Balance'!$BI$63:$BI$64)*'Machinery Split'!$J6*(1+'KEEI BAU - Industry'!$AU$30)</f>
        <v>284.38467221895331</v>
      </c>
      <c r="C18" s="16">
        <f>B18*(1+'KEEI BAU - Industry'!$AU$30)</f>
        <v>286.51283001150784</v>
      </c>
      <c r="D18" s="16">
        <f>C18*(1+'KEEI BAU - Industry'!$AU$30)</f>
        <v>288.65691361171815</v>
      </c>
      <c r="E18" s="16">
        <f>D18*(1+'KEEI BAU - Industry'!$AU$30)</f>
        <v>290.81704219841129</v>
      </c>
      <c r="F18" s="16">
        <f>E18*(1+'KEEI BAU - Industry'!$AU$30)</f>
        <v>292.9933358422744</v>
      </c>
      <c r="G18" s="16">
        <f>F18*(1+'KEEI BAU - Industry'!$AU$30)</f>
        <v>295.18591551252894</v>
      </c>
      <c r="H18" s="16">
        <f>G18*(1+'KEEI BAU - Industry'!$AU$30)</f>
        <v>297.39490308365464</v>
      </c>
      <c r="I18" s="16">
        <f>H18*(1+'KEEI BAU - Industry'!$AU$30)</f>
        <v>299.62042134216398</v>
      </c>
      <c r="J18" s="16">
        <f>I18*(1+'KEEI BAU - Industry'!$AU$30)</f>
        <v>301.8625939934272</v>
      </c>
      <c r="K18" s="16">
        <f>J18*(1+'KEEI BAU - Industry'!$AU$30)</f>
        <v>304.12154566854849</v>
      </c>
      <c r="L18" s="16">
        <f>K18*(1+'KEEI BAU - Industry'!$AU$30)</f>
        <v>306.3974019312937</v>
      </c>
      <c r="M18" s="16">
        <f>L18*(1+'KEEI BAU - Industry'!$AU$30)</f>
        <v>308.69028928506958</v>
      </c>
      <c r="N18" s="16">
        <f>M18*(1+'KEEI BAU - Industry'!$AU$30)</f>
        <v>311.0003351799557</v>
      </c>
      <c r="O18" s="16">
        <f>N18*(1+'KEEI BAU - Industry'!$AU$30)</f>
        <v>313.32766801978863</v>
      </c>
      <c r="P18" s="16">
        <f>O18*(1+'KEEI BAU - Industry'!$AU$30)</f>
        <v>315.67241716929925</v>
      </c>
      <c r="Q18" s="16">
        <f>P18*(1+'KEEI BAU - Industry'!$AU$30)</f>
        <v>318.03471296130357</v>
      </c>
      <c r="R18" s="16">
        <f>Q18*(1+'KEEI BAU - Industry'!$AU$30)</f>
        <v>320.41468670394721</v>
      </c>
      <c r="S18" s="16">
        <f>R18*(1+'KEEI BAU - Industry'!$AU$30)</f>
        <v>322.81247068800423</v>
      </c>
      <c r="T18" s="16">
        <f>S18*(1+'KEEI BAU - Industry'!$AU$30)</f>
        <v>325.22819819423046</v>
      </c>
      <c r="U18" s="16">
        <f>T18*(1+'KEEI BAU - Industry'!$AU$30)</f>
        <v>327.66200350077185</v>
      </c>
      <c r="V18" s="16">
        <f>U18*(1+'KEEI BAU - Industry'!$AU$30)</f>
        <v>330.11402189062835</v>
      </c>
      <c r="W18" s="16">
        <f>V18*(1+'KEEI BAU - Industry'!$AU$30)</f>
        <v>332.58438965917372</v>
      </c>
      <c r="X18" s="16">
        <f>W18*(1+'KEEI BAU - Industry'!$AU$30)</f>
        <v>335.07324412173142</v>
      </c>
      <c r="Y18" s="16">
        <f>X18*(1+'KEEI BAU - Industry'!$AU$30)</f>
        <v>337.58072362120726</v>
      </c>
      <c r="Z18" s="16">
        <f>Y18*(1+'KEEI BAU - Industry'!$AU$30)</f>
        <v>340.10696753577918</v>
      </c>
      <c r="AA18" s="16">
        <f>Z18*(1+'KEEI BAU - Industry'!$AU$30)</f>
        <v>342.65211628664463</v>
      </c>
      <c r="AB18" s="16">
        <f>AA18*(1+'KEEI BAU - Industry'!$AU$30)</f>
        <v>345.21631134582589</v>
      </c>
      <c r="AC18" s="16">
        <f>AB18*(1+'KEEI BAU - Industry'!$AU$30)</f>
        <v>347.79969524403367</v>
      </c>
      <c r="AD18" s="16">
        <f>AC18*(1+'KEEI BAU - Industry'!$AU$30)</f>
        <v>350.40241157858986</v>
      </c>
      <c r="AE18" s="16">
        <f>AD18*(1+'KEEI BAU - Industry'!$AU$30)</f>
        <v>353.02460502140923</v>
      </c>
      <c r="AF18" s="16">
        <f>AE18*(1+'KEEI BAU - Industry'!$AU$30)</f>
        <v>355.66642132704106</v>
      </c>
    </row>
    <row r="19" spans="1:32">
      <c r="A19" t="s">
        <v>71</v>
      </c>
      <c r="B19" s="16">
        <f>SUM('2019 KESIS Energy Balance'!$BI$63:$BI$64)*'Machinery Split'!$J7*(1+'KEEI BAU - Industry'!$AU$30)</f>
        <v>57.973734832513905</v>
      </c>
      <c r="C19" s="16">
        <f>B19*(1+'KEEI BAU - Industry'!$AU$30)</f>
        <v>58.40757416212557</v>
      </c>
      <c r="D19" s="16">
        <f>C19*(1+'KEEI BAU - Industry'!$AU$30)</f>
        <v>58.844660075116096</v>
      </c>
      <c r="E19" s="16">
        <f>D19*(1+'KEEI BAU - Industry'!$AU$30)</f>
        <v>59.285016866893756</v>
      </c>
      <c r="F19" s="16">
        <f>E19*(1+'KEEI BAU - Industry'!$AU$30)</f>
        <v>59.728669014678523</v>
      </c>
      <c r="G19" s="16">
        <f>F19*(1+'KEEI BAU - Industry'!$AU$30)</f>
        <v>60.175641178862641</v>
      </c>
      <c r="H19" s="16">
        <f>G19*(1+'KEEI BAU - Industry'!$AU$30)</f>
        <v>60.625958204381377</v>
      </c>
      <c r="I19" s="16">
        <f>H19*(1+'KEEI BAU - Industry'!$AU$30)</f>
        <v>61.079645122094021</v>
      </c>
      <c r="J19" s="16">
        <f>I19*(1+'KEEI BAU - Industry'!$AU$30)</f>
        <v>61.536727150175231</v>
      </c>
      <c r="K19" s="16">
        <f>J19*(1+'KEEI BAU - Industry'!$AU$30)</f>
        <v>61.997229695516765</v>
      </c>
      <c r="L19" s="16">
        <f>K19*(1+'KEEI BAU - Industry'!$AU$30)</f>
        <v>62.461178355139751</v>
      </c>
      <c r="M19" s="16">
        <f>L19*(1+'KEEI BAU - Industry'!$AU$30)</f>
        <v>62.928598917617478</v>
      </c>
      <c r="N19" s="16">
        <f>M19*(1+'KEEI BAU - Industry'!$AU$30)</f>
        <v>63.39951736450886</v>
      </c>
      <c r="O19" s="16">
        <f>N19*(1+'KEEI BAU - Industry'!$AU$30)</f>
        <v>63.873959871802619</v>
      </c>
      <c r="P19" s="16">
        <f>O19*(1+'KEEI BAU - Industry'!$AU$30)</f>
        <v>64.351952811372271</v>
      </c>
      <c r="Q19" s="16">
        <f>P19*(1+'KEEI BAU - Industry'!$AU$30)</f>
        <v>64.833522752442022</v>
      </c>
      <c r="R19" s="16">
        <f>Q19*(1+'KEEI BAU - Industry'!$AU$30)</f>
        <v>65.318696463063603</v>
      </c>
      <c r="S19" s="16">
        <f>R19*(1+'KEEI BAU - Industry'!$AU$30)</f>
        <v>65.807500911604151</v>
      </c>
      <c r="T19" s="16">
        <f>S19*(1+'KEEI BAU - Industry'!$AU$30)</f>
        <v>66.299963268245307</v>
      </c>
      <c r="U19" s="16">
        <f>T19*(1+'KEEI BAU - Industry'!$AU$30)</f>
        <v>66.796110906493411</v>
      </c>
      <c r="V19" s="16">
        <f>U19*(1+'KEEI BAU - Industry'!$AU$30)</f>
        <v>67.295971404701078</v>
      </c>
      <c r="W19" s="16">
        <f>V19*(1+'KEEI BAU - Industry'!$AU$30)</f>
        <v>67.799572547600135</v>
      </c>
      <c r="X19" s="16">
        <f>W19*(1+'KEEI BAU - Industry'!$AU$30)</f>
        <v>68.306942327846059</v>
      </c>
      <c r="Y19" s="16">
        <f>X19*(1+'KEEI BAU - Industry'!$AU$30)</f>
        <v>68.818108947573918</v>
      </c>
      <c r="Z19" s="16">
        <f>Y19*(1+'KEEI BAU - Industry'!$AU$30)</f>
        <v>69.333100819965992</v>
      </c>
      <c r="AA19" s="16">
        <f>Z19*(1+'KEEI BAU - Industry'!$AU$30)</f>
        <v>69.851946570831132</v>
      </c>
      <c r="AB19" s="16">
        <f>AA19*(1+'KEEI BAU - Industry'!$AU$30)</f>
        <v>70.374675040195896</v>
      </c>
      <c r="AC19" s="16">
        <f>AB19*(1+'KEEI BAU - Industry'!$AU$30)</f>
        <v>70.901315283907678</v>
      </c>
      <c r="AD19" s="16">
        <f>AC19*(1+'KEEI BAU - Industry'!$AU$30)</f>
        <v>71.431896575249709</v>
      </c>
      <c r="AE19" s="16">
        <f>AD19*(1+'KEEI BAU - Industry'!$AU$30)</f>
        <v>71.966448406568247</v>
      </c>
      <c r="AF19" s="16">
        <f>AE19*(1+'KEEI BAU - Industry'!$AU$30)</f>
        <v>72.505000490911925</v>
      </c>
    </row>
    <row r="20" spans="1:32">
      <c r="A20" t="s">
        <v>73</v>
      </c>
      <c r="B20" s="16">
        <f>SUM('2019 KESIS Energy Balance'!$BI$63:$BI$64)*'Machinery Split'!$J8*(1+'KEEI BAU - Industry'!$AU$30)</f>
        <v>2.5461437595360836</v>
      </c>
      <c r="C20" s="16">
        <f>B20*(1+'KEEI BAU - Industry'!$AU$30)</f>
        <v>2.5651975138771363</v>
      </c>
      <c r="D20" s="16">
        <f>C20*(1+'KEEI BAU - Industry'!$AU$30)</f>
        <v>2.5843938546503691</v>
      </c>
      <c r="E20" s="16">
        <f>D20*(1+'KEEI BAU - Industry'!$AU$30)</f>
        <v>2.6037338488838473</v>
      </c>
      <c r="F20" s="16">
        <f>E20*(1+'KEEI BAU - Industry'!$AU$30)</f>
        <v>2.6232185715906109</v>
      </c>
      <c r="G20" s="16">
        <f>F20*(1+'KEEI BAU - Industry'!$AU$30)</f>
        <v>2.6428491058284269</v>
      </c>
      <c r="H20" s="16">
        <f>G20*(1+'KEEI BAU - Industry'!$AU$30)</f>
        <v>2.6626265427599933</v>
      </c>
      <c r="I20" s="16">
        <f>H20*(1+'KEEI BAU - Industry'!$AU$30)</f>
        <v>2.6825519817135892</v>
      </c>
      <c r="J20" s="16">
        <f>I20*(1+'KEEI BAU - Industry'!$AU$30)</f>
        <v>2.7026265302441828</v>
      </c>
      <c r="K20" s="16">
        <f>J20*(1+'KEEI BAU - Industry'!$AU$30)</f>
        <v>2.7228513041949935</v>
      </c>
      <c r="L20" s="16">
        <f>K20*(1+'KEEI BAU - Industry'!$AU$30)</f>
        <v>2.7432274277595168</v>
      </c>
      <c r="M20" s="16">
        <f>L20*(1+'KEEI BAU - Industry'!$AU$30)</f>
        <v>2.7637560335440114</v>
      </c>
      <c r="N20" s="16">
        <f>M20*(1+'KEEI BAU - Industry'!$AU$30)</f>
        <v>2.7844382626304576</v>
      </c>
      <c r="O20" s="16">
        <f>N20*(1+'KEEI BAU - Industry'!$AU$30)</f>
        <v>2.805275264639981</v>
      </c>
      <c r="P20" s="16">
        <f>O20*(1+'KEEI BAU - Industry'!$AU$30)</f>
        <v>2.8262681977967565</v>
      </c>
      <c r="Q20" s="16">
        <f>P20*(1+'KEEI BAU - Industry'!$AU$30)</f>
        <v>2.8474182289923875</v>
      </c>
      <c r="R20" s="16">
        <f>Q20*(1+'KEEI BAU - Industry'!$AU$30)</f>
        <v>2.8687265338507673</v>
      </c>
      <c r="S20" s="16">
        <f>R20*(1+'KEEI BAU - Industry'!$AU$30)</f>
        <v>2.8901942967934269</v>
      </c>
      <c r="T20" s="16">
        <f>S20*(1+'KEEI BAU - Industry'!$AU$30)</f>
        <v>2.9118227111053696</v>
      </c>
      <c r="U20" s="16">
        <f>T20*(1+'KEEI BAU - Industry'!$AU$30)</f>
        <v>2.9336129790014009</v>
      </c>
      <c r="V20" s="16">
        <f>U20*(1+'KEEI BAU - Industry'!$AU$30)</f>
        <v>2.9555663116929538</v>
      </c>
      <c r="W20" s="16">
        <f>V20*(1+'KEEI BAU - Industry'!$AU$30)</f>
        <v>2.9776839294554125</v>
      </c>
      <c r="X20" s="16">
        <f>W20*(1+'KEEI BAU - Industry'!$AU$30)</f>
        <v>2.9999670616959428</v>
      </c>
      <c r="Y20" s="16">
        <f>X20*(1+'KEEI BAU - Industry'!$AU$30)</f>
        <v>3.0224169470218283</v>
      </c>
      <c r="Z20" s="16">
        <f>Y20*(1+'KEEI BAU - Industry'!$AU$30)</f>
        <v>3.0450348333093178</v>
      </c>
      <c r="AA20" s="16">
        <f>Z20*(1+'KEEI BAU - Industry'!$AU$30)</f>
        <v>3.0678219777729892</v>
      </c>
      <c r="AB20" s="16">
        <f>AA20*(1+'KEEI BAU - Industry'!$AU$30)</f>
        <v>3.0907796470356312</v>
      </c>
      <c r="AC20" s="16">
        <f>AB20*(1+'KEEI BAU - Industry'!$AU$30)</f>
        <v>3.1139091171986486</v>
      </c>
      <c r="AD20" s="16">
        <f>AC20*(1+'KEEI BAU - Industry'!$AU$30)</f>
        <v>3.1372116739129945</v>
      </c>
      <c r="AE20" s="16">
        <f>AD20*(1+'KEEI BAU - Industry'!$AU$30)</f>
        <v>3.1606886124506333</v>
      </c>
      <c r="AF20" s="16">
        <f>AE20*(1+'KEEI BAU - Industry'!$AU$30)</f>
        <v>3.1843412377765379</v>
      </c>
    </row>
    <row r="21" spans="1:32">
      <c r="A21" t="s">
        <v>75</v>
      </c>
      <c r="B21" s="16">
        <f>SUM('2019 KESIS Energy Balance'!$BI$63:$BI$64)*'Machinery Split'!$J9*(1+'KEEI BAU - Industry'!$AU$30)</f>
        <v>10.380432250416341</v>
      </c>
      <c r="C21" s="16">
        <f>B21*(1+'KEEI BAU - Industry'!$AU$30)</f>
        <v>10.458112941191402</v>
      </c>
      <c r="D21" s="16">
        <f>C21*(1+'KEEI BAU - Industry'!$AU$30)</f>
        <v>10.536374945882274</v>
      </c>
      <c r="E21" s="16">
        <f>D21*(1+'KEEI BAU - Industry'!$AU$30)</f>
        <v>10.615222614680301</v>
      </c>
      <c r="F21" s="16">
        <f>E21*(1+'KEEI BAU - Industry'!$AU$30)</f>
        <v>10.694660330330951</v>
      </c>
      <c r="G21" s="16">
        <f>F21*(1+'KEEI BAU - Industry'!$AU$30)</f>
        <v>10.774692508377433</v>
      </c>
      <c r="H21" s="16">
        <f>G21*(1+'KEEI BAU - Industry'!$AU$30)</f>
        <v>10.855323597406125</v>
      </c>
      <c r="I21" s="16">
        <f>H21*(1+'KEEI BAU - Industry'!$AU$30)</f>
        <v>10.936558079293862</v>
      </c>
      <c r="J21" s="16">
        <f>I21*(1+'KEEI BAU - Industry'!$AU$30)</f>
        <v>11.018400469457051</v>
      </c>
      <c r="K21" s="16">
        <f>J21*(1+'KEEI BAU - Industry'!$AU$30)</f>
        <v>11.100855317102663</v>
      </c>
      <c r="L21" s="16">
        <f>K21*(1+'KEEI BAU - Industry'!$AU$30)</f>
        <v>11.183927205481103</v>
      </c>
      <c r="M21" s="16">
        <f>L21*(1+'KEEI BAU - Industry'!$AU$30)</f>
        <v>11.267620752140967</v>
      </c>
      <c r="N21" s="16">
        <f>M21*(1+'KEEI BAU - Industry'!$AU$30)</f>
        <v>11.351940609185709</v>
      </c>
      <c r="O21" s="16">
        <f>N21*(1+'KEEI BAU - Industry'!$AU$30)</f>
        <v>11.436891463532227</v>
      </c>
      <c r="P21" s="16">
        <f>O21*(1+'KEEI BAU - Industry'!$AU$30)</f>
        <v>11.522478037171389</v>
      </c>
      <c r="Q21" s="16">
        <f>P21*(1+'KEEI BAU - Industry'!$AU$30)</f>
        <v>11.608705087430501</v>
      </c>
      <c r="R21" s="16">
        <f>Q21*(1+'KEEI BAU - Industry'!$AU$30)</f>
        <v>11.695577407237742</v>
      </c>
      <c r="S21" s="16">
        <f>R21*(1+'KEEI BAU - Industry'!$AU$30)</f>
        <v>11.783099825388584</v>
      </c>
      <c r="T21" s="16">
        <f>S21*(1+'KEEI BAU - Industry'!$AU$30)</f>
        <v>11.871277206814197</v>
      </c>
      <c r="U21" s="16">
        <f>T21*(1+'KEEI BAU - Industry'!$AU$30)</f>
        <v>11.960114452851863</v>
      </c>
      <c r="V21" s="16">
        <f>U21*(1+'KEEI BAU - Industry'!$AU$30)</f>
        <v>12.049616501517425</v>
      </c>
      <c r="W21" s="16">
        <f>V21*(1+'KEEI BAU - Industry'!$AU$30)</f>
        <v>12.139788327779756</v>
      </c>
      <c r="X21" s="16">
        <f>W21*(1+'KEEI BAU - Industry'!$AU$30)</f>
        <v>12.230634943837304</v>
      </c>
      <c r="Y21" s="16">
        <f>X21*(1+'KEEI BAU - Industry'!$AU$30)</f>
        <v>12.322161399396684</v>
      </c>
      <c r="Z21" s="16">
        <f>Y21*(1+'KEEI BAU - Industry'!$AU$30)</f>
        <v>12.414372781953373</v>
      </c>
      <c r="AA21" s="16">
        <f>Z21*(1+'KEEI BAU - Industry'!$AU$30)</f>
        <v>12.507274217074496</v>
      </c>
      <c r="AB21" s="16">
        <f>AA21*(1+'KEEI BAU - Industry'!$AU$30)</f>
        <v>12.600870868683728</v>
      </c>
      <c r="AC21" s="16">
        <f>AB21*(1+'KEEI BAU - Industry'!$AU$30)</f>
        <v>12.695167939348337</v>
      </c>
      <c r="AD21" s="16">
        <f>AC21*(1+'KEEI BAU - Industry'!$AU$30)</f>
        <v>12.790170670568363</v>
      </c>
      <c r="AE21" s="16">
        <f>AD21*(1+'KEEI BAU - Industry'!$AU$30)</f>
        <v>12.885884343067968</v>
      </c>
      <c r="AF21" s="16">
        <f>AE21*(1+'KEEI BAU - Industry'!$AU$30)</f>
        <v>12.982314277088964</v>
      </c>
    </row>
    <row r="22" spans="1:32">
      <c r="A22" t="s">
        <v>78</v>
      </c>
      <c r="B22" s="16">
        <f>SUM('2019 KESIS Energy Balance'!$BI$63:$BI$64)*'Machinery Split'!$J10*(1+'KEEI BAU - Industry'!$AU$30)</f>
        <v>0</v>
      </c>
      <c r="C22" s="16">
        <f>B22*(1+'KEEI BAU - Industry'!$AU$30)</f>
        <v>0</v>
      </c>
      <c r="D22" s="16">
        <f>C22*(1+'KEEI BAU - Industry'!$AU$30)</f>
        <v>0</v>
      </c>
      <c r="E22" s="16">
        <f>D22*(1+'KEEI BAU - Industry'!$AU$30)</f>
        <v>0</v>
      </c>
      <c r="F22" s="16">
        <f>E22*(1+'KEEI BAU - Industry'!$AU$30)</f>
        <v>0</v>
      </c>
      <c r="G22" s="16">
        <f>F22*(1+'KEEI BAU - Industry'!$AU$30)</f>
        <v>0</v>
      </c>
      <c r="H22" s="16">
        <f>G22*(1+'KEEI BAU - Industry'!$AU$30)</f>
        <v>0</v>
      </c>
      <c r="I22" s="16">
        <f>H22*(1+'KEEI BAU - Industry'!$AU$30)</f>
        <v>0</v>
      </c>
      <c r="J22" s="16">
        <f>I22*(1+'KEEI BAU - Industry'!$AU$30)</f>
        <v>0</v>
      </c>
      <c r="K22" s="16">
        <f>J22*(1+'KEEI BAU - Industry'!$AU$30)</f>
        <v>0</v>
      </c>
      <c r="L22" s="16">
        <f>K22*(1+'KEEI BAU - Industry'!$AU$30)</f>
        <v>0</v>
      </c>
      <c r="M22" s="16">
        <f>L22*(1+'KEEI BAU - Industry'!$AU$30)</f>
        <v>0</v>
      </c>
      <c r="N22" s="16">
        <f>M22*(1+'KEEI BAU - Industry'!$AU$30)</f>
        <v>0</v>
      </c>
      <c r="O22" s="16">
        <f>N22*(1+'KEEI BAU - Industry'!$AU$30)</f>
        <v>0</v>
      </c>
      <c r="P22" s="16">
        <f>O22*(1+'KEEI BAU - Industry'!$AU$30)</f>
        <v>0</v>
      </c>
      <c r="Q22" s="16">
        <f>P22*(1+'KEEI BAU - Industry'!$AU$30)</f>
        <v>0</v>
      </c>
      <c r="R22" s="16">
        <f>Q22*(1+'KEEI BAU - Industry'!$AU$30)</f>
        <v>0</v>
      </c>
      <c r="S22" s="16">
        <f>R22*(1+'KEEI BAU - Industry'!$AU$30)</f>
        <v>0</v>
      </c>
      <c r="T22" s="16">
        <f>S22*(1+'KEEI BAU - Industry'!$AU$30)</f>
        <v>0</v>
      </c>
      <c r="U22" s="16">
        <f>T22*(1+'KEEI BAU - Industry'!$AU$30)</f>
        <v>0</v>
      </c>
      <c r="V22" s="16">
        <f>U22*(1+'KEEI BAU - Industry'!$AU$30)</f>
        <v>0</v>
      </c>
      <c r="W22" s="16">
        <f>V22*(1+'KEEI BAU - Industry'!$AU$30)</f>
        <v>0</v>
      </c>
      <c r="X22" s="16">
        <f>W22*(1+'KEEI BAU - Industry'!$AU$30)</f>
        <v>0</v>
      </c>
      <c r="Y22" s="16">
        <f>X22*(1+'KEEI BAU - Industry'!$AU$30)</f>
        <v>0</v>
      </c>
      <c r="Z22" s="16">
        <f>Y22*(1+'KEEI BAU - Industry'!$AU$30)</f>
        <v>0</v>
      </c>
      <c r="AA22" s="16">
        <f>Z22*(1+'KEEI BAU - Industry'!$AU$30)</f>
        <v>0</v>
      </c>
      <c r="AB22" s="16">
        <f>AA22*(1+'KEEI BAU - Industry'!$AU$30)</f>
        <v>0</v>
      </c>
      <c r="AC22" s="16">
        <f>AB22*(1+'KEEI BAU - Industry'!$AU$30)</f>
        <v>0</v>
      </c>
      <c r="AD22" s="16">
        <f>AC22*(1+'KEEI BAU - Industry'!$AU$30)</f>
        <v>0</v>
      </c>
      <c r="AE22" s="16">
        <f>AD22*(1+'KEEI BAU - Industry'!$AU$30)</f>
        <v>0</v>
      </c>
      <c r="AF22" s="16">
        <f>AE22*(1+'KEEI BAU - Industry'!$AU$30)</f>
        <v>0</v>
      </c>
    </row>
    <row r="23" spans="1:32">
      <c r="A23" t="s">
        <v>80</v>
      </c>
      <c r="B23" s="16">
        <f>'2019 KESIS Energy Balance'!BI65*(1+'KEEI BAU - Industry'!$AU$37)</f>
        <v>4.9035093295138818E-2</v>
      </c>
      <c r="C23" s="16">
        <f>B23*(1+'KEEI BAU - Industry'!$AU$37)</f>
        <v>4.9070211723734034E-2</v>
      </c>
      <c r="D23" s="16">
        <f>C23*(1+'KEEI BAU - Industry'!$AU$37)</f>
        <v>4.9105355303785972E-2</v>
      </c>
      <c r="E23" s="16">
        <f>D23*(1+'KEEI BAU - Industry'!$AU$37)</f>
        <v>4.9140524053307849E-2</v>
      </c>
      <c r="F23" s="16">
        <f>E23*(1+'KEEI BAU - Industry'!$AU$37)</f>
        <v>4.917571799032578E-2</v>
      </c>
      <c r="G23" s="16">
        <f>F23*(1+'KEEI BAU - Industry'!$AU$37)</f>
        <v>4.9210937132878795E-2</v>
      </c>
      <c r="H23" s="16">
        <f>G23*(1+'KEEI BAU - Industry'!$AU$37)</f>
        <v>4.9246181499018833E-2</v>
      </c>
      <c r="I23" s="16">
        <f>H23*(1+'KEEI BAU - Industry'!$AU$37)</f>
        <v>4.9281451106810766E-2</v>
      </c>
      <c r="J23" s="16">
        <f>I23*(1+'KEEI BAU - Industry'!$AU$37)</f>
        <v>4.9316745974332409E-2</v>
      </c>
      <c r="K23" s="16">
        <f>J23*(1+'KEEI BAU - Industry'!$AU$37)</f>
        <v>4.9352066119674513E-2</v>
      </c>
      <c r="L23" s="16">
        <f>K23*(1+'KEEI BAU - Industry'!$AU$37)</f>
        <v>4.93874115609408E-2</v>
      </c>
      <c r="M23" s="16">
        <f>L23*(1+'KEEI BAU - Industry'!$AU$37)</f>
        <v>4.942278231624795E-2</v>
      </c>
      <c r="N23" s="16">
        <f>M23*(1+'KEEI BAU - Industry'!$AU$37)</f>
        <v>4.9458178403725614E-2</v>
      </c>
      <c r="O23" s="16">
        <f>N23*(1+'KEEI BAU - Industry'!$AU$37)</f>
        <v>4.9493599841516432E-2</v>
      </c>
      <c r="P23" s="16">
        <f>O23*(1+'KEEI BAU - Industry'!$AU$37)</f>
        <v>4.9529046647776041E-2</v>
      </c>
      <c r="Q23" s="16">
        <f>P23*(1+'KEEI BAU - Industry'!$AU$37)</f>
        <v>4.9564518840673075E-2</v>
      </c>
      <c r="R23" s="16">
        <f>Q23*(1+'KEEI BAU - Industry'!$AU$37)</f>
        <v>4.9600016438389176E-2</v>
      </c>
      <c r="S23" s="16">
        <f>R23*(1+'KEEI BAU - Industry'!$AU$37)</f>
        <v>4.963553945911902E-2</v>
      </c>
      <c r="T23" s="16">
        <f>S23*(1+'KEEI BAU - Industry'!$AU$37)</f>
        <v>4.9671087921070306E-2</v>
      </c>
      <c r="U23" s="16">
        <f>T23*(1+'KEEI BAU - Industry'!$AU$37)</f>
        <v>4.9706661842463779E-2</v>
      </c>
      <c r="V23" s="16">
        <f>U23*(1+'KEEI BAU - Industry'!$AU$37)</f>
        <v>4.9742261241533227E-2</v>
      </c>
      <c r="W23" s="16">
        <f>V23*(1+'KEEI BAU - Industry'!$AU$37)</f>
        <v>4.9777886136525493E-2</v>
      </c>
      <c r="X23" s="16">
        <f>W23*(1+'KEEI BAU - Industry'!$AU$37)</f>
        <v>4.9813536545700504E-2</v>
      </c>
      <c r="Y23" s="16">
        <f>X23*(1+'KEEI BAU - Industry'!$AU$37)</f>
        <v>4.9849212487331249E-2</v>
      </c>
      <c r="Z23" s="16">
        <f>Y23*(1+'KEEI BAU - Industry'!$AU$37)</f>
        <v>4.9884913979703807E-2</v>
      </c>
      <c r="AA23" s="16">
        <f>Z23*(1+'KEEI BAU - Industry'!$AU$37)</f>
        <v>4.9920641041117361E-2</v>
      </c>
      <c r="AB23" s="16">
        <f>AA23*(1+'KEEI BAU - Industry'!$AU$37)</f>
        <v>4.9956393689884193E-2</v>
      </c>
      <c r="AC23" s="16">
        <f>AB23*(1+'KEEI BAU - Industry'!$AU$37)</f>
        <v>4.99921719443297E-2</v>
      </c>
      <c r="AD23" s="16">
        <f>AC23*(1+'KEEI BAU - Industry'!$AU$37)</f>
        <v>5.0027975822792406E-2</v>
      </c>
      <c r="AE23" s="16">
        <f>AD23*(1+'KEEI BAU - Industry'!$AU$37)</f>
        <v>5.0063805343623972E-2</v>
      </c>
      <c r="AF23" s="16">
        <f>AE23*(1+'KEEI BAU - Industry'!$AU$37)</f>
        <v>5.0099660525189195E-2</v>
      </c>
    </row>
    <row r="24" spans="1:32">
      <c r="A24" t="s">
        <v>82</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89</v>
      </c>
      <c r="B26" s="16">
        <f>'2019 KESIS Energy Balance'!BI66*(1+'KEEI BAU - Industry'!$AU$37)</f>
        <v>0</v>
      </c>
      <c r="C26" s="16">
        <f>B26*(1+'KEEI BAU - Industry'!$AU$37)</f>
        <v>0</v>
      </c>
      <c r="D26" s="16">
        <f>C26*(1+'KEEI BAU - Industry'!$AU$37)</f>
        <v>0</v>
      </c>
      <c r="E26" s="16">
        <f>D26*(1+'KEEI BAU - Industry'!$AU$37)</f>
        <v>0</v>
      </c>
      <c r="F26" s="16">
        <f>E26*(1+'KEEI BAU - Industry'!$AU$37)</f>
        <v>0</v>
      </c>
      <c r="G26" s="16">
        <f>F26*(1+'KEEI BAU - Industry'!$AU$37)</f>
        <v>0</v>
      </c>
      <c r="H26" s="16">
        <f>G26*(1+'KEEI BAU - Industry'!$AU$37)</f>
        <v>0</v>
      </c>
      <c r="I26" s="16">
        <f>H26*(1+'KEEI BAU - Industry'!$AU$37)</f>
        <v>0</v>
      </c>
      <c r="J26" s="16">
        <f>I26*(1+'KEEI BAU - Industry'!$AU$37)</f>
        <v>0</v>
      </c>
      <c r="K26" s="16">
        <f>J26*(1+'KEEI BAU - Industry'!$AU$37)</f>
        <v>0</v>
      </c>
      <c r="L26" s="16">
        <f>K26*(1+'KEEI BAU - Industry'!$AU$37)</f>
        <v>0</v>
      </c>
      <c r="M26" s="16">
        <f>L26*(1+'KEEI BAU - Industry'!$AU$37)</f>
        <v>0</v>
      </c>
      <c r="N26" s="16">
        <f>M26*(1+'KEEI BAU - Industry'!$AU$37)</f>
        <v>0</v>
      </c>
      <c r="O26" s="16">
        <f>N26*(1+'KEEI BAU - Industry'!$AU$37)</f>
        <v>0</v>
      </c>
      <c r="P26" s="16">
        <f>O26*(1+'KEEI BAU - Industry'!$AU$37)</f>
        <v>0</v>
      </c>
      <c r="Q26" s="16">
        <f>P26*(1+'KEEI BAU - Industry'!$AU$37)</f>
        <v>0</v>
      </c>
      <c r="R26" s="16">
        <f>Q26*(1+'KEEI BAU - Industry'!$AU$37)</f>
        <v>0</v>
      </c>
      <c r="S26" s="16">
        <f>R26*(1+'KEEI BAU - Industry'!$AU$37)</f>
        <v>0</v>
      </c>
      <c r="T26" s="16">
        <f>S26*(1+'KEEI BAU - Industry'!$AU$37)</f>
        <v>0</v>
      </c>
      <c r="U26" s="16">
        <f>T26*(1+'KEEI BAU - Industry'!$AU$37)</f>
        <v>0</v>
      </c>
      <c r="V26" s="16">
        <f>U26*(1+'KEEI BAU - Industry'!$AU$37)</f>
        <v>0</v>
      </c>
      <c r="W26" s="16">
        <f>V26*(1+'KEEI BAU - Industry'!$AU$37)</f>
        <v>0</v>
      </c>
      <c r="X26" s="16">
        <f>W26*(1+'KEEI BAU - Industry'!$AU$37)</f>
        <v>0</v>
      </c>
      <c r="Y26" s="16">
        <f>X26*(1+'KEEI BAU - Industry'!$AU$37)</f>
        <v>0</v>
      </c>
      <c r="Z26" s="16">
        <f>Y26*(1+'KEEI BAU - Industry'!$AU$37)</f>
        <v>0</v>
      </c>
      <c r="AA26" s="16">
        <f>Z26*(1+'KEEI BAU - Industry'!$AU$37)</f>
        <v>0</v>
      </c>
      <c r="AB26" s="16">
        <f>AA26*(1+'KEEI BAU - Industry'!$AU$37)</f>
        <v>0</v>
      </c>
      <c r="AC26" s="16">
        <f>AB26*(1+'KEEI BAU - Industry'!$AU$37)</f>
        <v>0</v>
      </c>
      <c r="AD26" s="16">
        <f>AC26*(1+'KEEI BAU - Industry'!$AU$37)</f>
        <v>0</v>
      </c>
      <c r="AE26" s="16">
        <f>AD26*(1+'KEEI BAU - Industry'!$AU$37)</f>
        <v>0</v>
      </c>
      <c r="AF26" s="16">
        <f>AE26*(1+'KEEI BAU - Industry'!$AU$37)</f>
        <v>0</v>
      </c>
    </row>
    <row r="28" spans="1:32">
      <c r="A28" s="346"/>
    </row>
  </sheetData>
  <phoneticPr fontId="35"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topLeftCell="A3" workbookViewId="0">
      <selection sqref="A1:L1"/>
    </sheetView>
  </sheetViews>
  <sheetFormatPr defaultColWidth="9.125" defaultRowHeight="16.5"/>
  <cols>
    <col min="1" max="1" width="20.5" style="205" customWidth="1"/>
    <col min="2" max="3" width="6.125" style="205" customWidth="1"/>
    <col min="4" max="4" width="6.125" style="205" customWidth="1" collapsed="1"/>
    <col min="5" max="7" width="6.125" style="205" customWidth="1"/>
    <col min="8" max="9" width="5.5" style="205" customWidth="1"/>
    <col min="10" max="10" width="0.5" style="206" customWidth="1"/>
    <col min="11" max="12" width="5.5" style="205" customWidth="1"/>
    <col min="13" max="13" width="4.375" style="30" customWidth="1"/>
    <col min="14" max="14" width="20.5" style="30" customWidth="1"/>
    <col min="15" max="48" width="6.125" style="148" customWidth="1"/>
    <col min="49" max="49" width="9.125" style="30"/>
    <col min="50" max="16384" width="9.125" style="205"/>
  </cols>
  <sheetData>
    <row r="1" spans="1:49" ht="30" customHeight="1">
      <c r="A1" s="504" t="s">
        <v>1032</v>
      </c>
      <c r="B1" s="505"/>
      <c r="C1" s="505"/>
      <c r="D1" s="505"/>
      <c r="E1" s="505"/>
      <c r="F1" s="505"/>
      <c r="G1" s="505"/>
      <c r="H1" s="505"/>
      <c r="I1" s="505"/>
      <c r="J1" s="505"/>
      <c r="K1" s="505"/>
      <c r="L1" s="505"/>
      <c r="M1" s="157">
        <v>1</v>
      </c>
      <c r="N1" s="158" t="s">
        <v>199</v>
      </c>
      <c r="O1" s="159" t="s">
        <v>200</v>
      </c>
      <c r="Q1" s="160" t="s">
        <v>112</v>
      </c>
      <c r="S1" s="143"/>
      <c r="T1" s="143"/>
      <c r="U1" s="143"/>
      <c r="V1" s="143"/>
      <c r="X1" s="153"/>
      <c r="Y1" s="153"/>
      <c r="Z1" s="153"/>
      <c r="AA1" s="153"/>
      <c r="AB1" s="153"/>
      <c r="AC1" s="153"/>
      <c r="AD1" s="153"/>
      <c r="AE1" s="153"/>
      <c r="AF1" s="153"/>
      <c r="AG1" s="153"/>
      <c r="AH1" s="152"/>
      <c r="AI1" s="152"/>
      <c r="AJ1" s="152"/>
      <c r="AK1" s="152"/>
      <c r="AM1" s="153"/>
      <c r="AN1" s="153"/>
      <c r="AO1" s="153"/>
      <c r="AP1" s="153"/>
      <c r="AQ1" s="153"/>
      <c r="AR1" s="152"/>
      <c r="AS1" s="152"/>
      <c r="AT1" s="152"/>
      <c r="AU1" s="152"/>
    </row>
    <row r="2" spans="1:49">
      <c r="A2" s="506" t="s">
        <v>159</v>
      </c>
      <c r="B2" s="506"/>
      <c r="C2" s="506"/>
      <c r="D2" s="506"/>
      <c r="E2" s="506"/>
      <c r="F2" s="506"/>
      <c r="G2" s="506"/>
      <c r="H2" s="506"/>
      <c r="I2" s="506"/>
      <c r="J2" s="506"/>
      <c r="K2" s="506"/>
      <c r="L2" s="506"/>
      <c r="N2" s="151" t="s">
        <v>181</v>
      </c>
      <c r="O2" s="151"/>
      <c r="P2" s="151"/>
      <c r="Q2" s="151"/>
      <c r="R2" s="151"/>
      <c r="S2" s="151"/>
      <c r="T2" s="151"/>
      <c r="U2" s="151"/>
      <c r="V2" s="151"/>
      <c r="W2" s="151"/>
      <c r="X2" s="151"/>
      <c r="Y2" s="151"/>
      <c r="Z2" s="151"/>
      <c r="AA2" s="151"/>
      <c r="AB2" s="151"/>
      <c r="AC2" s="151"/>
      <c r="AD2" s="151"/>
      <c r="AE2" s="151"/>
      <c r="AF2" s="151"/>
      <c r="AG2" s="151"/>
      <c r="AH2" s="151"/>
      <c r="AI2" s="151"/>
      <c r="AJ2" s="151"/>
      <c r="AK2" s="151"/>
      <c r="AM2" s="151"/>
      <c r="AN2" s="151"/>
      <c r="AO2" s="151"/>
      <c r="AP2" s="151"/>
      <c r="AQ2" s="151"/>
      <c r="AR2" s="151"/>
      <c r="AS2" s="151"/>
      <c r="AT2" s="151"/>
      <c r="AU2" s="151"/>
    </row>
    <row r="3" spans="1:49" ht="15" customHeight="1">
      <c r="A3" s="31"/>
      <c r="B3" s="32"/>
      <c r="C3" s="32"/>
      <c r="D3" s="32"/>
      <c r="E3" s="32"/>
      <c r="F3" s="32"/>
      <c r="G3" s="32"/>
      <c r="H3" s="495" t="s">
        <v>160</v>
      </c>
      <c r="I3" s="495"/>
      <c r="J3" s="33"/>
      <c r="K3" s="495" t="s">
        <v>161</v>
      </c>
      <c r="L3" s="495"/>
      <c r="N3" s="31"/>
      <c r="O3" s="144"/>
      <c r="P3" s="144"/>
      <c r="Q3" s="144"/>
      <c r="R3" s="144"/>
      <c r="S3" s="144"/>
      <c r="T3" s="144"/>
      <c r="U3" s="144"/>
      <c r="V3" s="144"/>
      <c r="W3" s="144"/>
      <c r="X3" s="144"/>
      <c r="Y3" s="144"/>
      <c r="Z3" s="144"/>
      <c r="AA3" s="144"/>
      <c r="AB3" s="144"/>
      <c r="AC3" s="144"/>
      <c r="AD3" s="144"/>
      <c r="AE3" s="144"/>
      <c r="AF3" s="144"/>
      <c r="AG3" s="144"/>
      <c r="AH3" s="144"/>
      <c r="AI3" s="144"/>
      <c r="AJ3" s="144"/>
      <c r="AK3" s="144"/>
      <c r="AL3" s="144"/>
      <c r="AM3" s="144"/>
      <c r="AN3" s="144"/>
      <c r="AO3" s="144"/>
      <c r="AP3" s="144"/>
      <c r="AQ3" s="144"/>
      <c r="AR3" s="144"/>
      <c r="AS3" s="144"/>
      <c r="AT3" s="144"/>
      <c r="AU3" s="144"/>
      <c r="AV3" s="144"/>
    </row>
    <row r="4" spans="1:49" ht="15" customHeight="1">
      <c r="A4" s="31"/>
      <c r="B4" s="34">
        <v>2000</v>
      </c>
      <c r="C4" s="34">
        <v>2018</v>
      </c>
      <c r="D4" s="34">
        <v>2025</v>
      </c>
      <c r="E4" s="34">
        <v>2030</v>
      </c>
      <c r="F4" s="34">
        <v>2035</v>
      </c>
      <c r="G4" s="34">
        <v>2040</v>
      </c>
      <c r="H4" s="35">
        <v>2018</v>
      </c>
      <c r="I4" s="35">
        <v>2040</v>
      </c>
      <c r="J4" s="36"/>
      <c r="K4" s="35" t="s">
        <v>162</v>
      </c>
      <c r="L4" s="35" t="s">
        <v>163</v>
      </c>
      <c r="N4" s="31"/>
      <c r="O4" s="142">
        <v>2000</v>
      </c>
      <c r="P4" s="142">
        <v>2018</v>
      </c>
      <c r="Q4" s="142">
        <v>2019</v>
      </c>
      <c r="R4" s="154">
        <v>2020</v>
      </c>
      <c r="S4" s="142">
        <v>2021</v>
      </c>
      <c r="T4" s="142">
        <v>2022</v>
      </c>
      <c r="U4" s="142">
        <v>2023</v>
      </c>
      <c r="V4" s="142">
        <v>2024</v>
      </c>
      <c r="W4" s="154">
        <v>2025</v>
      </c>
      <c r="X4" s="142">
        <v>2026</v>
      </c>
      <c r="Y4" s="142">
        <v>2027</v>
      </c>
      <c r="Z4" s="142">
        <v>2028</v>
      </c>
      <c r="AA4" s="142">
        <v>2029</v>
      </c>
      <c r="AB4" s="154">
        <v>2030</v>
      </c>
      <c r="AC4" s="142">
        <v>2031</v>
      </c>
      <c r="AD4" s="142">
        <v>2032</v>
      </c>
      <c r="AE4" s="142">
        <v>2033</v>
      </c>
      <c r="AF4" s="142">
        <v>2034</v>
      </c>
      <c r="AG4" s="154">
        <v>2035</v>
      </c>
      <c r="AH4" s="142">
        <v>2036</v>
      </c>
      <c r="AI4" s="142">
        <v>2037</v>
      </c>
      <c r="AJ4" s="142">
        <v>2038</v>
      </c>
      <c r="AK4" s="142">
        <v>2039</v>
      </c>
      <c r="AL4" s="154">
        <v>2040</v>
      </c>
      <c r="AM4" s="142">
        <v>2041</v>
      </c>
      <c r="AN4" s="142">
        <v>2042</v>
      </c>
      <c r="AO4" s="142">
        <v>2043</v>
      </c>
      <c r="AP4" s="142">
        <v>2044</v>
      </c>
      <c r="AQ4" s="154">
        <v>2045</v>
      </c>
      <c r="AR4" s="142">
        <v>2046</v>
      </c>
      <c r="AS4" s="142">
        <v>2047</v>
      </c>
      <c r="AT4" s="142">
        <v>2048</v>
      </c>
      <c r="AU4" s="142">
        <v>2049</v>
      </c>
      <c r="AV4" s="142">
        <v>2050</v>
      </c>
      <c r="AW4" s="441" t="s">
        <v>182</v>
      </c>
    </row>
    <row r="5" spans="1:49" ht="13.5" customHeight="1">
      <c r="A5" s="78" t="s">
        <v>1033</v>
      </c>
      <c r="B5" s="223">
        <v>130.33099999999999</v>
      </c>
      <c r="C5" s="223">
        <v>163.71100000000001</v>
      </c>
      <c r="D5" s="224">
        <v>192.869</v>
      </c>
      <c r="E5" s="224">
        <v>199.166</v>
      </c>
      <c r="F5" s="224">
        <v>200.482</v>
      </c>
      <c r="G5" s="224">
        <v>198.499</v>
      </c>
      <c r="H5" s="234" t="s">
        <v>170</v>
      </c>
      <c r="I5" s="234" t="s">
        <v>170</v>
      </c>
      <c r="J5" s="41"/>
      <c r="K5" s="225">
        <v>1.27</v>
      </c>
      <c r="L5" s="225">
        <v>0.88</v>
      </c>
      <c r="N5" s="37" t="s">
        <v>201</v>
      </c>
      <c r="O5" s="437">
        <f>B42*$A$33</f>
        <v>3853676399692560</v>
      </c>
      <c r="P5" s="439" cm="1">
        <f t="array" ref="P5">TREND($O31:$P31,$O$30:$P$30,P$4)</f>
        <v>4285375285763552</v>
      </c>
      <c r="Q5" s="439" cm="1">
        <f t="array" ref="Q5">TREND($O31:$P31,$O$30:$P$30,Q$4)</f>
        <v>4309358557211936</v>
      </c>
      <c r="R5" s="439" cm="1">
        <f t="array" ref="R5">TREND($O31:$P31,$O$30:$P$30,R$4)</f>
        <v>4333341828660328</v>
      </c>
      <c r="S5" s="439" cm="1">
        <f t="array" ref="S5">TREND($O31:$P31,$O$30:$P$30,S$4)</f>
        <v>4357325100108712</v>
      </c>
      <c r="T5" s="433">
        <f>C42*$A$33</f>
        <v>4381308371557110</v>
      </c>
      <c r="U5" s="149" cm="1">
        <f t="array" ref="U5">TREND($P31:$Q31,$P$30:$Q$30,U$4)</f>
        <v>4375657296322934</v>
      </c>
      <c r="V5" s="149" cm="1">
        <f t="array" ref="V5">TREND($P31:$Q31,$P$30:$Q$30,V$4)</f>
        <v>4370006221088760</v>
      </c>
      <c r="W5" s="149" cm="1">
        <f t="array" ref="W5">TREND($P31:$Q31,$P$30:$Q$30,W$4)</f>
        <v>4364355145854584</v>
      </c>
      <c r="X5" s="149" cm="1">
        <f t="array" ref="X5">TREND($P31:$Q31,$P$30:$Q$30,X$4)</f>
        <v>4358704070620410</v>
      </c>
      <c r="Y5" s="149" cm="1">
        <f t="array" ref="Y5">TREND($P31:$Q31,$P$30:$Q$30,Y$4)</f>
        <v>4353052995386234</v>
      </c>
      <c r="Z5" s="149" cm="1">
        <f t="array" ref="Z5">TREND($P31:$Q31,$P$30:$Q$30,Z$4)</f>
        <v>4347401920152060</v>
      </c>
      <c r="AA5" s="149" cm="1">
        <f t="array" ref="AA5">TREND($P31:$Q31,$P$30:$Q$30,AA$4)</f>
        <v>4341750844917884</v>
      </c>
      <c r="AB5" s="434">
        <f>D42*$A$33</f>
        <v>4336099769683710</v>
      </c>
      <c r="AC5" s="149" cm="1">
        <f t="array" ref="AC5">TREND($Q31:$R31,$Q$30:$R$30,AC$4)</f>
        <v>4313697717755392</v>
      </c>
      <c r="AD5" s="149" cm="1">
        <f t="array" ref="AD5">TREND($Q31:$R31,$Q$30:$R$30,AD$4)</f>
        <v>4291295665827072</v>
      </c>
      <c r="AE5" s="149" cm="1">
        <f t="array" ref="AE5">TREND($Q31:$R31,$Q$30:$R$30,AE$4)</f>
        <v>4268893613898752</v>
      </c>
      <c r="AF5" s="149" cm="1">
        <f t="array" ref="AF5">TREND($Q31:$R31,$Q$30:$R$30,AF$4)</f>
        <v>4246491561970432</v>
      </c>
      <c r="AG5" s="149" cm="1">
        <f t="array" ref="AG5">TREND($Q31:$R31,$Q$30:$R$30,AG$4)</f>
        <v>4224089510042112</v>
      </c>
      <c r="AH5" s="149" cm="1">
        <f t="array" ref="AH5">TREND($Q31:$R31,$Q$30:$R$30,AH$4)</f>
        <v>4201687458113800</v>
      </c>
      <c r="AI5" s="149" cm="1">
        <f t="array" ref="AI5">TREND($Q31:$R31,$Q$30:$R$30,AI$4)</f>
        <v>4179285406185480</v>
      </c>
      <c r="AJ5" s="149" cm="1">
        <f t="array" ref="AJ5">TREND($Q31:$R31,$Q$30:$R$30,AJ$4)</f>
        <v>4156883354257160</v>
      </c>
      <c r="AK5" s="149" cm="1">
        <f t="array" ref="AK5">TREND($Q31:$R31,$Q$30:$R$30,AK$4)</f>
        <v>4134481302328840</v>
      </c>
      <c r="AL5" s="434">
        <f>E42*$A$33</f>
        <v>4112079250400519.5</v>
      </c>
      <c r="AM5" s="149" cm="1">
        <f t="array" ref="AM5">TREND($R31:$S31,$R$30:$S$30,AM$4)</f>
        <v>4076098755242864</v>
      </c>
      <c r="AN5" s="149" cm="1">
        <f t="array" ref="AN5">TREND($R31:$S31,$R$30:$S$30,AN$4)</f>
        <v>4040118260085200</v>
      </c>
      <c r="AO5" s="149" cm="1">
        <f t="array" ref="AO5">TREND($R31:$S31,$R$30:$S$30,AO$4)</f>
        <v>4004137764927536</v>
      </c>
      <c r="AP5" s="149" cm="1">
        <f t="array" ref="AP5">TREND($R31:$S31,$R$30:$S$30,AP$4)</f>
        <v>3968157269769872</v>
      </c>
      <c r="AQ5" s="149" cm="1">
        <f t="array" ref="AQ5">TREND($R31:$S31,$R$30:$S$30,AQ$4)</f>
        <v>3932176774612208</v>
      </c>
      <c r="AR5" s="149" cm="1">
        <f t="array" ref="AR5">TREND($R31:$S31,$R$30:$S$30,AR$4)</f>
        <v>3896196279454544</v>
      </c>
      <c r="AS5" s="149" cm="1">
        <f t="array" ref="AS5">TREND($R31:$S31,$R$30:$S$30,AS$4)</f>
        <v>3860215784296880</v>
      </c>
      <c r="AT5" s="149" cm="1">
        <f t="array" ref="AT5">TREND($R31:$S31,$R$30:$S$30,AT$4)</f>
        <v>3824235289139216</v>
      </c>
      <c r="AU5" s="149" cm="1">
        <f t="array" ref="AU5">TREND($R31:$S31,$R$30:$S$30,AU$4)</f>
        <v>3788254793981552</v>
      </c>
      <c r="AV5" s="434">
        <f>F42*$A$33</f>
        <v>3752274298823890</v>
      </c>
      <c r="AW5" s="169">
        <f>(AV5/R5)^(1/30)-1</f>
        <v>-4.7877318783811074E-3</v>
      </c>
    </row>
    <row r="6" spans="1:49" ht="13.5" customHeight="1">
      <c r="A6" s="78" t="s">
        <v>1034</v>
      </c>
      <c r="B6" s="223">
        <v>7.1630000000000003</v>
      </c>
      <c r="C6" s="223">
        <v>8.8350000000000009</v>
      </c>
      <c r="D6" s="224">
        <v>9.9939999999999998</v>
      </c>
      <c r="E6" s="224">
        <v>10.558</v>
      </c>
      <c r="F6" s="224">
        <v>11.04</v>
      </c>
      <c r="G6" s="224">
        <v>11.282999999999999</v>
      </c>
      <c r="H6" s="234" t="s">
        <v>170</v>
      </c>
      <c r="I6" s="234" t="s">
        <v>170</v>
      </c>
      <c r="J6" s="41"/>
      <c r="K6" s="225">
        <v>1.17</v>
      </c>
      <c r="L6" s="225">
        <v>1.1200000000000001</v>
      </c>
      <c r="N6" s="42" t="s">
        <v>202</v>
      </c>
      <c r="O6" s="438">
        <f>B43*$A$33</f>
        <v>256499330629080</v>
      </c>
      <c r="P6" s="439" cm="1">
        <f t="array" ref="P6">TREND($O32:$P32,$O$30:$P$30,P$4)</f>
        <v>85799004464516</v>
      </c>
      <c r="Q6" s="439" cm="1">
        <f t="array" ref="Q6">TREND($O32:$P32,$O$30:$P$30,Q$4)</f>
        <v>76315653010928</v>
      </c>
      <c r="R6" s="439" cm="1">
        <f t="array" ref="R6">TREND($O32:$P32,$O$30:$P$30,R$4)</f>
        <v>66832301557344</v>
      </c>
      <c r="S6" s="439" cm="1">
        <f t="array" ref="S6">TREND($O32:$P32,$O$30:$P$30,S$4)</f>
        <v>57348950103756</v>
      </c>
      <c r="T6" s="395">
        <f>C43*$A$33</f>
        <v>47865598650170</v>
      </c>
      <c r="U6" s="149" cm="1">
        <f t="array" ref="U6">TREND($P32:$Q32,$P$30:$Q$30,U$4)</f>
        <v>46081048576220</v>
      </c>
      <c r="V6" s="149" cm="1">
        <f t="array" ref="V6">TREND($P32:$Q32,$P$30:$Q$30,V$4)</f>
        <v>44296498502270</v>
      </c>
      <c r="W6" s="149" cm="1">
        <f t="array" ref="W6">TREND($P32:$Q32,$P$30:$Q$30,W$4)</f>
        <v>42511948428320</v>
      </c>
      <c r="X6" s="149" cm="1">
        <f t="array" ref="X6">TREND($P32:$Q32,$P$30:$Q$30,X$4)</f>
        <v>40727398354370</v>
      </c>
      <c r="Y6" s="149" cm="1">
        <f t="array" ref="Y6">TREND($P32:$Q32,$P$30:$Q$30,Y$4)</f>
        <v>38942848280420</v>
      </c>
      <c r="Z6" s="149" cm="1">
        <f t="array" ref="Z6">TREND($P32:$Q32,$P$30:$Q$30,Z$4)</f>
        <v>37158298206470</v>
      </c>
      <c r="AA6" s="149" cm="1">
        <f t="array" ref="AA6">TREND($P32:$Q32,$P$30:$Q$30,AA$4)</f>
        <v>35373748132520</v>
      </c>
      <c r="AB6" s="156">
        <f>D43*$A$33</f>
        <v>33589198058570</v>
      </c>
      <c r="AC6" s="149" cm="1">
        <f t="array" ref="AC6">TREND($Q32:$R32,$Q$30:$R$30,AC$4)</f>
        <v>33648683061035</v>
      </c>
      <c r="AD6" s="149" cm="1">
        <f t="array" ref="AD6">TREND($Q32:$R32,$Q$30:$R$30,AD$4)</f>
        <v>33708168063500</v>
      </c>
      <c r="AE6" s="149" cm="1">
        <f t="array" ref="AE6">TREND($Q32:$R32,$Q$30:$R$30,AE$4)</f>
        <v>33767653065965</v>
      </c>
      <c r="AF6" s="149" cm="1">
        <f t="array" ref="AF6">TREND($Q32:$R32,$Q$30:$R$30,AF$4)</f>
        <v>33827138068430</v>
      </c>
      <c r="AG6" s="149" cm="1">
        <f t="array" ref="AG6">TREND($Q32:$R32,$Q$30:$R$30,AG$4)</f>
        <v>33886623070895</v>
      </c>
      <c r="AH6" s="149" cm="1">
        <f t="array" ref="AH6">TREND($Q32:$R32,$Q$30:$R$30,AH$4)</f>
        <v>33946108073360</v>
      </c>
      <c r="AI6" s="149" cm="1">
        <f t="array" ref="AI6">TREND($Q32:$R32,$Q$30:$R$30,AI$4)</f>
        <v>34005593075825</v>
      </c>
      <c r="AJ6" s="149" cm="1">
        <f t="array" ref="AJ6">TREND($Q32:$R32,$Q$30:$R$30,AJ$4)</f>
        <v>34065078078290</v>
      </c>
      <c r="AK6" s="149" cm="1">
        <f t="array" ref="AK6">TREND($Q32:$R32,$Q$30:$R$30,AK$4)</f>
        <v>34124563080755</v>
      </c>
      <c r="AL6" s="156">
        <f>E43*$A$33</f>
        <v>34184048083220</v>
      </c>
      <c r="AM6" s="149" cm="1">
        <f t="array" ref="AM6">TREND($R32:$S32,$R$30:$S$30,AM$4)</f>
        <v>34255430086178</v>
      </c>
      <c r="AN6" s="149" cm="1">
        <f t="array" ref="AN6">TREND($R32:$S32,$R$30:$S$30,AN$4)</f>
        <v>34326812089136</v>
      </c>
      <c r="AO6" s="149" cm="1">
        <f t="array" ref="AO6">TREND($R32:$S32,$R$30:$S$30,AO$4)</f>
        <v>34398194092094</v>
      </c>
      <c r="AP6" s="149" cm="1">
        <f t="array" ref="AP6">TREND($R32:$S32,$R$30:$S$30,AP$4)</f>
        <v>34469576095052</v>
      </c>
      <c r="AQ6" s="149" cm="1">
        <f t="array" ref="AQ6">TREND($R32:$S32,$R$30:$S$30,AQ$4)</f>
        <v>34540958098010</v>
      </c>
      <c r="AR6" s="149" cm="1">
        <f t="array" ref="AR6">TREND($R32:$S32,$R$30:$S$30,AR$4)</f>
        <v>34612340100968</v>
      </c>
      <c r="AS6" s="149" cm="1">
        <f t="array" ref="AS6">TREND($R32:$S32,$R$30:$S$30,AS$4)</f>
        <v>34683722103926</v>
      </c>
      <c r="AT6" s="149" cm="1">
        <f t="array" ref="AT6">TREND($R32:$S32,$R$30:$S$30,AT$4)</f>
        <v>34755104106884</v>
      </c>
      <c r="AU6" s="149" cm="1">
        <f t="array" ref="AU6">TREND($R32:$S32,$R$30:$S$30,AU$4)</f>
        <v>34826486109842</v>
      </c>
      <c r="AV6" s="156">
        <f>H43*$A$33</f>
        <v>34897868112800</v>
      </c>
      <c r="AW6" s="169"/>
    </row>
    <row r="7" spans="1:49" ht="13.5" customHeight="1">
      <c r="A7" s="78" t="s">
        <v>217</v>
      </c>
      <c r="B7" s="65">
        <v>100.61799999999999</v>
      </c>
      <c r="C7" s="65">
        <v>118.521</v>
      </c>
      <c r="D7" s="66">
        <v>125.675</v>
      </c>
      <c r="E7" s="66">
        <v>127.51</v>
      </c>
      <c r="F7" s="66">
        <v>127.178</v>
      </c>
      <c r="G7" s="66">
        <v>125.77200000000001</v>
      </c>
      <c r="H7" s="39">
        <v>100</v>
      </c>
      <c r="I7" s="39">
        <v>99.990000000000009</v>
      </c>
      <c r="J7" s="72"/>
      <c r="K7" s="73">
        <v>0.91</v>
      </c>
      <c r="L7" s="73">
        <v>0.27</v>
      </c>
      <c r="N7" s="42" t="s">
        <v>729</v>
      </c>
      <c r="O7" s="438">
        <f>(B44+B45)*$A$33</f>
        <v>3597177069063480</v>
      </c>
      <c r="P7" s="439" cm="1">
        <f t="array" ref="P7">TREND($O33:$P33,$O$30:$P$30,P$4)</f>
        <v>4199576281299032</v>
      </c>
      <c r="Q7" s="439" cm="1">
        <f t="array" ref="Q7">TREND($O33:$P33,$O$30:$P$30,Q$4)</f>
        <v>4233042904201008</v>
      </c>
      <c r="R7" s="439" cm="1">
        <f t="array" ref="R7">TREND($O33:$P33,$O$30:$P$30,R$4)</f>
        <v>4266509527102984</v>
      </c>
      <c r="S7" s="439" cm="1">
        <f t="array" ref="S7">TREND($O33:$P33,$O$30:$P$30,S$4)</f>
        <v>4299976150004960</v>
      </c>
      <c r="T7" s="401">
        <f>(C44+C45)*$A$33</f>
        <v>4333442772906940</v>
      </c>
      <c r="U7" s="161" cm="1">
        <f t="array" ref="U7">TREND($P33:$Q33,$P$30:$Q$30,U$4)</f>
        <v>4329576247746714</v>
      </c>
      <c r="V7" s="161" cm="1">
        <f t="array" ref="V7">TREND($P33:$Q33,$P$30:$Q$30,V$4)</f>
        <v>4325709722586489</v>
      </c>
      <c r="W7" s="161" cm="1">
        <f t="array" ref="W7">TREND($P33:$Q33,$P$30:$Q$30,W$4)</f>
        <v>4321843197426264</v>
      </c>
      <c r="X7" s="161" cm="1">
        <f t="array" ref="X7">TREND($P33:$Q33,$P$30:$Q$30,X$4)</f>
        <v>4317976672266039</v>
      </c>
      <c r="Y7" s="161" cm="1">
        <f t="array" ref="Y7">TREND($P33:$Q33,$P$30:$Q$30,Y$4)</f>
        <v>4314110147105814</v>
      </c>
      <c r="Z7" s="161" cm="1">
        <f t="array" ref="Z7">TREND($P33:$Q33,$P$30:$Q$30,Z$4)</f>
        <v>4310243621945589</v>
      </c>
      <c r="AA7" s="161" cm="1">
        <f t="array" ref="AA7">TREND($P33:$Q33,$P$30:$Q$30,AA$4)</f>
        <v>4306377096785364</v>
      </c>
      <c r="AB7" s="400">
        <f>(D44+D45)*$A$33</f>
        <v>4302510571625140</v>
      </c>
      <c r="AC7" s="161" cm="1">
        <f t="array" ref="AC7">TREND($Q33:$R33,$Q$30:$R$30,AC$4)</f>
        <v>4280049034694352</v>
      </c>
      <c r="AD7" s="161" cm="1">
        <f t="array" ref="AD7">TREND($Q33:$R33,$Q$30:$R$30,AD$4)</f>
        <v>4257587497763568</v>
      </c>
      <c r="AE7" s="161" cm="1">
        <f t="array" ref="AE7">TREND($Q33:$R33,$Q$30:$R$30,AE$4)</f>
        <v>4235125960832784</v>
      </c>
      <c r="AF7" s="161" cm="1">
        <f t="array" ref="AF7">TREND($Q33:$R33,$Q$30:$R$30,AF$4)</f>
        <v>4212664423902000</v>
      </c>
      <c r="AG7" s="161" cm="1">
        <f t="array" ref="AG7">TREND($Q33:$R33,$Q$30:$R$30,AG$4)</f>
        <v>4190202886971216</v>
      </c>
      <c r="AH7" s="161" cm="1">
        <f t="array" ref="AH7">TREND($Q33:$R33,$Q$30:$R$30,AH$4)</f>
        <v>4167741350040432</v>
      </c>
      <c r="AI7" s="161" cm="1">
        <f t="array" ref="AI7">TREND($Q33:$R33,$Q$30:$R$30,AI$4)</f>
        <v>4145279813109648</v>
      </c>
      <c r="AJ7" s="161" cm="1">
        <f t="array" ref="AJ7">TREND($Q33:$R33,$Q$30:$R$30,AJ$4)</f>
        <v>4122818276178864</v>
      </c>
      <c r="AK7" s="161" cm="1">
        <f t="array" ref="AK7">TREND($Q33:$R33,$Q$30:$R$30,AK$4)</f>
        <v>4100356739248080</v>
      </c>
      <c r="AL7" s="400">
        <f>(E44+E45)*$A$33</f>
        <v>4077895202317300</v>
      </c>
      <c r="AM7" s="149" cm="1">
        <f t="array" ref="AM7">TREND($R33:$S33,$R$30:$S$30,AM$4)</f>
        <v>4042033677164576</v>
      </c>
      <c r="AN7" s="149" cm="1">
        <f t="array" ref="AN7">TREND($R33:$S33,$R$30:$S$30,AN$4)</f>
        <v>4006172152011840</v>
      </c>
      <c r="AO7" s="149" cm="1">
        <f t="array" ref="AO7">TREND($R33:$S33,$R$30:$S$30,AO$4)</f>
        <v>3970310626859104</v>
      </c>
      <c r="AP7" s="149" cm="1">
        <f t="array" ref="AP7">TREND($R33:$S33,$R$30:$S$30,AP$4)</f>
        <v>3934449101706368</v>
      </c>
      <c r="AQ7" s="149" cm="1">
        <f t="array" ref="AQ7">TREND($R33:$S33,$R$30:$S$30,AQ$4)</f>
        <v>3898587576553632</v>
      </c>
      <c r="AR7" s="149" cm="1">
        <f t="array" ref="AR7">TREND($R33:$S33,$R$30:$S$30,AR$4)</f>
        <v>3862726051400912</v>
      </c>
      <c r="AS7" s="149" cm="1">
        <f t="array" ref="AS7">TREND($R33:$S33,$R$30:$S$30,AS$4)</f>
        <v>3826864526248176</v>
      </c>
      <c r="AT7" s="149" cm="1">
        <f t="array" ref="AT7">TREND($R33:$S33,$R$30:$S$30,AT$4)</f>
        <v>3791003001095440</v>
      </c>
      <c r="AU7" s="149" cm="1">
        <f t="array" ref="AU7">TREND($R33:$S33,$R$30:$S$30,AU$4)</f>
        <v>3755141475942704</v>
      </c>
      <c r="AV7" s="400">
        <f>(F44+F45)*$A$33</f>
        <v>3719279950789970</v>
      </c>
      <c r="AW7" s="167"/>
    </row>
    <row r="8" spans="1:49" ht="13.5" customHeight="1">
      <c r="A8" s="42" t="s">
        <v>1035</v>
      </c>
      <c r="B8" s="223">
        <v>6.7789999999999999</v>
      </c>
      <c r="C8" s="223">
        <v>1.6910000000000001</v>
      </c>
      <c r="D8" s="224">
        <v>0.81699999999999995</v>
      </c>
      <c r="E8" s="224">
        <v>0.83599999999999997</v>
      </c>
      <c r="F8" s="224">
        <v>0.84599999999999997</v>
      </c>
      <c r="G8" s="224">
        <v>0.78600000000000003</v>
      </c>
      <c r="H8" s="45">
        <v>1.43</v>
      </c>
      <c r="I8" s="45">
        <v>0.62</v>
      </c>
      <c r="J8" s="41"/>
      <c r="K8" s="225">
        <v>-7.42</v>
      </c>
      <c r="L8" s="225">
        <v>-3.42</v>
      </c>
      <c r="N8" s="50"/>
      <c r="O8" s="147"/>
      <c r="P8" s="147"/>
      <c r="Q8" s="206"/>
      <c r="R8" s="149"/>
      <c r="S8" s="149"/>
      <c r="T8" s="395"/>
      <c r="U8" s="149"/>
      <c r="V8" s="149"/>
      <c r="W8" s="156"/>
      <c r="X8" s="149"/>
      <c r="Y8" s="149"/>
      <c r="Z8" s="149"/>
      <c r="AA8" s="149"/>
      <c r="AB8" s="156"/>
      <c r="AC8" s="149"/>
      <c r="AD8" s="149"/>
      <c r="AE8" s="149"/>
      <c r="AF8" s="149"/>
      <c r="AG8" s="156"/>
      <c r="AH8" s="149"/>
      <c r="AI8" s="149"/>
      <c r="AJ8" s="149"/>
      <c r="AK8" s="149"/>
      <c r="AL8" s="156"/>
      <c r="AM8" s="149"/>
      <c r="AN8" s="149"/>
      <c r="AO8" s="149"/>
      <c r="AP8" s="149"/>
      <c r="AQ8" s="149"/>
      <c r="AR8" s="149"/>
      <c r="AS8" s="149"/>
      <c r="AT8" s="149"/>
      <c r="AU8" s="149"/>
      <c r="AV8" s="149"/>
      <c r="AW8" s="167"/>
    </row>
    <row r="9" spans="1:49" ht="13.5" customHeight="1">
      <c r="A9" s="42" t="s">
        <v>729</v>
      </c>
      <c r="B9" s="223">
        <v>93.838999999999999</v>
      </c>
      <c r="C9" s="223">
        <v>116.83</v>
      </c>
      <c r="D9" s="224">
        <v>124.858</v>
      </c>
      <c r="E9" s="224">
        <v>126.675</v>
      </c>
      <c r="F9" s="224">
        <v>126.33199999999999</v>
      </c>
      <c r="G9" s="224">
        <v>124.985</v>
      </c>
      <c r="H9" s="45">
        <v>98.57</v>
      </c>
      <c r="I9" s="45">
        <v>99.37</v>
      </c>
      <c r="J9" s="41"/>
      <c r="K9" s="225">
        <v>1.22</v>
      </c>
      <c r="L9" s="225">
        <v>0.31</v>
      </c>
      <c r="N9" s="37" t="s">
        <v>205</v>
      </c>
      <c r="O9" s="147"/>
      <c r="P9" s="147"/>
      <c r="Q9" s="212">
        <f>Q5/P5-1</f>
        <v>5.5965393574883837E-3</v>
      </c>
      <c r="R9" s="212">
        <f>R5/Q5-1</f>
        <v>5.565392419773163E-3</v>
      </c>
      <c r="S9" s="212">
        <f t="shared" ref="S9:AV9" si="0">S5/R5-1</f>
        <v>5.5345902531300784E-3</v>
      </c>
      <c r="T9" s="399">
        <f>T5/S5-1</f>
        <v>5.5041271645761558E-3</v>
      </c>
      <c r="U9" s="212">
        <f t="shared" si="0"/>
        <v>-1.2898145382466142E-3</v>
      </c>
      <c r="V9" s="212">
        <f t="shared" si="0"/>
        <v>-1.2914803083237114E-3</v>
      </c>
      <c r="W9" s="212">
        <f t="shared" si="0"/>
        <v>-1.2931503865841742E-3</v>
      </c>
      <c r="X9" s="212">
        <f t="shared" si="0"/>
        <v>-1.2948247897610621E-3</v>
      </c>
      <c r="Y9" s="212">
        <f t="shared" si="0"/>
        <v>-1.2965035346782505E-3</v>
      </c>
      <c r="Z9" s="212">
        <f t="shared" si="0"/>
        <v>-1.298186638242993E-3</v>
      </c>
      <c r="AA9" s="212">
        <f t="shared" si="0"/>
        <v>-1.2998741174541362E-3</v>
      </c>
      <c r="AB9" s="212">
        <f t="shared" si="0"/>
        <v>-1.301565989395459E-3</v>
      </c>
      <c r="AC9" s="212">
        <f t="shared" si="0"/>
        <v>-5.1664060142121437E-3</v>
      </c>
      <c r="AD9" s="212">
        <f t="shared" si="0"/>
        <v>-5.1932363818892879E-3</v>
      </c>
      <c r="AE9" s="212">
        <f t="shared" si="0"/>
        <v>-5.2203468772180628E-3</v>
      </c>
      <c r="AF9" s="212">
        <f t="shared" si="0"/>
        <v>-5.2477419103120759E-3</v>
      </c>
      <c r="AG9" s="212">
        <f t="shared" si="0"/>
        <v>-5.2754259843448281E-3</v>
      </c>
      <c r="AH9" s="212">
        <f t="shared" si="0"/>
        <v>-5.3034036980169619E-3</v>
      </c>
      <c r="AI9" s="212">
        <f t="shared" si="0"/>
        <v>-5.3316797481116618E-3</v>
      </c>
      <c r="AJ9" s="212">
        <f t="shared" si="0"/>
        <v>-5.3602589321045668E-3</v>
      </c>
      <c r="AK9" s="212">
        <f t="shared" si="0"/>
        <v>-5.3891461508963623E-3</v>
      </c>
      <c r="AL9" s="212">
        <f t="shared" si="0"/>
        <v>-5.4183464116047686E-3</v>
      </c>
      <c r="AM9" s="212">
        <f t="shared" si="0"/>
        <v>-8.7499517802704929E-3</v>
      </c>
      <c r="AN9" s="212">
        <f t="shared" si="0"/>
        <v>-8.8271892606587299E-3</v>
      </c>
      <c r="AO9" s="212">
        <f t="shared" si="0"/>
        <v>-8.9058024645310985E-3</v>
      </c>
      <c r="AP9" s="212">
        <f t="shared" si="0"/>
        <v>-8.9858284779358311E-3</v>
      </c>
      <c r="AQ9" s="212">
        <f t="shared" si="0"/>
        <v>-9.0673057320005412E-3</v>
      </c>
      <c r="AR9" s="212">
        <f t="shared" si="0"/>
        <v>-9.1502740644747727E-3</v>
      </c>
      <c r="AS9" s="212">
        <f t="shared" si="0"/>
        <v>-9.234774784678268E-3</v>
      </c>
      <c r="AT9" s="212">
        <f t="shared" si="0"/>
        <v>-9.3208507420829978E-3</v>
      </c>
      <c r="AU9" s="212">
        <f t="shared" si="0"/>
        <v>-9.4085463987658713E-3</v>
      </c>
      <c r="AV9" s="212">
        <f t="shared" si="0"/>
        <v>-9.4979079059900329E-3</v>
      </c>
      <c r="AW9" s="167"/>
    </row>
    <row r="10" spans="1:49" s="206" customFormat="1" ht="3" customHeight="1">
      <c r="A10" s="50"/>
      <c r="B10" s="51"/>
      <c r="C10" s="51"/>
      <c r="D10" s="52"/>
      <c r="E10" s="52"/>
      <c r="F10" s="52"/>
      <c r="G10" s="52"/>
      <c r="H10" s="52"/>
      <c r="I10" s="52"/>
      <c r="J10" s="54"/>
      <c r="K10" s="54"/>
      <c r="L10" s="54"/>
      <c r="M10" s="30"/>
      <c r="N10" s="42"/>
      <c r="O10" s="215"/>
      <c r="P10" s="215"/>
      <c r="Q10" s="149"/>
      <c r="R10" s="149"/>
      <c r="S10" s="149"/>
      <c r="T10" s="149"/>
      <c r="U10" s="149"/>
      <c r="V10" s="149"/>
      <c r="W10" s="149"/>
      <c r="X10" s="149"/>
      <c r="Y10" s="149"/>
      <c r="Z10" s="149"/>
      <c r="AA10" s="149"/>
      <c r="AB10" s="149"/>
      <c r="AC10" s="149"/>
      <c r="AD10" s="149"/>
      <c r="AE10" s="149"/>
      <c r="AF10" s="149"/>
      <c r="AG10" s="149"/>
      <c r="AH10" s="149"/>
      <c r="AI10" s="149"/>
      <c r="AJ10" s="149"/>
      <c r="AK10" s="149"/>
      <c r="AL10" s="149"/>
      <c r="AM10" s="149"/>
      <c r="AN10" s="149"/>
      <c r="AO10" s="149"/>
      <c r="AP10" s="149"/>
      <c r="AQ10" s="149"/>
      <c r="AR10" s="149"/>
      <c r="AS10" s="149"/>
      <c r="AT10" s="149"/>
      <c r="AU10" s="149"/>
      <c r="AV10" s="149"/>
      <c r="AW10" s="167"/>
    </row>
    <row r="11" spans="1:49" ht="13.5" customHeight="1">
      <c r="A11" s="37" t="s">
        <v>1036</v>
      </c>
      <c r="B11" s="235"/>
      <c r="C11" s="235"/>
      <c r="D11" s="236"/>
      <c r="E11" s="236"/>
      <c r="F11" s="236"/>
      <c r="G11" s="236"/>
      <c r="H11" s="234"/>
      <c r="I11" s="234"/>
      <c r="J11" s="41"/>
      <c r="K11" s="225"/>
      <c r="L11" s="225"/>
      <c r="N11" s="402" t="s">
        <v>1037</v>
      </c>
      <c r="O11" s="215"/>
      <c r="P11" s="215"/>
      <c r="Q11" s="149"/>
      <c r="R11" s="149"/>
      <c r="S11" s="149"/>
      <c r="T11" s="149"/>
      <c r="U11" s="149"/>
      <c r="V11" s="149"/>
      <c r="W11" s="149"/>
      <c r="X11" s="149"/>
      <c r="Y11" s="149"/>
      <c r="Z11" s="149"/>
      <c r="AA11" s="149"/>
      <c r="AB11" s="149"/>
      <c r="AC11" s="149"/>
      <c r="AD11" s="149"/>
      <c r="AE11" s="149"/>
      <c r="AF11" s="149"/>
      <c r="AG11" s="149"/>
      <c r="AH11" s="149"/>
      <c r="AI11" s="149"/>
      <c r="AJ11" s="149"/>
      <c r="AK11" s="149"/>
      <c r="AL11" s="149"/>
      <c r="AM11" s="149"/>
      <c r="AN11" s="149"/>
      <c r="AO11" s="149"/>
      <c r="AP11" s="149"/>
      <c r="AQ11" s="149"/>
      <c r="AR11" s="149"/>
      <c r="AS11" s="149"/>
      <c r="AT11" s="149"/>
      <c r="AU11" s="149"/>
      <c r="AV11" s="149"/>
      <c r="AW11" s="167"/>
    </row>
    <row r="12" spans="1:49" ht="13.5" customHeight="1">
      <c r="A12" s="42" t="s">
        <v>549</v>
      </c>
      <c r="B12" s="223">
        <v>8.2319999999999993</v>
      </c>
      <c r="C12" s="223">
        <v>9.8940000000000001</v>
      </c>
      <c r="D12" s="224">
        <v>10.462999999999999</v>
      </c>
      <c r="E12" s="224">
        <v>10.816000000000001</v>
      </c>
      <c r="F12" s="224">
        <v>10.688000000000001</v>
      </c>
      <c r="G12" s="224">
        <v>10.170999999999999</v>
      </c>
      <c r="H12" s="45">
        <v>8.35</v>
      </c>
      <c r="I12" s="45">
        <v>8.09</v>
      </c>
      <c r="J12" s="41"/>
      <c r="K12" s="225">
        <v>1.03</v>
      </c>
      <c r="L12" s="225">
        <v>0.13</v>
      </c>
      <c r="M12" s="55"/>
      <c r="N12" s="213"/>
      <c r="O12" s="215"/>
      <c r="P12" s="215"/>
      <c r="Q12" s="149"/>
      <c r="R12" s="149"/>
      <c r="S12" s="149"/>
      <c r="T12" s="149"/>
      <c r="U12" s="149"/>
      <c r="V12" s="149"/>
      <c r="W12" s="214"/>
      <c r="X12" s="149"/>
      <c r="Y12" s="149"/>
      <c r="Z12" s="149"/>
      <c r="AA12" s="149"/>
      <c r="AB12" s="214"/>
      <c r="AC12" s="149"/>
      <c r="AD12" s="149"/>
      <c r="AE12" s="149"/>
      <c r="AF12" s="149"/>
      <c r="AG12" s="214"/>
      <c r="AH12" s="149"/>
      <c r="AI12" s="149"/>
      <c r="AJ12" s="149"/>
      <c r="AK12" s="149"/>
      <c r="AL12" s="214"/>
      <c r="AM12" s="149"/>
      <c r="AN12" s="149"/>
      <c r="AO12" s="149"/>
      <c r="AP12" s="149"/>
      <c r="AQ12" s="149"/>
      <c r="AR12" s="149"/>
      <c r="AS12" s="149"/>
      <c r="AT12" s="149"/>
      <c r="AU12" s="149"/>
      <c r="AV12" s="149"/>
      <c r="AW12" s="167"/>
    </row>
    <row r="13" spans="1:49" ht="13.5" customHeight="1">
      <c r="A13" s="42" t="s">
        <v>553</v>
      </c>
      <c r="B13" s="223">
        <v>9.67</v>
      </c>
      <c r="C13" s="223">
        <v>2.6309999999999998</v>
      </c>
      <c r="D13" s="224">
        <v>1.7490000000000001</v>
      </c>
      <c r="E13" s="224">
        <v>1.3640000000000001</v>
      </c>
      <c r="F13" s="224">
        <v>1.077</v>
      </c>
      <c r="G13" s="224">
        <v>0.86399999999999999</v>
      </c>
      <c r="H13" s="45">
        <v>2.2200000000000002</v>
      </c>
      <c r="I13" s="45">
        <v>0.69</v>
      </c>
      <c r="J13" s="41"/>
      <c r="K13" s="225">
        <v>-6.98</v>
      </c>
      <c r="L13" s="225">
        <v>-4.9400000000000004</v>
      </c>
      <c r="N13" s="37"/>
      <c r="O13" s="215"/>
      <c r="P13" s="215"/>
      <c r="Q13" s="149"/>
      <c r="R13" s="149"/>
      <c r="S13" s="149"/>
      <c r="T13" s="149"/>
      <c r="U13" s="149"/>
      <c r="V13" s="149"/>
      <c r="W13" s="149"/>
      <c r="X13" s="149"/>
      <c r="Y13" s="149"/>
      <c r="Z13" s="149"/>
      <c r="AA13" s="149"/>
      <c r="AB13" s="149"/>
      <c r="AC13" s="149"/>
      <c r="AD13" s="149"/>
      <c r="AE13" s="149"/>
      <c r="AF13" s="149"/>
      <c r="AG13" s="149"/>
      <c r="AH13" s="149"/>
      <c r="AI13" s="149"/>
      <c r="AJ13" s="149"/>
      <c r="AK13" s="149"/>
      <c r="AL13" s="149"/>
      <c r="AM13" s="149"/>
      <c r="AN13" s="149"/>
      <c r="AO13" s="149"/>
      <c r="AP13" s="149"/>
      <c r="AQ13" s="149"/>
      <c r="AR13" s="149"/>
      <c r="AS13" s="149"/>
      <c r="AT13" s="149"/>
      <c r="AU13" s="149"/>
      <c r="AV13" s="149"/>
      <c r="AW13" s="169"/>
    </row>
    <row r="14" spans="1:49" ht="13.5" customHeight="1">
      <c r="A14" s="42" t="s">
        <v>554</v>
      </c>
      <c r="B14" s="223">
        <v>18.931000000000001</v>
      </c>
      <c r="C14" s="223">
        <v>23.555</v>
      </c>
      <c r="D14" s="224">
        <v>24.047000000000001</v>
      </c>
      <c r="E14" s="224">
        <v>23.135999999999999</v>
      </c>
      <c r="F14" s="224">
        <v>21.914999999999999</v>
      </c>
      <c r="G14" s="224">
        <v>20.768999999999998</v>
      </c>
      <c r="H14" s="45">
        <v>19.87</v>
      </c>
      <c r="I14" s="45">
        <v>16.510000000000002</v>
      </c>
      <c r="J14" s="41"/>
      <c r="K14" s="225">
        <v>1.22</v>
      </c>
      <c r="L14" s="225">
        <v>-0.56999999999999995</v>
      </c>
      <c r="N14" s="42"/>
      <c r="O14" s="215"/>
      <c r="P14" s="215"/>
      <c r="Q14" s="149"/>
      <c r="R14" s="149"/>
      <c r="S14" s="149"/>
      <c r="T14" s="149"/>
      <c r="U14" s="149"/>
      <c r="V14" s="149"/>
      <c r="W14" s="149"/>
      <c r="X14" s="149"/>
      <c r="Y14" s="149"/>
      <c r="Z14" s="149"/>
      <c r="AA14" s="149"/>
      <c r="AB14" s="149"/>
      <c r="AC14" s="149"/>
      <c r="AD14" s="149"/>
      <c r="AE14" s="149"/>
      <c r="AF14" s="149"/>
      <c r="AG14" s="149"/>
      <c r="AH14" s="149"/>
      <c r="AI14" s="149"/>
      <c r="AJ14" s="149"/>
      <c r="AK14" s="149"/>
      <c r="AL14" s="149"/>
      <c r="AM14" s="149"/>
      <c r="AN14" s="149"/>
      <c r="AO14" s="149"/>
      <c r="AP14" s="149"/>
      <c r="AQ14" s="149"/>
      <c r="AR14" s="149"/>
      <c r="AS14" s="149"/>
      <c r="AT14" s="149"/>
      <c r="AU14" s="149"/>
      <c r="AV14" s="149"/>
      <c r="AW14" s="167"/>
    </row>
    <row r="15" spans="1:49" ht="13.5" customHeight="1">
      <c r="A15" s="42" t="s">
        <v>1038</v>
      </c>
      <c r="B15" s="223">
        <v>20.388999999999999</v>
      </c>
      <c r="C15" s="223">
        <v>5.3140000000000001</v>
      </c>
      <c r="D15" s="224">
        <v>4.6580000000000004</v>
      </c>
      <c r="E15" s="224">
        <v>4.6950000000000003</v>
      </c>
      <c r="F15" s="224">
        <v>4.6859999999999999</v>
      </c>
      <c r="G15" s="224">
        <v>4.5720000000000001</v>
      </c>
      <c r="H15" s="45">
        <v>4.4800000000000004</v>
      </c>
      <c r="I15" s="45">
        <v>3.64</v>
      </c>
      <c r="J15" s="41"/>
      <c r="K15" s="225">
        <v>-7.2</v>
      </c>
      <c r="L15" s="225">
        <v>-0.68</v>
      </c>
      <c r="N15" s="42"/>
      <c r="O15" s="215"/>
      <c r="P15" s="215"/>
      <c r="Q15" s="149"/>
      <c r="R15" s="149"/>
      <c r="S15" s="149"/>
      <c r="T15" s="149"/>
      <c r="U15" s="149"/>
      <c r="V15" s="149"/>
      <c r="W15" s="149"/>
      <c r="X15" s="149"/>
      <c r="Y15" s="149"/>
      <c r="Z15" s="149"/>
      <c r="AA15" s="149"/>
      <c r="AB15" s="149"/>
      <c r="AC15" s="149"/>
      <c r="AD15" s="149"/>
      <c r="AE15" s="149"/>
      <c r="AF15" s="149"/>
      <c r="AG15" s="149"/>
      <c r="AH15" s="149"/>
      <c r="AI15" s="149"/>
      <c r="AJ15" s="149"/>
      <c r="AK15" s="149"/>
      <c r="AL15" s="149"/>
      <c r="AM15" s="149"/>
      <c r="AN15" s="149"/>
      <c r="AO15" s="149"/>
      <c r="AP15" s="149"/>
      <c r="AQ15" s="149"/>
      <c r="AR15" s="149"/>
      <c r="AS15" s="149"/>
      <c r="AT15" s="149"/>
      <c r="AU15" s="149"/>
      <c r="AV15" s="149"/>
      <c r="AW15" s="167"/>
    </row>
    <row r="16" spans="1:49" ht="13.5" customHeight="1">
      <c r="A16" s="42" t="s">
        <v>1039</v>
      </c>
      <c r="B16" s="223">
        <v>2.5209999999999999</v>
      </c>
      <c r="C16" s="223">
        <v>5.5250000000000004</v>
      </c>
      <c r="D16" s="224">
        <v>6.2930000000000001</v>
      </c>
      <c r="E16" s="224">
        <v>6.8449999999999998</v>
      </c>
      <c r="F16" s="224">
        <v>7.2249999999999996</v>
      </c>
      <c r="G16" s="224">
        <v>7.4859999999999998</v>
      </c>
      <c r="H16" s="45">
        <v>4.66</v>
      </c>
      <c r="I16" s="45">
        <v>5.95</v>
      </c>
      <c r="J16" s="41"/>
      <c r="K16" s="225">
        <v>4.46</v>
      </c>
      <c r="L16" s="225">
        <v>1.39</v>
      </c>
      <c r="N16" s="42"/>
      <c r="O16" s="215"/>
      <c r="P16" s="215"/>
      <c r="Q16" s="149"/>
      <c r="R16" s="149"/>
      <c r="S16" s="149"/>
      <c r="T16" s="149"/>
      <c r="U16" s="149"/>
      <c r="V16" s="149"/>
      <c r="W16" s="149"/>
      <c r="X16" s="149"/>
      <c r="Y16" s="149"/>
      <c r="Z16" s="149"/>
      <c r="AA16" s="149"/>
      <c r="AB16" s="149"/>
      <c r="AC16" s="149"/>
      <c r="AD16" s="149"/>
      <c r="AE16" s="149"/>
      <c r="AF16" s="149"/>
      <c r="AG16" s="149"/>
      <c r="AH16" s="149"/>
      <c r="AI16" s="149"/>
      <c r="AJ16" s="149"/>
      <c r="AK16" s="149"/>
      <c r="AL16" s="149"/>
      <c r="AM16" s="149"/>
      <c r="AN16" s="149"/>
      <c r="AO16" s="149"/>
      <c r="AP16" s="149"/>
      <c r="AQ16" s="149"/>
      <c r="AR16" s="149"/>
      <c r="AS16" s="149"/>
      <c r="AT16" s="149"/>
      <c r="AU16" s="149"/>
      <c r="AV16" s="149"/>
      <c r="AW16" s="167"/>
    </row>
    <row r="17" spans="1:49" ht="13.5" customHeight="1">
      <c r="A17" s="42" t="s">
        <v>547</v>
      </c>
      <c r="B17" s="223">
        <v>4.548</v>
      </c>
      <c r="C17" s="223">
        <v>6.165</v>
      </c>
      <c r="D17" s="224">
        <v>6.2729999999999997</v>
      </c>
      <c r="E17" s="224">
        <v>6.319</v>
      </c>
      <c r="F17" s="224">
        <v>6.306</v>
      </c>
      <c r="G17" s="224">
        <v>6.2859999999999996</v>
      </c>
      <c r="H17" s="45">
        <v>5.2</v>
      </c>
      <c r="I17" s="45">
        <v>5</v>
      </c>
      <c r="J17" s="41"/>
      <c r="K17" s="225">
        <v>1.7</v>
      </c>
      <c r="L17" s="225">
        <v>0.09</v>
      </c>
      <c r="N17" s="42"/>
      <c r="O17" s="215"/>
      <c r="P17" s="215"/>
      <c r="Q17" s="149"/>
      <c r="R17" s="149"/>
      <c r="S17" s="149"/>
      <c r="T17" s="149"/>
      <c r="U17" s="149"/>
      <c r="V17" s="149"/>
      <c r="W17" s="149"/>
      <c r="X17" s="149"/>
      <c r="Y17" s="149"/>
      <c r="Z17" s="149"/>
      <c r="AA17" s="149"/>
      <c r="AB17" s="149"/>
      <c r="AC17" s="149"/>
      <c r="AD17" s="149"/>
      <c r="AE17" s="149"/>
      <c r="AF17" s="149"/>
      <c r="AG17" s="149"/>
      <c r="AH17" s="149"/>
      <c r="AI17" s="149"/>
      <c r="AJ17" s="149"/>
      <c r="AK17" s="149"/>
      <c r="AL17" s="149"/>
      <c r="AM17" s="149"/>
      <c r="AN17" s="149"/>
      <c r="AO17" s="149"/>
      <c r="AP17" s="149"/>
      <c r="AQ17" s="149"/>
      <c r="AR17" s="149"/>
      <c r="AS17" s="149"/>
      <c r="AT17" s="149"/>
      <c r="AU17" s="149"/>
      <c r="AV17" s="149"/>
      <c r="AW17" s="167"/>
    </row>
    <row r="18" spans="1:49" ht="13.5" customHeight="1">
      <c r="A18" s="42" t="s">
        <v>548</v>
      </c>
      <c r="B18" s="223">
        <v>4.0960000000000001</v>
      </c>
      <c r="C18" s="223">
        <v>4.9950000000000001</v>
      </c>
      <c r="D18" s="224">
        <v>4.7690000000000001</v>
      </c>
      <c r="E18" s="224">
        <v>4.8460000000000001</v>
      </c>
      <c r="F18" s="224">
        <v>4.8310000000000004</v>
      </c>
      <c r="G18" s="224">
        <v>4.7210000000000001</v>
      </c>
      <c r="H18" s="45">
        <v>4.21</v>
      </c>
      <c r="I18" s="45">
        <v>3.75</v>
      </c>
      <c r="J18" s="41"/>
      <c r="K18" s="225">
        <v>1.1100000000000001</v>
      </c>
      <c r="L18" s="225">
        <v>-0.26</v>
      </c>
      <c r="N18" s="42"/>
      <c r="O18" s="215"/>
      <c r="P18" s="215"/>
      <c r="Q18" s="149"/>
      <c r="R18" s="149"/>
      <c r="S18" s="149"/>
      <c r="T18" s="149"/>
      <c r="U18" s="149"/>
      <c r="V18" s="149"/>
      <c r="W18" s="149"/>
      <c r="X18" s="149"/>
      <c r="Y18" s="149"/>
      <c r="Z18" s="149"/>
      <c r="AA18" s="149"/>
      <c r="AB18" s="149"/>
      <c r="AC18" s="149"/>
      <c r="AD18" s="149"/>
      <c r="AE18" s="149"/>
      <c r="AF18" s="149"/>
      <c r="AG18" s="149"/>
      <c r="AH18" s="149"/>
      <c r="AI18" s="149"/>
      <c r="AJ18" s="149"/>
      <c r="AK18" s="149"/>
      <c r="AL18" s="149"/>
      <c r="AM18" s="149"/>
      <c r="AN18" s="149"/>
      <c r="AO18" s="149"/>
      <c r="AP18" s="149"/>
      <c r="AQ18" s="149"/>
      <c r="AR18" s="149"/>
      <c r="AS18" s="149"/>
      <c r="AT18" s="149"/>
      <c r="AU18" s="149"/>
      <c r="AV18" s="149"/>
      <c r="AW18" s="167"/>
    </row>
    <row r="19" spans="1:49" ht="13.5" customHeight="1">
      <c r="A19" s="42" t="s">
        <v>558</v>
      </c>
      <c r="B19" s="223">
        <v>29.129000000000001</v>
      </c>
      <c r="C19" s="223">
        <v>55.301000000000002</v>
      </c>
      <c r="D19" s="224">
        <v>61.433</v>
      </c>
      <c r="E19" s="224">
        <v>62.978000000000002</v>
      </c>
      <c r="F19" s="224">
        <v>63.631999999999998</v>
      </c>
      <c r="G19" s="224">
        <v>63.924999999999997</v>
      </c>
      <c r="H19" s="45">
        <v>46.66</v>
      </c>
      <c r="I19" s="45">
        <v>50.83</v>
      </c>
      <c r="J19" s="41"/>
      <c r="K19" s="225">
        <v>3.63</v>
      </c>
      <c r="L19" s="225">
        <v>0.66</v>
      </c>
      <c r="M19" s="55"/>
      <c r="N19" s="42"/>
      <c r="O19" s="215"/>
      <c r="P19" s="215"/>
      <c r="Q19" s="149"/>
      <c r="R19" s="149"/>
      <c r="S19" s="149"/>
      <c r="T19" s="149"/>
      <c r="U19" s="149"/>
      <c r="V19" s="149"/>
      <c r="W19" s="149"/>
      <c r="X19" s="149"/>
      <c r="Y19" s="149"/>
      <c r="Z19" s="149"/>
      <c r="AA19" s="149"/>
      <c r="AB19" s="149"/>
      <c r="AC19" s="149"/>
      <c r="AD19" s="149"/>
      <c r="AE19" s="149"/>
      <c r="AF19" s="149"/>
      <c r="AG19" s="149"/>
      <c r="AH19" s="149"/>
      <c r="AI19" s="149"/>
      <c r="AJ19" s="149"/>
      <c r="AK19" s="149"/>
      <c r="AL19" s="149"/>
      <c r="AM19" s="149"/>
      <c r="AN19" s="149"/>
      <c r="AO19" s="149"/>
      <c r="AP19" s="149"/>
      <c r="AQ19" s="149"/>
      <c r="AR19" s="149"/>
      <c r="AS19" s="149"/>
      <c r="AT19" s="149"/>
      <c r="AU19" s="149"/>
      <c r="AV19" s="149"/>
      <c r="AW19" s="167"/>
    </row>
    <row r="20" spans="1:49" ht="13.5" customHeight="1">
      <c r="A20" s="42" t="s">
        <v>1040</v>
      </c>
      <c r="B20" s="223">
        <v>3.1019999999999999</v>
      </c>
      <c r="C20" s="223">
        <v>5.141</v>
      </c>
      <c r="D20" s="224">
        <v>5.9880000000000004</v>
      </c>
      <c r="E20" s="224">
        <v>6.5110000000000001</v>
      </c>
      <c r="F20" s="224">
        <v>6.8170000000000002</v>
      </c>
      <c r="G20" s="224">
        <v>6.9790000000000001</v>
      </c>
      <c r="H20" s="45">
        <v>4.34</v>
      </c>
      <c r="I20" s="45">
        <v>5.55</v>
      </c>
      <c r="J20" s="41"/>
      <c r="K20" s="225">
        <v>2.85</v>
      </c>
      <c r="L20" s="225">
        <v>1.4</v>
      </c>
    </row>
    <row r="21" spans="1:49" s="206" customFormat="1" ht="3" customHeight="1">
      <c r="A21" s="50"/>
      <c r="B21" s="51"/>
      <c r="C21" s="51"/>
      <c r="D21" s="52"/>
      <c r="E21" s="52"/>
      <c r="F21" s="52"/>
      <c r="G21" s="52"/>
      <c r="H21" s="52"/>
      <c r="I21" s="52"/>
      <c r="J21" s="54"/>
      <c r="K21" s="54"/>
      <c r="L21" s="54"/>
      <c r="M21" s="30"/>
      <c r="N21" s="31"/>
      <c r="O21" s="144"/>
      <c r="P21" s="144"/>
      <c r="Q21" s="144"/>
      <c r="R21" s="144"/>
      <c r="S21" s="144"/>
      <c r="T21" s="144"/>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1041</v>
      </c>
      <c r="B22" s="235"/>
      <c r="C22" s="235"/>
      <c r="D22" s="236"/>
      <c r="E22" s="236"/>
      <c r="F22" s="236"/>
      <c r="G22" s="236"/>
      <c r="H22" s="234"/>
      <c r="I22" s="234"/>
      <c r="J22" s="41"/>
      <c r="K22" s="225"/>
      <c r="L22" s="225"/>
      <c r="N22" s="31" t="s">
        <v>195</v>
      </c>
      <c r="O22" s="142">
        <v>2000</v>
      </c>
      <c r="P22" s="142">
        <v>2018</v>
      </c>
      <c r="Q22" s="154">
        <v>2025</v>
      </c>
      <c r="R22" s="154">
        <v>2030</v>
      </c>
      <c r="S22" s="154">
        <v>2035</v>
      </c>
      <c r="T22" s="154">
        <v>2040</v>
      </c>
      <c r="U22" s="30"/>
      <c r="V22" s="30"/>
      <c r="W22" s="30"/>
      <c r="X22" s="30"/>
      <c r="Y22" s="30"/>
      <c r="Z22" s="441"/>
      <c r="AA22" s="30"/>
      <c r="AB22" s="30"/>
      <c r="AC22" s="30"/>
      <c r="AD22" s="30"/>
      <c r="AE22" s="30"/>
      <c r="AF22" s="30"/>
      <c r="AG22" s="30"/>
      <c r="AH22" s="30"/>
      <c r="AI22" s="30"/>
      <c r="AJ22" s="30"/>
      <c r="AK22" s="30"/>
      <c r="AL22" s="30"/>
      <c r="AM22" s="30"/>
      <c r="AN22" s="30"/>
      <c r="AO22" s="30"/>
      <c r="AP22" s="30"/>
      <c r="AQ22" s="30"/>
      <c r="AR22" s="30"/>
      <c r="AS22" s="30"/>
      <c r="AT22" s="442"/>
      <c r="AU22" s="30"/>
      <c r="AV22" s="30"/>
    </row>
    <row r="23" spans="1:49" ht="13.5" customHeight="1">
      <c r="A23" s="42" t="s">
        <v>733</v>
      </c>
      <c r="B23" s="223">
        <v>48.521999999999998</v>
      </c>
      <c r="C23" s="223">
        <v>69.293999999999997</v>
      </c>
      <c r="D23" s="224">
        <v>76.963999999999999</v>
      </c>
      <c r="E23" s="224">
        <v>79.251000000000005</v>
      </c>
      <c r="F23" s="224">
        <v>80.3</v>
      </c>
      <c r="G23" s="224">
        <v>80.805999999999997</v>
      </c>
      <c r="H23" s="45">
        <v>58.47</v>
      </c>
      <c r="I23" s="45">
        <v>64.25</v>
      </c>
      <c r="J23" s="41"/>
      <c r="K23" s="225">
        <v>2</v>
      </c>
      <c r="L23" s="225">
        <v>0.7</v>
      </c>
      <c r="N23" s="37" t="s">
        <v>201</v>
      </c>
      <c r="O23" s="145">
        <f>O5</f>
        <v>3853676399692560</v>
      </c>
      <c r="P23" s="145">
        <f>P5</f>
        <v>4285375285763552</v>
      </c>
      <c r="Q23" s="146">
        <f>W5</f>
        <v>4364355145854584</v>
      </c>
      <c r="R23" s="146">
        <f>AB5</f>
        <v>4336099769683710</v>
      </c>
      <c r="S23" s="146">
        <f>AG5</f>
        <v>4224089510042112</v>
      </c>
      <c r="T23" s="146">
        <f>AL5</f>
        <v>4112079250400519.5</v>
      </c>
      <c r="U23" s="30"/>
      <c r="V23" s="30"/>
      <c r="W23" s="30"/>
      <c r="X23" s="30"/>
      <c r="Y23" s="30"/>
      <c r="Z23" s="441"/>
      <c r="AA23" s="30"/>
      <c r="AB23" s="30"/>
      <c r="AC23" s="30"/>
      <c r="AD23" s="30"/>
      <c r="AE23" s="30"/>
      <c r="AF23" s="30"/>
      <c r="AG23" s="30"/>
      <c r="AH23" s="30"/>
      <c r="AI23" s="30"/>
      <c r="AJ23" s="30"/>
      <c r="AK23" s="30"/>
      <c r="AL23" s="30"/>
      <c r="AM23" s="30"/>
      <c r="AN23" s="30"/>
      <c r="AO23" s="30"/>
      <c r="AP23" s="30"/>
      <c r="AQ23" s="30"/>
      <c r="AR23" s="30"/>
      <c r="AS23" s="30"/>
      <c r="AT23" s="168"/>
      <c r="AU23" s="443"/>
      <c r="AV23" s="443"/>
      <c r="AW23" s="167"/>
    </row>
    <row r="24" spans="1:49" ht="13.5" customHeight="1">
      <c r="A24" s="48" t="s">
        <v>1042</v>
      </c>
      <c r="B24" s="223">
        <v>16.335000000000001</v>
      </c>
      <c r="C24" s="223">
        <v>9.016</v>
      </c>
      <c r="D24" s="224">
        <v>9.6739999999999995</v>
      </c>
      <c r="E24" s="224">
        <v>9.8840000000000003</v>
      </c>
      <c r="F24" s="224">
        <v>9.9640000000000004</v>
      </c>
      <c r="G24" s="224">
        <v>10.006</v>
      </c>
      <c r="H24" s="45">
        <v>7.61</v>
      </c>
      <c r="I24" s="45">
        <v>7.96</v>
      </c>
      <c r="J24" s="41"/>
      <c r="K24" s="225">
        <v>-3.25</v>
      </c>
      <c r="L24" s="225">
        <v>0.47</v>
      </c>
      <c r="N24" s="42" t="s">
        <v>202</v>
      </c>
      <c r="O24" s="145">
        <f t="shared" ref="O24:P25" si="1">O6</f>
        <v>256499330629080</v>
      </c>
      <c r="P24" s="145">
        <f t="shared" si="1"/>
        <v>85799004464516</v>
      </c>
      <c r="Q24" s="146">
        <f t="shared" ref="Q24:Q25" si="2">W6</f>
        <v>42511948428320</v>
      </c>
      <c r="R24" s="146">
        <f t="shared" ref="R24:R25" si="3">AB6</f>
        <v>33589198058570</v>
      </c>
      <c r="S24" s="146">
        <f t="shared" ref="S24:S25" si="4">AG6</f>
        <v>33886623070895</v>
      </c>
      <c r="T24" s="146">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1043</v>
      </c>
      <c r="B25" s="223">
        <v>32.186999999999998</v>
      </c>
      <c r="C25" s="223">
        <v>60.277999999999999</v>
      </c>
      <c r="D25" s="224">
        <v>67.290000000000006</v>
      </c>
      <c r="E25" s="224">
        <v>69.367000000000004</v>
      </c>
      <c r="F25" s="224">
        <v>70.335999999999999</v>
      </c>
      <c r="G25" s="224">
        <v>70.8</v>
      </c>
      <c r="H25" s="45">
        <v>50.86</v>
      </c>
      <c r="I25" s="45">
        <v>56.29</v>
      </c>
      <c r="J25" s="41"/>
      <c r="K25" s="225">
        <v>3.55</v>
      </c>
      <c r="L25" s="225">
        <v>0.73</v>
      </c>
      <c r="N25" s="42" t="s">
        <v>729</v>
      </c>
      <c r="O25" s="145">
        <f t="shared" si="1"/>
        <v>3597177069063480</v>
      </c>
      <c r="P25" s="145">
        <f t="shared" si="1"/>
        <v>4199576281299032</v>
      </c>
      <c r="Q25" s="146">
        <f t="shared" si="2"/>
        <v>4321843197426264</v>
      </c>
      <c r="R25" s="146">
        <f t="shared" si="3"/>
        <v>4302510571625140</v>
      </c>
      <c r="S25" s="146">
        <f t="shared" si="4"/>
        <v>4190202886971216</v>
      </c>
      <c r="T25" s="146">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209</v>
      </c>
      <c r="B26" s="223">
        <v>30.77</v>
      </c>
      <c r="C26" s="223">
        <v>40.781999999999996</v>
      </c>
      <c r="D26" s="224">
        <v>43.353999999999999</v>
      </c>
      <c r="E26" s="224">
        <v>43.738999999999997</v>
      </c>
      <c r="F26" s="224">
        <v>43.018000000000001</v>
      </c>
      <c r="G26" s="224">
        <v>41.668999999999997</v>
      </c>
      <c r="H26" s="45">
        <v>34.409999999999997</v>
      </c>
      <c r="I26" s="45">
        <v>33.130000000000003</v>
      </c>
      <c r="J26" s="41"/>
      <c r="K26" s="225">
        <v>1.58</v>
      </c>
      <c r="L26" s="225">
        <v>0.1</v>
      </c>
    </row>
    <row r="27" spans="1:49" ht="13.5" customHeight="1">
      <c r="A27" s="42" t="s">
        <v>210</v>
      </c>
      <c r="B27" s="223">
        <v>8.8810000000000002</v>
      </c>
      <c r="C27" s="223">
        <v>3.3660000000000001</v>
      </c>
      <c r="D27" s="224">
        <v>2.2370000000000001</v>
      </c>
      <c r="E27" s="224">
        <v>1.6990000000000001</v>
      </c>
      <c r="F27" s="224">
        <v>1.31</v>
      </c>
      <c r="G27" s="224">
        <v>1.016</v>
      </c>
      <c r="H27" s="45">
        <v>2.84</v>
      </c>
      <c r="I27" s="45">
        <v>0.81</v>
      </c>
      <c r="J27" s="41"/>
      <c r="K27" s="225">
        <v>-5.25</v>
      </c>
      <c r="L27" s="225">
        <v>-5.3</v>
      </c>
      <c r="N27" s="42"/>
      <c r="O27" s="215"/>
      <c r="P27" s="215"/>
      <c r="Q27" s="149"/>
      <c r="R27" s="149"/>
      <c r="S27" s="149"/>
      <c r="T27" s="149"/>
    </row>
    <row r="28" spans="1:49" ht="13.5" customHeight="1">
      <c r="A28" s="42" t="s">
        <v>211</v>
      </c>
      <c r="B28" s="223">
        <v>5.6669999999999998</v>
      </c>
      <c r="C28" s="223">
        <v>3.3879999999999999</v>
      </c>
      <c r="D28" s="224">
        <v>2.302</v>
      </c>
      <c r="E28" s="224">
        <v>1.986</v>
      </c>
      <c r="F28" s="224">
        <v>1.704</v>
      </c>
      <c r="G28" s="224">
        <v>1.4950000000000001</v>
      </c>
      <c r="H28" s="45">
        <v>2.86</v>
      </c>
      <c r="I28" s="45">
        <v>1.19</v>
      </c>
      <c r="J28" s="41"/>
      <c r="K28" s="225">
        <v>-2.82</v>
      </c>
      <c r="L28" s="225">
        <v>-3.65</v>
      </c>
    </row>
    <row r="29" spans="1:49" ht="13.5" customHeight="1" thickBot="1">
      <c r="A29" s="237" t="s">
        <v>1044</v>
      </c>
      <c r="B29" s="223">
        <v>6.7789999999999999</v>
      </c>
      <c r="C29" s="223">
        <v>1.6910000000000001</v>
      </c>
      <c r="D29" s="224">
        <v>0.81699999999999995</v>
      </c>
      <c r="E29" s="224">
        <v>0.83599999999999997</v>
      </c>
      <c r="F29" s="224">
        <v>0.84599999999999997</v>
      </c>
      <c r="G29" s="224">
        <v>0.78600000000000003</v>
      </c>
      <c r="H29" s="45">
        <v>1.43</v>
      </c>
      <c r="I29" s="45">
        <v>0.62</v>
      </c>
      <c r="J29" s="41"/>
      <c r="K29" s="225">
        <v>-7.42</v>
      </c>
      <c r="L29" s="225">
        <v>-3.42</v>
      </c>
      <c r="N29" s="31"/>
      <c r="O29" s="144"/>
      <c r="P29" s="144"/>
      <c r="Q29" s="144"/>
      <c r="R29" s="144"/>
      <c r="S29" s="144"/>
      <c r="AV29" s="30"/>
      <c r="AW29" s="205"/>
    </row>
    <row r="30" spans="1:49" ht="15" customHeight="1">
      <c r="A30" s="496" t="s">
        <v>1045</v>
      </c>
      <c r="B30" s="497"/>
      <c r="C30" s="497"/>
      <c r="D30" s="497"/>
      <c r="E30" s="497"/>
      <c r="F30" s="497"/>
      <c r="G30" s="497"/>
      <c r="H30" s="497"/>
      <c r="I30" s="497"/>
      <c r="J30" s="497"/>
      <c r="K30" s="497"/>
      <c r="L30" s="497"/>
      <c r="N30" s="31" t="s">
        <v>231</v>
      </c>
      <c r="O30" s="142">
        <v>2000</v>
      </c>
      <c r="P30" s="142">
        <v>2022</v>
      </c>
      <c r="Q30" s="154">
        <v>2030</v>
      </c>
      <c r="R30" s="154">
        <v>2040</v>
      </c>
      <c r="S30" s="154">
        <v>2050</v>
      </c>
      <c r="AV30" s="30"/>
      <c r="AW30" s="205"/>
    </row>
    <row r="31" spans="1:49">
      <c r="H31" s="209"/>
      <c r="I31" s="209"/>
      <c r="J31" s="210"/>
      <c r="K31" s="209"/>
      <c r="L31" s="209"/>
      <c r="N31" s="37" t="s">
        <v>201</v>
      </c>
      <c r="O31" s="145">
        <f>O5</f>
        <v>3853676399692560</v>
      </c>
      <c r="P31" s="145">
        <f>T5</f>
        <v>4381308371557110</v>
      </c>
      <c r="Q31" s="146">
        <f>AB5</f>
        <v>4336099769683710</v>
      </c>
      <c r="R31" s="146">
        <f>AL5</f>
        <v>4112079250400519.5</v>
      </c>
      <c r="S31" s="146">
        <f>AV5</f>
        <v>3752274298823890</v>
      </c>
      <c r="AV31" s="30"/>
      <c r="AW31" s="205"/>
    </row>
    <row r="32" spans="1:49">
      <c r="A32" s="252" t="s">
        <v>111</v>
      </c>
      <c r="B32" s="30"/>
      <c r="H32" s="209"/>
      <c r="I32" s="209"/>
      <c r="J32" s="210"/>
      <c r="K32" s="209"/>
      <c r="L32" s="209"/>
      <c r="N32" s="42" t="s">
        <v>202</v>
      </c>
      <c r="O32" s="145">
        <f>O6</f>
        <v>256499330629080</v>
      </c>
      <c r="P32" s="145">
        <f>T6</f>
        <v>47865598650170</v>
      </c>
      <c r="Q32" s="146">
        <f>AB6</f>
        <v>33589198058570</v>
      </c>
      <c r="R32" s="146">
        <f>AL6</f>
        <v>34184048083220</v>
      </c>
      <c r="S32" s="146">
        <f>AV6</f>
        <v>34897868112800</v>
      </c>
      <c r="AV32" s="30"/>
      <c r="AW32" s="205"/>
    </row>
    <row r="33" spans="1:49">
      <c r="A33" s="382">
        <f>About!C86</f>
        <v>39656668310000</v>
      </c>
      <c r="B33" s="251" t="s">
        <v>112</v>
      </c>
      <c r="H33" s="209"/>
      <c r="I33" s="209"/>
      <c r="J33" s="210"/>
      <c r="K33" s="209"/>
      <c r="L33" s="209"/>
      <c r="N33" s="42" t="s">
        <v>729</v>
      </c>
      <c r="O33" s="145">
        <f>O7</f>
        <v>3597177069063480</v>
      </c>
      <c r="P33" s="145">
        <f>T7</f>
        <v>4333442772906940</v>
      </c>
      <c r="Q33" s="146">
        <f>AB7</f>
        <v>4302510571625140</v>
      </c>
      <c r="R33" s="146">
        <f>AL7</f>
        <v>4077895202317300</v>
      </c>
      <c r="S33" s="146">
        <f>AV7</f>
        <v>3719279950789970</v>
      </c>
      <c r="AV33" s="30"/>
      <c r="AW33" s="205"/>
    </row>
    <row r="34" spans="1:49">
      <c r="H34" s="209"/>
      <c r="I34" s="209"/>
      <c r="J34" s="210"/>
      <c r="K34" s="209"/>
      <c r="L34" s="209"/>
    </row>
    <row r="35" spans="1:49">
      <c r="H35" s="209"/>
      <c r="I35" s="209"/>
      <c r="J35" s="210"/>
      <c r="K35" s="209"/>
      <c r="L35" s="209"/>
    </row>
    <row r="36" spans="1:49">
      <c r="A36" s="493" t="s">
        <v>1046</v>
      </c>
      <c r="B36" s="494"/>
      <c r="C36" s="494"/>
      <c r="D36" s="494"/>
      <c r="E36" s="494"/>
      <c r="F36" s="494"/>
      <c r="G36" s="494"/>
      <c r="H36" s="494"/>
      <c r="I36" s="494"/>
      <c r="J36" s="494"/>
      <c r="K36" s="209"/>
      <c r="L36" s="209"/>
    </row>
    <row r="37" spans="1:49">
      <c r="A37" s="500" t="s">
        <v>159</v>
      </c>
      <c r="B37" s="500"/>
      <c r="C37" s="500"/>
      <c r="D37" s="500"/>
      <c r="E37" s="500"/>
      <c r="F37" s="500"/>
      <c r="G37" s="500"/>
      <c r="H37" s="500"/>
      <c r="I37" s="500"/>
      <c r="J37" s="500"/>
      <c r="K37" s="209"/>
      <c r="L37" s="209"/>
    </row>
    <row r="38" spans="1:49">
      <c r="A38" s="31"/>
      <c r="B38" s="32"/>
      <c r="C38" s="32"/>
      <c r="D38" s="32"/>
      <c r="E38" s="32"/>
      <c r="F38" s="32"/>
      <c r="G38" s="495" t="s">
        <v>160</v>
      </c>
      <c r="H38" s="495"/>
      <c r="I38" s="495" t="s">
        <v>161</v>
      </c>
      <c r="J38" s="495"/>
      <c r="K38" s="209"/>
      <c r="L38" s="209"/>
    </row>
    <row r="39" spans="1:49" ht="56.25">
      <c r="A39" s="31"/>
      <c r="B39" s="34">
        <v>2000</v>
      </c>
      <c r="C39" s="34">
        <v>2022</v>
      </c>
      <c r="D39" s="34">
        <v>2030</v>
      </c>
      <c r="E39" s="34">
        <v>2040</v>
      </c>
      <c r="F39" s="34">
        <v>2050</v>
      </c>
      <c r="G39" s="35">
        <v>2022</v>
      </c>
      <c r="H39" s="35">
        <v>2050</v>
      </c>
      <c r="I39" s="35" t="s">
        <v>175</v>
      </c>
      <c r="J39" s="35" t="s">
        <v>176</v>
      </c>
      <c r="K39" s="209"/>
      <c r="L39" s="209"/>
    </row>
    <row r="40" spans="1:49">
      <c r="A40" s="78" t="s">
        <v>1033</v>
      </c>
      <c r="B40" s="223">
        <v>121.72199999999999</v>
      </c>
      <c r="C40" s="223">
        <v>152.86500000000001</v>
      </c>
      <c r="D40" s="224">
        <v>151.131</v>
      </c>
      <c r="E40" s="224">
        <v>136.42599999999999</v>
      </c>
      <c r="F40" s="224">
        <v>108.063</v>
      </c>
      <c r="G40" s="234" t="s">
        <v>170</v>
      </c>
      <c r="H40" s="234" t="s">
        <v>170</v>
      </c>
      <c r="I40" s="225">
        <v>1.04</v>
      </c>
      <c r="J40" s="225">
        <v>-1.23</v>
      </c>
      <c r="K40" s="209"/>
      <c r="L40" s="209"/>
    </row>
    <row r="41" spans="1:49">
      <c r="A41" s="78" t="s">
        <v>1034</v>
      </c>
      <c r="B41" s="223">
        <v>13.098000000000001</v>
      </c>
      <c r="C41" s="223">
        <v>15.504</v>
      </c>
      <c r="D41" s="224">
        <v>17.596</v>
      </c>
      <c r="E41" s="224">
        <v>18.521999999999998</v>
      </c>
      <c r="F41" s="224">
        <v>18.088000000000001</v>
      </c>
      <c r="G41" s="234" t="s">
        <v>170</v>
      </c>
      <c r="H41" s="234" t="s">
        <v>170</v>
      </c>
      <c r="I41" s="225">
        <v>0.77</v>
      </c>
      <c r="J41" s="225">
        <v>0.55000000000000004</v>
      </c>
      <c r="K41" s="209"/>
      <c r="L41" s="209"/>
    </row>
    <row r="42" spans="1:49">
      <c r="A42" s="78" t="s">
        <v>217</v>
      </c>
      <c r="B42" s="65">
        <v>97.176000000000002</v>
      </c>
      <c r="C42" s="65">
        <v>110.48099999999999</v>
      </c>
      <c r="D42" s="66">
        <v>109.34099999999999</v>
      </c>
      <c r="E42" s="66">
        <v>103.69199999999999</v>
      </c>
      <c r="F42" s="66">
        <v>94.619</v>
      </c>
      <c r="G42" s="39">
        <v>100</v>
      </c>
      <c r="H42" s="39">
        <v>100</v>
      </c>
      <c r="I42" s="73">
        <v>0.57999999999999996</v>
      </c>
      <c r="J42" s="73">
        <v>-0.55000000000000004</v>
      </c>
      <c r="K42" s="209"/>
      <c r="L42" s="209"/>
    </row>
    <row r="43" spans="1:49">
      <c r="A43" s="42" t="s">
        <v>1035</v>
      </c>
      <c r="B43" s="223">
        <v>6.468</v>
      </c>
      <c r="C43" s="223">
        <v>1.2070000000000001</v>
      </c>
      <c r="D43" s="224">
        <v>0.84699999999999998</v>
      </c>
      <c r="E43" s="224">
        <v>0.86199999999999999</v>
      </c>
      <c r="F43" s="224">
        <v>0.83199999999999996</v>
      </c>
      <c r="G43" s="45">
        <v>1.0900000000000001</v>
      </c>
      <c r="H43" s="45">
        <v>0.88</v>
      </c>
      <c r="I43" s="225">
        <v>-7.35</v>
      </c>
      <c r="J43" s="225">
        <v>-1.32</v>
      </c>
      <c r="K43" s="209"/>
      <c r="L43" s="209"/>
    </row>
    <row r="44" spans="1:49">
      <c r="A44" s="42" t="s">
        <v>417</v>
      </c>
      <c r="B44" s="223">
        <v>6.9080000000000004</v>
      </c>
      <c r="C44" s="223">
        <v>9.2379999999999995</v>
      </c>
      <c r="D44" s="224">
        <v>9.94</v>
      </c>
      <c r="E44" s="224">
        <v>9.1340000000000003</v>
      </c>
      <c r="F44" s="224">
        <v>7.6050000000000004</v>
      </c>
      <c r="G44" s="45">
        <v>8.36</v>
      </c>
      <c r="H44" s="45">
        <v>8.0399999999999991</v>
      </c>
      <c r="I44" s="225">
        <v>1.33</v>
      </c>
      <c r="J44" s="225">
        <v>-0.69</v>
      </c>
      <c r="K44" s="209"/>
      <c r="L44" s="209"/>
    </row>
    <row r="45" spans="1:49">
      <c r="A45" s="42" t="s">
        <v>729</v>
      </c>
      <c r="B45" s="223">
        <v>83.8</v>
      </c>
      <c r="C45" s="223">
        <v>100.036</v>
      </c>
      <c r="D45" s="224">
        <v>98.554000000000002</v>
      </c>
      <c r="E45" s="224">
        <v>93.695999999999998</v>
      </c>
      <c r="F45" s="224">
        <v>86.182000000000002</v>
      </c>
      <c r="G45" s="45">
        <v>90.55</v>
      </c>
      <c r="H45" s="45">
        <v>91.08</v>
      </c>
      <c r="I45" s="225">
        <v>0.81</v>
      </c>
      <c r="J45" s="225">
        <v>-0.53</v>
      </c>
      <c r="K45" s="209"/>
      <c r="L45" s="209"/>
    </row>
    <row r="46" spans="1:49">
      <c r="A46" s="50"/>
      <c r="B46" s="51"/>
      <c r="C46" s="51"/>
      <c r="D46" s="52"/>
      <c r="E46" s="52"/>
      <c r="F46" s="52"/>
      <c r="G46" s="52"/>
      <c r="H46" s="52"/>
      <c r="I46" s="54"/>
      <c r="J46" s="54"/>
      <c r="K46" s="209"/>
      <c r="L46" s="209"/>
    </row>
    <row r="47" spans="1:49">
      <c r="A47" s="37" t="s">
        <v>1047</v>
      </c>
      <c r="B47" s="235"/>
      <c r="C47" s="235"/>
      <c r="D47" s="236"/>
      <c r="E47" s="236"/>
      <c r="F47" s="236"/>
      <c r="G47" s="234"/>
      <c r="H47" s="234"/>
      <c r="I47" s="225"/>
      <c r="J47" s="225"/>
      <c r="K47" s="209"/>
      <c r="L47" s="209"/>
    </row>
    <row r="48" spans="1:49">
      <c r="A48" s="42" t="s">
        <v>262</v>
      </c>
      <c r="B48" s="223">
        <v>3.3690000000000002</v>
      </c>
      <c r="C48" s="223">
        <v>8.8670000000000009</v>
      </c>
      <c r="D48" s="224">
        <v>9.33</v>
      </c>
      <c r="E48" s="224">
        <v>8.4209999999999994</v>
      </c>
      <c r="F48" s="224">
        <v>6.67</v>
      </c>
      <c r="G48" s="45">
        <v>8.0299999999999994</v>
      </c>
      <c r="H48" s="45">
        <v>7.05</v>
      </c>
      <c r="I48" s="225">
        <v>4.5</v>
      </c>
      <c r="J48" s="225">
        <v>-1.01</v>
      </c>
      <c r="K48" s="209"/>
      <c r="L48" s="209"/>
    </row>
    <row r="49" spans="1:12">
      <c r="A49" s="42" t="s">
        <v>549</v>
      </c>
      <c r="B49" s="223">
        <v>8.2319999999999993</v>
      </c>
      <c r="C49" s="223">
        <v>10.888</v>
      </c>
      <c r="D49" s="224">
        <v>11.784000000000001</v>
      </c>
      <c r="E49" s="224">
        <v>9.4949999999999992</v>
      </c>
      <c r="F49" s="224">
        <v>5.9640000000000004</v>
      </c>
      <c r="G49" s="45">
        <v>9.86</v>
      </c>
      <c r="H49" s="45">
        <v>6.3</v>
      </c>
      <c r="I49" s="225">
        <v>1.28</v>
      </c>
      <c r="J49" s="225">
        <v>-2.13</v>
      </c>
      <c r="K49" s="209"/>
      <c r="L49" s="209"/>
    </row>
    <row r="50" spans="1:12">
      <c r="A50" s="42" t="s">
        <v>553</v>
      </c>
      <c r="B50" s="223">
        <v>9.5429999999999993</v>
      </c>
      <c r="C50" s="223">
        <v>2.145</v>
      </c>
      <c r="D50" s="224">
        <v>1.4239999999999999</v>
      </c>
      <c r="E50" s="224">
        <v>0.96299999999999997</v>
      </c>
      <c r="F50" s="224">
        <v>0.61699999999999999</v>
      </c>
      <c r="G50" s="45">
        <v>1.94</v>
      </c>
      <c r="H50" s="45">
        <v>0.65</v>
      </c>
      <c r="I50" s="225">
        <v>-6.56</v>
      </c>
      <c r="J50" s="225">
        <v>-4.3499999999999996</v>
      </c>
      <c r="K50" s="209"/>
      <c r="L50" s="209"/>
    </row>
    <row r="51" spans="1:12">
      <c r="A51" s="42" t="s">
        <v>554</v>
      </c>
      <c r="B51" s="223">
        <v>18.489000000000001</v>
      </c>
      <c r="C51" s="223">
        <v>21.553000000000001</v>
      </c>
      <c r="D51" s="224">
        <v>16.835999999999999</v>
      </c>
      <c r="E51" s="224">
        <v>12.811</v>
      </c>
      <c r="F51" s="224">
        <v>8.9149999999999991</v>
      </c>
      <c r="G51" s="45">
        <v>19.510000000000002</v>
      </c>
      <c r="H51" s="45">
        <v>9.42</v>
      </c>
      <c r="I51" s="225">
        <v>0.7</v>
      </c>
      <c r="J51" s="225">
        <v>-3.1</v>
      </c>
      <c r="K51" s="209"/>
      <c r="L51" s="209"/>
    </row>
    <row r="52" spans="1:12">
      <c r="A52" s="42" t="s">
        <v>1038</v>
      </c>
      <c r="B52" s="223">
        <v>13.185</v>
      </c>
      <c r="C52" s="223">
        <v>1.1359999999999999</v>
      </c>
      <c r="D52" s="224">
        <v>1.2629999999999999</v>
      </c>
      <c r="E52" s="224">
        <v>1.2270000000000001</v>
      </c>
      <c r="F52" s="224">
        <v>1.1259999999999999</v>
      </c>
      <c r="G52" s="45">
        <v>1.03</v>
      </c>
      <c r="H52" s="45">
        <v>1.19</v>
      </c>
      <c r="I52" s="225">
        <v>-10.55</v>
      </c>
      <c r="J52" s="225">
        <v>-0.03</v>
      </c>
      <c r="K52" s="209"/>
      <c r="L52" s="209"/>
    </row>
    <row r="53" spans="1:12">
      <c r="A53" s="42" t="s">
        <v>1039</v>
      </c>
      <c r="B53" s="223">
        <v>0.36299999999999999</v>
      </c>
      <c r="C53" s="223">
        <v>2.1629999999999998</v>
      </c>
      <c r="D53" s="224">
        <v>1.871</v>
      </c>
      <c r="E53" s="224">
        <v>1.651</v>
      </c>
      <c r="F53" s="224">
        <v>1.486</v>
      </c>
      <c r="G53" s="45">
        <v>1.96</v>
      </c>
      <c r="H53" s="45">
        <v>1.57</v>
      </c>
      <c r="I53" s="225">
        <v>8.4499999999999993</v>
      </c>
      <c r="J53" s="225">
        <v>-1.33</v>
      </c>
      <c r="K53" s="209"/>
      <c r="L53" s="209"/>
    </row>
    <row r="54" spans="1:12">
      <c r="A54" s="42" t="s">
        <v>547</v>
      </c>
      <c r="B54" s="223">
        <v>4.4669999999999996</v>
      </c>
      <c r="C54" s="223">
        <v>7.7859999999999996</v>
      </c>
      <c r="D54" s="224">
        <v>9.2050000000000001</v>
      </c>
      <c r="E54" s="224">
        <v>10.925000000000001</v>
      </c>
      <c r="F54" s="224">
        <v>11.749000000000001</v>
      </c>
      <c r="G54" s="45">
        <v>7.05</v>
      </c>
      <c r="H54" s="45">
        <v>12.42</v>
      </c>
      <c r="I54" s="225">
        <v>2.56</v>
      </c>
      <c r="J54" s="225">
        <v>1.48</v>
      </c>
      <c r="K54" s="209"/>
      <c r="L54" s="209"/>
    </row>
    <row r="55" spans="1:12">
      <c r="A55" s="42" t="s">
        <v>548</v>
      </c>
      <c r="B55" s="223">
        <v>4.056</v>
      </c>
      <c r="C55" s="223">
        <v>4.0259999999999998</v>
      </c>
      <c r="D55" s="224">
        <v>3.319</v>
      </c>
      <c r="E55" s="224">
        <v>2.9260000000000002</v>
      </c>
      <c r="F55" s="224">
        <v>2.66</v>
      </c>
      <c r="G55" s="45">
        <v>3.64</v>
      </c>
      <c r="H55" s="45">
        <v>2.81</v>
      </c>
      <c r="I55" s="225">
        <v>-0.03</v>
      </c>
      <c r="J55" s="225">
        <v>-1.47</v>
      </c>
      <c r="K55" s="209"/>
      <c r="L55" s="209"/>
    </row>
    <row r="56" spans="1:12">
      <c r="A56" s="42" t="s">
        <v>558</v>
      </c>
      <c r="B56" s="223">
        <v>24.567</v>
      </c>
      <c r="C56" s="223">
        <v>43.58</v>
      </c>
      <c r="D56" s="224">
        <v>45.95</v>
      </c>
      <c r="E56" s="224">
        <v>46.292999999999999</v>
      </c>
      <c r="F56" s="224">
        <v>46.158000000000001</v>
      </c>
      <c r="G56" s="45">
        <v>39.450000000000003</v>
      </c>
      <c r="H56" s="45">
        <v>48.78</v>
      </c>
      <c r="I56" s="225">
        <v>2.64</v>
      </c>
      <c r="J56" s="225">
        <v>0.21</v>
      </c>
      <c r="K56" s="209"/>
      <c r="L56" s="209"/>
    </row>
    <row r="57" spans="1:12">
      <c r="A57" s="42" t="s">
        <v>1040</v>
      </c>
      <c r="B57" s="223">
        <v>2.5449999999999999</v>
      </c>
      <c r="C57" s="223">
        <v>5.5389999999999997</v>
      </c>
      <c r="D57" s="224">
        <v>5.7</v>
      </c>
      <c r="E57" s="224">
        <v>6.3239999999999998</v>
      </c>
      <c r="F57" s="224">
        <v>6.6509999999999998</v>
      </c>
      <c r="G57" s="45">
        <v>5.01</v>
      </c>
      <c r="H57" s="45">
        <v>7.03</v>
      </c>
      <c r="I57" s="225">
        <v>3.6</v>
      </c>
      <c r="J57" s="225">
        <v>0.66</v>
      </c>
      <c r="K57" s="209"/>
      <c r="L57" s="209"/>
    </row>
    <row r="58" spans="1:12">
      <c r="A58" s="50"/>
      <c r="B58" s="51"/>
      <c r="C58" s="51"/>
      <c r="D58" s="52"/>
      <c r="E58" s="52"/>
      <c r="F58" s="52"/>
      <c r="G58" s="52"/>
      <c r="H58" s="52"/>
      <c r="I58" s="54"/>
      <c r="J58" s="54"/>
      <c r="K58" s="209"/>
      <c r="L58" s="209"/>
    </row>
    <row r="59" spans="1:12">
      <c r="A59" s="37" t="s">
        <v>1041</v>
      </c>
      <c r="B59" s="235"/>
      <c r="C59" s="235"/>
      <c r="D59" s="236"/>
      <c r="E59" s="236"/>
      <c r="F59" s="236"/>
      <c r="G59" s="234"/>
      <c r="H59" s="234"/>
      <c r="I59" s="225"/>
      <c r="J59" s="225"/>
      <c r="K59" s="209"/>
      <c r="L59" s="209"/>
    </row>
    <row r="60" spans="1:12">
      <c r="A60" s="42" t="s">
        <v>215</v>
      </c>
      <c r="B60" s="223">
        <v>6.9080000000000004</v>
      </c>
      <c r="C60" s="223">
        <v>9.2379999999999995</v>
      </c>
      <c r="D60" s="224">
        <v>9.94</v>
      </c>
      <c r="E60" s="224">
        <v>9.1340000000000003</v>
      </c>
      <c r="F60" s="224">
        <v>7.6050000000000004</v>
      </c>
      <c r="G60" s="45">
        <v>8.36</v>
      </c>
      <c r="H60" s="45">
        <v>8.0399999999999991</v>
      </c>
      <c r="I60" s="225">
        <v>1.33</v>
      </c>
      <c r="J60" s="225">
        <v>-0.69</v>
      </c>
      <c r="K60" s="209"/>
      <c r="L60" s="209"/>
    </row>
    <row r="61" spans="1:12">
      <c r="A61" s="42" t="s">
        <v>733</v>
      </c>
      <c r="B61" s="223">
        <v>44.420999999999999</v>
      </c>
      <c r="C61" s="223">
        <v>60.481000000000002</v>
      </c>
      <c r="D61" s="224">
        <v>65.015000000000001</v>
      </c>
      <c r="E61" s="224">
        <v>67.849999999999994</v>
      </c>
      <c r="F61" s="224">
        <v>68.837000000000003</v>
      </c>
      <c r="G61" s="45">
        <v>54.74</v>
      </c>
      <c r="H61" s="45">
        <v>72.75</v>
      </c>
      <c r="I61" s="225">
        <v>1.41</v>
      </c>
      <c r="J61" s="225">
        <v>0.46</v>
      </c>
      <c r="K61" s="209"/>
      <c r="L61" s="209"/>
    </row>
    <row r="62" spans="1:12">
      <c r="A62" s="48" t="s">
        <v>1042</v>
      </c>
      <c r="B62" s="223">
        <v>18.849</v>
      </c>
      <c r="C62" s="223">
        <v>11.324999999999999</v>
      </c>
      <c r="D62" s="224">
        <v>11.448</v>
      </c>
      <c r="E62" s="224">
        <v>11.641</v>
      </c>
      <c r="F62" s="224">
        <v>11.782999999999999</v>
      </c>
      <c r="G62" s="45">
        <v>10.25</v>
      </c>
      <c r="H62" s="45">
        <v>12.45</v>
      </c>
      <c r="I62" s="225">
        <v>-2.29</v>
      </c>
      <c r="J62" s="225">
        <v>0.14000000000000001</v>
      </c>
      <c r="K62" s="209"/>
      <c r="L62" s="209"/>
    </row>
    <row r="63" spans="1:12">
      <c r="A63" s="48" t="s">
        <v>1048</v>
      </c>
      <c r="B63" s="223">
        <v>25.571999999999999</v>
      </c>
      <c r="C63" s="223">
        <v>49.155999999999999</v>
      </c>
      <c r="D63" s="224">
        <v>53.567</v>
      </c>
      <c r="E63" s="224">
        <v>56.209000000000003</v>
      </c>
      <c r="F63" s="224">
        <v>57.054000000000002</v>
      </c>
      <c r="G63" s="45">
        <v>44.49</v>
      </c>
      <c r="H63" s="45">
        <v>60.3</v>
      </c>
      <c r="I63" s="225">
        <v>3.02</v>
      </c>
      <c r="J63" s="225">
        <v>0.53</v>
      </c>
      <c r="K63" s="209"/>
      <c r="L63" s="209"/>
    </row>
    <row r="64" spans="1:12">
      <c r="A64" s="42" t="s">
        <v>209</v>
      </c>
      <c r="B64" s="223">
        <v>24.832000000000001</v>
      </c>
      <c r="C64" s="223">
        <v>34.238</v>
      </c>
      <c r="D64" s="224">
        <v>29.847999999999999</v>
      </c>
      <c r="E64" s="224">
        <v>23.436</v>
      </c>
      <c r="F64" s="224">
        <v>15.898999999999999</v>
      </c>
      <c r="G64" s="45">
        <v>30.99</v>
      </c>
      <c r="H64" s="45">
        <v>16.8</v>
      </c>
      <c r="I64" s="225">
        <v>1.47</v>
      </c>
      <c r="J64" s="225">
        <v>-2.7</v>
      </c>
      <c r="K64" s="209"/>
      <c r="L64" s="209"/>
    </row>
    <row r="65" spans="1:12">
      <c r="A65" s="42" t="s">
        <v>210</v>
      </c>
      <c r="B65" s="223">
        <v>4.0990000000000002</v>
      </c>
      <c r="C65" s="223">
        <v>2.0259999999999998</v>
      </c>
      <c r="D65" s="224">
        <v>1.224</v>
      </c>
      <c r="E65" s="224">
        <v>0.89900000000000002</v>
      </c>
      <c r="F65" s="224">
        <v>0.61599999999999999</v>
      </c>
      <c r="G65" s="45">
        <v>1.83</v>
      </c>
      <c r="H65" s="45">
        <v>0.65</v>
      </c>
      <c r="I65" s="225">
        <v>-3.15</v>
      </c>
      <c r="J65" s="225">
        <v>-4.16</v>
      </c>
      <c r="K65" s="209"/>
      <c r="L65" s="209"/>
    </row>
    <row r="66" spans="1:12">
      <c r="A66" s="42" t="s">
        <v>211</v>
      </c>
      <c r="B66" s="223">
        <v>10.449</v>
      </c>
      <c r="C66" s="223">
        <v>3.29</v>
      </c>
      <c r="D66" s="224">
        <v>2.4670000000000001</v>
      </c>
      <c r="E66" s="224">
        <v>1.5109999999999999</v>
      </c>
      <c r="F66" s="224">
        <v>0.82899999999999996</v>
      </c>
      <c r="G66" s="45">
        <v>2.98</v>
      </c>
      <c r="H66" s="45">
        <v>0.88</v>
      </c>
      <c r="I66" s="225">
        <v>-5.12</v>
      </c>
      <c r="J66" s="225">
        <v>-4.8</v>
      </c>
      <c r="K66" s="209"/>
      <c r="L66" s="209"/>
    </row>
    <row r="67" spans="1:12" ht="17.25" thickBot="1">
      <c r="A67" s="237" t="s">
        <v>1044</v>
      </c>
      <c r="B67" s="223">
        <v>6.468</v>
      </c>
      <c r="C67" s="223">
        <v>1.2070000000000001</v>
      </c>
      <c r="D67" s="224">
        <v>0.84699999999999998</v>
      </c>
      <c r="E67" s="224">
        <v>0.86199999999999999</v>
      </c>
      <c r="F67" s="224">
        <v>0.83199999999999996</v>
      </c>
      <c r="G67" s="45">
        <v>1.0900000000000001</v>
      </c>
      <c r="H67" s="45">
        <v>0.88</v>
      </c>
      <c r="I67" s="225">
        <v>-7.35</v>
      </c>
      <c r="J67" s="225">
        <v>-1.32</v>
      </c>
      <c r="K67" s="209"/>
      <c r="L67" s="209"/>
    </row>
    <row r="68" spans="1:12">
      <c r="A68" s="496" t="s">
        <v>1049</v>
      </c>
      <c r="B68" s="497"/>
      <c r="C68" s="497"/>
      <c r="D68" s="497"/>
      <c r="E68" s="497"/>
      <c r="F68" s="497"/>
      <c r="G68" s="497"/>
      <c r="H68" s="497"/>
      <c r="I68" s="497"/>
      <c r="J68" s="497"/>
      <c r="K68" s="209"/>
      <c r="L68" s="209"/>
    </row>
    <row r="69" spans="1:12">
      <c r="H69" s="209"/>
      <c r="I69" s="209"/>
      <c r="J69" s="210"/>
      <c r="K69" s="209"/>
      <c r="L69" s="209"/>
    </row>
    <row r="70" spans="1:12">
      <c r="H70" s="209"/>
      <c r="I70" s="209"/>
      <c r="J70" s="210"/>
      <c r="K70" s="209"/>
      <c r="L70" s="209"/>
    </row>
    <row r="71" spans="1:12">
      <c r="H71" s="209"/>
      <c r="I71" s="209"/>
      <c r="J71" s="210"/>
      <c r="K71" s="209"/>
      <c r="L71" s="209"/>
    </row>
    <row r="72" spans="1:12">
      <c r="H72" s="209"/>
      <c r="I72" s="209"/>
      <c r="J72" s="210"/>
      <c r="K72" s="209"/>
      <c r="L72" s="209"/>
    </row>
    <row r="73" spans="1:12">
      <c r="H73" s="209"/>
      <c r="I73" s="209"/>
      <c r="J73" s="210"/>
      <c r="K73" s="209"/>
      <c r="L73" s="209"/>
    </row>
    <row r="74" spans="1:12">
      <c r="H74" s="209"/>
      <c r="I74" s="209"/>
      <c r="J74" s="210"/>
      <c r="K74" s="209"/>
      <c r="L74" s="209"/>
    </row>
    <row r="75" spans="1:12">
      <c r="H75" s="209"/>
      <c r="I75" s="209"/>
      <c r="J75" s="210"/>
      <c r="K75" s="209"/>
      <c r="L75" s="209"/>
    </row>
    <row r="76" spans="1:12">
      <c r="H76" s="209"/>
      <c r="I76" s="209"/>
      <c r="J76" s="210"/>
      <c r="K76" s="209"/>
      <c r="L76" s="209"/>
    </row>
    <row r="77" spans="1:12">
      <c r="H77" s="209"/>
      <c r="I77" s="209"/>
      <c r="J77" s="210"/>
      <c r="K77" s="209"/>
      <c r="L77" s="209"/>
    </row>
    <row r="78" spans="1:12">
      <c r="H78" s="209"/>
      <c r="I78" s="209"/>
      <c r="J78" s="210"/>
      <c r="K78" s="209"/>
      <c r="L78" s="209"/>
    </row>
    <row r="79" spans="1:12">
      <c r="H79" s="209"/>
      <c r="I79" s="209"/>
      <c r="J79" s="210"/>
      <c r="K79" s="209"/>
      <c r="L79" s="209"/>
    </row>
    <row r="80" spans="1:12">
      <c r="H80" s="209"/>
      <c r="I80" s="209"/>
      <c r="J80" s="210"/>
      <c r="K80" s="209"/>
      <c r="L80" s="209"/>
    </row>
    <row r="81" spans="8:12">
      <c r="H81" s="209"/>
      <c r="I81" s="209"/>
      <c r="J81" s="210"/>
      <c r="K81" s="209"/>
      <c r="L81" s="209"/>
    </row>
    <row r="82" spans="8:12">
      <c r="H82" s="209"/>
      <c r="I82" s="209"/>
      <c r="J82" s="210"/>
      <c r="K82" s="209"/>
      <c r="L82" s="209"/>
    </row>
    <row r="83" spans="8:12">
      <c r="H83" s="209"/>
      <c r="I83" s="209"/>
      <c r="J83" s="210"/>
      <c r="K83" s="209"/>
      <c r="L83" s="209"/>
    </row>
    <row r="84" spans="8:12">
      <c r="H84" s="209"/>
      <c r="I84" s="209"/>
      <c r="J84" s="210"/>
      <c r="K84" s="209"/>
      <c r="L84" s="209"/>
    </row>
    <row r="85" spans="8:12">
      <c r="H85" s="209"/>
      <c r="I85" s="209"/>
      <c r="J85" s="210"/>
      <c r="K85" s="209"/>
      <c r="L85" s="209"/>
    </row>
    <row r="86" spans="8:12">
      <c r="H86" s="209"/>
      <c r="I86" s="209"/>
      <c r="J86" s="210"/>
      <c r="K86" s="209"/>
      <c r="L86" s="209"/>
    </row>
    <row r="87" spans="8:12">
      <c r="H87" s="209"/>
      <c r="I87" s="209"/>
      <c r="J87" s="210"/>
      <c r="K87" s="209"/>
      <c r="L87" s="209"/>
    </row>
    <row r="88" spans="8:12">
      <c r="H88" s="209"/>
      <c r="I88" s="209"/>
      <c r="J88" s="210"/>
      <c r="K88" s="209"/>
      <c r="L88" s="209"/>
    </row>
    <row r="89" spans="8:12">
      <c r="H89" s="209"/>
      <c r="I89" s="209"/>
      <c r="J89" s="210"/>
      <c r="K89" s="209"/>
      <c r="L89" s="209"/>
    </row>
    <row r="90" spans="8:12">
      <c r="H90" s="209"/>
      <c r="I90" s="209"/>
      <c r="J90" s="210"/>
      <c r="K90" s="209"/>
      <c r="L90" s="209"/>
    </row>
    <row r="91" spans="8:12">
      <c r="H91" s="209"/>
      <c r="I91" s="209"/>
      <c r="J91" s="210"/>
      <c r="K91" s="209"/>
      <c r="L91" s="209"/>
    </row>
    <row r="92" spans="8:12">
      <c r="H92" s="209"/>
      <c r="I92" s="209"/>
      <c r="J92" s="210"/>
      <c r="K92" s="209"/>
      <c r="L92" s="209"/>
    </row>
    <row r="93" spans="8:12">
      <c r="H93" s="209"/>
      <c r="I93" s="209"/>
      <c r="J93" s="210"/>
      <c r="K93" s="209"/>
      <c r="L93" s="209"/>
    </row>
    <row r="94" spans="8:12">
      <c r="H94" s="209"/>
      <c r="I94" s="209"/>
      <c r="J94" s="210"/>
      <c r="K94" s="209"/>
      <c r="L94" s="209"/>
    </row>
    <row r="95" spans="8:12">
      <c r="H95" s="209"/>
      <c r="I95" s="209"/>
      <c r="J95" s="210"/>
      <c r="K95" s="209"/>
      <c r="L95" s="209"/>
    </row>
    <row r="96" spans="8:12">
      <c r="H96" s="209"/>
      <c r="I96" s="209"/>
      <c r="J96" s="210"/>
      <c r="K96" s="209"/>
      <c r="L96" s="209"/>
    </row>
    <row r="97" spans="8:12">
      <c r="H97" s="209"/>
      <c r="I97" s="209"/>
      <c r="J97" s="210"/>
      <c r="K97" s="209"/>
      <c r="L97" s="209"/>
    </row>
    <row r="98" spans="8:12">
      <c r="H98" s="209"/>
      <c r="I98" s="209"/>
      <c r="J98" s="210"/>
      <c r="K98" s="209"/>
      <c r="L98" s="209"/>
    </row>
    <row r="99" spans="8:12">
      <c r="H99" s="209"/>
      <c r="I99" s="209"/>
      <c r="J99" s="210"/>
      <c r="K99" s="209"/>
      <c r="L99" s="209"/>
    </row>
    <row r="100" spans="8:12">
      <c r="H100" s="209"/>
      <c r="I100" s="209"/>
      <c r="J100" s="210"/>
      <c r="K100" s="209"/>
      <c r="L100" s="209"/>
    </row>
    <row r="101" spans="8:12">
      <c r="H101" s="209"/>
      <c r="I101" s="209"/>
      <c r="J101" s="210"/>
      <c r="K101" s="209"/>
      <c r="L101" s="209"/>
    </row>
    <row r="102" spans="8:12">
      <c r="H102" s="209"/>
      <c r="I102" s="209"/>
      <c r="J102" s="210"/>
      <c r="K102" s="209"/>
      <c r="L102" s="209"/>
    </row>
    <row r="103" spans="8:12">
      <c r="H103" s="209"/>
      <c r="I103" s="209"/>
      <c r="J103" s="210"/>
      <c r="K103" s="209"/>
      <c r="L103" s="209"/>
    </row>
    <row r="104" spans="8:12">
      <c r="H104" s="209"/>
      <c r="I104" s="209"/>
      <c r="J104" s="210"/>
      <c r="K104" s="209"/>
      <c r="L104" s="209"/>
    </row>
    <row r="105" spans="8:12">
      <c r="H105" s="209"/>
      <c r="I105" s="209"/>
      <c r="J105" s="210"/>
      <c r="K105" s="209"/>
      <c r="L105" s="209"/>
    </row>
  </sheetData>
  <mergeCells count="10">
    <mergeCell ref="A1:L1"/>
    <mergeCell ref="A2:L2"/>
    <mergeCell ref="H3:I3"/>
    <mergeCell ref="K3:L3"/>
    <mergeCell ref="A30:L30"/>
    <mergeCell ref="A36:J36"/>
    <mergeCell ref="A37:J37"/>
    <mergeCell ref="G38:H38"/>
    <mergeCell ref="I38:J38"/>
    <mergeCell ref="A68:J68"/>
  </mergeCells>
  <phoneticPr fontId="35"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workbookViewId="0"/>
  </sheetViews>
  <sheetFormatPr defaultColWidth="9.125" defaultRowHeight="16.5"/>
  <cols>
    <col min="1" max="1" width="39.625" customWidth="1"/>
    <col min="2" max="33" width="11.125"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28</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34</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36</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38</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40</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42</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35" customFormat="1">
      <c r="A10" s="435" t="s">
        <v>44</v>
      </c>
      <c r="B10" s="436">
        <f>-'2019 KESIS Energy Balance'!S30*About!C86/1000*(1+'KEEI BAU - Oil Supply'!R9)</f>
        <v>6223881563907680</v>
      </c>
      <c r="C10" s="436">
        <f>B10*(1+'KEEI BAU - Oil Supply'!S9)</f>
        <v>6258328198147919</v>
      </c>
      <c r="D10" s="436">
        <f>C10*(1+'KEEI BAU - Oil Supply'!T9)</f>
        <v>6292774832388178</v>
      </c>
      <c r="E10" s="436">
        <f>D10*(1+'KEEI BAU - Oil Supply'!U9)</f>
        <v>6284658319923451</v>
      </c>
      <c r="F10" s="436">
        <f>E10*(1+'KEEI BAU - Oil Supply'!V9)</f>
        <v>6276541807458727</v>
      </c>
      <c r="G10" s="436">
        <f>F10*(1+'KEEI BAU - Oil Supply'!W9)</f>
        <v>6268425294994000</v>
      </c>
      <c r="H10" s="436">
        <f>G10*(1+'KEEI BAU - Oil Supply'!X9)</f>
        <v>6260308782529276</v>
      </c>
      <c r="I10" s="436">
        <f>H10*(1+'KEEI BAU - Oil Supply'!Y9)</f>
        <v>6252192270064549</v>
      </c>
      <c r="J10" s="436">
        <f>I10*(1+'KEEI BAU - Oil Supply'!Z9)</f>
        <v>6244075757599825</v>
      </c>
      <c r="K10" s="436">
        <f>J10*(1+'KEEI BAU - Oil Supply'!AA9)</f>
        <v>6235959245135098</v>
      </c>
      <c r="L10" s="436">
        <f>K10*(1+'KEEI BAU - Oil Supply'!AB9)</f>
        <v>6227842732670374</v>
      </c>
      <c r="M10" s="436">
        <f>L10*(1+'KEEI BAU - Oil Supply'!AC9)</f>
        <v>6195667168520738</v>
      </c>
      <c r="N10" s="436">
        <f>M10*(1+'KEEI BAU - Oil Supply'!AD9)</f>
        <v>6163491604371099</v>
      </c>
      <c r="O10" s="436">
        <f>N10*(1+'KEEI BAU - Oil Supply'!AE9)</f>
        <v>6131316040221461</v>
      </c>
      <c r="P10" s="436">
        <f>O10*(1+'KEEI BAU - Oil Supply'!AF9)</f>
        <v>6099140476071822</v>
      </c>
      <c r="Q10" s="436">
        <f>P10*(1+'KEEI BAU - Oil Supply'!AG9)</f>
        <v>6066964911922183</v>
      </c>
      <c r="R10" s="436">
        <f>Q10*(1+'KEEI BAU - Oil Supply'!AH9)</f>
        <v>6034789347772556</v>
      </c>
      <c r="S10" s="436">
        <f>R10*(1+'KEEI BAU - Oil Supply'!AI9)</f>
        <v>6002613783622917</v>
      </c>
      <c r="T10" s="436">
        <f>S10*(1+'KEEI BAU - Oil Supply'!AJ9)</f>
        <v>5970438219473278</v>
      </c>
      <c r="U10" s="436">
        <f>T10*(1+'KEEI BAU - Oil Supply'!AK9)</f>
        <v>5938262655323639</v>
      </c>
      <c r="V10" s="436">
        <f>U10*(1+'KEEI BAU - Oil Supply'!AL9)</f>
        <v>5906087091174000</v>
      </c>
      <c r="W10" s="436">
        <f>V10*(1+'KEEI BAU - Oil Supply'!AM9)</f>
        <v>5854409113916149</v>
      </c>
      <c r="X10" s="436">
        <f>W10*(1+'KEEI BAU - Oil Supply'!AN9)</f>
        <v>5802731136658286</v>
      </c>
      <c r="Y10" s="436">
        <f>X10*(1+'KEEI BAU - Oil Supply'!AO9)</f>
        <v>5751053159400423</v>
      </c>
      <c r="Z10" s="436">
        <f>Y10*(1+'KEEI BAU - Oil Supply'!AP9)</f>
        <v>5699375182142560</v>
      </c>
      <c r="AA10" s="436">
        <f>Z10*(1+'KEEI BAU - Oil Supply'!AQ9)</f>
        <v>5647697204884697</v>
      </c>
      <c r="AB10" s="436">
        <f>AA10*(1+'KEEI BAU - Oil Supply'!AR9)</f>
        <v>5596019227626834</v>
      </c>
      <c r="AC10" s="436">
        <f>AB10*(1+'KEEI BAU - Oil Supply'!AS9)</f>
        <v>5544341250368971</v>
      </c>
      <c r="AD10" s="436">
        <f>AC10*(1+'KEEI BAU - Oil Supply'!AT9)</f>
        <v>5492663273111108</v>
      </c>
      <c r="AE10" s="436">
        <f>AD10*(1+'KEEI BAU - Oil Supply'!AU9)</f>
        <v>5440985295853245</v>
      </c>
      <c r="AF10" s="436">
        <f>AE10*(1+'KEEI BAU - Oil Supply'!AV9)</f>
        <v>5389307318595385</v>
      </c>
    </row>
    <row r="11" spans="1:35">
      <c r="A11" t="s">
        <v>47</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51</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53</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56</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58</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61</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65</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67</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71</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73</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75</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78</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80</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82</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89</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5"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opLeftCell="A19" workbookViewId="0">
      <selection activeCell="A10" sqref="A10"/>
    </sheetView>
  </sheetViews>
  <sheetFormatPr defaultColWidth="9.125" defaultRowHeight="16.5"/>
  <cols>
    <col min="1" max="1" width="39.625" customWidth="1"/>
    <col min="2" max="33" width="11"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'KEEI BAU - Industry'!P39*'Others Split'!$D$47*'Others Split'!$L$6</f>
        <v>155820371270.97037</v>
      </c>
      <c r="C2" s="16">
        <f>'KEEI BAU - Industry'!Q39*'Others Split'!$D$47*'Others Split'!$L$6</f>
        <v>144249894613.67731</v>
      </c>
      <c r="D2" s="16">
        <f>'KEEI BAU - Industry'!R39*'Others Split'!$D$47*'Others Split'!$L$6</f>
        <v>132679417956.38428</v>
      </c>
      <c r="E2" s="16">
        <f>'KEEI BAU - Industry'!S39*'Others Split'!$D$47*'Others Split'!$L$6</f>
        <v>121108941299.09125</v>
      </c>
      <c r="F2" s="16">
        <f>'KEEI BAU - Industry'!T39*'Others Split'!$D$47*'Others Split'!$L$6</f>
        <v>118946281633.03604</v>
      </c>
      <c r="G2" s="16">
        <f>'KEEI BAU - Industry'!U39*'Others Split'!$D$47*'Others Split'!$L$6</f>
        <v>116783621966.98083</v>
      </c>
      <c r="H2" s="16">
        <f>'KEEI BAU - Industry'!V39*'Others Split'!$D$47*'Others Split'!$L$6</f>
        <v>114620962300.92564</v>
      </c>
      <c r="I2" s="16">
        <f>'KEEI BAU - Industry'!W39*'Others Split'!$D$47*'Others Split'!$L$6</f>
        <v>112458302634.87044</v>
      </c>
      <c r="J2" s="16">
        <f>'KEEI BAU - Industry'!X39*'Others Split'!$D$47*'Others Split'!$L$6</f>
        <v>110295642968.81525</v>
      </c>
      <c r="K2" s="16">
        <f>'KEEI BAU - Industry'!Y39*'Others Split'!$D$47*'Others Split'!$L$6</f>
        <v>108132983302.76004</v>
      </c>
      <c r="L2" s="16">
        <f>'KEEI BAU - Industry'!Z39*'Others Split'!$D$47*'Others Split'!$L$6</f>
        <v>105970323636.70483</v>
      </c>
      <c r="M2" s="16">
        <f>'KEEI BAU - Industry'!AA39*'Others Split'!$D$47*'Others Split'!$L$6</f>
        <v>105691454363.97667</v>
      </c>
      <c r="N2" s="16">
        <f>'KEEI BAU - Industry'!AB39*'Others Split'!$D$47*'Others Split'!$L$6</f>
        <v>105412585091.24849</v>
      </c>
      <c r="O2" s="16">
        <f>'KEEI BAU - Industry'!AC39*'Others Split'!$D$47*'Others Split'!$L$6</f>
        <v>105133715818.52032</v>
      </c>
      <c r="P2" s="16">
        <f>'KEEI BAU - Industry'!AD39*'Others Split'!$D$47*'Others Split'!$L$6</f>
        <v>104854846545.79214</v>
      </c>
      <c r="Q2" s="16">
        <f>'KEEI BAU - Industry'!AE39*'Others Split'!$D$47*'Others Split'!$L$6</f>
        <v>104575977273.064</v>
      </c>
      <c r="R2" s="16">
        <f>'KEEI BAU - Industry'!AF39*'Others Split'!$D$47*'Others Split'!$L$6</f>
        <v>104297108000.33582</v>
      </c>
      <c r="S2" s="16">
        <f>'KEEI BAU - Industry'!AG39*'Others Split'!$D$47*'Others Split'!$L$6</f>
        <v>104018238727.60765</v>
      </c>
      <c r="T2" s="16">
        <f>'KEEI BAU - Industry'!AH39*'Others Split'!$D$47*'Others Split'!$L$6</f>
        <v>103739369454.87947</v>
      </c>
      <c r="U2" s="16">
        <f>'KEEI BAU - Industry'!AI39*'Others Split'!$D$47*'Others Split'!$L$6</f>
        <v>103460500182.15129</v>
      </c>
      <c r="V2" s="16">
        <f>'KEEI BAU - Industry'!AJ39*'Others Split'!$D$47*'Others Split'!$L$6</f>
        <v>103181630909.42313</v>
      </c>
      <c r="W2" s="16">
        <f>'KEEI BAU - Industry'!AK39*'Others Split'!$D$47*'Others Split'!$L$6</f>
        <v>102145830753.57564</v>
      </c>
      <c r="X2" s="16">
        <f>'KEEI BAU - Industry'!AL39*'Others Split'!$D$47*'Others Split'!$L$6</f>
        <v>101110030597.72815</v>
      </c>
      <c r="Y2" s="16">
        <f>'KEEI BAU - Industry'!AM39*'Others Split'!$D$47*'Others Split'!$L$6</f>
        <v>100074230441.88065</v>
      </c>
      <c r="Z2" s="16">
        <f>'KEEI BAU - Industry'!AN39*'Others Split'!$D$47*'Others Split'!$L$6</f>
        <v>99038430286.033157</v>
      </c>
      <c r="AA2" s="16">
        <f>'KEEI BAU - Industry'!AO39*'Others Split'!$D$47*'Others Split'!$L$6</f>
        <v>98002630130.185684</v>
      </c>
      <c r="AB2" s="16">
        <f>'KEEI BAU - Industry'!AP39*'Others Split'!$D$47*'Others Split'!$L$6</f>
        <v>96966829974.338181</v>
      </c>
      <c r="AC2" s="16">
        <f>'KEEI BAU - Industry'!AQ39*'Others Split'!$D$47*'Others Split'!$L$6</f>
        <v>95931029818.490692</v>
      </c>
      <c r="AD2" s="16">
        <f>'KEEI BAU - Industry'!AR39*'Others Split'!$D$47*'Others Split'!$L$6</f>
        <v>94895229662.643204</v>
      </c>
      <c r="AE2" s="16">
        <f>'KEEI BAU - Industry'!AS39*'Others Split'!$D$47*'Others Split'!$L$6</f>
        <v>93859429506.7957</v>
      </c>
      <c r="AF2" s="16">
        <f>'KEEI BAU - Industry'!AT39*'Others Split'!$D$47*'Others Split'!$L$6</f>
        <v>92823629350.948212</v>
      </c>
    </row>
    <row r="3" spans="1:35">
      <c r="A3" t="s">
        <v>28</v>
      </c>
      <c r="B3" s="16">
        <f>-SUM('2019 KESIS Energy Balance'!AF36:AH36)*'KEEI BAU - Industry'!$L$3/1000*(1+'KEEI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32</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34</v>
      </c>
      <c r="B5" s="16">
        <f>'KEEI BAU - Industry'!P$39*'Others Split'!$D$47*'Others Split'!$L$7</f>
        <v>20440738165.451866</v>
      </c>
      <c r="C5" s="16">
        <f>'KEEI BAU - Industry'!Q$39*'Others Split'!$D$47*'Others Split'!$L$7</f>
        <v>18922906563.126183</v>
      </c>
      <c r="D5" s="16">
        <f>'KEEI BAU - Industry'!R$39*'Others Split'!$D$47*'Others Split'!$L$7</f>
        <v>17405074960.800499</v>
      </c>
      <c r="E5" s="16">
        <f>'KEEI BAU - Industry'!S$39*'Others Split'!$D$47*'Others Split'!$L$7</f>
        <v>15887243358.474817</v>
      </c>
      <c r="F5" s="16">
        <f>'KEEI BAU - Industry'!T$39*'Others Split'!$D$47*'Others Split'!$L$7</f>
        <v>15603542584.216337</v>
      </c>
      <c r="G5" s="16">
        <f>'KEEI BAU - Industry'!U$39*'Others Split'!$D$47*'Others Split'!$L$7</f>
        <v>15319841809.957857</v>
      </c>
      <c r="H5" s="16">
        <f>'KEEI BAU - Industry'!V$39*'Others Split'!$D$47*'Others Split'!$L$7</f>
        <v>15036141035.699379</v>
      </c>
      <c r="I5" s="16">
        <f>'KEEI BAU - Industry'!W$39*'Others Split'!$D$47*'Others Split'!$L$7</f>
        <v>14752440261.440901</v>
      </c>
      <c r="J5" s="16">
        <f>'KEEI BAU - Industry'!X$39*'Others Split'!$D$47*'Others Split'!$L$7</f>
        <v>14468739487.182423</v>
      </c>
      <c r="K5" s="16">
        <f>'KEEI BAU - Industry'!Y$39*'Others Split'!$D$47*'Others Split'!$L$7</f>
        <v>14185038712.923943</v>
      </c>
      <c r="L5" s="16">
        <f>'KEEI BAU - Industry'!Z$39*'Others Split'!$D$47*'Others Split'!$L$7</f>
        <v>13901337938.665462</v>
      </c>
      <c r="M5" s="16">
        <f>'KEEI BAU - Industry'!AA$39*'Others Split'!$D$47*'Others Split'!$L$7</f>
        <v>13864755470.405819</v>
      </c>
      <c r="N5" s="16">
        <f>'KEEI BAU - Industry'!AB$39*'Others Split'!$D$47*'Others Split'!$L$7</f>
        <v>13828173002.146172</v>
      </c>
      <c r="O5" s="16">
        <f>'KEEI BAU - Industry'!AC$39*'Others Split'!$D$47*'Others Split'!$L$7</f>
        <v>13791590533.886526</v>
      </c>
      <c r="P5" s="16">
        <f>'KEEI BAU - Industry'!AD$39*'Others Split'!$D$47*'Others Split'!$L$7</f>
        <v>13755008065.626879</v>
      </c>
      <c r="Q5" s="16">
        <f>'KEEI BAU - Industry'!AE$39*'Others Split'!$D$47*'Others Split'!$L$7</f>
        <v>13718425597.367235</v>
      </c>
      <c r="R5" s="16">
        <f>'KEEI BAU - Industry'!AF$39*'Others Split'!$D$47*'Others Split'!$L$7</f>
        <v>13681843129.107588</v>
      </c>
      <c r="S5" s="16">
        <f>'KEEI BAU - Industry'!AG$39*'Others Split'!$D$47*'Others Split'!$L$7</f>
        <v>13645260660.847942</v>
      </c>
      <c r="T5" s="16">
        <f>'KEEI BAU - Industry'!AH$39*'Others Split'!$D$47*'Others Split'!$L$7</f>
        <v>13608678192.588297</v>
      </c>
      <c r="U5" s="16">
        <f>'KEEI BAU - Industry'!AI$39*'Others Split'!$D$47*'Others Split'!$L$7</f>
        <v>13572095724.32865</v>
      </c>
      <c r="V5" s="16">
        <f>'KEEI BAU - Industry'!AJ$39*'Others Split'!$D$47*'Others Split'!$L$7</f>
        <v>13535513256.069004</v>
      </c>
      <c r="W5" s="16">
        <f>'KEEI BAU - Industry'!AK$39*'Others Split'!$D$47*'Others Split'!$L$7</f>
        <v>13399635516.81889</v>
      </c>
      <c r="X5" s="16">
        <f>'KEEI BAU - Industry'!AL$39*'Others Split'!$D$47*'Others Split'!$L$7</f>
        <v>13263757777.568777</v>
      </c>
      <c r="Y5" s="16">
        <f>'KEEI BAU - Industry'!AM$39*'Others Split'!$D$47*'Others Split'!$L$7</f>
        <v>13127880038.318663</v>
      </c>
      <c r="Z5" s="16">
        <f>'KEEI BAU - Industry'!AN$39*'Others Split'!$D$47*'Others Split'!$L$7</f>
        <v>12992002299.068548</v>
      </c>
      <c r="AA5" s="16">
        <f>'KEEI BAU - Industry'!AO$39*'Others Split'!$D$47*'Others Split'!$L$7</f>
        <v>12856124559.818438</v>
      </c>
      <c r="AB5" s="16">
        <f>'KEEI BAU - Industry'!AP$39*'Others Split'!$D$47*'Others Split'!$L$7</f>
        <v>12720246820.568323</v>
      </c>
      <c r="AC5" s="16">
        <f>'KEEI BAU - Industry'!AQ$39*'Others Split'!$D$47*'Others Split'!$L$7</f>
        <v>12584369081.318209</v>
      </c>
      <c r="AD5" s="16">
        <f>'KEEI BAU - Industry'!AR$39*'Others Split'!$D$47*'Others Split'!$L$7</f>
        <v>12448491342.068096</v>
      </c>
      <c r="AE5" s="16">
        <f>'KEEI BAU - Industry'!AS$39*'Others Split'!$D$47*'Others Split'!$L$7</f>
        <v>12312613602.817982</v>
      </c>
      <c r="AF5" s="16">
        <f>'KEEI BAU - Industry'!AT$39*'Others Split'!$D$47*'Others Split'!$L$7</f>
        <v>12176735863.567867</v>
      </c>
    </row>
    <row r="6" spans="1:35">
      <c r="A6" t="s">
        <v>36</v>
      </c>
      <c r="B6" s="16">
        <f>'KEEI BAU - Industry'!P$39*'Others Split'!$D$47*'Others Split'!$L$8</f>
        <v>90963471649.330444</v>
      </c>
      <c r="C6" s="16">
        <f>'KEEI BAU - Industry'!Q$39*'Others Split'!$D$47*'Others Split'!$L$8</f>
        <v>84208958636.685623</v>
      </c>
      <c r="D6" s="16">
        <f>'KEEI BAU - Industry'!R$39*'Others Split'!$D$47*'Others Split'!$L$8</f>
        <v>77454445624.040817</v>
      </c>
      <c r="E6" s="16">
        <f>'KEEI BAU - Industry'!S$39*'Others Split'!$D$47*'Others Split'!$L$8</f>
        <v>70699932611.396011</v>
      </c>
      <c r="F6" s="16">
        <f>'KEEI BAU - Industry'!T$39*'Others Split'!$D$47*'Others Split'!$L$8</f>
        <v>69437433814.763931</v>
      </c>
      <c r="G6" s="16">
        <f>'KEEI BAU - Industry'!U$39*'Others Split'!$D$47*'Others Split'!$L$8</f>
        <v>68174935018.131859</v>
      </c>
      <c r="H6" s="16">
        <f>'KEEI BAU - Industry'!V$39*'Others Split'!$D$47*'Others Split'!$L$8</f>
        <v>66912436221.499794</v>
      </c>
      <c r="I6" s="16">
        <f>'KEEI BAU - Industry'!W$39*'Others Split'!$D$47*'Others Split'!$L$8</f>
        <v>65649937424.867722</v>
      </c>
      <c r="J6" s="16">
        <f>'KEEI BAU - Industry'!X$39*'Others Split'!$D$47*'Others Split'!$L$8</f>
        <v>64387438628.235657</v>
      </c>
      <c r="K6" s="16">
        <f>'KEEI BAU - Industry'!Y$39*'Others Split'!$D$47*'Others Split'!$L$8</f>
        <v>63124939831.603577</v>
      </c>
      <c r="L6" s="16">
        <f>'KEEI BAU - Industry'!Z$39*'Others Split'!$D$47*'Others Split'!$L$8</f>
        <v>61862441034.971504</v>
      </c>
      <c r="M6" s="16">
        <f>'KEEI BAU - Industry'!AA$39*'Others Split'!$D$47*'Others Split'!$L$8</f>
        <v>61699645137.511055</v>
      </c>
      <c r="N6" s="16">
        <f>'KEEI BAU - Industry'!AB$39*'Others Split'!$D$47*'Others Split'!$L$8</f>
        <v>61536849240.050606</v>
      </c>
      <c r="O6" s="16">
        <f>'KEEI BAU - Industry'!AC$39*'Others Split'!$D$47*'Others Split'!$L$8</f>
        <v>61374053342.590157</v>
      </c>
      <c r="P6" s="16">
        <f>'KEEI BAU - Industry'!AD$39*'Others Split'!$D$47*'Others Split'!$L$8</f>
        <v>61211257445.1297</v>
      </c>
      <c r="Q6" s="16">
        <f>'KEEI BAU - Industry'!AE$39*'Others Split'!$D$47*'Others Split'!$L$8</f>
        <v>61048461547.669258</v>
      </c>
      <c r="R6" s="16">
        <f>'KEEI BAU - Industry'!AF$39*'Others Split'!$D$47*'Others Split'!$L$8</f>
        <v>60885665650.208801</v>
      </c>
      <c r="S6" s="16">
        <f>'KEEI BAU - Industry'!AG$39*'Others Split'!$D$47*'Others Split'!$L$8</f>
        <v>60722869752.748352</v>
      </c>
      <c r="T6" s="16">
        <f>'KEEI BAU - Industry'!AH$39*'Others Split'!$D$47*'Others Split'!$L$8</f>
        <v>60560073855.287895</v>
      </c>
      <c r="U6" s="16">
        <f>'KEEI BAU - Industry'!AI$39*'Others Split'!$D$47*'Others Split'!$L$8</f>
        <v>60397277957.827438</v>
      </c>
      <c r="V6" s="16">
        <f>'KEEI BAU - Industry'!AJ$39*'Others Split'!$D$47*'Others Split'!$L$8</f>
        <v>60234482060.366997</v>
      </c>
      <c r="W6" s="16">
        <f>'KEEI BAU - Industry'!AK$39*'Others Split'!$D$47*'Others Split'!$L$8</f>
        <v>59629811584.08532</v>
      </c>
      <c r="X6" s="16">
        <f>'KEEI BAU - Industry'!AL$39*'Others Split'!$D$47*'Others Split'!$L$8</f>
        <v>59025141107.803642</v>
      </c>
      <c r="Y6" s="16">
        <f>'KEEI BAU - Industry'!AM$39*'Others Split'!$D$47*'Others Split'!$L$8</f>
        <v>58420470631.521957</v>
      </c>
      <c r="Z6" s="16">
        <f>'KEEI BAU - Industry'!AN$39*'Others Split'!$D$47*'Others Split'!$L$8</f>
        <v>57815800155.24028</v>
      </c>
      <c r="AA6" s="16">
        <f>'KEEI BAU - Industry'!AO$39*'Others Split'!$D$47*'Others Split'!$L$8</f>
        <v>57211129678.958618</v>
      </c>
      <c r="AB6" s="16">
        <f>'KEEI BAU - Industry'!AP$39*'Others Split'!$D$47*'Others Split'!$L$8</f>
        <v>56606459202.676941</v>
      </c>
      <c r="AC6" s="16">
        <f>'KEEI BAU - Industry'!AQ$39*'Others Split'!$D$47*'Others Split'!$L$8</f>
        <v>56001788726.395256</v>
      </c>
      <c r="AD6" s="16">
        <f>'KEEI BAU - Industry'!AR$39*'Others Split'!$D$47*'Others Split'!$L$8</f>
        <v>55397118250.113579</v>
      </c>
      <c r="AE6" s="16">
        <f>'KEEI BAU - Industry'!AS$39*'Others Split'!$D$47*'Others Split'!$L$8</f>
        <v>54792447773.831902</v>
      </c>
      <c r="AF6" s="16">
        <f>'KEEI BAU - Industry'!AT$39*'Others Split'!$D$47*'Others Split'!$L$8</f>
        <v>54187777297.550224</v>
      </c>
    </row>
    <row r="7" spans="1:35">
      <c r="A7" t="s">
        <v>38</v>
      </c>
      <c r="B7" s="16">
        <f>'KEEI BAU - Industry'!P$39*'Others Split'!$D$47*'Others Split'!$L$9</f>
        <v>70745390814.605148</v>
      </c>
      <c r="C7" s="16">
        <f>'KEEI BAU - Industry'!Q$39*'Others Split'!$D$47*'Others Split'!$L$9</f>
        <v>65492175934.196487</v>
      </c>
      <c r="D7" s="16">
        <f>'KEEI BAU - Industry'!R$39*'Others Split'!$D$47*'Others Split'!$L$9</f>
        <v>60238961053.787834</v>
      </c>
      <c r="E7" s="16">
        <f>'KEEI BAU - Industry'!S$39*'Others Split'!$D$47*'Others Split'!$L$9</f>
        <v>54985746173.379189</v>
      </c>
      <c r="F7" s="16">
        <f>'KEEI BAU - Industry'!T$39*'Others Split'!$D$47*'Others Split'!$L$9</f>
        <v>54003857848.854561</v>
      </c>
      <c r="G7" s="16">
        <f>'KEEI BAU - Industry'!U$39*'Others Split'!$D$47*'Others Split'!$L$9</f>
        <v>53021969524.329926</v>
      </c>
      <c r="H7" s="16">
        <f>'KEEI BAU - Industry'!V$39*'Others Split'!$D$47*'Others Split'!$L$9</f>
        <v>52040081199.805305</v>
      </c>
      <c r="I7" s="16">
        <f>'KEEI BAU - Industry'!W$39*'Others Split'!$D$47*'Others Split'!$L$9</f>
        <v>51058192875.28067</v>
      </c>
      <c r="J7" s="16">
        <f>'KEEI BAU - Industry'!X$39*'Others Split'!$D$47*'Others Split'!$L$9</f>
        <v>50076304550.75605</v>
      </c>
      <c r="K7" s="16">
        <f>'KEEI BAU - Industry'!Y$39*'Others Split'!$D$47*'Others Split'!$L$9</f>
        <v>49094416226.231422</v>
      </c>
      <c r="L7" s="16">
        <f>'KEEI BAU - Industry'!Z$39*'Others Split'!$D$47*'Others Split'!$L$9</f>
        <v>48112527901.706787</v>
      </c>
      <c r="M7" s="16">
        <f>'KEEI BAU - Industry'!AA$39*'Others Split'!$D$47*'Others Split'!$L$9</f>
        <v>47985915986.175987</v>
      </c>
      <c r="N7" s="16">
        <f>'KEEI BAU - Industry'!AB$39*'Others Split'!$D$47*'Others Split'!$L$9</f>
        <v>47859304070.645172</v>
      </c>
      <c r="O7" s="16">
        <f>'KEEI BAU - Industry'!AC$39*'Others Split'!$D$47*'Others Split'!$L$9</f>
        <v>47732692155.114372</v>
      </c>
      <c r="P7" s="16">
        <f>'KEEI BAU - Industry'!AD$39*'Others Split'!$D$47*'Others Split'!$L$9</f>
        <v>47606080239.583557</v>
      </c>
      <c r="Q7" s="16">
        <f>'KEEI BAU - Industry'!AE$39*'Others Split'!$D$47*'Others Split'!$L$9</f>
        <v>47479468324.052757</v>
      </c>
      <c r="R7" s="16">
        <f>'KEEI BAU - Industry'!AF$39*'Others Split'!$D$47*'Others Split'!$L$9</f>
        <v>47352856408.521942</v>
      </c>
      <c r="S7" s="16">
        <f>'KEEI BAU - Industry'!AG$39*'Others Split'!$D$47*'Others Split'!$L$9</f>
        <v>47226244492.991142</v>
      </c>
      <c r="T7" s="16">
        <f>'KEEI BAU - Industry'!AH$39*'Others Split'!$D$47*'Others Split'!$L$9</f>
        <v>47099632577.460335</v>
      </c>
      <c r="U7" s="16">
        <f>'KEEI BAU - Industry'!AI$39*'Others Split'!$D$47*'Others Split'!$L$9</f>
        <v>46973020661.92952</v>
      </c>
      <c r="V7" s="16">
        <f>'KEEI BAU - Industry'!AJ$39*'Others Split'!$D$47*'Others Split'!$L$9</f>
        <v>46846408746.39872</v>
      </c>
      <c r="W7" s="16">
        <f>'KEEI BAU - Industry'!AK$39*'Others Split'!$D$47*'Others Split'!$L$9</f>
        <v>46376135917.284286</v>
      </c>
      <c r="X7" s="16">
        <f>'KEEI BAU - Industry'!AL$39*'Others Split'!$D$47*'Others Split'!$L$9</f>
        <v>45905863088.169861</v>
      </c>
      <c r="Y7" s="16">
        <f>'KEEI BAU - Industry'!AM$39*'Others Split'!$D$47*'Others Split'!$L$9</f>
        <v>45435590259.055435</v>
      </c>
      <c r="Z7" s="16">
        <f>'KEEI BAU - Industry'!AN$39*'Others Split'!$D$47*'Others Split'!$L$9</f>
        <v>44965317429.941002</v>
      </c>
      <c r="AA7" s="16">
        <f>'KEEI BAU - Industry'!AO$39*'Others Split'!$D$47*'Others Split'!$L$9</f>
        <v>44495044600.826584</v>
      </c>
      <c r="AB7" s="16">
        <f>'KEEI BAU - Industry'!AP$39*'Others Split'!$D$47*'Others Split'!$L$9</f>
        <v>44024771771.712151</v>
      </c>
      <c r="AC7" s="16">
        <f>'KEEI BAU - Industry'!AQ$39*'Others Split'!$D$47*'Others Split'!$L$9</f>
        <v>43554498942.597725</v>
      </c>
      <c r="AD7" s="16">
        <f>'KEEI BAU - Industry'!AR$39*'Others Split'!$D$47*'Others Split'!$L$9</f>
        <v>43084226113.483299</v>
      </c>
      <c r="AE7" s="16">
        <f>'KEEI BAU - Industry'!AS$39*'Others Split'!$D$47*'Others Split'!$L$9</f>
        <v>42613953284.368866</v>
      </c>
      <c r="AF7" s="16">
        <f>'KEEI BAU - Industry'!AT$39*'Others Split'!$D$47*'Others Split'!$L$9</f>
        <v>42143680455.25444</v>
      </c>
    </row>
    <row r="8" spans="1:35">
      <c r="A8" t="s">
        <v>40</v>
      </c>
      <c r="B8" s="16">
        <f>'KEEI BAU - Industry'!P$39*'Others Split'!$D$47*'Others Split'!$L$10</f>
        <v>4985933798.7700138</v>
      </c>
      <c r="C8" s="16">
        <f>'KEEI BAU - Industry'!Q$39*'Others Split'!$D$47*'Others Split'!$L$10</f>
        <v>4615702164.9796219</v>
      </c>
      <c r="D8" s="16">
        <f>'KEEI BAU - Industry'!R$39*'Others Split'!$D$47*'Others Split'!$L$10</f>
        <v>4245470531.189229</v>
      </c>
      <c r="E8" s="16">
        <f>'KEEI BAU - Industry'!S$39*'Others Split'!$D$47*'Others Split'!$L$10</f>
        <v>3875238897.3988371</v>
      </c>
      <c r="F8" s="16">
        <f>'KEEI BAU - Industry'!T$39*'Others Split'!$D$47*'Others Split'!$L$10</f>
        <v>3806038202.8024292</v>
      </c>
      <c r="G8" s="16">
        <f>'KEEI BAU - Industry'!U$39*'Others Split'!$D$47*'Others Split'!$L$10</f>
        <v>3736837508.2060213</v>
      </c>
      <c r="H8" s="16">
        <f>'KEEI BAU - Industry'!V$39*'Others Split'!$D$47*'Others Split'!$L$10</f>
        <v>3667636813.6096139</v>
      </c>
      <c r="I8" s="16">
        <f>'KEEI BAU - Industry'!W$39*'Others Split'!$D$47*'Others Split'!$L$10</f>
        <v>3598436119.0132055</v>
      </c>
      <c r="J8" s="16">
        <f>'KEEI BAU - Industry'!X$39*'Others Split'!$D$47*'Others Split'!$L$10</f>
        <v>3529235424.4167981</v>
      </c>
      <c r="K8" s="16">
        <f>'KEEI BAU - Industry'!Y$39*'Others Split'!$D$47*'Others Split'!$L$10</f>
        <v>3460034729.8203902</v>
      </c>
      <c r="L8" s="16">
        <f>'KEEI BAU - Industry'!Z$39*'Others Split'!$D$47*'Others Split'!$L$10</f>
        <v>3390834035.2239823</v>
      </c>
      <c r="M8" s="16">
        <f>'KEEI BAU - Industry'!AA$39*'Others Split'!$D$47*'Others Split'!$L$10</f>
        <v>3381910787.762867</v>
      </c>
      <c r="N8" s="16">
        <f>'KEEI BAU - Industry'!AB$39*'Others Split'!$D$47*'Others Split'!$L$10</f>
        <v>3372987540.3017507</v>
      </c>
      <c r="O8" s="16">
        <f>'KEEI BAU - Industry'!AC$39*'Others Split'!$D$47*'Others Split'!$L$10</f>
        <v>3364064292.8406353</v>
      </c>
      <c r="P8" s="16">
        <f>'KEEI BAU - Industry'!AD$39*'Others Split'!$D$47*'Others Split'!$L$10</f>
        <v>3355141045.3795195</v>
      </c>
      <c r="Q8" s="16">
        <f>'KEEI BAU - Industry'!AE$39*'Others Split'!$D$47*'Others Split'!$L$10</f>
        <v>3346217797.9184041</v>
      </c>
      <c r="R8" s="16">
        <f>'KEEI BAU - Industry'!AF$39*'Others Split'!$D$47*'Others Split'!$L$10</f>
        <v>3337294550.4572878</v>
      </c>
      <c r="S8" s="16">
        <f>'KEEI BAU - Industry'!AG$39*'Others Split'!$D$47*'Others Split'!$L$10</f>
        <v>3328371302.9961724</v>
      </c>
      <c r="T8" s="16">
        <f>'KEEI BAU - Industry'!AH$39*'Others Split'!$D$47*'Others Split'!$L$10</f>
        <v>3319448055.5350566</v>
      </c>
      <c r="U8" s="16">
        <f>'KEEI BAU - Industry'!AI$39*'Others Split'!$D$47*'Others Split'!$L$10</f>
        <v>3310524808.0739403</v>
      </c>
      <c r="V8" s="16">
        <f>'KEEI BAU - Industry'!AJ$39*'Others Split'!$D$47*'Others Split'!$L$10</f>
        <v>3301601560.6128249</v>
      </c>
      <c r="W8" s="16">
        <f>'KEEI BAU - Industry'!AK$39*'Others Split'!$D$47*'Others Split'!$L$10</f>
        <v>3268458070.0429664</v>
      </c>
      <c r="X8" s="16">
        <f>'KEEI BAU - Industry'!AL$39*'Others Split'!$D$47*'Others Split'!$L$10</f>
        <v>3235314579.4731078</v>
      </c>
      <c r="Y8" s="16">
        <f>'KEEI BAU - Industry'!AM$39*'Others Split'!$D$47*'Others Split'!$L$10</f>
        <v>3202171088.9032493</v>
      </c>
      <c r="Z8" s="16">
        <f>'KEEI BAU - Industry'!AN$39*'Others Split'!$D$47*'Others Split'!$L$10</f>
        <v>3169027598.3333907</v>
      </c>
      <c r="AA8" s="16">
        <f>'KEEI BAU - Industry'!AO$39*'Others Split'!$D$47*'Others Split'!$L$10</f>
        <v>3135884107.7635326</v>
      </c>
      <c r="AB8" s="16">
        <f>'KEEI BAU - Industry'!AP$39*'Others Split'!$D$47*'Others Split'!$L$10</f>
        <v>3102740617.1936741</v>
      </c>
      <c r="AC8" s="16">
        <f>'KEEI BAU - Industry'!AQ$39*'Others Split'!$D$47*'Others Split'!$L$10</f>
        <v>3069597126.6238155</v>
      </c>
      <c r="AD8" s="16">
        <f>'KEEI BAU - Industry'!AR$39*'Others Split'!$D$47*'Others Split'!$L$10</f>
        <v>3036453636.053957</v>
      </c>
      <c r="AE8" s="16">
        <f>'KEEI BAU - Industry'!AS$39*'Others Split'!$D$47*'Others Split'!$L$10</f>
        <v>3003310145.4840984</v>
      </c>
      <c r="AF8" s="16">
        <f>'KEEI BAU - Industry'!AT$39*'Others Split'!$D$47*'Others Split'!$L$10</f>
        <v>2970166654.9142399</v>
      </c>
    </row>
    <row r="9" spans="1:35">
      <c r="A9" t="s">
        <v>42</v>
      </c>
      <c r="B9" s="16">
        <f>'KEEI BAU - Industry'!P$39*'Others Split'!$D$47*'Others Split'!$L$11</f>
        <v>72415320795.054443</v>
      </c>
      <c r="C9" s="16">
        <f>'KEEI BAU - Industry'!Q$39*'Others Split'!$D$47*'Others Split'!$L$11</f>
        <v>67038104888.974358</v>
      </c>
      <c r="D9" s="16">
        <f>'KEEI BAU - Industry'!R$39*'Others Split'!$D$47*'Others Split'!$L$11</f>
        <v>61660888982.894279</v>
      </c>
      <c r="E9" s="16">
        <f>'KEEI BAU - Industry'!S$39*'Others Split'!$D$47*'Others Split'!$L$11</f>
        <v>56283673076.814217</v>
      </c>
      <c r="F9" s="16">
        <f>'KEEI BAU - Industry'!T$39*'Others Split'!$D$47*'Others Split'!$L$11</f>
        <v>55278607486.156815</v>
      </c>
      <c r="G9" s="16">
        <f>'KEEI BAU - Industry'!U$39*'Others Split'!$D$47*'Others Split'!$L$11</f>
        <v>54273541895.499413</v>
      </c>
      <c r="H9" s="16">
        <f>'KEEI BAU - Industry'!V$39*'Others Split'!$D$47*'Others Split'!$L$11</f>
        <v>53268476304.842026</v>
      </c>
      <c r="I9" s="16">
        <f>'KEEI BAU - Industry'!W$39*'Others Split'!$D$47*'Others Split'!$L$11</f>
        <v>52263410714.184624</v>
      </c>
      <c r="J9" s="16">
        <f>'KEEI BAU - Industry'!X$39*'Others Split'!$D$47*'Others Split'!$L$11</f>
        <v>51258345123.527229</v>
      </c>
      <c r="K9" s="16">
        <f>'KEEI BAU - Industry'!Y$39*'Others Split'!$D$47*'Others Split'!$L$11</f>
        <v>50253279532.869835</v>
      </c>
      <c r="L9" s="16">
        <f>'KEEI BAU - Industry'!Z$39*'Others Split'!$D$47*'Others Split'!$L$11</f>
        <v>49248213942.212433</v>
      </c>
      <c r="M9" s="16">
        <f>'KEEI BAU - Industry'!AA$39*'Others Split'!$D$47*'Others Split'!$L$11</f>
        <v>49118613379.206612</v>
      </c>
      <c r="N9" s="16">
        <f>'KEEI BAU - Industry'!AB$39*'Others Split'!$D$47*'Others Split'!$L$11</f>
        <v>48989012816.20079</v>
      </c>
      <c r="O9" s="16">
        <f>'KEEI BAU - Industry'!AC$39*'Others Split'!$D$47*'Others Split'!$L$11</f>
        <v>48859412253.194969</v>
      </c>
      <c r="P9" s="16">
        <f>'KEEI BAU - Industry'!AD$39*'Others Split'!$D$47*'Others Split'!$L$11</f>
        <v>48729811690.189148</v>
      </c>
      <c r="Q9" s="16">
        <f>'KEEI BAU - Industry'!AE$39*'Others Split'!$D$47*'Others Split'!$L$11</f>
        <v>48600211127.183327</v>
      </c>
      <c r="R9" s="16">
        <f>'KEEI BAU - Industry'!AF$39*'Others Split'!$D$47*'Others Split'!$L$11</f>
        <v>48470610564.177498</v>
      </c>
      <c r="S9" s="16">
        <f>'KEEI BAU - Industry'!AG$39*'Others Split'!$D$47*'Others Split'!$L$11</f>
        <v>48341010001.171684</v>
      </c>
      <c r="T9" s="16">
        <f>'KEEI BAU - Industry'!AH$39*'Others Split'!$D$47*'Others Split'!$L$11</f>
        <v>48211409438.165855</v>
      </c>
      <c r="U9" s="16">
        <f>'KEEI BAU - Industry'!AI$39*'Others Split'!$D$47*'Others Split'!$L$11</f>
        <v>48081808875.160034</v>
      </c>
      <c r="V9" s="16">
        <f>'KEEI BAU - Industry'!AJ$39*'Others Split'!$D$47*'Others Split'!$L$11</f>
        <v>47952208312.154213</v>
      </c>
      <c r="W9" s="16">
        <f>'KEEI BAU - Industry'!AK$39*'Others Split'!$D$47*'Others Split'!$L$11</f>
        <v>47470834792.418304</v>
      </c>
      <c r="X9" s="16">
        <f>'KEEI BAU - Industry'!AL$39*'Others Split'!$D$47*'Others Split'!$L$11</f>
        <v>46989461272.682388</v>
      </c>
      <c r="Y9" s="16">
        <f>'KEEI BAU - Industry'!AM$39*'Others Split'!$D$47*'Others Split'!$L$11</f>
        <v>46508087752.94648</v>
      </c>
      <c r="Z9" s="16">
        <f>'KEEI BAU - Industry'!AN$39*'Others Split'!$D$47*'Others Split'!$L$11</f>
        <v>46026714233.210564</v>
      </c>
      <c r="AA9" s="16">
        <f>'KEEI BAU - Industry'!AO$39*'Others Split'!$D$47*'Others Split'!$L$11</f>
        <v>45545340713.474663</v>
      </c>
      <c r="AB9" s="16">
        <f>'KEEI BAU - Industry'!AP$39*'Others Split'!$D$47*'Others Split'!$L$11</f>
        <v>45063967193.738747</v>
      </c>
      <c r="AC9" s="16">
        <f>'KEEI BAU - Industry'!AQ$39*'Others Split'!$D$47*'Others Split'!$L$11</f>
        <v>44582593674.002838</v>
      </c>
      <c r="AD9" s="16">
        <f>'KEEI BAU - Industry'!AR$39*'Others Split'!$D$47*'Others Split'!$L$11</f>
        <v>44101220154.266922</v>
      </c>
      <c r="AE9" s="16">
        <f>'KEEI BAU - Industry'!AS$39*'Others Split'!$D$47*'Others Split'!$L$11</f>
        <v>43619846634.531013</v>
      </c>
      <c r="AF9" s="16">
        <f>'KEEI BAU - Industry'!AT$39*'Others Split'!$D$47*'Others Split'!$L$11</f>
        <v>43138473114.795097</v>
      </c>
    </row>
    <row r="10" spans="1:35">
      <c r="A10" t="s">
        <v>44</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1" customFormat="1">
      <c r="A11" s="444" t="s">
        <v>47</v>
      </c>
      <c r="B11" s="445">
        <f>'KEEI BAU - Industry'!P$11*'Petrochemicals Split'!$D$38*'Petrochemicals Split'!$I$6</f>
        <v>211901194138225.97</v>
      </c>
      <c r="C11" s="445">
        <f>'KEEI BAU - Industry'!Q$11*'Petrochemicals Split'!$D$38*'Petrochemicals Split'!$I$6</f>
        <v>216005137295310.34</v>
      </c>
      <c r="D11" s="445">
        <f>'KEEI BAU - Industry'!R$11*'Petrochemicals Split'!$D$38*'Petrochemicals Split'!$I$6</f>
        <v>220109080452394.69</v>
      </c>
      <c r="E11" s="445">
        <f>'KEEI BAU - Industry'!S$11*'Petrochemicals Split'!$D$38*'Petrochemicals Split'!$I$6</f>
        <v>224213023609478.84</v>
      </c>
      <c r="F11" s="445">
        <f>'KEEI BAU - Industry'!T$11*'Petrochemicals Split'!$D$38*'Petrochemicals Split'!$I$6</f>
        <v>228186952564386.81</v>
      </c>
      <c r="G11" s="445">
        <f>'KEEI BAU - Industry'!U$11*'Petrochemicals Split'!$D$38*'Petrochemicals Split'!$I$6</f>
        <v>232160881519294.56</v>
      </c>
      <c r="H11" s="445">
        <f>'KEEI BAU - Industry'!V$11*'Petrochemicals Split'!$D$38*'Petrochemicals Split'!$I$6</f>
        <v>236134810474204.09</v>
      </c>
      <c r="I11" s="445">
        <f>'KEEI BAU - Industry'!W$11*'Petrochemicals Split'!$D$38*'Petrochemicals Split'!$I$6</f>
        <v>240108739429111.88</v>
      </c>
      <c r="J11" s="445">
        <f>'KEEI BAU - Industry'!X$11*'Petrochemicals Split'!$D$38*'Petrochemicals Split'!$I$6</f>
        <v>244082668384019.59</v>
      </c>
      <c r="K11" s="445">
        <f>'KEEI BAU - Industry'!Y$11*'Petrochemicals Split'!$D$38*'Petrochemicals Split'!$I$6</f>
        <v>248056597338929.09</v>
      </c>
      <c r="L11" s="445">
        <f>'KEEI BAU - Industry'!Z$11*'Petrochemicals Split'!$D$38*'Petrochemicals Split'!$I$6</f>
        <v>252030526293837.72</v>
      </c>
      <c r="M11" s="445">
        <f>'KEEI BAU - Industry'!AA$11*'Petrochemicals Split'!$D$38*'Petrochemicals Split'!$I$6</f>
        <v>254389415392817.19</v>
      </c>
      <c r="N11" s="445">
        <f>'KEEI BAU - Industry'!AB$11*'Petrochemicals Split'!$D$38*'Petrochemicals Split'!$I$6</f>
        <v>256748304491796.63</v>
      </c>
      <c r="O11" s="445">
        <f>'KEEI BAU - Industry'!AC$11*'Petrochemicals Split'!$D$38*'Petrochemicals Split'!$I$6</f>
        <v>259107193590776.97</v>
      </c>
      <c r="P11" s="445">
        <f>'KEEI BAU - Industry'!AD$11*'Petrochemicals Split'!$D$38*'Petrochemicals Split'!$I$6</f>
        <v>261466082689756.41</v>
      </c>
      <c r="Q11" s="445">
        <f>'KEEI BAU - Industry'!AE$11*'Petrochemicals Split'!$D$38*'Petrochemicals Split'!$I$6</f>
        <v>263824971788736.72</v>
      </c>
      <c r="R11" s="445">
        <f>'KEEI BAU - Industry'!AF$11*'Petrochemicals Split'!$D$38*'Petrochemicals Split'!$I$6</f>
        <v>266183860887716.19</v>
      </c>
      <c r="S11" s="445">
        <f>'KEEI BAU - Industry'!AG$11*'Petrochemicals Split'!$D$38*'Petrochemicals Split'!$I$6</f>
        <v>268542749986696.5</v>
      </c>
      <c r="T11" s="445">
        <f>'KEEI BAU - Industry'!AH$11*'Petrochemicals Split'!$D$38*'Petrochemicals Split'!$I$6</f>
        <v>270901639085675.94</v>
      </c>
      <c r="U11" s="445">
        <f>'KEEI BAU - Industry'!AI$11*'Petrochemicals Split'!$D$38*'Petrochemicals Split'!$I$6</f>
        <v>273260528184656.31</v>
      </c>
      <c r="V11" s="445">
        <f>'KEEI BAU - Industry'!AJ$11*'Petrochemicals Split'!$D$38*'Petrochemicals Split'!$I$6</f>
        <v>275619417283636.63</v>
      </c>
      <c r="W11" s="445">
        <f>'KEEI BAU - Industry'!AK$11*'Petrochemicals Split'!$D$38*'Petrochemicals Split'!$I$6</f>
        <v>276365901175718.84</v>
      </c>
      <c r="X11" s="445">
        <f>'KEEI BAU - Industry'!AL$11*'Petrochemicals Split'!$D$38*'Petrochemicals Split'!$I$6</f>
        <v>277112385067801.13</v>
      </c>
      <c r="Y11" s="445">
        <f>'KEEI BAU - Industry'!AM$11*'Petrochemicals Split'!$D$38*'Petrochemicals Split'!$I$6</f>
        <v>277858868959883.34</v>
      </c>
      <c r="Z11" s="445">
        <f>'KEEI BAU - Industry'!AN$11*'Petrochemicals Split'!$D$38*'Petrochemicals Split'!$I$6</f>
        <v>278605352851965.59</v>
      </c>
      <c r="AA11" s="445">
        <f>'KEEI BAU - Industry'!AO$11*'Petrochemicals Split'!$D$38*'Petrochemicals Split'!$I$6</f>
        <v>279351836744047.84</v>
      </c>
      <c r="AB11" s="445">
        <f>'KEEI BAU - Industry'!AP$11*'Petrochemicals Split'!$D$38*'Petrochemicals Split'!$I$6</f>
        <v>280098320636130.09</v>
      </c>
      <c r="AC11" s="445">
        <f>'KEEI BAU - Industry'!AQ$11*'Petrochemicals Split'!$D$38*'Petrochemicals Split'!$I$6</f>
        <v>280844804528212.31</v>
      </c>
      <c r="AD11" s="445">
        <f>'KEEI BAU - Industry'!AR$11*'Petrochemicals Split'!$D$38*'Petrochemicals Split'!$I$6</f>
        <v>281591288420294.56</v>
      </c>
      <c r="AE11" s="445">
        <f>'KEEI BAU - Industry'!AS$11*'Petrochemicals Split'!$D$38*'Petrochemicals Split'!$I$6</f>
        <v>282337772312376.81</v>
      </c>
      <c r="AF11" s="445">
        <f>'KEEI BAU - Industry'!AT$11*'Petrochemicals Split'!$D$38*'Petrochemicals Split'!$I$6</f>
        <v>283084256204459.06</v>
      </c>
    </row>
    <row r="12" spans="1:35" s="351" customFormat="1">
      <c r="A12" s="444" t="s">
        <v>51</v>
      </c>
      <c r="B12" s="445">
        <f>'KEEI BAU - Industry'!P$11*'Petrochemicals Split'!$D$38*'Petrochemicals Split'!$I$7</f>
        <v>109734546964438.45</v>
      </c>
      <c r="C12" s="445">
        <f>'KEEI BAU - Industry'!Q$11*'Petrochemicals Split'!$D$38*'Petrochemicals Split'!$I$7</f>
        <v>111859803242214.28</v>
      </c>
      <c r="D12" s="445">
        <f>'KEEI BAU - Industry'!R$11*'Petrochemicals Split'!$D$38*'Petrochemicals Split'!$I$7</f>
        <v>113985059519990.11</v>
      </c>
      <c r="E12" s="445">
        <f>'KEEI BAU - Industry'!S$11*'Petrochemicals Split'!$D$38*'Petrochemicals Split'!$I$7</f>
        <v>116110315797765.84</v>
      </c>
      <c r="F12" s="445">
        <f>'KEEI BAU - Industry'!T$11*'Petrochemicals Split'!$D$38*'Petrochemicals Split'!$I$7</f>
        <v>118168243292271.75</v>
      </c>
      <c r="G12" s="445">
        <f>'KEEI BAU - Industry'!U$11*'Petrochemicals Split'!$D$38*'Petrochemicals Split'!$I$7</f>
        <v>120226170786777.55</v>
      </c>
      <c r="H12" s="445">
        <f>'KEEI BAU - Industry'!V$11*'Petrochemicals Split'!$D$38*'Petrochemicals Split'!$I$7</f>
        <v>122284098281284.27</v>
      </c>
      <c r="I12" s="445">
        <f>'KEEI BAU - Industry'!W$11*'Petrochemicals Split'!$D$38*'Petrochemicals Split'!$I$7</f>
        <v>124342025775790.08</v>
      </c>
      <c r="J12" s="445">
        <f>'KEEI BAU - Industry'!X$11*'Petrochemicals Split'!$D$38*'Petrochemicals Split'!$I$7</f>
        <v>126399953270295.86</v>
      </c>
      <c r="K12" s="445">
        <f>'KEEI BAU - Industry'!Y$11*'Petrochemicals Split'!$D$38*'Petrochemicals Split'!$I$7</f>
        <v>128457880764802.58</v>
      </c>
      <c r="L12" s="445">
        <f>'KEEI BAU - Industry'!Z$11*'Petrochemicals Split'!$D$38*'Petrochemicals Split'!$I$7</f>
        <v>130515808259308.83</v>
      </c>
      <c r="M12" s="445">
        <f>'KEEI BAU - Industry'!AA$11*'Petrochemicals Split'!$D$38*'Petrochemicals Split'!$I$7</f>
        <v>131737375828423.19</v>
      </c>
      <c r="N12" s="445">
        <f>'KEEI BAU - Industry'!AB$11*'Petrochemicals Split'!$D$38*'Petrochemicals Split'!$I$7</f>
        <v>132958943397537.55</v>
      </c>
      <c r="O12" s="445">
        <f>'KEEI BAU - Industry'!AC$11*'Petrochemicals Split'!$D$38*'Petrochemicals Split'!$I$7</f>
        <v>134180510966652.36</v>
      </c>
      <c r="P12" s="445">
        <f>'KEEI BAU - Industry'!AD$11*'Petrochemicals Split'!$D$38*'Petrochemicals Split'!$I$7</f>
        <v>135402078535766.72</v>
      </c>
      <c r="Q12" s="445">
        <f>'KEEI BAU - Industry'!AE$11*'Petrochemicals Split'!$D$38*'Petrochemicals Split'!$I$7</f>
        <v>136623646104881.53</v>
      </c>
      <c r="R12" s="445">
        <f>'KEEI BAU - Industry'!AF$11*'Petrochemicals Split'!$D$38*'Petrochemicals Split'!$I$7</f>
        <v>137845213673995.89</v>
      </c>
      <c r="S12" s="445">
        <f>'KEEI BAU - Industry'!AG$11*'Petrochemicals Split'!$D$38*'Petrochemicals Split'!$I$7</f>
        <v>139066781243110.69</v>
      </c>
      <c r="T12" s="445">
        <f>'KEEI BAU - Industry'!AH$11*'Petrochemicals Split'!$D$38*'Petrochemicals Split'!$I$7</f>
        <v>140288348812225.05</v>
      </c>
      <c r="U12" s="445">
        <f>'KEEI BAU - Industry'!AI$11*'Petrochemicals Split'!$D$38*'Petrochemicals Split'!$I$7</f>
        <v>141509916381339.88</v>
      </c>
      <c r="V12" s="445">
        <f>'KEEI BAU - Industry'!AJ$11*'Petrochemicals Split'!$D$38*'Petrochemicals Split'!$I$7</f>
        <v>142731483950454.69</v>
      </c>
      <c r="W12" s="445">
        <f>'KEEI BAU - Industry'!AK$11*'Petrochemicals Split'!$D$38*'Petrochemicals Split'!$I$7</f>
        <v>143118055965997.28</v>
      </c>
      <c r="X12" s="445">
        <f>'KEEI BAU - Industry'!AL$11*'Petrochemicals Split'!$D$38*'Petrochemicals Split'!$I$7</f>
        <v>143504627981539.88</v>
      </c>
      <c r="Y12" s="445">
        <f>'KEEI BAU - Industry'!AM$11*'Petrochemicals Split'!$D$38*'Petrochemicals Split'!$I$7</f>
        <v>143891199997082.47</v>
      </c>
      <c r="Z12" s="445">
        <f>'KEEI BAU - Industry'!AN$11*'Petrochemicals Split'!$D$38*'Petrochemicals Split'!$I$7</f>
        <v>144277772012625.03</v>
      </c>
      <c r="AA12" s="445">
        <f>'KEEI BAU - Industry'!AO$11*'Petrochemicals Split'!$D$38*'Petrochemicals Split'!$I$7</f>
        <v>144664344028167.66</v>
      </c>
      <c r="AB12" s="445">
        <f>'KEEI BAU - Industry'!AP$11*'Petrochemicals Split'!$D$38*'Petrochemicals Split'!$I$7</f>
        <v>145050916043710.22</v>
      </c>
      <c r="AC12" s="445">
        <f>'KEEI BAU - Industry'!AQ$11*'Petrochemicals Split'!$D$38*'Petrochemicals Split'!$I$7</f>
        <v>145437488059252.81</v>
      </c>
      <c r="AD12" s="445">
        <f>'KEEI BAU - Industry'!AR$11*'Petrochemicals Split'!$D$38*'Petrochemicals Split'!$I$7</f>
        <v>145824060074795.41</v>
      </c>
      <c r="AE12" s="445">
        <f>'KEEI BAU - Industry'!AS$11*'Petrochemicals Split'!$D$38*'Petrochemicals Split'!$I$7</f>
        <v>146210632090338</v>
      </c>
      <c r="AF12" s="445">
        <f>'KEEI BAU - Industry'!AT$11*'Petrochemicals Split'!$D$38*'Petrochemicals Split'!$I$7</f>
        <v>146597204105880.59</v>
      </c>
    </row>
    <row r="13" spans="1:35">
      <c r="A13" t="s">
        <v>53</v>
      </c>
      <c r="B13" s="16">
        <f>'KEEI BAU - Industry'!P$39*'Others Split'!$D$47*'Others Split'!$L$12</f>
        <v>904817857746.82715</v>
      </c>
      <c r="C13" s="16">
        <f>'KEEI BAU - Industry'!Q$39*'Others Split'!$D$47*'Others Split'!$L$12</f>
        <v>837630404548.19653</v>
      </c>
      <c r="D13" s="16">
        <f>'KEEI BAU - Industry'!R$39*'Others Split'!$D$47*'Others Split'!$L$12</f>
        <v>770442951349.56604</v>
      </c>
      <c r="E13" s="16">
        <f>'KEEI BAU - Industry'!S$39*'Others Split'!$D$47*'Others Split'!$L$12</f>
        <v>703255498150.93555</v>
      </c>
      <c r="F13" s="16">
        <f>'KEEI BAU - Industry'!T$39*'Others Split'!$D$47*'Others Split'!$L$12</f>
        <v>690697364255.38306</v>
      </c>
      <c r="G13" s="16">
        <f>'KEEI BAU - Industry'!U$39*'Others Split'!$D$47*'Others Split'!$L$12</f>
        <v>678139230359.83057</v>
      </c>
      <c r="H13" s="16">
        <f>'KEEI BAU - Industry'!V$39*'Others Split'!$D$47*'Others Split'!$L$12</f>
        <v>665581096464.2782</v>
      </c>
      <c r="I13" s="16">
        <f>'KEEI BAU - Industry'!W$39*'Others Split'!$D$47*'Others Split'!$L$12</f>
        <v>653022962568.72583</v>
      </c>
      <c r="J13" s="16">
        <f>'KEEI BAU - Industry'!X$39*'Others Split'!$D$47*'Others Split'!$L$12</f>
        <v>640464828673.17346</v>
      </c>
      <c r="K13" s="16">
        <f>'KEEI BAU - Industry'!Y$39*'Others Split'!$D$47*'Others Split'!$L$12</f>
        <v>627906694777.62097</v>
      </c>
      <c r="L13" s="16">
        <f>'KEEI BAU - Industry'!Z$39*'Others Split'!$D$47*'Others Split'!$L$12</f>
        <v>615348560882.06848</v>
      </c>
      <c r="M13" s="16">
        <f>'KEEI BAU - Industry'!AA$39*'Others Split'!$D$47*'Others Split'!$L$12</f>
        <v>613729222563.95789</v>
      </c>
      <c r="N13" s="16">
        <f>'KEEI BAU - Industry'!AB$39*'Others Split'!$D$47*'Others Split'!$L$12</f>
        <v>612109884245.84705</v>
      </c>
      <c r="O13" s="16">
        <f>'KEEI BAU - Industry'!AC$39*'Others Split'!$D$47*'Others Split'!$L$12</f>
        <v>610490545927.73645</v>
      </c>
      <c r="P13" s="16">
        <f>'KEEI BAU - Industry'!AD$39*'Others Split'!$D$47*'Others Split'!$L$12</f>
        <v>608871207609.62573</v>
      </c>
      <c r="Q13" s="16">
        <f>'KEEI BAU - Industry'!AE$39*'Others Split'!$D$47*'Others Split'!$L$12</f>
        <v>607251869291.51501</v>
      </c>
      <c r="R13" s="16">
        <f>'KEEI BAU - Industry'!AF$39*'Others Split'!$D$47*'Others Split'!$L$12</f>
        <v>605632530973.4043</v>
      </c>
      <c r="S13" s="16">
        <f>'KEEI BAU - Industry'!AG$39*'Others Split'!$D$47*'Others Split'!$L$12</f>
        <v>604013192655.29358</v>
      </c>
      <c r="T13" s="16">
        <f>'KEEI BAU - Industry'!AH$39*'Others Split'!$D$47*'Others Split'!$L$12</f>
        <v>602393854337.18286</v>
      </c>
      <c r="U13" s="16">
        <f>'KEEI BAU - Industry'!AI$39*'Others Split'!$D$47*'Others Split'!$L$12</f>
        <v>600774516019.07214</v>
      </c>
      <c r="V13" s="16">
        <f>'KEEI BAU - Industry'!AJ$39*'Others Split'!$D$47*'Others Split'!$L$12</f>
        <v>599155177700.96143</v>
      </c>
      <c r="W13" s="16">
        <f>'KEEI BAU - Industry'!AK$39*'Others Split'!$D$47*'Others Split'!$L$12</f>
        <v>593140492519.40747</v>
      </c>
      <c r="X13" s="16">
        <f>'KEEI BAU - Industry'!AL$39*'Others Split'!$D$47*'Others Split'!$L$12</f>
        <v>587125807337.85339</v>
      </c>
      <c r="Y13" s="16">
        <f>'KEEI BAU - Industry'!AM$39*'Others Split'!$D$47*'Others Split'!$L$12</f>
        <v>581111122156.29932</v>
      </c>
      <c r="Z13" s="16">
        <f>'KEEI BAU - Industry'!AN$39*'Others Split'!$D$47*'Others Split'!$L$12</f>
        <v>575096436974.74524</v>
      </c>
      <c r="AA13" s="16">
        <f>'KEEI BAU - Industry'!AO$39*'Others Split'!$D$47*'Others Split'!$L$12</f>
        <v>569081751793.19128</v>
      </c>
      <c r="AB13" s="16">
        <f>'KEEI BAU - Industry'!AP$39*'Others Split'!$D$47*'Others Split'!$L$12</f>
        <v>563067066611.63721</v>
      </c>
      <c r="AC13" s="16">
        <f>'KEEI BAU - Industry'!AQ$39*'Others Split'!$D$47*'Others Split'!$L$12</f>
        <v>557052381430.08313</v>
      </c>
      <c r="AD13" s="16">
        <f>'KEEI BAU - Industry'!AR$39*'Others Split'!$D$47*'Others Split'!$L$12</f>
        <v>551037696248.52905</v>
      </c>
      <c r="AE13" s="16">
        <f>'KEEI BAU - Industry'!AS$39*'Others Split'!$D$47*'Others Split'!$L$12</f>
        <v>545023011066.97498</v>
      </c>
      <c r="AF13" s="16">
        <f>'KEEI BAU - Industry'!AT$39*'Others Split'!$D$47*'Others Split'!$L$12</f>
        <v>539008325885.4209</v>
      </c>
    </row>
    <row r="14" spans="1:35">
      <c r="A14" t="s">
        <v>56</v>
      </c>
      <c r="B14" s="16">
        <f>'KEEI BAU - Industry'!P$39*'Others Split'!$D$47*'Others Split'!$L$13</f>
        <v>144709278822.97186</v>
      </c>
      <c r="C14" s="16">
        <f>'KEEI BAU - Industry'!Q$39*'Others Split'!$D$47*'Others Split'!$L$13</f>
        <v>133963858830.33679</v>
      </c>
      <c r="D14" s="16">
        <f>'KEEI BAU - Industry'!R$39*'Others Split'!$D$47*'Others Split'!$L$13</f>
        <v>123218438837.70171</v>
      </c>
      <c r="E14" s="16">
        <f>'KEEI BAU - Industry'!S$39*'Others Split'!$D$47*'Others Split'!$L$13</f>
        <v>112473018845.06664</v>
      </c>
      <c r="F14" s="16">
        <f>'KEEI BAU - Industry'!T$39*'Others Split'!$D$47*'Others Split'!$L$13</f>
        <v>110464572079.97615</v>
      </c>
      <c r="G14" s="16">
        <f>'KEEI BAU - Industry'!U$39*'Others Split'!$D$47*'Others Split'!$L$13</f>
        <v>108456125314.88567</v>
      </c>
      <c r="H14" s="16">
        <f>'KEEI BAU - Industry'!V$39*'Others Split'!$D$47*'Others Split'!$L$13</f>
        <v>106447678549.79521</v>
      </c>
      <c r="I14" s="16">
        <f>'KEEI BAU - Industry'!W$39*'Others Split'!$D$47*'Others Split'!$L$13</f>
        <v>104439231784.70473</v>
      </c>
      <c r="J14" s="16">
        <f>'KEEI BAU - Industry'!X$39*'Others Split'!$D$47*'Others Split'!$L$13</f>
        <v>102430785019.61426</v>
      </c>
      <c r="K14" s="16">
        <f>'KEEI BAU - Industry'!Y$39*'Others Split'!$D$47*'Others Split'!$L$13</f>
        <v>100422338254.52377</v>
      </c>
      <c r="L14" s="16">
        <f>'KEEI BAU - Industry'!Z$39*'Others Split'!$D$47*'Others Split'!$L$13</f>
        <v>98413891489.433289</v>
      </c>
      <c r="M14" s="16">
        <f>'KEEI BAU - Industry'!AA$39*'Others Split'!$D$47*'Others Split'!$L$13</f>
        <v>98154907564.461105</v>
      </c>
      <c r="N14" s="16">
        <f>'KEEI BAU - Industry'!AB$39*'Others Split'!$D$47*'Others Split'!$L$13</f>
        <v>97895923639.488907</v>
      </c>
      <c r="O14" s="16">
        <f>'KEEI BAU - Industry'!AC$39*'Others Split'!$D$47*'Others Split'!$L$13</f>
        <v>97636939714.516724</v>
      </c>
      <c r="P14" s="16">
        <f>'KEEI BAU - Industry'!AD$39*'Others Split'!$D$47*'Others Split'!$L$13</f>
        <v>97377955789.544525</v>
      </c>
      <c r="Q14" s="16">
        <f>'KEEI BAU - Industry'!AE$39*'Others Split'!$D$47*'Others Split'!$L$13</f>
        <v>97118971864.572342</v>
      </c>
      <c r="R14" s="16">
        <f>'KEEI BAU - Industry'!AF$39*'Others Split'!$D$47*'Others Split'!$L$13</f>
        <v>96859987939.600143</v>
      </c>
      <c r="S14" s="16">
        <f>'KEEI BAU - Industry'!AG$39*'Others Split'!$D$47*'Others Split'!$L$13</f>
        <v>96601004014.62796</v>
      </c>
      <c r="T14" s="16">
        <f>'KEEI BAU - Industry'!AH$39*'Others Split'!$D$47*'Others Split'!$L$13</f>
        <v>96342020089.655762</v>
      </c>
      <c r="U14" s="16">
        <f>'KEEI BAU - Industry'!AI$39*'Others Split'!$D$47*'Others Split'!$L$13</f>
        <v>96083036164.683563</v>
      </c>
      <c r="V14" s="16">
        <f>'KEEI BAU - Industry'!AJ$39*'Others Split'!$D$47*'Others Split'!$L$13</f>
        <v>95824052239.711365</v>
      </c>
      <c r="W14" s="16">
        <f>'KEEI BAU - Industry'!AK$39*'Others Split'!$D$47*'Others Split'!$L$13</f>
        <v>94862111946.957504</v>
      </c>
      <c r="X14" s="16">
        <f>'KEEI BAU - Industry'!AL$39*'Others Split'!$D$47*'Others Split'!$L$13</f>
        <v>93900171654.203644</v>
      </c>
      <c r="Y14" s="16">
        <f>'KEEI BAU - Industry'!AM$39*'Others Split'!$D$47*'Others Split'!$L$13</f>
        <v>92938231361.449783</v>
      </c>
      <c r="Z14" s="16">
        <f>'KEEI BAU - Industry'!AN$39*'Others Split'!$D$47*'Others Split'!$L$13</f>
        <v>91976291068.695923</v>
      </c>
      <c r="AA14" s="16">
        <f>'KEEI BAU - Industry'!AO$39*'Others Split'!$D$47*'Others Split'!$L$13</f>
        <v>91014350775.942078</v>
      </c>
      <c r="AB14" s="16">
        <f>'KEEI BAU - Industry'!AP$39*'Others Split'!$D$47*'Others Split'!$L$13</f>
        <v>90052410483.188217</v>
      </c>
      <c r="AC14" s="16">
        <f>'KEEI BAU - Industry'!AQ$39*'Others Split'!$D$47*'Others Split'!$L$13</f>
        <v>89090470190.434357</v>
      </c>
      <c r="AD14" s="16">
        <f>'KEEI BAU - Industry'!AR$39*'Others Split'!$D$47*'Others Split'!$L$13</f>
        <v>88128529897.680496</v>
      </c>
      <c r="AE14" s="16">
        <f>'KEEI BAU - Industry'!AS$39*'Others Split'!$D$47*'Others Split'!$L$13</f>
        <v>87166589604.926636</v>
      </c>
      <c r="AF14" s="16">
        <f>'KEEI BAU - Industry'!AT$39*'Others Split'!$D$47*'Others Split'!$L$13</f>
        <v>86204649312.172775</v>
      </c>
    </row>
    <row r="15" spans="1:35">
      <c r="A15" t="s">
        <v>58</v>
      </c>
      <c r="B15" s="16">
        <f>'KEEI BAU - Industry'!P25*'Steel Split'!$D$11</f>
        <v>1583645014.1474566</v>
      </c>
      <c r="C15" s="16">
        <f>'KEEI BAU - Industry'!Q25*'Steel Split'!$D$11</f>
        <v>1234993210.3201342</v>
      </c>
      <c r="D15" s="16">
        <f>'KEEI BAU - Industry'!R25*'Steel Split'!$D$11</f>
        <v>886341406.4928118</v>
      </c>
      <c r="E15" s="16">
        <f>'KEEI BAU - Industry'!S25*'Steel Split'!$D$11</f>
        <v>537689602.6654892</v>
      </c>
      <c r="F15" s="16">
        <f>'KEEI BAU - Industry'!T25*'Steel Split'!$D$11</f>
        <v>520472940.51117557</v>
      </c>
      <c r="G15" s="16">
        <f>'KEEI BAU - Industry'!U25*'Steel Split'!$D$11</f>
        <v>503256278.35686189</v>
      </c>
      <c r="H15" s="16">
        <f>'KEEI BAU - Industry'!V25*'Steel Split'!$D$11</f>
        <v>486039616.20254815</v>
      </c>
      <c r="I15" s="16">
        <f>'KEEI BAU - Industry'!W25*'Steel Split'!$D$11</f>
        <v>468822954.04823446</v>
      </c>
      <c r="J15" s="16">
        <f>'KEEI BAU - Industry'!X25*'Steel Split'!$D$11</f>
        <v>451606291.89392078</v>
      </c>
      <c r="K15" s="16">
        <f>'KEEI BAU - Industry'!Y25*'Steel Split'!$D$11</f>
        <v>434389629.7396071</v>
      </c>
      <c r="L15" s="16">
        <f>'KEEI BAU - Industry'!Z25*'Steel Split'!$D$11</f>
        <v>417172967.58529341</v>
      </c>
      <c r="M15" s="16">
        <f>'KEEI BAU - Industry'!AA25*'Steel Split'!$D$11</f>
        <v>416245916.54621518</v>
      </c>
      <c r="N15" s="16">
        <f>'KEEI BAU - Industry'!AB25*'Steel Split'!$D$11</f>
        <v>415318865.50713676</v>
      </c>
      <c r="O15" s="16">
        <f>'KEEI BAU - Industry'!AC25*'Steel Split'!$D$11</f>
        <v>414391814.46805835</v>
      </c>
      <c r="P15" s="16">
        <f>'KEEI BAU - Industry'!AD25*'Steel Split'!$D$11</f>
        <v>413464763.42897987</v>
      </c>
      <c r="Q15" s="16">
        <f>'KEEI BAU - Industry'!AE25*'Steel Split'!$D$11</f>
        <v>412537712.38990146</v>
      </c>
      <c r="R15" s="16">
        <f>'KEEI BAU - Industry'!AF25*'Steel Split'!$D$11</f>
        <v>411610661.35082304</v>
      </c>
      <c r="S15" s="16">
        <f>'KEEI BAU - Industry'!AG25*'Steel Split'!$D$11</f>
        <v>410683610.31174463</v>
      </c>
      <c r="T15" s="16">
        <f>'KEEI BAU - Industry'!AH25*'Steel Split'!$D$11</f>
        <v>409756559.27266616</v>
      </c>
      <c r="U15" s="16">
        <f>'KEEI BAU - Industry'!AI25*'Steel Split'!$D$11</f>
        <v>408829508.23358774</v>
      </c>
      <c r="V15" s="16">
        <f>'KEEI BAU - Industry'!AJ25*'Steel Split'!$D$11</f>
        <v>407902457.19450909</v>
      </c>
      <c r="W15" s="16">
        <f>'KEEI BAU - Industry'!AK25*'Steel Split'!$D$11</f>
        <v>405121304.07727379</v>
      </c>
      <c r="X15" s="16">
        <f>'KEEI BAU - Industry'!AL25*'Steel Split'!$D$11</f>
        <v>402340150.96003848</v>
      </c>
      <c r="Y15" s="16">
        <f>'KEEI BAU - Industry'!AM25*'Steel Split'!$D$11</f>
        <v>399558997.84280324</v>
      </c>
      <c r="Z15" s="16">
        <f>'KEEI BAU - Industry'!AN25*'Steel Split'!$D$11</f>
        <v>396777844.72556794</v>
      </c>
      <c r="AA15" s="16">
        <f>'KEEI BAU - Industry'!AO25*'Steel Split'!$D$11</f>
        <v>393996691.60833263</v>
      </c>
      <c r="AB15" s="16">
        <f>'KEEI BAU - Industry'!AP25*'Steel Split'!$D$11</f>
        <v>391215538.49109733</v>
      </c>
      <c r="AC15" s="16">
        <f>'KEEI BAU - Industry'!AQ25*'Steel Split'!$D$11</f>
        <v>388434385.37386209</v>
      </c>
      <c r="AD15" s="16">
        <f>'KEEI BAU - Industry'!AR25*'Steel Split'!$D$11</f>
        <v>385653232.25662678</v>
      </c>
      <c r="AE15" s="16">
        <f>'KEEI BAU - Industry'!AS25*'Steel Split'!$D$11</f>
        <v>382872079.13939148</v>
      </c>
      <c r="AF15" s="16">
        <f>'KEEI BAU - Industry'!AT25*'Steel Split'!$D$11</f>
        <v>380090926.02215618</v>
      </c>
    </row>
    <row r="16" spans="1:35">
      <c r="A16" t="s">
        <v>61</v>
      </c>
      <c r="B16" s="16">
        <f>'KEEI BAU - Industry'!P$18*'Non-ferrous Metals Split'!$I$6*'Non-ferrous Metals Split'!$D$45</f>
        <v>1105240993139.105</v>
      </c>
      <c r="C16" s="16">
        <f>'KEEI BAU - Industry'!Q$18*'Non-ferrous Metals Split'!$I$6*'Non-ferrous Metals Split'!$D$45</f>
        <v>1055477814876.5863</v>
      </c>
      <c r="D16" s="16">
        <f>'KEEI BAU - Industry'!R$18*'Non-ferrous Metals Split'!$I$6*'Non-ferrous Metals Split'!$D$45</f>
        <v>1005714636614.0677</v>
      </c>
      <c r="E16" s="16">
        <f>'KEEI BAU - Industry'!S$18*'Non-ferrous Metals Split'!$I$6*'Non-ferrous Metals Split'!$D$45</f>
        <v>955951458351.54907</v>
      </c>
      <c r="F16" s="16">
        <f>'KEEI BAU - Industry'!T$18*'Non-ferrous Metals Split'!$I$6*'Non-ferrous Metals Split'!$D$45</f>
        <v>1009573493732.9706</v>
      </c>
      <c r="G16" s="16">
        <f>'KEEI BAU - Industry'!U$18*'Non-ferrous Metals Split'!$I$6*'Non-ferrous Metals Split'!$D$45</f>
        <v>1063195529114.3921</v>
      </c>
      <c r="H16" s="16">
        <f>'KEEI BAU - Industry'!V$18*'Non-ferrous Metals Split'!$I$6*'Non-ferrous Metals Split'!$D$45</f>
        <v>1116817564495.8137</v>
      </c>
      <c r="I16" s="16">
        <f>'KEEI BAU - Industry'!W$18*'Non-ferrous Metals Split'!$I$6*'Non-ferrous Metals Split'!$D$45</f>
        <v>1170439599877.2351</v>
      </c>
      <c r="J16" s="16">
        <f>'KEEI BAU - Industry'!X$18*'Non-ferrous Metals Split'!$I$6*'Non-ferrous Metals Split'!$D$45</f>
        <v>1224061635258.6567</v>
      </c>
      <c r="K16" s="16">
        <f>'KEEI BAU - Industry'!Y$18*'Non-ferrous Metals Split'!$I$6*'Non-ferrous Metals Split'!$D$45</f>
        <v>1277683670640.0781</v>
      </c>
      <c r="L16" s="16">
        <f>'KEEI BAU - Industry'!Z$18*'Non-ferrous Metals Split'!$I$6*'Non-ferrous Metals Split'!$D$45</f>
        <v>1331305706021.4998</v>
      </c>
      <c r="M16" s="16">
        <f>'KEEI BAU - Industry'!AA$18*'Non-ferrous Metals Split'!$I$6*'Non-ferrous Metals Split'!$D$45</f>
        <v>1313554963274.5464</v>
      </c>
      <c r="N16" s="16">
        <f>'KEEI BAU - Industry'!AB$18*'Non-ferrous Metals Split'!$I$6*'Non-ferrous Metals Split'!$D$45</f>
        <v>1295804220527.593</v>
      </c>
      <c r="O16" s="16">
        <f>'KEEI BAU - Industry'!AC$18*'Non-ferrous Metals Split'!$I$6*'Non-ferrous Metals Split'!$D$45</f>
        <v>1278053477780.6396</v>
      </c>
      <c r="P16" s="16">
        <f>'KEEI BAU - Industry'!AD$18*'Non-ferrous Metals Split'!$I$6*'Non-ferrous Metals Split'!$D$45</f>
        <v>1260302735033.6863</v>
      </c>
      <c r="Q16" s="16">
        <f>'KEEI BAU - Industry'!AE$18*'Non-ferrous Metals Split'!$I$6*'Non-ferrous Metals Split'!$D$45</f>
        <v>1242551992286.7329</v>
      </c>
      <c r="R16" s="16">
        <f>'KEEI BAU - Industry'!AF$18*'Non-ferrous Metals Split'!$I$6*'Non-ferrous Metals Split'!$D$45</f>
        <v>1224801249539.7798</v>
      </c>
      <c r="S16" s="16">
        <f>'KEEI BAU - Industry'!AG$18*'Non-ferrous Metals Split'!$I$6*'Non-ferrous Metals Split'!$D$45</f>
        <v>1207050506792.8264</v>
      </c>
      <c r="T16" s="16">
        <f>'KEEI BAU - Industry'!AH$18*'Non-ferrous Metals Split'!$I$6*'Non-ferrous Metals Split'!$D$45</f>
        <v>1189299764045.873</v>
      </c>
      <c r="U16" s="16">
        <f>'KEEI BAU - Industry'!AI$18*'Non-ferrous Metals Split'!$I$6*'Non-ferrous Metals Split'!$D$45</f>
        <v>1171549021298.9197</v>
      </c>
      <c r="V16" s="16">
        <f>'KEEI BAU - Industry'!AJ$18*'Non-ferrous Metals Split'!$I$6*'Non-ferrous Metals Split'!$D$45</f>
        <v>1153798278551.9666</v>
      </c>
      <c r="W16" s="16">
        <f>'KEEI BAU - Industry'!AK$18*'Non-ferrous Metals Split'!$I$6*'Non-ferrous Metals Split'!$D$45</f>
        <v>1122549575174.5173</v>
      </c>
      <c r="X16" s="16">
        <f>'KEEI BAU - Industry'!AL$18*'Non-ferrous Metals Split'!$I$6*'Non-ferrous Metals Split'!$D$45</f>
        <v>1091300871797.0681</v>
      </c>
      <c r="Y16" s="16">
        <f>'KEEI BAU - Industry'!AM$18*'Non-ferrous Metals Split'!$I$6*'Non-ferrous Metals Split'!$D$45</f>
        <v>1060052168419.6191</v>
      </c>
      <c r="Z16" s="16">
        <f>'KEEI BAU - Industry'!AN$18*'Non-ferrous Metals Split'!$I$6*'Non-ferrous Metals Split'!$D$45</f>
        <v>1028803465042.1702</v>
      </c>
      <c r="AA16" s="16">
        <f>'KEEI BAU - Industry'!AO$18*'Non-ferrous Metals Split'!$I$6*'Non-ferrous Metals Split'!$D$45</f>
        <v>997554761664.72107</v>
      </c>
      <c r="AB16" s="16">
        <f>'KEEI BAU - Industry'!AP$18*'Non-ferrous Metals Split'!$I$6*'Non-ferrous Metals Split'!$D$45</f>
        <v>966306058287.27185</v>
      </c>
      <c r="AC16" s="16">
        <f>'KEEI BAU - Industry'!AQ$18*'Non-ferrous Metals Split'!$I$6*'Non-ferrous Metals Split'!$D$45</f>
        <v>935057354909.82288</v>
      </c>
      <c r="AD16" s="16">
        <f>'KEEI BAU - Industry'!AR$18*'Non-ferrous Metals Split'!$I$6*'Non-ferrous Metals Split'!$D$45</f>
        <v>903808651532.37378</v>
      </c>
      <c r="AE16" s="16">
        <f>'KEEI BAU - Industry'!AS$18*'Non-ferrous Metals Split'!$I$6*'Non-ferrous Metals Split'!$D$45</f>
        <v>872559948154.92456</v>
      </c>
      <c r="AF16" s="16">
        <f>'KEEI BAU - Industry'!AT$18*'Non-ferrous Metals Split'!$I$6*'Non-ferrous Metals Split'!$D$45</f>
        <v>841311244777.47559</v>
      </c>
    </row>
    <row r="17" spans="1:33">
      <c r="A17" t="s">
        <v>65</v>
      </c>
      <c r="B17" s="16">
        <f>'KEEI BAU - Industry'!P$18*'Non-ferrous Metals Split'!$I$7*'Non-ferrous Metals Split'!$D$45</f>
        <v>9394548441682.3906</v>
      </c>
      <c r="C17" s="16">
        <f>'KEEI BAU - Industry'!Q$18*'Non-ferrous Metals Split'!$I$7*'Non-ferrous Metals Split'!$D$45</f>
        <v>8971561426450.9844</v>
      </c>
      <c r="D17" s="16">
        <f>'KEEI BAU - Industry'!R$18*'Non-ferrous Metals Split'!$I$7*'Non-ferrous Metals Split'!$D$45</f>
        <v>8548574411219.5752</v>
      </c>
      <c r="E17" s="16">
        <f>'KEEI BAU - Industry'!S$18*'Non-ferrous Metals Split'!$I$7*'Non-ferrous Metals Split'!$D$45</f>
        <v>8125587395988.167</v>
      </c>
      <c r="F17" s="16">
        <f>'KEEI BAU - Industry'!T$18*'Non-ferrous Metals Split'!$I$7*'Non-ferrous Metals Split'!$D$45</f>
        <v>8581374696730.249</v>
      </c>
      <c r="G17" s="16">
        <f>'KEEI BAU - Industry'!U$18*'Non-ferrous Metals Split'!$I$7*'Non-ferrous Metals Split'!$D$45</f>
        <v>9037161997472.334</v>
      </c>
      <c r="H17" s="16">
        <f>'KEEI BAU - Industry'!V$18*'Non-ferrous Metals Split'!$I$7*'Non-ferrous Metals Split'!$D$45</f>
        <v>9492949298214.416</v>
      </c>
      <c r="I17" s="16">
        <f>'KEEI BAU - Industry'!W$18*'Non-ferrous Metals Split'!$I$7*'Non-ferrous Metals Split'!$D$45</f>
        <v>9948736598956.5</v>
      </c>
      <c r="J17" s="16">
        <f>'KEEI BAU - Industry'!X$18*'Non-ferrous Metals Split'!$I$7*'Non-ferrous Metals Split'!$D$45</f>
        <v>10404523899698.582</v>
      </c>
      <c r="K17" s="16">
        <f>'KEEI BAU - Industry'!Y$18*'Non-ferrous Metals Split'!$I$7*'Non-ferrous Metals Split'!$D$45</f>
        <v>10860311200440.664</v>
      </c>
      <c r="L17" s="16">
        <f>'KEEI BAU - Industry'!Z$18*'Non-ferrous Metals Split'!$I$7*'Non-ferrous Metals Split'!$D$45</f>
        <v>11316098501182.746</v>
      </c>
      <c r="M17" s="16">
        <f>'KEEI BAU - Industry'!AA$18*'Non-ferrous Metals Split'!$I$7*'Non-ferrous Metals Split'!$D$45</f>
        <v>11165217187833.643</v>
      </c>
      <c r="N17" s="16">
        <f>'KEEI BAU - Industry'!AB$18*'Non-ferrous Metals Split'!$I$7*'Non-ferrous Metals Split'!$D$45</f>
        <v>11014335874484.539</v>
      </c>
      <c r="O17" s="16">
        <f>'KEEI BAU - Industry'!AC$18*'Non-ferrous Metals Split'!$I$7*'Non-ferrous Metals Split'!$D$45</f>
        <v>10863454561135.436</v>
      </c>
      <c r="P17" s="16">
        <f>'KEEI BAU - Industry'!AD$18*'Non-ferrous Metals Split'!$I$7*'Non-ferrous Metals Split'!$D$45</f>
        <v>10712573247786.334</v>
      </c>
      <c r="Q17" s="16">
        <f>'KEEI BAU - Industry'!AE$18*'Non-ferrous Metals Split'!$I$7*'Non-ferrous Metals Split'!$D$45</f>
        <v>10561691934437.23</v>
      </c>
      <c r="R17" s="16">
        <f>'KEEI BAU - Industry'!AF$18*'Non-ferrous Metals Split'!$I$7*'Non-ferrous Metals Split'!$D$45</f>
        <v>10410810621088.127</v>
      </c>
      <c r="S17" s="16">
        <f>'KEEI BAU - Industry'!AG$18*'Non-ferrous Metals Split'!$I$7*'Non-ferrous Metals Split'!$D$45</f>
        <v>10259929307739.023</v>
      </c>
      <c r="T17" s="16">
        <f>'KEEI BAU - Industry'!AH$18*'Non-ferrous Metals Split'!$I$7*'Non-ferrous Metals Split'!$D$45</f>
        <v>10109047994389.92</v>
      </c>
      <c r="U17" s="16">
        <f>'KEEI BAU - Industry'!AI$18*'Non-ferrous Metals Split'!$I$7*'Non-ferrous Metals Split'!$D$45</f>
        <v>9958166681040.8164</v>
      </c>
      <c r="V17" s="16">
        <f>'KEEI BAU - Industry'!AJ$18*'Non-ferrous Metals Split'!$I$7*'Non-ferrous Metals Split'!$D$45</f>
        <v>9807285367691.7148</v>
      </c>
      <c r="W17" s="16">
        <f>'KEEI BAU - Industry'!AK$18*'Non-ferrous Metals Split'!$I$7*'Non-ferrous Metals Split'!$D$45</f>
        <v>9541671388983.3965</v>
      </c>
      <c r="X17" s="16">
        <f>'KEEI BAU - Industry'!AL$18*'Non-ferrous Metals Split'!$I$7*'Non-ferrous Metals Split'!$D$45</f>
        <v>9276057410275.0801</v>
      </c>
      <c r="Y17" s="16">
        <f>'KEEI BAU - Industry'!AM$18*'Non-ferrous Metals Split'!$I$7*'Non-ferrous Metals Split'!$D$45</f>
        <v>9010443431566.7637</v>
      </c>
      <c r="Z17" s="16">
        <f>'KEEI BAU - Industry'!AN$18*'Non-ferrous Metals Split'!$I$7*'Non-ferrous Metals Split'!$D$45</f>
        <v>8744829452858.4443</v>
      </c>
      <c r="AA17" s="16">
        <f>'KEEI BAU - Industry'!AO$18*'Non-ferrous Metals Split'!$I$7*'Non-ferrous Metals Split'!$D$45</f>
        <v>8479215474150.1279</v>
      </c>
      <c r="AB17" s="16">
        <f>'KEEI BAU - Industry'!AP$18*'Non-ferrous Metals Split'!$I$7*'Non-ferrous Metals Split'!$D$45</f>
        <v>8213601495441.8105</v>
      </c>
      <c r="AC17" s="16">
        <f>'KEEI BAU - Industry'!AQ$18*'Non-ferrous Metals Split'!$I$7*'Non-ferrous Metals Split'!$D$45</f>
        <v>7947987516733.4941</v>
      </c>
      <c r="AD17" s="16">
        <f>'KEEI BAU - Industry'!AR$18*'Non-ferrous Metals Split'!$I$7*'Non-ferrous Metals Split'!$D$45</f>
        <v>7682373538025.1758</v>
      </c>
      <c r="AE17" s="16">
        <f>'KEEI BAU - Industry'!AS$18*'Non-ferrous Metals Split'!$I$7*'Non-ferrous Metals Split'!$D$45</f>
        <v>7416759559316.8594</v>
      </c>
      <c r="AF17" s="16">
        <f>'KEEI BAU - Industry'!AT$18*'Non-ferrous Metals Split'!$I$7*'Non-ferrous Metals Split'!$D$45</f>
        <v>7151145580608.541</v>
      </c>
    </row>
    <row r="18" spans="1:33">
      <c r="A18" t="s">
        <v>67</v>
      </c>
      <c r="B18" s="16">
        <f>'KEEI BAU - Industry'!P$35*'Machinery Split'!$L6*'Machinery Split'!$D$42</f>
        <v>0</v>
      </c>
      <c r="C18" s="16">
        <f>'KEEI BAU - Industry'!Q$35*'Machinery Split'!$L6*'Machinery Split'!$D$42</f>
        <v>0</v>
      </c>
      <c r="D18" s="16">
        <f>'KEEI BAU - Industry'!R$35*'Machinery Split'!$L6*'Machinery Split'!$D$42</f>
        <v>0</v>
      </c>
      <c r="E18" s="16">
        <f>'KEEI BAU - Industry'!S$35*'Machinery Split'!$L6*'Machinery Split'!$D$42</f>
        <v>0</v>
      </c>
      <c r="F18" s="16">
        <f>'KEEI BAU - Industry'!T$35*'Machinery Split'!$L6*'Machinery Split'!$D$42</f>
        <v>0</v>
      </c>
      <c r="G18" s="16">
        <f>'KEEI BAU - Industry'!U$35*'Machinery Split'!$L6*'Machinery Split'!$D$42</f>
        <v>0</v>
      </c>
      <c r="H18" s="16">
        <f>'KEEI BAU - Industry'!V$35*'Machinery Split'!$L6*'Machinery Split'!$D$42</f>
        <v>0</v>
      </c>
      <c r="I18" s="16">
        <f>'KEEI BAU - Industry'!W$35*'Machinery Split'!$L6*'Machinery Split'!$D$42</f>
        <v>0</v>
      </c>
      <c r="J18" s="16">
        <f>'KEEI BAU - Industry'!X$35*'Machinery Split'!$L6*'Machinery Split'!$D$42</f>
        <v>0</v>
      </c>
      <c r="K18" s="16">
        <f>'KEEI BAU - Industry'!Y$35*'Machinery Split'!$L6*'Machinery Split'!$D$42</f>
        <v>0</v>
      </c>
      <c r="L18" s="16">
        <f>'KEEI BAU - Industry'!Z$35*'Machinery Split'!$L6*'Machinery Split'!$D$42</f>
        <v>0</v>
      </c>
      <c r="M18" s="16">
        <f>'KEEI BAU - Industry'!AA$35*'Machinery Split'!$L6*'Machinery Split'!$D$42</f>
        <v>0</v>
      </c>
      <c r="N18" s="16">
        <f>'KEEI BAU - Industry'!AB$35*'Machinery Split'!$L6*'Machinery Split'!$D$42</f>
        <v>0</v>
      </c>
      <c r="O18" s="16">
        <f>'KEEI BAU - Industry'!AC$35*'Machinery Split'!$L6*'Machinery Split'!$D$42</f>
        <v>0</v>
      </c>
      <c r="P18" s="16">
        <f>'KEEI BAU - Industry'!AD$35*'Machinery Split'!$L6*'Machinery Split'!$D$42</f>
        <v>0</v>
      </c>
      <c r="Q18" s="16">
        <f>'KEEI BAU - Industry'!AE$35*'Machinery Split'!$L6*'Machinery Split'!$D$42</f>
        <v>0</v>
      </c>
      <c r="R18" s="16">
        <f>'KEEI BAU - Industry'!AF$35*'Machinery Split'!$L6*'Machinery Split'!$D$42</f>
        <v>0</v>
      </c>
      <c r="S18" s="16">
        <f>'KEEI BAU - Industry'!AG$35*'Machinery Split'!$L6*'Machinery Split'!$D$42</f>
        <v>0</v>
      </c>
      <c r="T18" s="16">
        <f>'KEEI BAU - Industry'!AH$35*'Machinery Split'!$L6*'Machinery Split'!$D$42</f>
        <v>0</v>
      </c>
      <c r="U18" s="16">
        <f>'KEEI BAU - Industry'!AI$35*'Machinery Split'!$L6*'Machinery Split'!$D$42</f>
        <v>0</v>
      </c>
      <c r="V18" s="16">
        <f>'KEEI BAU - Industry'!AJ$35*'Machinery Split'!$L6*'Machinery Split'!$D$42</f>
        <v>0</v>
      </c>
      <c r="W18" s="16">
        <f>'KEEI BAU - Industry'!AK$35*'Machinery Split'!$L6*'Machinery Split'!$D$42</f>
        <v>0</v>
      </c>
      <c r="X18" s="16">
        <f>'KEEI BAU - Industry'!AL$35*'Machinery Split'!$L6*'Machinery Split'!$D$42</f>
        <v>0</v>
      </c>
      <c r="Y18" s="16">
        <f>'KEEI BAU - Industry'!AM$35*'Machinery Split'!$L6*'Machinery Split'!$D$42</f>
        <v>0</v>
      </c>
      <c r="Z18" s="16">
        <f>'KEEI BAU - Industry'!AN$35*'Machinery Split'!$L6*'Machinery Split'!$D$42</f>
        <v>0</v>
      </c>
      <c r="AA18" s="16">
        <f>'KEEI BAU - Industry'!AO$35*'Machinery Split'!$L6*'Machinery Split'!$D$42</f>
        <v>0</v>
      </c>
      <c r="AB18" s="16">
        <f>'KEEI BAU - Industry'!AP$35*'Machinery Split'!$L6*'Machinery Split'!$D$42</f>
        <v>0</v>
      </c>
      <c r="AC18" s="16">
        <f>'KEEI BAU - Industry'!AQ$35*'Machinery Split'!$L6*'Machinery Split'!$D$42</f>
        <v>0</v>
      </c>
      <c r="AD18" s="16">
        <f>'KEEI BAU - Industry'!AR$35*'Machinery Split'!$L6*'Machinery Split'!$D$42</f>
        <v>0</v>
      </c>
      <c r="AE18" s="16">
        <f>'KEEI BAU - Industry'!AS$35*'Machinery Split'!$L6*'Machinery Split'!$D$42</f>
        <v>0</v>
      </c>
      <c r="AF18" s="16">
        <f>'KEEI BAU - Industry'!AT$35*'Machinery Split'!$L6*'Machinery Split'!$D$42</f>
        <v>0</v>
      </c>
    </row>
    <row r="19" spans="1:33">
      <c r="A19" t="s">
        <v>71</v>
      </c>
      <c r="B19" s="16">
        <f>'KEEI BAU - Industry'!P$35*'Machinery Split'!$L7*'Machinery Split'!$D$42</f>
        <v>47316732927.01136</v>
      </c>
      <c r="C19" s="16">
        <f>'KEEI BAU - Industry'!Q$35*'Machinery Split'!$L7*'Machinery Split'!$D$42</f>
        <v>49682569573.361931</v>
      </c>
      <c r="D19" s="16">
        <f>'KEEI BAU - Industry'!R$35*'Machinery Split'!$L7*'Machinery Split'!$D$42</f>
        <v>52048406219.712494</v>
      </c>
      <c r="E19" s="16">
        <f>'KEEI BAU - Industry'!S$35*'Machinery Split'!$L7*'Machinery Split'!$D$42</f>
        <v>54414242866.063072</v>
      </c>
      <c r="F19" s="16">
        <f>'KEEI BAU - Industry'!T$35*'Machinery Split'!$L7*'Machinery Split'!$D$42</f>
        <v>56838992875.822105</v>
      </c>
      <c r="G19" s="16">
        <f>'KEEI BAU - Industry'!U$35*'Machinery Split'!$L7*'Machinery Split'!$D$42</f>
        <v>59263742885.581139</v>
      </c>
      <c r="H19" s="16">
        <f>'KEEI BAU - Industry'!V$35*'Machinery Split'!$L7*'Machinery Split'!$D$42</f>
        <v>61688492895.340172</v>
      </c>
      <c r="I19" s="16">
        <f>'KEEI BAU - Industry'!W$35*'Machinery Split'!$L7*'Machinery Split'!$D$42</f>
        <v>64113242905.099213</v>
      </c>
      <c r="J19" s="16">
        <f>'KEEI BAU - Industry'!X$35*'Machinery Split'!$L7*'Machinery Split'!$D$42</f>
        <v>66537992914.858246</v>
      </c>
      <c r="K19" s="16">
        <f>'KEEI BAU - Industry'!Y$35*'Machinery Split'!$L7*'Machinery Split'!$D$42</f>
        <v>68962742924.617279</v>
      </c>
      <c r="L19" s="16">
        <f>'KEEI BAU - Industry'!Z$35*'Machinery Split'!$L7*'Machinery Split'!$D$42</f>
        <v>71387492934.376312</v>
      </c>
      <c r="M19" s="16">
        <f>'KEEI BAU - Industry'!AA$35*'Machinery Split'!$L7*'Machinery Split'!$D$42</f>
        <v>72136312790.331314</v>
      </c>
      <c r="N19" s="16">
        <f>'KEEI BAU - Industry'!AB$35*'Machinery Split'!$L7*'Machinery Split'!$D$42</f>
        <v>72885132646.286301</v>
      </c>
      <c r="O19" s="16">
        <f>'KEEI BAU - Industry'!AC$35*'Machinery Split'!$L7*'Machinery Split'!$D$42</f>
        <v>73633952502.241318</v>
      </c>
      <c r="P19" s="16">
        <f>'KEEI BAU - Industry'!AD$35*'Machinery Split'!$L7*'Machinery Split'!$D$42</f>
        <v>74382772358.196304</v>
      </c>
      <c r="Q19" s="16">
        <f>'KEEI BAU - Industry'!AE$35*'Machinery Split'!$L7*'Machinery Split'!$D$42</f>
        <v>75131592214.151306</v>
      </c>
      <c r="R19" s="16">
        <f>'KEEI BAU - Industry'!AF$35*'Machinery Split'!$L7*'Machinery Split'!$D$42</f>
        <v>75880412070.106293</v>
      </c>
      <c r="S19" s="16">
        <f>'KEEI BAU - Industry'!AG$35*'Machinery Split'!$L7*'Machinery Split'!$D$42</f>
        <v>76629231926.061279</v>
      </c>
      <c r="T19" s="16">
        <f>'KEEI BAU - Industry'!AH$35*'Machinery Split'!$L7*'Machinery Split'!$D$42</f>
        <v>77378051782.016296</v>
      </c>
      <c r="U19" s="16">
        <f>'KEEI BAU - Industry'!AI$35*'Machinery Split'!$L7*'Machinery Split'!$D$42</f>
        <v>78126871637.971298</v>
      </c>
      <c r="V19" s="16">
        <f>'KEEI BAU - Industry'!AJ$35*'Machinery Split'!$L7*'Machinery Split'!$D$42</f>
        <v>78875691493.926285</v>
      </c>
      <c r="W19" s="16">
        <f>'KEEI BAU - Industry'!AK$35*'Machinery Split'!$L7*'Machinery Split'!$D$42</f>
        <v>79092017230.091064</v>
      </c>
      <c r="X19" s="16">
        <f>'KEEI BAU - Industry'!AL$35*'Machinery Split'!$L7*'Machinery Split'!$D$42</f>
        <v>79308342966.255844</v>
      </c>
      <c r="Y19" s="16">
        <f>'KEEI BAU - Industry'!AM$35*'Machinery Split'!$L7*'Machinery Split'!$D$42</f>
        <v>79524668702.420609</v>
      </c>
      <c r="Z19" s="16">
        <f>'KEEI BAU - Industry'!AN$35*'Machinery Split'!$L7*'Machinery Split'!$D$42</f>
        <v>79740994438.585388</v>
      </c>
      <c r="AA19" s="16">
        <f>'KEEI BAU - Industry'!AO$35*'Machinery Split'!$L7*'Machinery Split'!$D$42</f>
        <v>79957320174.750168</v>
      </c>
      <c r="AB19" s="16">
        <f>'KEEI BAU - Industry'!AP$35*'Machinery Split'!$L7*'Machinery Split'!$D$42</f>
        <v>80173645910.914948</v>
      </c>
      <c r="AC19" s="16">
        <f>'KEEI BAU - Industry'!AQ$35*'Machinery Split'!$L7*'Machinery Split'!$D$42</f>
        <v>80389971647.079712</v>
      </c>
      <c r="AD19" s="16">
        <f>'KEEI BAU - Industry'!AR$35*'Machinery Split'!$L7*'Machinery Split'!$D$42</f>
        <v>80606297383.244492</v>
      </c>
      <c r="AE19" s="16">
        <f>'KEEI BAU - Industry'!AS$35*'Machinery Split'!$L7*'Machinery Split'!$D$42</f>
        <v>80822623119.409271</v>
      </c>
      <c r="AF19" s="16">
        <f>'KEEI BAU - Industry'!AT$35*'Machinery Split'!$L7*'Machinery Split'!$D$42</f>
        <v>81038948855.574051</v>
      </c>
    </row>
    <row r="20" spans="1:33">
      <c r="A20" t="s">
        <v>73</v>
      </c>
      <c r="B20" s="16">
        <f>'KEEI BAU - Industry'!P$35*'Machinery Split'!$L8*'Machinery Split'!$D$42</f>
        <v>1040968124394.2502</v>
      </c>
      <c r="C20" s="16">
        <f>'KEEI BAU - Industry'!Q$35*'Machinery Split'!$L8*'Machinery Split'!$D$42</f>
        <v>1093016530613.9628</v>
      </c>
      <c r="D20" s="16">
        <f>'KEEI BAU - Industry'!R$35*'Machinery Split'!$L8*'Machinery Split'!$D$42</f>
        <v>1145064936833.6753</v>
      </c>
      <c r="E20" s="16">
        <f>'KEEI BAU - Industry'!S$35*'Machinery Split'!$L8*'Machinery Split'!$D$42</f>
        <v>1197113343053.3877</v>
      </c>
      <c r="F20" s="16">
        <f>'KEEI BAU - Industry'!T$35*'Machinery Split'!$L8*'Machinery Split'!$D$42</f>
        <v>1250457843268.0867</v>
      </c>
      <c r="G20" s="16">
        <f>'KEEI BAU - Industry'!U$35*'Machinery Split'!$L8*'Machinery Split'!$D$42</f>
        <v>1303802343482.7854</v>
      </c>
      <c r="H20" s="16">
        <f>'KEEI BAU - Industry'!V$35*'Machinery Split'!$L8*'Machinery Split'!$D$42</f>
        <v>1357146843697.4841</v>
      </c>
      <c r="I20" s="16">
        <f>'KEEI BAU - Industry'!W$35*'Machinery Split'!$L8*'Machinery Split'!$D$42</f>
        <v>1410491343912.1831</v>
      </c>
      <c r="J20" s="16">
        <f>'KEEI BAU - Industry'!X$35*'Machinery Split'!$L8*'Machinery Split'!$D$42</f>
        <v>1463835844126.8818</v>
      </c>
      <c r="K20" s="16">
        <f>'KEEI BAU - Industry'!Y$35*'Machinery Split'!$L8*'Machinery Split'!$D$42</f>
        <v>1517180344341.5806</v>
      </c>
      <c r="L20" s="16">
        <f>'KEEI BAU - Industry'!Z$35*'Machinery Split'!$L8*'Machinery Split'!$D$42</f>
        <v>1570524844556.2793</v>
      </c>
      <c r="M20" s="16">
        <f>'KEEI BAU - Industry'!AA$35*'Machinery Split'!$L8*'Machinery Split'!$D$42</f>
        <v>1586998881387.2893</v>
      </c>
      <c r="N20" s="16">
        <f>'KEEI BAU - Industry'!AB$35*'Machinery Split'!$L8*'Machinery Split'!$D$42</f>
        <v>1603472918218.2993</v>
      </c>
      <c r="O20" s="16">
        <f>'KEEI BAU - Industry'!AC$35*'Machinery Split'!$L8*'Machinery Split'!$D$42</f>
        <v>1619946955049.3091</v>
      </c>
      <c r="P20" s="16">
        <f>'KEEI BAU - Industry'!AD$35*'Machinery Split'!$L8*'Machinery Split'!$D$42</f>
        <v>1636420991880.3191</v>
      </c>
      <c r="Q20" s="16">
        <f>'KEEI BAU - Industry'!AE$35*'Machinery Split'!$L8*'Machinery Split'!$D$42</f>
        <v>1652895028711.3291</v>
      </c>
      <c r="R20" s="16">
        <f>'KEEI BAU - Industry'!AF$35*'Machinery Split'!$L8*'Machinery Split'!$D$42</f>
        <v>1669369065542.3389</v>
      </c>
      <c r="S20" s="16">
        <f>'KEEI BAU - Industry'!AG$35*'Machinery Split'!$L8*'Machinery Split'!$D$42</f>
        <v>1685843102373.3489</v>
      </c>
      <c r="T20" s="16">
        <f>'KEEI BAU - Industry'!AH$35*'Machinery Split'!$L8*'Machinery Split'!$D$42</f>
        <v>1702317139204.3589</v>
      </c>
      <c r="U20" s="16">
        <f>'KEEI BAU - Industry'!AI$35*'Machinery Split'!$L8*'Machinery Split'!$D$42</f>
        <v>1718791176035.3687</v>
      </c>
      <c r="V20" s="16">
        <f>'KEEI BAU - Industry'!AJ$35*'Machinery Split'!$L8*'Machinery Split'!$D$42</f>
        <v>1735265212866.3787</v>
      </c>
      <c r="W20" s="16">
        <f>'KEEI BAU - Industry'!AK$35*'Machinery Split'!$L8*'Machinery Split'!$D$42</f>
        <v>1740024379062.0034</v>
      </c>
      <c r="X20" s="16">
        <f>'KEEI BAU - Industry'!AL$35*'Machinery Split'!$L8*'Machinery Split'!$D$42</f>
        <v>1744783545257.6287</v>
      </c>
      <c r="Y20" s="16">
        <f>'KEEI BAU - Industry'!AM$35*'Machinery Split'!$L8*'Machinery Split'!$D$42</f>
        <v>1749542711453.2539</v>
      </c>
      <c r="Z20" s="16">
        <f>'KEEI BAU - Industry'!AN$35*'Machinery Split'!$L8*'Machinery Split'!$D$42</f>
        <v>1754301877648.8787</v>
      </c>
      <c r="AA20" s="16">
        <f>'KEEI BAU - Industry'!AO$35*'Machinery Split'!$L8*'Machinery Split'!$D$42</f>
        <v>1759061043844.5039</v>
      </c>
      <c r="AB20" s="16">
        <f>'KEEI BAU - Industry'!AP$35*'Machinery Split'!$L8*'Machinery Split'!$D$42</f>
        <v>1763820210040.1292</v>
      </c>
      <c r="AC20" s="16">
        <f>'KEEI BAU - Industry'!AQ$35*'Machinery Split'!$L8*'Machinery Split'!$D$42</f>
        <v>1768579376235.7542</v>
      </c>
      <c r="AD20" s="16">
        <f>'KEEI BAU - Industry'!AR$35*'Machinery Split'!$L8*'Machinery Split'!$D$42</f>
        <v>1773338542431.3792</v>
      </c>
      <c r="AE20" s="16">
        <f>'KEEI BAU - Industry'!AS$35*'Machinery Split'!$L8*'Machinery Split'!$D$42</f>
        <v>1778097708627.0044</v>
      </c>
      <c r="AF20" s="16">
        <f>'KEEI BAU - Industry'!AT$35*'Machinery Split'!$L8*'Machinery Split'!$D$42</f>
        <v>1782856874822.6294</v>
      </c>
    </row>
    <row r="21" spans="1:33">
      <c r="A21" t="s">
        <v>75</v>
      </c>
      <c r="B21" s="16">
        <f>'KEEI BAU - Industry'!P$35*'Machinery Split'!$L9*'Machinery Split'!$D$42</f>
        <v>315444886180.07581</v>
      </c>
      <c r="C21" s="16">
        <f>'KEEI BAU - Industry'!Q$35*'Machinery Split'!$L9*'Machinery Split'!$D$42</f>
        <v>331217130489.07953</v>
      </c>
      <c r="D21" s="16">
        <f>'KEEI BAU - Industry'!R$35*'Machinery Split'!$L9*'Machinery Split'!$D$42</f>
        <v>346989374798.08337</v>
      </c>
      <c r="E21" s="16">
        <f>'KEEI BAU - Industry'!S$35*'Machinery Split'!$L9*'Machinery Split'!$D$42</f>
        <v>362761619107.08716</v>
      </c>
      <c r="F21" s="16">
        <f>'KEEI BAU - Industry'!T$35*'Machinery Split'!$L9*'Machinery Split'!$D$42</f>
        <v>378926619172.14734</v>
      </c>
      <c r="G21" s="16">
        <f>'KEEI BAU - Industry'!U$35*'Machinery Split'!$L9*'Machinery Split'!$D$42</f>
        <v>395091619237.20764</v>
      </c>
      <c r="H21" s="16">
        <f>'KEEI BAU - Industry'!V$35*'Machinery Split'!$L9*'Machinery Split'!$D$42</f>
        <v>411256619302.26782</v>
      </c>
      <c r="I21" s="16">
        <f>'KEEI BAU - Industry'!W$35*'Machinery Split'!$L9*'Machinery Split'!$D$42</f>
        <v>427421619367.32813</v>
      </c>
      <c r="J21" s="16">
        <f>'KEEI BAU - Industry'!X$35*'Machinery Split'!$L9*'Machinery Split'!$D$42</f>
        <v>443586619432.38837</v>
      </c>
      <c r="K21" s="16">
        <f>'KEEI BAU - Industry'!Y$35*'Machinery Split'!$L9*'Machinery Split'!$D$42</f>
        <v>459751619497.44855</v>
      </c>
      <c r="L21" s="16">
        <f>'KEEI BAU - Industry'!Z$35*'Machinery Split'!$L9*'Machinery Split'!$D$42</f>
        <v>475916619562.50885</v>
      </c>
      <c r="M21" s="16">
        <f>'KEEI BAU - Industry'!AA$35*'Machinery Split'!$L9*'Machinery Split'!$D$42</f>
        <v>480908751935.54211</v>
      </c>
      <c r="N21" s="16">
        <f>'KEEI BAU - Industry'!AB$35*'Machinery Split'!$L9*'Machinery Split'!$D$42</f>
        <v>485900884308.57544</v>
      </c>
      <c r="O21" s="16">
        <f>'KEEI BAU - Industry'!AC$35*'Machinery Split'!$L9*'Machinery Split'!$D$42</f>
        <v>490893016681.6087</v>
      </c>
      <c r="P21" s="16">
        <f>'KEEI BAU - Industry'!AD$35*'Machinery Split'!$L9*'Machinery Split'!$D$42</f>
        <v>495885149054.64203</v>
      </c>
      <c r="Q21" s="16">
        <f>'KEEI BAU - Industry'!AE$35*'Machinery Split'!$L9*'Machinery Split'!$D$42</f>
        <v>500877281427.67535</v>
      </c>
      <c r="R21" s="16">
        <f>'KEEI BAU - Industry'!AF$35*'Machinery Split'!$L9*'Machinery Split'!$D$42</f>
        <v>505869413800.70868</v>
      </c>
      <c r="S21" s="16">
        <f>'KEEI BAU - Industry'!AG$35*'Machinery Split'!$L9*'Machinery Split'!$D$42</f>
        <v>510861546173.742</v>
      </c>
      <c r="T21" s="16">
        <f>'KEEI BAU - Industry'!AH$35*'Machinery Split'!$L9*'Machinery Split'!$D$42</f>
        <v>515853678546.77533</v>
      </c>
      <c r="U21" s="16">
        <f>'KEEI BAU - Industry'!AI$35*'Machinery Split'!$L9*'Machinery Split'!$D$42</f>
        <v>520845810919.80859</v>
      </c>
      <c r="V21" s="16">
        <f>'KEEI BAU - Industry'!AJ$35*'Machinery Split'!$L9*'Machinery Split'!$D$42</f>
        <v>525837943292.84192</v>
      </c>
      <c r="W21" s="16">
        <f>'KEEI BAU - Industry'!AK$35*'Machinery Split'!$L9*'Machinery Split'!$D$42</f>
        <v>527280114867.27374</v>
      </c>
      <c r="X21" s="16">
        <f>'KEEI BAU - Industry'!AL$35*'Machinery Split'!$L9*'Machinery Split'!$D$42</f>
        <v>528722286441.70563</v>
      </c>
      <c r="Y21" s="16">
        <f>'KEEI BAU - Industry'!AM$35*'Machinery Split'!$L9*'Machinery Split'!$D$42</f>
        <v>530164458016.13739</v>
      </c>
      <c r="Z21" s="16">
        <f>'KEEI BAU - Industry'!AN$35*'Machinery Split'!$L9*'Machinery Split'!$D$42</f>
        <v>531606629590.56927</v>
      </c>
      <c r="AA21" s="16">
        <f>'KEEI BAU - Industry'!AO$35*'Machinery Split'!$L9*'Machinery Split'!$D$42</f>
        <v>533048801165.00116</v>
      </c>
      <c r="AB21" s="16">
        <f>'KEEI BAU - Industry'!AP$35*'Machinery Split'!$L9*'Machinery Split'!$D$42</f>
        <v>534490972739.43298</v>
      </c>
      <c r="AC21" s="16">
        <f>'KEEI BAU - Industry'!AQ$35*'Machinery Split'!$L9*'Machinery Split'!$D$42</f>
        <v>535933144313.86487</v>
      </c>
      <c r="AD21" s="16">
        <f>'KEEI BAU - Industry'!AR$35*'Machinery Split'!$L9*'Machinery Split'!$D$42</f>
        <v>537375315888.29663</v>
      </c>
      <c r="AE21" s="16">
        <f>'KEEI BAU - Industry'!AS$35*'Machinery Split'!$L9*'Machinery Split'!$D$42</f>
        <v>538817487462.72852</v>
      </c>
      <c r="AF21" s="16">
        <f>'KEEI BAU - Industry'!AT$35*'Machinery Split'!$L9*'Machinery Split'!$D$42</f>
        <v>540259659037.1604</v>
      </c>
    </row>
    <row r="22" spans="1:33">
      <c r="A22" t="s">
        <v>78</v>
      </c>
      <c r="B22" s="16">
        <f>'KEEI BAU - Industry'!P$35*'Machinery Split'!$L10*'Machinery Split'!$D$42</f>
        <v>1719174629681.4128</v>
      </c>
      <c r="C22" s="16">
        <f>'KEEI BAU - Industry'!Q$35*'Machinery Split'!$L10*'Machinery Split'!$D$42</f>
        <v>1805133361165.4836</v>
      </c>
      <c r="D22" s="16">
        <f>'KEEI BAU - Industry'!R$35*'Machinery Split'!$L10*'Machinery Split'!$D$42</f>
        <v>1891092092649.5542</v>
      </c>
      <c r="E22" s="16">
        <f>'KEEI BAU - Industry'!S$35*'Machinery Split'!$L10*'Machinery Split'!$D$42</f>
        <v>1977050824133.625</v>
      </c>
      <c r="F22" s="16">
        <f>'KEEI BAU - Industry'!T$35*'Machinery Split'!$L10*'Machinery Split'!$D$42</f>
        <v>2065150074488.2034</v>
      </c>
      <c r="G22" s="16">
        <f>'KEEI BAU - Industry'!U$35*'Machinery Split'!$L10*'Machinery Split'!$D$42</f>
        <v>2153249324842.7817</v>
      </c>
      <c r="H22" s="16">
        <f>'KEEI BAU - Industry'!V$35*'Machinery Split'!$L10*'Machinery Split'!$D$42</f>
        <v>2241348575197.3599</v>
      </c>
      <c r="I22" s="16">
        <f>'KEEI BAU - Industry'!W$35*'Machinery Split'!$L10*'Machinery Split'!$D$42</f>
        <v>2329447825551.938</v>
      </c>
      <c r="J22" s="16">
        <f>'KEEI BAU - Industry'!X$35*'Machinery Split'!$L10*'Machinery Split'!$D$42</f>
        <v>2417547075906.5166</v>
      </c>
      <c r="K22" s="16">
        <f>'KEEI BAU - Industry'!Y$35*'Machinery Split'!$L10*'Machinery Split'!$D$42</f>
        <v>2505646326261.0947</v>
      </c>
      <c r="L22" s="16">
        <f>'KEEI BAU - Industry'!Z$35*'Machinery Split'!$L10*'Machinery Split'!$D$42</f>
        <v>2593745576615.6733</v>
      </c>
      <c r="M22" s="16">
        <f>'KEEI BAU - Industry'!AA$35*'Machinery Split'!$L10*'Machinery Split'!$D$42</f>
        <v>2620952698048.7046</v>
      </c>
      <c r="N22" s="16">
        <f>'KEEI BAU - Industry'!AB$35*'Machinery Split'!$L10*'Machinery Split'!$D$42</f>
        <v>2648159819481.7363</v>
      </c>
      <c r="O22" s="16">
        <f>'KEEI BAU - Industry'!AC$35*'Machinery Split'!$L10*'Machinery Split'!$D$42</f>
        <v>2675366940914.7676</v>
      </c>
      <c r="P22" s="16">
        <f>'KEEI BAU - Industry'!AD$35*'Machinery Split'!$L10*'Machinery Split'!$D$42</f>
        <v>2702574062347.7988</v>
      </c>
      <c r="Q22" s="16">
        <f>'KEEI BAU - Industry'!AE$35*'Machinery Split'!$L10*'Machinery Split'!$D$42</f>
        <v>2729781183780.8311</v>
      </c>
      <c r="R22" s="16">
        <f>'KEEI BAU - Industry'!AF$35*'Machinery Split'!$L10*'Machinery Split'!$D$42</f>
        <v>2756988305213.8623</v>
      </c>
      <c r="S22" s="16">
        <f>'KEEI BAU - Industry'!AG$35*'Machinery Split'!$L10*'Machinery Split'!$D$42</f>
        <v>2784195426646.894</v>
      </c>
      <c r="T22" s="16">
        <f>'KEEI BAU - Industry'!AH$35*'Machinery Split'!$L10*'Machinery Split'!$D$42</f>
        <v>2811402548079.9253</v>
      </c>
      <c r="U22" s="16">
        <f>'KEEI BAU - Industry'!AI$35*'Machinery Split'!$L10*'Machinery Split'!$D$42</f>
        <v>2838609669512.9565</v>
      </c>
      <c r="V22" s="16">
        <f>'KEEI BAU - Industry'!AJ$35*'Machinery Split'!$L10*'Machinery Split'!$D$42</f>
        <v>2865816790945.9883</v>
      </c>
      <c r="W22" s="16">
        <f>'KEEI BAU - Industry'!AK$35*'Machinery Split'!$L10*'Machinery Split'!$D$42</f>
        <v>2873676626026.6421</v>
      </c>
      <c r="X22" s="16">
        <f>'KEEI BAU - Industry'!AL$35*'Machinery Split'!$L10*'Machinery Split'!$D$42</f>
        <v>2881536461107.2954</v>
      </c>
      <c r="Y22" s="16">
        <f>'KEEI BAU - Industry'!AM$35*'Machinery Split'!$L10*'Machinery Split'!$D$42</f>
        <v>2889396296187.9492</v>
      </c>
      <c r="Z22" s="16">
        <f>'KEEI BAU - Industry'!AN$35*'Machinery Split'!$L10*'Machinery Split'!$D$42</f>
        <v>2897256131268.6025</v>
      </c>
      <c r="AA22" s="16">
        <f>'KEEI BAU - Industry'!AO$35*'Machinery Split'!$L10*'Machinery Split'!$D$42</f>
        <v>2905115966349.2563</v>
      </c>
      <c r="AB22" s="16">
        <f>'KEEI BAU - Industry'!AP$35*'Machinery Split'!$L10*'Machinery Split'!$D$42</f>
        <v>2912975801429.9097</v>
      </c>
      <c r="AC22" s="16">
        <f>'KEEI BAU - Industry'!AQ$35*'Machinery Split'!$L10*'Machinery Split'!$D$42</f>
        <v>2920835636510.5635</v>
      </c>
      <c r="AD22" s="16">
        <f>'KEEI BAU - Industry'!AR$35*'Machinery Split'!$L10*'Machinery Split'!$D$42</f>
        <v>2928695471591.2168</v>
      </c>
      <c r="AE22" s="16">
        <f>'KEEI BAU - Industry'!AS$35*'Machinery Split'!$L10*'Machinery Split'!$D$42</f>
        <v>2936555306671.8706</v>
      </c>
      <c r="AF22" s="16">
        <f>'KEEI BAU - Industry'!AT$35*'Machinery Split'!$L10*'Machinery Split'!$D$42</f>
        <v>2944415141752.5239</v>
      </c>
    </row>
    <row r="23" spans="1:33">
      <c r="A23" t="s">
        <v>80</v>
      </c>
      <c r="B23" s="16">
        <f>'KEEI BAU - Industry'!P$39*'Others Split'!$D$47*'Others Split'!$L$14</f>
        <v>617448658223.5979</v>
      </c>
      <c r="C23" s="16">
        <f>'KEEI BAU - Industry'!Q$39*'Others Split'!$D$47*'Others Split'!$L$14</f>
        <v>571599869462.6637</v>
      </c>
      <c r="D23" s="16">
        <f>'KEEI BAU - Industry'!R$39*'Others Split'!$D$47*'Others Split'!$L$14</f>
        <v>525751080701.72961</v>
      </c>
      <c r="E23" s="16">
        <f>'KEEI BAU - Industry'!S$39*'Others Split'!$D$47*'Others Split'!$L$14</f>
        <v>479902291940.79553</v>
      </c>
      <c r="F23" s="16">
        <f>'KEEI BAU - Industry'!T$39*'Others Split'!$D$47*'Others Split'!$L$14</f>
        <v>471332608156.13843</v>
      </c>
      <c r="G23" s="16">
        <f>'KEEI BAU - Industry'!U$39*'Others Split'!$D$47*'Others Split'!$L$14</f>
        <v>462762924371.48138</v>
      </c>
      <c r="H23" s="16">
        <f>'KEEI BAU - Industry'!V$39*'Others Split'!$D$47*'Others Split'!$L$14</f>
        <v>454193240586.82434</v>
      </c>
      <c r="I23" s="16">
        <f>'KEEI BAU - Industry'!W$39*'Others Split'!$D$47*'Others Split'!$L$14</f>
        <v>445623556802.16724</v>
      </c>
      <c r="J23" s="16">
        <f>'KEEI BAU - Industry'!X$39*'Others Split'!$D$47*'Others Split'!$L$14</f>
        <v>437053873017.51025</v>
      </c>
      <c r="K23" s="16">
        <f>'KEEI BAU - Industry'!Y$39*'Others Split'!$D$47*'Others Split'!$L$14</f>
        <v>428484189232.85315</v>
      </c>
      <c r="L23" s="16">
        <f>'KEEI BAU - Industry'!Z$39*'Others Split'!$D$47*'Others Split'!$L$14</f>
        <v>419914505448.19604</v>
      </c>
      <c r="M23" s="16">
        <f>'KEEI BAU - Industry'!AA$39*'Others Split'!$D$47*'Others Split'!$L$14</f>
        <v>418809467275.96399</v>
      </c>
      <c r="N23" s="16">
        <f>'KEEI BAU - Industry'!AB$39*'Others Split'!$D$47*'Others Split'!$L$14</f>
        <v>417704429103.73187</v>
      </c>
      <c r="O23" s="16">
        <f>'KEEI BAU - Industry'!AC$39*'Others Split'!$D$47*'Others Split'!$L$14</f>
        <v>416599390931.49982</v>
      </c>
      <c r="P23" s="16">
        <f>'KEEI BAU - Industry'!AD$39*'Others Split'!$D$47*'Others Split'!$L$14</f>
        <v>415494352759.2677</v>
      </c>
      <c r="Q23" s="16">
        <f>'KEEI BAU - Industry'!AE$39*'Others Split'!$D$47*'Others Split'!$L$14</f>
        <v>414389314587.03564</v>
      </c>
      <c r="R23" s="16">
        <f>'KEEI BAU - Industry'!AF$39*'Others Split'!$D$47*'Others Split'!$L$14</f>
        <v>413284276414.80353</v>
      </c>
      <c r="S23" s="16">
        <f>'KEEI BAU - Industry'!AG$39*'Others Split'!$D$47*'Others Split'!$L$14</f>
        <v>412179238242.57141</v>
      </c>
      <c r="T23" s="16">
        <f>'KEEI BAU - Industry'!AH$39*'Others Split'!$D$47*'Others Split'!$L$14</f>
        <v>411074200070.33929</v>
      </c>
      <c r="U23" s="16">
        <f>'KEEI BAU - Industry'!AI$39*'Others Split'!$D$47*'Others Split'!$L$14</f>
        <v>409969161898.10718</v>
      </c>
      <c r="V23" s="16">
        <f>'KEEI BAU - Industry'!AJ$39*'Others Split'!$D$47*'Others Split'!$L$14</f>
        <v>408864123725.87512</v>
      </c>
      <c r="W23" s="16">
        <f>'KEEI BAU - Industry'!AK$39*'Others Split'!$D$47*'Others Split'!$L$14</f>
        <v>404759696229.01306</v>
      </c>
      <c r="X23" s="16">
        <f>'KEEI BAU - Industry'!AL$39*'Others Split'!$D$47*'Others Split'!$L$14</f>
        <v>400655268732.151</v>
      </c>
      <c r="Y23" s="16">
        <f>'KEEI BAU - Industry'!AM$39*'Others Split'!$D$47*'Others Split'!$L$14</f>
        <v>396550841235.28888</v>
      </c>
      <c r="Z23" s="16">
        <f>'KEEI BAU - Industry'!AN$39*'Others Split'!$D$47*'Others Split'!$L$14</f>
        <v>392446413738.42682</v>
      </c>
      <c r="AA23" s="16">
        <f>'KEEI BAU - Industry'!AO$39*'Others Split'!$D$47*'Others Split'!$L$14</f>
        <v>388341986241.56482</v>
      </c>
      <c r="AB23" s="16">
        <f>'KEEI BAU - Industry'!AP$39*'Others Split'!$D$47*'Others Split'!$L$14</f>
        <v>384237558744.70276</v>
      </c>
      <c r="AC23" s="16">
        <f>'KEEI BAU - Industry'!AQ$39*'Others Split'!$D$47*'Others Split'!$L$14</f>
        <v>380133131247.84064</v>
      </c>
      <c r="AD23" s="16">
        <f>'KEEI BAU - Industry'!AR$39*'Others Split'!$D$47*'Others Split'!$L$14</f>
        <v>376028703750.97858</v>
      </c>
      <c r="AE23" s="16">
        <f>'KEEI BAU - Industry'!AS$39*'Others Split'!$D$47*'Others Split'!$L$14</f>
        <v>371924276254.11652</v>
      </c>
      <c r="AF23" s="16">
        <f>'KEEI BAU - Industry'!AT$39*'Others Split'!$D$47*'Others Split'!$L$14</f>
        <v>367819848757.25446</v>
      </c>
      <c r="AG23" s="166"/>
    </row>
    <row r="24" spans="1:33">
      <c r="A24" t="s">
        <v>82</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89</v>
      </c>
      <c r="B26" s="16">
        <f>'KEEI BAU - Industry'!P$39*'Others Split'!$D$47*'Others Split'!$L$15</f>
        <v>74331764248.808136</v>
      </c>
      <c r="C26" s="16">
        <f>'KEEI BAU - Industry'!Q$39*'Others Split'!$D$47*'Others Split'!$L$15</f>
        <v>68812242403.74324</v>
      </c>
      <c r="D26" s="16">
        <f>'KEEI BAU - Industry'!R$39*'Others Split'!$D$47*'Others Split'!$L$15</f>
        <v>63292720558.678337</v>
      </c>
      <c r="E26" s="16">
        <f>'KEEI BAU - Industry'!S$39*'Others Split'!$D$47*'Others Split'!$L$15</f>
        <v>57773198713.613441</v>
      </c>
      <c r="F26" s="16">
        <f>'KEEI BAU - Industry'!T$39*'Others Split'!$D$47*'Others Split'!$L$15</f>
        <v>56741534450.870338</v>
      </c>
      <c r="G26" s="16">
        <f>'KEEI BAU - Industry'!U$39*'Others Split'!$D$47*'Others Split'!$L$15</f>
        <v>55709870188.127243</v>
      </c>
      <c r="H26" s="16">
        <f>'KEEI BAU - Industry'!V$39*'Others Split'!$D$47*'Others Split'!$L$15</f>
        <v>54678205925.384148</v>
      </c>
      <c r="I26" s="16">
        <f>'KEEI BAU - Industry'!W$39*'Others Split'!$D$47*'Others Split'!$L$15</f>
        <v>53646541662.641052</v>
      </c>
      <c r="J26" s="16">
        <f>'KEEI BAU - Industry'!X$39*'Others Split'!$D$47*'Others Split'!$L$15</f>
        <v>52614877399.897957</v>
      </c>
      <c r="K26" s="16">
        <f>'KEEI BAU - Industry'!Y$39*'Others Split'!$D$47*'Others Split'!$L$15</f>
        <v>51583213137.154854</v>
      </c>
      <c r="L26" s="16">
        <f>'KEEI BAU - Industry'!Z$39*'Others Split'!$D$47*'Others Split'!$L$15</f>
        <v>50551548874.411758</v>
      </c>
      <c r="M26" s="16">
        <f>'KEEI BAU - Industry'!AA$39*'Others Split'!$D$47*'Others Split'!$L$15</f>
        <v>50418518482.636993</v>
      </c>
      <c r="N26" s="16">
        <f>'KEEI BAU - Industry'!AB$39*'Others Split'!$D$47*'Others Split'!$L$15</f>
        <v>50285488090.862221</v>
      </c>
      <c r="O26" s="16">
        <f>'KEEI BAU - Industry'!AC$39*'Others Split'!$D$47*'Others Split'!$L$15</f>
        <v>50152457699.087456</v>
      </c>
      <c r="P26" s="16">
        <f>'KEEI BAU - Industry'!AD$39*'Others Split'!$D$47*'Others Split'!$L$15</f>
        <v>50019427307.312683</v>
      </c>
      <c r="Q26" s="16">
        <f>'KEEI BAU - Industry'!AE$39*'Others Split'!$D$47*'Others Split'!$L$15</f>
        <v>49886396915.537926</v>
      </c>
      <c r="R26" s="16">
        <f>'KEEI BAU - Industry'!AF$39*'Others Split'!$D$47*'Others Split'!$L$15</f>
        <v>49753366523.763153</v>
      </c>
      <c r="S26" s="16">
        <f>'KEEI BAU - Industry'!AG$39*'Others Split'!$D$47*'Others Split'!$L$15</f>
        <v>49620336131.988388</v>
      </c>
      <c r="T26" s="16">
        <f>'KEEI BAU - Industry'!AH$39*'Others Split'!$D$47*'Others Split'!$L$15</f>
        <v>49487305740.213615</v>
      </c>
      <c r="U26" s="16">
        <f>'KEEI BAU - Industry'!AI$39*'Others Split'!$D$47*'Others Split'!$L$15</f>
        <v>49354275348.438843</v>
      </c>
      <c r="V26" s="16">
        <f>'KEEI BAU - Industry'!AJ$39*'Others Split'!$D$47*'Others Split'!$L$15</f>
        <v>49221244956.664085</v>
      </c>
      <c r="W26" s="16">
        <f>'KEEI BAU - Industry'!AK$39*'Others Split'!$D$47*'Others Split'!$L$15</f>
        <v>48727132072.92923</v>
      </c>
      <c r="X26" s="16">
        <f>'KEEI BAU - Industry'!AL$39*'Others Split'!$D$47*'Others Split'!$L$15</f>
        <v>48233019189.194374</v>
      </c>
      <c r="Y26" s="16">
        <f>'KEEI BAU - Industry'!AM$39*'Others Split'!$D$47*'Others Split'!$L$15</f>
        <v>47738906305.459526</v>
      </c>
      <c r="Z26" s="16">
        <f>'KEEI BAU - Industry'!AN$39*'Others Split'!$D$47*'Others Split'!$L$15</f>
        <v>47244793421.72467</v>
      </c>
      <c r="AA26" s="16">
        <f>'KEEI BAU - Industry'!AO$39*'Others Split'!$D$47*'Others Split'!$L$15</f>
        <v>46750680537.989822</v>
      </c>
      <c r="AB26" s="16">
        <f>'KEEI BAU - Industry'!AP$39*'Others Split'!$D$47*'Others Split'!$L$15</f>
        <v>46256567654.254974</v>
      </c>
      <c r="AC26" s="16">
        <f>'KEEI BAU - Industry'!AQ$39*'Others Split'!$D$47*'Others Split'!$L$15</f>
        <v>45762454770.520119</v>
      </c>
      <c r="AD26" s="16">
        <f>'KEEI BAU - Industry'!AR$39*'Others Split'!$D$47*'Others Split'!$L$15</f>
        <v>45268341886.785263</v>
      </c>
      <c r="AE26" s="16">
        <f>'KEEI BAU - Industry'!AS$39*'Others Split'!$D$47*'Others Split'!$L$15</f>
        <v>44774229003.050415</v>
      </c>
      <c r="AF26" s="16">
        <f>'KEEI BAU - Industry'!AT$39*'Others Split'!$D$47*'Others Split'!$L$15</f>
        <v>44280116119.315559</v>
      </c>
    </row>
  </sheetData>
  <phoneticPr fontId="35"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25" workbookViewId="0">
      <selection activeCell="C24" sqref="C24"/>
    </sheetView>
  </sheetViews>
  <sheetFormatPr defaultColWidth="9.125" defaultRowHeight="16.5"/>
  <cols>
    <col min="1" max="1" width="39.625" customWidth="1"/>
    <col min="2" max="2" width="22" bestFit="1" customWidth="1"/>
    <col min="3" max="33" width="12.5"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s="16">
        <f>'KEEI BAU - Industry'!P39*'Others Split'!$D$48*'Others Split'!$M$6</f>
        <v>23363115631.238117</v>
      </c>
      <c r="C2" s="16">
        <f>'KEEI BAU - Industry'!Q39*'Others Split'!$D$48*'Others Split'!$M$6</f>
        <v>21628282233.987442</v>
      </c>
      <c r="D2" s="16">
        <f>'KEEI BAU - Industry'!R39*'Others Split'!$D$48*'Others Split'!$M$6</f>
        <v>19893448836.736771</v>
      </c>
      <c r="E2" s="16">
        <f>'KEEI BAU - Industry'!S39*'Others Split'!$D$48*'Others Split'!$M$6</f>
        <v>18158615439.486095</v>
      </c>
      <c r="F2" s="16">
        <f>'KEEI BAU - Industry'!T39*'Others Split'!$D$48*'Others Split'!$M$6</f>
        <v>17834354449.495274</v>
      </c>
      <c r="G2" s="16">
        <f>'KEEI BAU - Industry'!U39*'Others Split'!$D$48*'Others Split'!$M$6</f>
        <v>17510093459.504452</v>
      </c>
      <c r="H2" s="16">
        <f>'KEEI BAU - Industry'!V39*'Others Split'!$D$48*'Others Split'!$M$6</f>
        <v>17185832469.51363</v>
      </c>
      <c r="I2" s="16">
        <f>'KEEI BAU - Industry'!W39*'Others Split'!$D$48*'Others Split'!$M$6</f>
        <v>16861571479.522802</v>
      </c>
      <c r="J2" s="16">
        <f>'KEEI BAU - Industry'!X39*'Others Split'!$D$48*'Others Split'!$M$6</f>
        <v>16537310489.531979</v>
      </c>
      <c r="K2" s="16">
        <f>'KEEI BAU - Industry'!Y39*'Others Split'!$D$48*'Others Split'!$M$6</f>
        <v>16213049499.541157</v>
      </c>
      <c r="L2" s="16">
        <f>'KEEI BAU - Industry'!Z39*'Others Split'!$D$48*'Others Split'!$M$6</f>
        <v>15888788509.550333</v>
      </c>
      <c r="M2" s="16">
        <f>'KEEI BAU - Industry'!AA39*'Others Split'!$D$48*'Others Split'!$M$6</f>
        <v>15846975908.209412</v>
      </c>
      <c r="N2" s="16">
        <f>'KEEI BAU - Industry'!AB39*'Others Split'!$D$48*'Others Split'!$M$6</f>
        <v>15805163306.868488</v>
      </c>
      <c r="O2" s="16">
        <f>'KEEI BAU - Industry'!AC39*'Others Split'!$D$48*'Others Split'!$M$6</f>
        <v>15763350705.527567</v>
      </c>
      <c r="P2" s="16">
        <f>'KEEI BAU - Industry'!AD39*'Others Split'!$D$48*'Others Split'!$M$6</f>
        <v>15721538104.186647</v>
      </c>
      <c r="Q2" s="16">
        <f>'KEEI BAU - Industry'!AE39*'Others Split'!$D$48*'Others Split'!$M$6</f>
        <v>15679725502.845726</v>
      </c>
      <c r="R2" s="16">
        <f>'KEEI BAU - Industry'!AF39*'Others Split'!$D$48*'Others Split'!$M$6</f>
        <v>15637912901.504803</v>
      </c>
      <c r="S2" s="16">
        <f>'KEEI BAU - Industry'!AG39*'Others Split'!$D$48*'Others Split'!$M$6</f>
        <v>15596100300.163881</v>
      </c>
      <c r="T2" s="16">
        <f>'KEEI BAU - Industry'!AH39*'Others Split'!$D$48*'Others Split'!$M$6</f>
        <v>15554287698.82296</v>
      </c>
      <c r="U2" s="16">
        <f>'KEEI BAU - Industry'!AI39*'Others Split'!$D$48*'Others Split'!$M$6</f>
        <v>15512475097.482037</v>
      </c>
      <c r="V2" s="16">
        <f>'KEEI BAU - Industry'!AJ39*'Others Split'!$D$48*'Others Split'!$M$6</f>
        <v>15470662496.141115</v>
      </c>
      <c r="W2" s="16">
        <f>'KEEI BAU - Industry'!AK39*'Others Split'!$D$48*'Others Split'!$M$6</f>
        <v>15315358548.303404</v>
      </c>
      <c r="X2" s="16">
        <f>'KEEI BAU - Industry'!AL39*'Others Split'!$D$48*'Others Split'!$M$6</f>
        <v>15160054600.465694</v>
      </c>
      <c r="Y2" s="16">
        <f>'KEEI BAU - Industry'!AM39*'Others Split'!$D$48*'Others Split'!$M$6</f>
        <v>15004750652.627987</v>
      </c>
      <c r="Z2" s="16">
        <f>'KEEI BAU - Industry'!AN39*'Others Split'!$D$48*'Others Split'!$M$6</f>
        <v>14849446704.790276</v>
      </c>
      <c r="AA2" s="16">
        <f>'KEEI BAU - Industry'!AO39*'Others Split'!$D$48*'Others Split'!$M$6</f>
        <v>14694142756.952564</v>
      </c>
      <c r="AB2" s="16">
        <f>'KEEI BAU - Industry'!AP39*'Others Split'!$D$48*'Others Split'!$M$6</f>
        <v>14538838809.114855</v>
      </c>
      <c r="AC2" s="16">
        <f>'KEEI BAU - Industry'!AQ39*'Others Split'!$D$48*'Others Split'!$M$6</f>
        <v>14383534861.277143</v>
      </c>
      <c r="AD2" s="16">
        <f>'KEEI BAU - Industry'!AR39*'Others Split'!$D$48*'Others Split'!$M$6</f>
        <v>14228230913.439434</v>
      </c>
      <c r="AE2" s="16">
        <f>'KEEI BAU - Industry'!AS39*'Others Split'!$D$48*'Others Split'!$M$6</f>
        <v>14072926965.601723</v>
      </c>
      <c r="AF2" s="16">
        <f>'KEEI BAU - Industry'!AT39*'Others Split'!$D$48*'Others Split'!$M$6</f>
        <v>13917623017.764015</v>
      </c>
    </row>
    <row r="3" spans="1:35">
      <c r="A3" t="s">
        <v>28</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32</v>
      </c>
      <c r="B4" s="16">
        <f>-'2019 KESIS Energy Balance'!X37*About!C86/1000*(1+'KEEI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34</v>
      </c>
      <c r="B5" s="16">
        <f>'KEEI BAU - Industry'!P$39*'Others Split'!$D$48*'Others Split'!$M$7</f>
        <v>8584235304.2619286</v>
      </c>
      <c r="C5" s="16">
        <f>'KEEI BAU - Industry'!Q$39*'Others Split'!$D$48*'Others Split'!$M$7</f>
        <v>7946810984.2033491</v>
      </c>
      <c r="D5" s="16">
        <f>'KEEI BAU - Industry'!R$39*'Others Split'!$D$48*'Others Split'!$M$7</f>
        <v>7309386664.1447716</v>
      </c>
      <c r="E5" s="16">
        <f>'KEEI BAU - Industry'!S$39*'Others Split'!$D$48*'Others Split'!$M$7</f>
        <v>6671962344.086194</v>
      </c>
      <c r="F5" s="16">
        <f>'KEEI BAU - Industry'!T$39*'Others Split'!$D$48*'Others Split'!$M$7</f>
        <v>6552820159.370369</v>
      </c>
      <c r="G5" s="16">
        <f>'KEEI BAU - Industry'!U$39*'Others Split'!$D$48*'Others Split'!$M$7</f>
        <v>6433677974.6545448</v>
      </c>
      <c r="H5" s="16">
        <f>'KEEI BAU - Industry'!V$39*'Others Split'!$D$48*'Others Split'!$M$7</f>
        <v>6314535789.9387197</v>
      </c>
      <c r="I5" s="16">
        <f>'KEEI BAU - Industry'!W$39*'Others Split'!$D$48*'Others Split'!$M$7</f>
        <v>6195393605.2228937</v>
      </c>
      <c r="J5" s="16">
        <f>'KEEI BAU - Industry'!X$39*'Others Split'!$D$48*'Others Split'!$M$7</f>
        <v>6076251420.5070686</v>
      </c>
      <c r="K5" s="16">
        <f>'KEEI BAU - Industry'!Y$39*'Others Split'!$D$48*'Others Split'!$M$7</f>
        <v>5957109235.7912445</v>
      </c>
      <c r="L5" s="16">
        <f>'KEEI BAU - Industry'!Z$39*'Others Split'!$D$48*'Others Split'!$M$7</f>
        <v>5837967051.0754194</v>
      </c>
      <c r="M5" s="16">
        <f>'KEEI BAU - Industry'!AA$39*'Others Split'!$D$48*'Others Split'!$M$7</f>
        <v>5822603979.8883781</v>
      </c>
      <c r="N5" s="16">
        <f>'KEEI BAU - Industry'!AB$39*'Others Split'!$D$48*'Others Split'!$M$7</f>
        <v>5807240908.7013378</v>
      </c>
      <c r="O5" s="16">
        <f>'KEEI BAU - Industry'!AC$39*'Others Split'!$D$48*'Others Split'!$M$7</f>
        <v>5791877837.5142975</v>
      </c>
      <c r="P5" s="16">
        <f>'KEEI BAU - Industry'!AD$39*'Others Split'!$D$48*'Others Split'!$M$7</f>
        <v>5776514766.3272581</v>
      </c>
      <c r="Q5" s="16">
        <f>'KEEI BAU - Industry'!AE$39*'Others Split'!$D$48*'Others Split'!$M$7</f>
        <v>5761151695.1402168</v>
      </c>
      <c r="R5" s="16">
        <f>'KEEI BAU - Industry'!AF$39*'Others Split'!$D$48*'Others Split'!$M$7</f>
        <v>5745788623.9531765</v>
      </c>
      <c r="S5" s="16">
        <f>'KEEI BAU - Industry'!AG$39*'Others Split'!$D$48*'Others Split'!$M$7</f>
        <v>5730425552.7661362</v>
      </c>
      <c r="T5" s="16">
        <f>'KEEI BAU - Industry'!AH$39*'Others Split'!$D$48*'Others Split'!$M$7</f>
        <v>5715062481.5790949</v>
      </c>
      <c r="U5" s="16">
        <f>'KEEI BAU - Industry'!AI$39*'Others Split'!$D$48*'Others Split'!$M$7</f>
        <v>5699699410.3920546</v>
      </c>
      <c r="V5" s="16">
        <f>'KEEI BAU - Industry'!AJ$39*'Others Split'!$D$48*'Others Split'!$M$7</f>
        <v>5684336339.2050133</v>
      </c>
      <c r="W5" s="16">
        <f>'KEEI BAU - Industry'!AK$39*'Others Split'!$D$48*'Others Split'!$M$7</f>
        <v>5627273503.3674345</v>
      </c>
      <c r="X5" s="16">
        <f>'KEEI BAU - Industry'!AL$39*'Others Split'!$D$48*'Others Split'!$M$7</f>
        <v>5570210667.5298548</v>
      </c>
      <c r="Y5" s="16">
        <f>'KEEI BAU - Industry'!AM$39*'Others Split'!$D$48*'Others Split'!$M$7</f>
        <v>5513147831.692276</v>
      </c>
      <c r="Z5" s="16">
        <f>'KEEI BAU - Industry'!AN$39*'Others Split'!$D$48*'Others Split'!$M$7</f>
        <v>5456084995.8546972</v>
      </c>
      <c r="AA5" s="16">
        <f>'KEEI BAU - Industry'!AO$39*'Others Split'!$D$48*'Others Split'!$M$7</f>
        <v>5399022160.0171175</v>
      </c>
      <c r="AB5" s="16">
        <f>'KEEI BAU - Industry'!AP$39*'Others Split'!$D$48*'Others Split'!$M$7</f>
        <v>5341959324.1795378</v>
      </c>
      <c r="AC5" s="16">
        <f>'KEEI BAU - Industry'!AQ$39*'Others Split'!$D$48*'Others Split'!$M$7</f>
        <v>5284896488.341959</v>
      </c>
      <c r="AD5" s="16">
        <f>'KEEI BAU - Industry'!AR$39*'Others Split'!$D$48*'Others Split'!$M$7</f>
        <v>5227833652.5043793</v>
      </c>
      <c r="AE5" s="16">
        <f>'KEEI BAU - Industry'!AS$39*'Others Split'!$D$48*'Others Split'!$M$7</f>
        <v>5170770816.6667995</v>
      </c>
      <c r="AF5" s="16">
        <f>'KEEI BAU - Industry'!AT$39*'Others Split'!$D$48*'Others Split'!$M$7</f>
        <v>5113707980.8292217</v>
      </c>
    </row>
    <row r="6" spans="1:35">
      <c r="A6" t="s">
        <v>36</v>
      </c>
      <c r="B6" s="16">
        <f>'KEEI BAU - Industry'!P$39*'Others Split'!$D$48*'Others Split'!$M$8</f>
        <v>97229685099.778214</v>
      </c>
      <c r="C6" s="16">
        <f>'KEEI BAU - Industry'!Q$39*'Others Split'!$D$48*'Others Split'!$M$8</f>
        <v>90009873000.328247</v>
      </c>
      <c r="D6" s="16">
        <f>'KEEI BAU - Industry'!R$39*'Others Split'!$D$48*'Others Split'!$M$8</f>
        <v>82790060900.878296</v>
      </c>
      <c r="E6" s="16">
        <f>'KEEI BAU - Industry'!S$39*'Others Split'!$D$48*'Others Split'!$M$8</f>
        <v>75570248801.428329</v>
      </c>
      <c r="F6" s="16">
        <f>'KEEI BAU - Industry'!T$39*'Others Split'!$D$48*'Others Split'!$M$8</f>
        <v>74220780072.831406</v>
      </c>
      <c r="G6" s="16">
        <f>'KEEI BAU - Industry'!U$39*'Others Split'!$D$48*'Others Split'!$M$8</f>
        <v>72871311344.234467</v>
      </c>
      <c r="H6" s="16">
        <f>'KEEI BAU - Industry'!V$39*'Others Split'!$D$48*'Others Split'!$M$8</f>
        <v>71521842615.637543</v>
      </c>
      <c r="I6" s="16">
        <f>'KEEI BAU - Industry'!W$39*'Others Split'!$D$48*'Others Split'!$M$8</f>
        <v>70172373887.040588</v>
      </c>
      <c r="J6" s="16">
        <f>'KEEI BAU - Industry'!X$39*'Others Split'!$D$48*'Others Split'!$M$8</f>
        <v>68822905158.443649</v>
      </c>
      <c r="K6" s="16">
        <f>'KEEI BAU - Industry'!Y$39*'Others Split'!$D$48*'Others Split'!$M$8</f>
        <v>67473436429.846725</v>
      </c>
      <c r="L6" s="16">
        <f>'KEEI BAU - Industry'!Z$39*'Others Split'!$D$48*'Others Split'!$M$8</f>
        <v>66123967701.249786</v>
      </c>
      <c r="M6" s="16">
        <f>'KEEI BAU - Industry'!AA$39*'Others Split'!$D$48*'Others Split'!$M$8</f>
        <v>65949957259.93071</v>
      </c>
      <c r="N6" s="16">
        <f>'KEEI BAU - Industry'!AB$39*'Others Split'!$D$48*'Others Split'!$M$8</f>
        <v>65775946818.611633</v>
      </c>
      <c r="O6" s="16">
        <f>'KEEI BAU - Industry'!AC$39*'Others Split'!$D$48*'Others Split'!$M$8</f>
        <v>65601936377.292549</v>
      </c>
      <c r="P6" s="16">
        <f>'KEEI BAU - Industry'!AD$39*'Others Split'!$D$48*'Others Split'!$M$8</f>
        <v>65427925935.97348</v>
      </c>
      <c r="Q6" s="16">
        <f>'KEEI BAU - Industry'!AE$39*'Others Split'!$D$48*'Others Split'!$M$8</f>
        <v>65253915494.654404</v>
      </c>
      <c r="R6" s="16">
        <f>'KEEI BAU - Industry'!AF$39*'Others Split'!$D$48*'Others Split'!$M$8</f>
        <v>65079905053.335327</v>
      </c>
      <c r="S6" s="16">
        <f>'KEEI BAU - Industry'!AG$39*'Others Split'!$D$48*'Others Split'!$M$8</f>
        <v>64905894612.016243</v>
      </c>
      <c r="T6" s="16">
        <f>'KEEI BAU - Industry'!AH$39*'Others Split'!$D$48*'Others Split'!$M$8</f>
        <v>64731884170.697166</v>
      </c>
      <c r="U6" s="16">
        <f>'KEEI BAU - Industry'!AI$39*'Others Split'!$D$48*'Others Split'!$M$8</f>
        <v>64557873729.37809</v>
      </c>
      <c r="V6" s="16">
        <f>'KEEI BAU - Industry'!AJ$39*'Others Split'!$D$48*'Others Split'!$M$8</f>
        <v>64383863288.059006</v>
      </c>
      <c r="W6" s="16">
        <f>'KEEI BAU - Industry'!AK$39*'Others Split'!$D$48*'Others Split'!$M$8</f>
        <v>63737538791.731003</v>
      </c>
      <c r="X6" s="16">
        <f>'KEEI BAU - Industry'!AL$39*'Others Split'!$D$48*'Others Split'!$M$8</f>
        <v>63091214295.402992</v>
      </c>
      <c r="Y6" s="16">
        <f>'KEEI BAU - Industry'!AM$39*'Others Split'!$D$48*'Others Split'!$M$8</f>
        <v>62444889799.074997</v>
      </c>
      <c r="Z6" s="16">
        <f>'KEEI BAU - Industry'!AN$39*'Others Split'!$D$48*'Others Split'!$M$8</f>
        <v>61798565302.746986</v>
      </c>
      <c r="AA6" s="16">
        <f>'KEEI BAU - Industry'!AO$39*'Others Split'!$D$48*'Others Split'!$M$8</f>
        <v>61152240806.418983</v>
      </c>
      <c r="AB6" s="16">
        <f>'KEEI BAU - Industry'!AP$39*'Others Split'!$D$48*'Others Split'!$M$8</f>
        <v>60505916310.090973</v>
      </c>
      <c r="AC6" s="16">
        <f>'KEEI BAU - Industry'!AQ$39*'Others Split'!$D$48*'Others Split'!$M$8</f>
        <v>59859591813.76297</v>
      </c>
      <c r="AD6" s="16">
        <f>'KEEI BAU - Industry'!AR$39*'Others Split'!$D$48*'Others Split'!$M$8</f>
        <v>59213267317.434959</v>
      </c>
      <c r="AE6" s="16">
        <f>'KEEI BAU - Industry'!AS$39*'Others Split'!$D$48*'Others Split'!$M$8</f>
        <v>58566942821.106949</v>
      </c>
      <c r="AF6" s="16">
        <f>'KEEI BAU - Industry'!AT$39*'Others Split'!$D$48*'Others Split'!$M$8</f>
        <v>57920618324.778961</v>
      </c>
    </row>
    <row r="7" spans="1:35">
      <c r="A7" t="s">
        <v>38</v>
      </c>
      <c r="B7" s="16">
        <f>'KEEI BAU - Industry'!P$39*'Others Split'!$D$48*'Others Split'!$M$9</f>
        <v>15530348818.178368</v>
      </c>
      <c r="C7" s="16">
        <f>'KEEI BAU - Industry'!Q$39*'Others Split'!$D$48*'Others Split'!$M$9</f>
        <v>14377139279.434132</v>
      </c>
      <c r="D7" s="16">
        <f>'KEEI BAU - Industry'!R$39*'Others Split'!$D$48*'Others Split'!$M$9</f>
        <v>13223929740.689896</v>
      </c>
      <c r="E7" s="16">
        <f>'KEEI BAU - Industry'!S$39*'Others Split'!$D$48*'Others Split'!$M$9</f>
        <v>12070720201.94566</v>
      </c>
      <c r="F7" s="16">
        <f>'KEEI BAU - Industry'!T$39*'Others Split'!$D$48*'Others Split'!$M$9</f>
        <v>11855171626.910915</v>
      </c>
      <c r="G7" s="16">
        <f>'KEEI BAU - Industry'!U$39*'Others Split'!$D$48*'Others Split'!$M$9</f>
        <v>11639623051.876171</v>
      </c>
      <c r="H7" s="16">
        <f>'KEEI BAU - Industry'!V$39*'Others Split'!$D$48*'Others Split'!$M$9</f>
        <v>11424074476.841429</v>
      </c>
      <c r="I7" s="16">
        <f>'KEEI BAU - Industry'!W$39*'Others Split'!$D$48*'Others Split'!$M$9</f>
        <v>11208525901.806683</v>
      </c>
      <c r="J7" s="16">
        <f>'KEEI BAU - Industry'!X$39*'Others Split'!$D$48*'Others Split'!$M$9</f>
        <v>10992977326.771938</v>
      </c>
      <c r="K7" s="16">
        <f>'KEEI BAU - Industry'!Y$39*'Others Split'!$D$48*'Others Split'!$M$9</f>
        <v>10777428751.737194</v>
      </c>
      <c r="L7" s="16">
        <f>'KEEI BAU - Industry'!Z$39*'Others Split'!$D$48*'Others Split'!$M$9</f>
        <v>10561880176.702452</v>
      </c>
      <c r="M7" s="16">
        <f>'KEEI BAU - Industry'!AA$39*'Others Split'!$D$48*'Others Split'!$M$9</f>
        <v>10534085755.184813</v>
      </c>
      <c r="N7" s="16">
        <f>'KEEI BAU - Industry'!AB$39*'Others Split'!$D$48*'Others Split'!$M$9</f>
        <v>10506291333.667175</v>
      </c>
      <c r="O7" s="16">
        <f>'KEEI BAU - Industry'!AC$39*'Others Split'!$D$48*'Others Split'!$M$9</f>
        <v>10478496912.149536</v>
      </c>
      <c r="P7" s="16">
        <f>'KEEI BAU - Industry'!AD$39*'Others Split'!$D$48*'Others Split'!$M$9</f>
        <v>10450702490.631901</v>
      </c>
      <c r="Q7" s="16">
        <f>'KEEI BAU - Industry'!AE$39*'Others Split'!$D$48*'Others Split'!$M$9</f>
        <v>10422908069.114262</v>
      </c>
      <c r="R7" s="16">
        <f>'KEEI BAU - Industry'!AF$39*'Others Split'!$D$48*'Others Split'!$M$9</f>
        <v>10395113647.596624</v>
      </c>
      <c r="S7" s="16">
        <f>'KEEI BAU - Industry'!AG$39*'Others Split'!$D$48*'Others Split'!$M$9</f>
        <v>10367319226.078985</v>
      </c>
      <c r="T7" s="16">
        <f>'KEEI BAU - Industry'!AH$39*'Others Split'!$D$48*'Others Split'!$M$9</f>
        <v>10339524804.561348</v>
      </c>
      <c r="U7" s="16">
        <f>'KEEI BAU - Industry'!AI$39*'Others Split'!$D$48*'Others Split'!$M$9</f>
        <v>10311730383.043709</v>
      </c>
      <c r="V7" s="16">
        <f>'KEEI BAU - Industry'!AJ$39*'Others Split'!$D$48*'Others Split'!$M$9</f>
        <v>10283935961.526072</v>
      </c>
      <c r="W7" s="16">
        <f>'KEEI BAU - Industry'!AK$39*'Others Split'!$D$48*'Others Split'!$M$9</f>
        <v>10180699538.746273</v>
      </c>
      <c r="X7" s="16">
        <f>'KEEI BAU - Industry'!AL$39*'Others Split'!$D$48*'Others Split'!$M$9</f>
        <v>10077463115.966475</v>
      </c>
      <c r="Y7" s="16">
        <f>'KEEI BAU - Industry'!AM$39*'Others Split'!$D$48*'Others Split'!$M$9</f>
        <v>9974226693.1866779</v>
      </c>
      <c r="Z7" s="16">
        <f>'KEEI BAU - Industry'!AN$39*'Others Split'!$D$48*'Others Split'!$M$9</f>
        <v>9870990270.4068775</v>
      </c>
      <c r="AA7" s="16">
        <f>'KEEI BAU - Industry'!AO$39*'Others Split'!$D$48*'Others Split'!$M$9</f>
        <v>9767753847.627079</v>
      </c>
      <c r="AB7" s="16">
        <f>'KEEI BAU - Industry'!AP$39*'Others Split'!$D$48*'Others Split'!$M$9</f>
        <v>9664517424.8472805</v>
      </c>
      <c r="AC7" s="16">
        <f>'KEEI BAU - Industry'!AQ$39*'Others Split'!$D$48*'Others Split'!$M$9</f>
        <v>9561281002.067482</v>
      </c>
      <c r="AD7" s="16">
        <f>'KEEI BAU - Industry'!AR$39*'Others Split'!$D$48*'Others Split'!$M$9</f>
        <v>9458044579.2876835</v>
      </c>
      <c r="AE7" s="16">
        <f>'KEEI BAU - Industry'!AS$39*'Others Split'!$D$48*'Others Split'!$M$9</f>
        <v>9354808156.507885</v>
      </c>
      <c r="AF7" s="16">
        <f>'KEEI BAU - Industry'!AT$39*'Others Split'!$D$48*'Others Split'!$M$9</f>
        <v>9251571733.7280884</v>
      </c>
    </row>
    <row r="8" spans="1:35">
      <c r="A8" t="s">
        <v>40</v>
      </c>
      <c r="B8" s="16">
        <f>'KEEI BAU - Industry'!P$39*'Others Split'!$D$48*'Others Split'!$M$10</f>
        <v>958221726.87685251</v>
      </c>
      <c r="C8" s="16">
        <f>'KEEI BAU - Industry'!Q$39*'Others Split'!$D$48*'Others Split'!$M$10</f>
        <v>887068757.38444054</v>
      </c>
      <c r="D8" s="16">
        <f>'KEEI BAU - Industry'!R$39*'Others Split'!$D$48*'Others Split'!$M$10</f>
        <v>815915787.89202869</v>
      </c>
      <c r="E8" s="16">
        <f>'KEEI BAU - Industry'!S$39*'Others Split'!$D$48*'Others Split'!$M$10</f>
        <v>744762818.39961684</v>
      </c>
      <c r="F8" s="16">
        <f>'KEEI BAU - Industry'!T$39*'Others Split'!$D$48*'Others Split'!$M$10</f>
        <v>731463482.35676658</v>
      </c>
      <c r="G8" s="16">
        <f>'KEEI BAU - Industry'!U$39*'Others Split'!$D$48*'Others Split'!$M$10</f>
        <v>718164146.31391621</v>
      </c>
      <c r="H8" s="16">
        <f>'KEEI BAU - Industry'!V$39*'Others Split'!$D$48*'Others Split'!$M$10</f>
        <v>704864810.27106595</v>
      </c>
      <c r="I8" s="16">
        <f>'KEEI BAU - Industry'!W$39*'Others Split'!$D$48*'Others Split'!$M$10</f>
        <v>691565474.22821558</v>
      </c>
      <c r="J8" s="16">
        <f>'KEEI BAU - Industry'!X$39*'Others Split'!$D$48*'Others Split'!$M$10</f>
        <v>678266138.1853652</v>
      </c>
      <c r="K8" s="16">
        <f>'KEEI BAU - Industry'!Y$39*'Others Split'!$D$48*'Others Split'!$M$10</f>
        <v>664966802.14251494</v>
      </c>
      <c r="L8" s="16">
        <f>'KEEI BAU - Industry'!Z$39*'Others Split'!$D$48*'Others Split'!$M$10</f>
        <v>651667466.09966469</v>
      </c>
      <c r="M8" s="16">
        <f>'KEEI BAU - Industry'!AA$39*'Others Split'!$D$48*'Others Split'!$M$10</f>
        <v>649952551.71519184</v>
      </c>
      <c r="N8" s="16">
        <f>'KEEI BAU - Industry'!AB$39*'Others Split'!$D$48*'Others Split'!$M$10</f>
        <v>648237637.33071899</v>
      </c>
      <c r="O8" s="16">
        <f>'KEEI BAU - Industry'!AC$39*'Others Split'!$D$48*'Others Split'!$M$10</f>
        <v>646522722.94624627</v>
      </c>
      <c r="P8" s="16">
        <f>'KEEI BAU - Industry'!AD$39*'Others Split'!$D$48*'Others Split'!$M$10</f>
        <v>644807808.56177354</v>
      </c>
      <c r="Q8" s="16">
        <f>'KEEI BAU - Industry'!AE$39*'Others Split'!$D$48*'Others Split'!$M$10</f>
        <v>643092894.17730069</v>
      </c>
      <c r="R8" s="16">
        <f>'KEEI BAU - Industry'!AF$39*'Others Split'!$D$48*'Others Split'!$M$10</f>
        <v>641377979.79282796</v>
      </c>
      <c r="S8" s="16">
        <f>'KEEI BAU - Industry'!AG$39*'Others Split'!$D$48*'Others Split'!$M$10</f>
        <v>639663065.40835512</v>
      </c>
      <c r="T8" s="16">
        <f>'KEEI BAU - Industry'!AH$39*'Others Split'!$D$48*'Others Split'!$M$10</f>
        <v>637948151.02388227</v>
      </c>
      <c r="U8" s="16">
        <f>'KEEI BAU - Industry'!AI$39*'Others Split'!$D$48*'Others Split'!$M$10</f>
        <v>636233236.63940954</v>
      </c>
      <c r="V8" s="16">
        <f>'KEEI BAU - Industry'!AJ$39*'Others Split'!$D$48*'Others Split'!$M$10</f>
        <v>634518322.2549367</v>
      </c>
      <c r="W8" s="16">
        <f>'KEEI BAU - Industry'!AK$39*'Others Split'!$D$48*'Others Split'!$M$10</f>
        <v>628148640.25546622</v>
      </c>
      <c r="X8" s="16">
        <f>'KEEI BAU - Industry'!AL$39*'Others Split'!$D$48*'Others Split'!$M$10</f>
        <v>621778958.25599587</v>
      </c>
      <c r="Y8" s="16">
        <f>'KEEI BAU - Industry'!AM$39*'Others Split'!$D$48*'Others Split'!$M$10</f>
        <v>615409276.25652552</v>
      </c>
      <c r="Z8" s="16">
        <f>'KEEI BAU - Industry'!AN$39*'Others Split'!$D$48*'Others Split'!$M$10</f>
        <v>609039594.25705504</v>
      </c>
      <c r="AA8" s="16">
        <f>'KEEI BAU - Industry'!AO$39*'Others Split'!$D$48*'Others Split'!$M$10</f>
        <v>602669912.25758469</v>
      </c>
      <c r="AB8" s="16">
        <f>'KEEI BAU - Industry'!AP$39*'Others Split'!$D$48*'Others Split'!$M$10</f>
        <v>596300230.25811422</v>
      </c>
      <c r="AC8" s="16">
        <f>'KEEI BAU - Industry'!AQ$39*'Others Split'!$D$48*'Others Split'!$M$10</f>
        <v>589930548.25864387</v>
      </c>
      <c r="AD8" s="16">
        <f>'KEEI BAU - Industry'!AR$39*'Others Split'!$D$48*'Others Split'!$M$10</f>
        <v>583560866.25917339</v>
      </c>
      <c r="AE8" s="16">
        <f>'KEEI BAU - Industry'!AS$39*'Others Split'!$D$48*'Others Split'!$M$10</f>
        <v>577191184.25970292</v>
      </c>
      <c r="AF8" s="16">
        <f>'KEEI BAU - Industry'!AT$39*'Others Split'!$D$48*'Others Split'!$M$10</f>
        <v>570821502.26023269</v>
      </c>
    </row>
    <row r="9" spans="1:35">
      <c r="A9" t="s">
        <v>42</v>
      </c>
      <c r="B9" s="16">
        <f>'KEEI BAU - Industry'!P$39*'Others Split'!$D$48*'Others Split'!$M$11</f>
        <v>21152446419.0243</v>
      </c>
      <c r="C9" s="16">
        <f>'KEEI BAU - Industry'!Q$39*'Others Split'!$D$48*'Others Split'!$M$11</f>
        <v>19581766760.519604</v>
      </c>
      <c r="D9" s="16">
        <f>'KEEI BAU - Industry'!R$39*'Others Split'!$D$48*'Others Split'!$M$11</f>
        <v>18011087102.014908</v>
      </c>
      <c r="E9" s="16">
        <f>'KEEI BAU - Industry'!S$39*'Others Split'!$D$48*'Others Split'!$M$11</f>
        <v>16440407443.510216</v>
      </c>
      <c r="F9" s="16">
        <f>'KEEI BAU - Industry'!T$39*'Others Split'!$D$48*'Others Split'!$M$11</f>
        <v>16146828739.161819</v>
      </c>
      <c r="G9" s="16">
        <f>'KEEI BAU - Industry'!U$39*'Others Split'!$D$48*'Others Split'!$M$11</f>
        <v>15853250034.813423</v>
      </c>
      <c r="H9" s="16">
        <f>'KEEI BAU - Industry'!V$39*'Others Split'!$D$48*'Others Split'!$M$11</f>
        <v>15559671330.465027</v>
      </c>
      <c r="I9" s="16">
        <f>'KEEI BAU - Industry'!W$39*'Others Split'!$D$48*'Others Split'!$M$11</f>
        <v>15266092626.116627</v>
      </c>
      <c r="J9" s="16">
        <f>'KEEI BAU - Industry'!X$39*'Others Split'!$D$48*'Others Split'!$M$11</f>
        <v>14972513921.76823</v>
      </c>
      <c r="K9" s="16">
        <f>'KEEI BAU - Industry'!Y$39*'Others Split'!$D$48*'Others Split'!$M$11</f>
        <v>14678935217.419834</v>
      </c>
      <c r="L9" s="16">
        <f>'KEEI BAU - Industry'!Z$39*'Others Split'!$D$48*'Others Split'!$M$11</f>
        <v>14385356513.071438</v>
      </c>
      <c r="M9" s="16">
        <f>'KEEI BAU - Industry'!AA$39*'Others Split'!$D$48*'Others Split'!$M$11</f>
        <v>14347500311.721249</v>
      </c>
      <c r="N9" s="16">
        <f>'KEEI BAU - Industry'!AB$39*'Others Split'!$D$48*'Others Split'!$M$11</f>
        <v>14309644110.371061</v>
      </c>
      <c r="O9" s="16">
        <f>'KEEI BAU - Industry'!AC$39*'Others Split'!$D$48*'Others Split'!$M$11</f>
        <v>14271787909.020872</v>
      </c>
      <c r="P9" s="16">
        <f>'KEEI BAU - Industry'!AD$39*'Others Split'!$D$48*'Others Split'!$M$11</f>
        <v>14233931707.670687</v>
      </c>
      <c r="Q9" s="16">
        <f>'KEEI BAU - Industry'!AE$39*'Others Split'!$D$48*'Others Split'!$M$11</f>
        <v>14196075506.320499</v>
      </c>
      <c r="R9" s="16">
        <f>'KEEI BAU - Industry'!AF$39*'Others Split'!$D$48*'Others Split'!$M$11</f>
        <v>14158219304.97031</v>
      </c>
      <c r="S9" s="16">
        <f>'KEEI BAU - Industry'!AG$39*'Others Split'!$D$48*'Others Split'!$M$11</f>
        <v>14120363103.620123</v>
      </c>
      <c r="T9" s="16">
        <f>'KEEI BAU - Industry'!AH$39*'Others Split'!$D$48*'Others Split'!$M$11</f>
        <v>14082506902.269934</v>
      </c>
      <c r="U9" s="16">
        <f>'KEEI BAU - Industry'!AI$39*'Others Split'!$D$48*'Others Split'!$M$11</f>
        <v>14044650700.919746</v>
      </c>
      <c r="V9" s="16">
        <f>'KEEI BAU - Industry'!AJ$39*'Others Split'!$D$48*'Others Split'!$M$11</f>
        <v>14006794499.569557</v>
      </c>
      <c r="W9" s="16">
        <f>'KEEI BAU - Industry'!AK$39*'Others Split'!$D$48*'Others Split'!$M$11</f>
        <v>13866185751.697432</v>
      </c>
      <c r="X9" s="16">
        <f>'KEEI BAU - Industry'!AL$39*'Others Split'!$D$48*'Others Split'!$M$11</f>
        <v>13725577003.825304</v>
      </c>
      <c r="Y9" s="16">
        <f>'KEEI BAU - Industry'!AM$39*'Others Split'!$D$48*'Others Split'!$M$11</f>
        <v>13584968255.953178</v>
      </c>
      <c r="Z9" s="16">
        <f>'KEEI BAU - Industry'!AN$39*'Others Split'!$D$48*'Others Split'!$M$11</f>
        <v>13444359508.081051</v>
      </c>
      <c r="AA9" s="16">
        <f>'KEEI BAU - Industry'!AO$39*'Others Split'!$D$48*'Others Split'!$M$11</f>
        <v>13303750760.208925</v>
      </c>
      <c r="AB9" s="16">
        <f>'KEEI BAU - Industry'!AP$39*'Others Split'!$D$48*'Others Split'!$M$11</f>
        <v>13163142012.336798</v>
      </c>
      <c r="AC9" s="16">
        <f>'KEEI BAU - Industry'!AQ$39*'Others Split'!$D$48*'Others Split'!$M$11</f>
        <v>13022533264.46467</v>
      </c>
      <c r="AD9" s="16">
        <f>'KEEI BAU - Industry'!AR$39*'Others Split'!$D$48*'Others Split'!$M$11</f>
        <v>12881924516.592543</v>
      </c>
      <c r="AE9" s="16">
        <f>'KEEI BAU - Industry'!AS$39*'Others Split'!$D$48*'Others Split'!$M$11</f>
        <v>12741315768.720415</v>
      </c>
      <c r="AF9" s="16">
        <f>'KEEI BAU - Industry'!AT$39*'Others Split'!$D$48*'Others Split'!$M$11</f>
        <v>12600707020.848291</v>
      </c>
    </row>
    <row r="10" spans="1:35">
      <c r="A10" t="s">
        <v>44</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1" customFormat="1">
      <c r="A11" s="444" t="s">
        <v>47</v>
      </c>
      <c r="B11" s="445">
        <f>'KEEI BAU - Industry'!P$11*'Petrochemicals Split'!$D$39*'Petrochemicals Split'!$I$6</f>
        <v>987278163103541.5</v>
      </c>
      <c r="C11" s="445">
        <f>'KEEI BAU - Industry'!Q$11*'Petrochemicals Split'!$D$39*'Petrochemicals Split'!$I$6</f>
        <v>1006399024966002.9</v>
      </c>
      <c r="D11" s="445">
        <f>'KEEI BAU - Industry'!R$11*'Petrochemicals Split'!$D$39*'Petrochemicals Split'!$I$6</f>
        <v>1025519886828464.1</v>
      </c>
      <c r="E11" s="445">
        <f>'KEEI BAU - Industry'!S$11*'Petrochemicals Split'!$D$39*'Petrochemicals Split'!$I$6</f>
        <v>1044640748690924.4</v>
      </c>
      <c r="F11" s="445">
        <f>'KEEI BAU - Industry'!T$11*'Petrochemicals Split'!$D$39*'Petrochemicals Split'!$I$6</f>
        <v>1063155855672087.8</v>
      </c>
      <c r="G11" s="445">
        <f>'KEEI BAU - Industry'!U$11*'Petrochemicals Split'!$D$39*'Petrochemicals Split'!$I$6</f>
        <v>1081670962653250</v>
      </c>
      <c r="H11" s="445">
        <f>'KEEI BAU - Industry'!V$11*'Petrochemicals Split'!$D$39*'Petrochemicals Split'!$I$6</f>
        <v>1100186069634420.6</v>
      </c>
      <c r="I11" s="445">
        <f>'KEEI BAU - Industry'!W$11*'Petrochemicals Split'!$D$39*'Petrochemicals Split'!$I$6</f>
        <v>1118701176615582.8</v>
      </c>
      <c r="J11" s="445">
        <f>'KEEI BAU - Industry'!X$11*'Petrochemicals Split'!$D$39*'Petrochemicals Split'!$I$6</f>
        <v>1137216283596745.3</v>
      </c>
      <c r="K11" s="445">
        <f>'KEEI BAU - Industry'!Y$11*'Petrochemicals Split'!$D$39*'Petrochemicals Split'!$I$6</f>
        <v>1155731390577915.8</v>
      </c>
      <c r="L11" s="445">
        <f>'KEEI BAU - Industry'!Z$11*'Petrochemicals Split'!$D$39*'Petrochemicals Split'!$I$6</f>
        <v>1174246497559082.3</v>
      </c>
      <c r="M11" s="445">
        <f>'KEEI BAU - Industry'!AA$11*'Petrochemicals Split'!$D$39*'Petrochemicals Split'!$I$6</f>
        <v>1185236901393645.8</v>
      </c>
      <c r="N11" s="445">
        <f>'KEEI BAU - Industry'!AB$11*'Petrochemicals Split'!$D$39*'Petrochemicals Split'!$I$6</f>
        <v>1196227305228209.5</v>
      </c>
      <c r="O11" s="445">
        <f>'KEEI BAU - Industry'!AC$11*'Petrochemicals Split'!$D$39*'Petrochemicals Split'!$I$6</f>
        <v>1207217709062777.5</v>
      </c>
      <c r="P11" s="445">
        <f>'KEEI BAU - Industry'!AD$11*'Petrochemicals Split'!$D$39*'Petrochemicals Split'!$I$6</f>
        <v>1218208112897341.3</v>
      </c>
      <c r="Q11" s="445">
        <f>'KEEI BAU - Industry'!AE$11*'Petrochemicals Split'!$D$39*'Petrochemicals Split'!$I$6</f>
        <v>1229198516731909</v>
      </c>
      <c r="R11" s="445">
        <f>'KEEI BAU - Industry'!AF$11*'Petrochemicals Split'!$D$39*'Petrochemicals Split'!$I$6</f>
        <v>1240188920566472.8</v>
      </c>
      <c r="S11" s="445">
        <f>'KEEI BAU - Industry'!AG$11*'Petrochemicals Split'!$D$39*'Petrochemicals Split'!$I$6</f>
        <v>1251179324401040.8</v>
      </c>
      <c r="T11" s="445">
        <f>'KEEI BAU - Industry'!AH$11*'Petrochemicals Split'!$D$39*'Petrochemicals Split'!$I$6</f>
        <v>1262169728235604.5</v>
      </c>
      <c r="U11" s="445">
        <f>'KEEI BAU - Industry'!AI$11*'Petrochemicals Split'!$D$39*'Petrochemicals Split'!$I$6</f>
        <v>1273160132070172.3</v>
      </c>
      <c r="V11" s="445">
        <f>'KEEI BAU - Industry'!AJ$11*'Petrochemicals Split'!$D$39*'Petrochemicals Split'!$I$6</f>
        <v>1284150535904740.3</v>
      </c>
      <c r="W11" s="445">
        <f>'KEEI BAU - Industry'!AK$11*'Petrochemicals Split'!$D$39*'Petrochemicals Split'!$I$6</f>
        <v>1287628511801754.8</v>
      </c>
      <c r="X11" s="445">
        <f>'KEEI BAU - Industry'!AL$11*'Petrochemicals Split'!$D$39*'Petrochemicals Split'!$I$6</f>
        <v>1291106487698769.3</v>
      </c>
      <c r="Y11" s="445">
        <f>'KEEI BAU - Industry'!AM$11*'Petrochemicals Split'!$D$39*'Petrochemicals Split'!$I$6</f>
        <v>1294584463595783.5</v>
      </c>
      <c r="Z11" s="445">
        <f>'KEEI BAU - Industry'!AN$11*'Petrochemicals Split'!$D$39*'Petrochemicals Split'!$I$6</f>
        <v>1298062439492798.3</v>
      </c>
      <c r="AA11" s="445">
        <f>'KEEI BAU - Industry'!AO$11*'Petrochemicals Split'!$D$39*'Petrochemicals Split'!$I$6</f>
        <v>1301540415389812.8</v>
      </c>
      <c r="AB11" s="445">
        <f>'KEEI BAU - Industry'!AP$11*'Petrochemicals Split'!$D$39*'Petrochemicals Split'!$I$6</f>
        <v>1305018391286827.3</v>
      </c>
      <c r="AC11" s="445">
        <f>'KEEI BAU - Industry'!AQ$11*'Petrochemicals Split'!$D$39*'Petrochemicals Split'!$I$6</f>
        <v>1308496367183841.5</v>
      </c>
      <c r="AD11" s="445">
        <f>'KEEI BAU - Industry'!AR$11*'Petrochemicals Split'!$D$39*'Petrochemicals Split'!$I$6</f>
        <v>1311974343080856.3</v>
      </c>
      <c r="AE11" s="445">
        <f>'KEEI BAU - Industry'!AS$11*'Petrochemicals Split'!$D$39*'Petrochemicals Split'!$I$6</f>
        <v>1315452318977870.8</v>
      </c>
      <c r="AF11" s="445">
        <f>'KEEI BAU - Industry'!AT$11*'Petrochemicals Split'!$D$39*'Petrochemicals Split'!$I$6</f>
        <v>1318930294874885</v>
      </c>
    </row>
    <row r="12" spans="1:35" s="351" customFormat="1">
      <c r="A12" s="444" t="s">
        <v>51</v>
      </c>
      <c r="B12" s="445">
        <f>'KEEI BAU - Industry'!P$11*'Petrochemicals Split'!$D$39*'Petrochemicals Split'!$I$7</f>
        <v>511269048750048.31</v>
      </c>
      <c r="C12" s="445">
        <f>'KEEI BAU - Industry'!Q$11*'Petrochemicals Split'!$D$39*'Petrochemicals Split'!$I$7</f>
        <v>521170923643108.63</v>
      </c>
      <c r="D12" s="445">
        <f>'KEEI BAU - Industry'!R$11*'Petrochemicals Split'!$D$39*'Petrochemicals Split'!$I$7</f>
        <v>531072798536168.94</v>
      </c>
      <c r="E12" s="445">
        <f>'KEEI BAU - Industry'!S$11*'Petrochemicals Split'!$D$39*'Petrochemicals Split'!$I$7</f>
        <v>540974673429228.69</v>
      </c>
      <c r="F12" s="445">
        <f>'KEEI BAU - Industry'!T$11*'Petrochemicals Split'!$D$39*'Petrochemicals Split'!$I$7</f>
        <v>550562853830188.31</v>
      </c>
      <c r="G12" s="445">
        <f>'KEEI BAU - Industry'!U$11*'Petrochemicals Split'!$D$39*'Petrochemicals Split'!$I$7</f>
        <v>560151034231147.31</v>
      </c>
      <c r="H12" s="445">
        <f>'KEEI BAU - Industry'!V$11*'Petrochemicals Split'!$D$39*'Petrochemicals Split'!$I$7</f>
        <v>569739214632110.63</v>
      </c>
      <c r="I12" s="445">
        <f>'KEEI BAU - Industry'!W$11*'Petrochemicals Split'!$D$39*'Petrochemicals Split'!$I$7</f>
        <v>579327395033069.75</v>
      </c>
      <c r="J12" s="445">
        <f>'KEEI BAU - Industry'!X$11*'Petrochemicals Split'!$D$39*'Petrochemicals Split'!$I$7</f>
        <v>588915575434028.75</v>
      </c>
      <c r="K12" s="445">
        <f>'KEEI BAU - Industry'!Y$11*'Petrochemicals Split'!$D$39*'Petrochemicals Split'!$I$7</f>
        <v>598503755834992.13</v>
      </c>
      <c r="L12" s="445">
        <f>'KEEI BAU - Industry'!Z$11*'Petrochemicals Split'!$D$39*'Petrochemicals Split'!$I$7</f>
        <v>608091936235953.25</v>
      </c>
      <c r="M12" s="445">
        <f>'KEEI BAU - Industry'!AA$11*'Petrochemicals Split'!$D$39*'Petrochemicals Split'!$I$7</f>
        <v>613783395364566.63</v>
      </c>
      <c r="N12" s="445">
        <f>'KEEI BAU - Industry'!AB$11*'Petrochemicals Split'!$D$39*'Petrochemicals Split'!$I$7</f>
        <v>619474854493180</v>
      </c>
      <c r="O12" s="445">
        <f>'KEEI BAU - Industry'!AC$11*'Petrochemicals Split'!$D$39*'Petrochemicals Split'!$I$7</f>
        <v>625166313621795.5</v>
      </c>
      <c r="P12" s="445">
        <f>'KEEI BAU - Industry'!AD$11*'Petrochemicals Split'!$D$39*'Petrochemicals Split'!$I$7</f>
        <v>630857772750408.88</v>
      </c>
      <c r="Q12" s="445">
        <f>'KEEI BAU - Industry'!AE$11*'Petrochemicals Split'!$D$39*'Petrochemicals Split'!$I$7</f>
        <v>636549231879024.38</v>
      </c>
      <c r="R12" s="445">
        <f>'KEEI BAU - Industry'!AF$11*'Petrochemicals Split'!$D$39*'Petrochemicals Split'!$I$7</f>
        <v>642240691007637.75</v>
      </c>
      <c r="S12" s="445">
        <f>'KEEI BAU - Industry'!AG$11*'Petrochemicals Split'!$D$39*'Petrochemicals Split'!$I$7</f>
        <v>647932150136253.25</v>
      </c>
      <c r="T12" s="445">
        <f>'KEEI BAU - Industry'!AH$11*'Petrochemicals Split'!$D$39*'Petrochemicals Split'!$I$7</f>
        <v>653623609264866.63</v>
      </c>
      <c r="U12" s="445">
        <f>'KEEI BAU - Industry'!AI$11*'Petrochemicals Split'!$D$39*'Petrochemicals Split'!$I$7</f>
        <v>659315068393482.13</v>
      </c>
      <c r="V12" s="445">
        <f>'KEEI BAU - Industry'!AJ$11*'Petrochemicals Split'!$D$39*'Petrochemicals Split'!$I$7</f>
        <v>665006527522097.63</v>
      </c>
      <c r="W12" s="445">
        <f>'KEEI BAU - Industry'!AK$11*'Petrochemicals Split'!$D$39*'Petrochemicals Split'!$I$7</f>
        <v>666807622183051.5</v>
      </c>
      <c r="X12" s="445">
        <f>'KEEI BAU - Industry'!AL$11*'Petrochemicals Split'!$D$39*'Petrochemicals Split'!$I$7</f>
        <v>668608716844005.5</v>
      </c>
      <c r="Y12" s="445">
        <f>'KEEI BAU - Industry'!AM$11*'Petrochemicals Split'!$D$39*'Petrochemicals Split'!$I$7</f>
        <v>670409811504959.38</v>
      </c>
      <c r="Z12" s="445">
        <f>'KEEI BAU - Industry'!AN$11*'Petrochemicals Split'!$D$39*'Petrochemicals Split'!$I$7</f>
        <v>672210906165913.38</v>
      </c>
      <c r="AA12" s="445">
        <f>'KEEI BAU - Industry'!AO$11*'Petrochemicals Split'!$D$39*'Petrochemicals Split'!$I$7</f>
        <v>674012000826867.25</v>
      </c>
      <c r="AB12" s="445">
        <f>'KEEI BAU - Industry'!AP$11*'Petrochemicals Split'!$D$39*'Petrochemicals Split'!$I$7</f>
        <v>675813095487821.25</v>
      </c>
      <c r="AC12" s="445">
        <f>'KEEI BAU - Industry'!AQ$11*'Petrochemicals Split'!$D$39*'Petrochemicals Split'!$I$7</f>
        <v>677614190148775.13</v>
      </c>
      <c r="AD12" s="445">
        <f>'KEEI BAU - Industry'!AR$11*'Petrochemicals Split'!$D$39*'Petrochemicals Split'!$I$7</f>
        <v>679415284809729.13</v>
      </c>
      <c r="AE12" s="445">
        <f>'KEEI BAU - Industry'!AS$11*'Petrochemicals Split'!$D$39*'Petrochemicals Split'!$I$7</f>
        <v>681216379470683</v>
      </c>
      <c r="AF12" s="445">
        <f>'KEEI BAU - Industry'!AT$11*'Petrochemicals Split'!$D$39*'Petrochemicals Split'!$I$7</f>
        <v>683017474131636.88</v>
      </c>
    </row>
    <row r="13" spans="1:35">
      <c r="A13" t="s">
        <v>53</v>
      </c>
      <c r="B13" s="16">
        <f>'KEEI BAU - Industry'!P$39*'Others Split'!$D$48*'Others Split'!$M$12</f>
        <v>2249828422.9956713</v>
      </c>
      <c r="C13" s="16">
        <f>'KEEI BAU - Industry'!Q$39*'Others Split'!$D$48*'Others Split'!$M$12</f>
        <v>2082766908.2601101</v>
      </c>
      <c r="D13" s="16">
        <f>'KEEI BAU - Industry'!R$39*'Others Split'!$D$48*'Others Split'!$M$12</f>
        <v>1915705393.524549</v>
      </c>
      <c r="E13" s="16">
        <f>'KEEI BAU - Industry'!S$39*'Others Split'!$D$48*'Others Split'!$M$12</f>
        <v>1748643878.7889879</v>
      </c>
      <c r="F13" s="16">
        <f>'KEEI BAU - Industry'!T$39*'Others Split'!$D$48*'Others Split'!$M$12</f>
        <v>1717418095.2391846</v>
      </c>
      <c r="G13" s="16">
        <f>'KEEI BAU - Industry'!U$39*'Others Split'!$D$48*'Others Split'!$M$12</f>
        <v>1686192311.6893811</v>
      </c>
      <c r="H13" s="16">
        <f>'KEEI BAU - Industry'!V$39*'Others Split'!$D$48*'Others Split'!$M$12</f>
        <v>1654966528.1395779</v>
      </c>
      <c r="I13" s="16">
        <f>'KEEI BAU - Industry'!W$39*'Others Split'!$D$48*'Others Split'!$M$12</f>
        <v>1623740744.5897741</v>
      </c>
      <c r="J13" s="16">
        <f>'KEEI BAU - Industry'!X$39*'Others Split'!$D$48*'Others Split'!$M$12</f>
        <v>1592514961.0399709</v>
      </c>
      <c r="K13" s="16">
        <f>'KEEI BAU - Industry'!Y$39*'Others Split'!$D$48*'Others Split'!$M$12</f>
        <v>1561289177.4901676</v>
      </c>
      <c r="L13" s="16">
        <f>'KEEI BAU - Industry'!Z$39*'Others Split'!$D$48*'Others Split'!$M$12</f>
        <v>1530063393.9403641</v>
      </c>
      <c r="M13" s="16">
        <f>'KEEI BAU - Industry'!AA$39*'Others Split'!$D$48*'Others Split'!$M$12</f>
        <v>1526036911.3247316</v>
      </c>
      <c r="N13" s="16">
        <f>'KEEI BAU - Industry'!AB$39*'Others Split'!$D$48*'Others Split'!$M$12</f>
        <v>1522010428.7090991</v>
      </c>
      <c r="O13" s="16">
        <f>'KEEI BAU - Industry'!AC$39*'Others Split'!$D$48*'Others Split'!$M$12</f>
        <v>1517983946.0934665</v>
      </c>
      <c r="P13" s="16">
        <f>'KEEI BAU - Industry'!AD$39*'Others Split'!$D$48*'Others Split'!$M$12</f>
        <v>1513957463.4778342</v>
      </c>
      <c r="Q13" s="16">
        <f>'KEEI BAU - Industry'!AE$39*'Others Split'!$D$48*'Others Split'!$M$12</f>
        <v>1509930980.8622017</v>
      </c>
      <c r="R13" s="16">
        <f>'KEEI BAU - Industry'!AF$39*'Others Split'!$D$48*'Others Split'!$M$12</f>
        <v>1505904498.2465692</v>
      </c>
      <c r="S13" s="16">
        <f>'KEEI BAU - Industry'!AG$39*'Others Split'!$D$48*'Others Split'!$M$12</f>
        <v>1501878015.6309366</v>
      </c>
      <c r="T13" s="16">
        <f>'KEEI BAU - Industry'!AH$39*'Others Split'!$D$48*'Others Split'!$M$12</f>
        <v>1497851533.0153041</v>
      </c>
      <c r="U13" s="16">
        <f>'KEEI BAU - Industry'!AI$39*'Others Split'!$D$48*'Others Split'!$M$12</f>
        <v>1493825050.3996716</v>
      </c>
      <c r="V13" s="16">
        <f>'KEEI BAU - Industry'!AJ$39*'Others Split'!$D$48*'Others Split'!$M$12</f>
        <v>1489798567.784039</v>
      </c>
      <c r="W13" s="16">
        <f>'KEEI BAU - Industry'!AK$39*'Others Split'!$D$48*'Others Split'!$M$12</f>
        <v>1474843060.9259751</v>
      </c>
      <c r="X13" s="16">
        <f>'KEEI BAU - Industry'!AL$39*'Others Split'!$D$48*'Others Split'!$M$12</f>
        <v>1459887554.0679114</v>
      </c>
      <c r="Y13" s="16">
        <f>'KEEI BAU - Industry'!AM$39*'Others Split'!$D$48*'Others Split'!$M$12</f>
        <v>1444932047.2098479</v>
      </c>
      <c r="Z13" s="16">
        <f>'KEEI BAU - Industry'!AN$39*'Others Split'!$D$48*'Others Split'!$M$12</f>
        <v>1429976540.3517842</v>
      </c>
      <c r="AA13" s="16">
        <f>'KEEI BAU - Industry'!AO$39*'Others Split'!$D$48*'Others Split'!$M$12</f>
        <v>1415021033.4937205</v>
      </c>
      <c r="AB13" s="16">
        <f>'KEEI BAU - Industry'!AP$39*'Others Split'!$D$48*'Others Split'!$M$12</f>
        <v>1400065526.6356566</v>
      </c>
      <c r="AC13" s="16">
        <f>'KEEI BAU - Industry'!AQ$39*'Others Split'!$D$48*'Others Split'!$M$12</f>
        <v>1385110019.7775929</v>
      </c>
      <c r="AD13" s="16">
        <f>'KEEI BAU - Industry'!AR$39*'Others Split'!$D$48*'Others Split'!$M$12</f>
        <v>1370154512.9195292</v>
      </c>
      <c r="AE13" s="16">
        <f>'KEEI BAU - Industry'!AS$39*'Others Split'!$D$48*'Others Split'!$M$12</f>
        <v>1355199006.0614655</v>
      </c>
      <c r="AF13" s="16">
        <f>'KEEI BAU - Industry'!AT$39*'Others Split'!$D$48*'Others Split'!$M$12</f>
        <v>1340243499.2034018</v>
      </c>
    </row>
    <row r="14" spans="1:35">
      <c r="A14" t="s">
        <v>56</v>
      </c>
      <c r="B14" s="16">
        <f>'KEEI BAU - Industry'!P$39*'Others Split'!$D$48*'Others Split'!$M$13</f>
        <v>62245253036.213577</v>
      </c>
      <c r="C14" s="16">
        <f>'KEEI BAU - Industry'!Q$39*'Others Split'!$D$48*'Others Split'!$M$13</f>
        <v>57623217795.196381</v>
      </c>
      <c r="D14" s="16">
        <f>'KEEI BAU - Industry'!R$39*'Others Split'!$D$48*'Others Split'!$M$13</f>
        <v>53001182554.179192</v>
      </c>
      <c r="E14" s="16">
        <f>'KEEI BAU - Industry'!S$39*'Others Split'!$D$48*'Others Split'!$M$13</f>
        <v>48379147313.162003</v>
      </c>
      <c r="F14" s="16">
        <f>'KEEI BAU - Industry'!T$39*'Others Split'!$D$48*'Others Split'!$M$13</f>
        <v>47515233968.284111</v>
      </c>
      <c r="G14" s="16">
        <f>'KEEI BAU - Industry'!U$39*'Others Split'!$D$48*'Others Split'!$M$13</f>
        <v>46651320623.406219</v>
      </c>
      <c r="H14" s="16">
        <f>'KEEI BAU - Industry'!V$39*'Others Split'!$D$48*'Others Split'!$M$13</f>
        <v>45787407278.528328</v>
      </c>
      <c r="I14" s="16">
        <f>'KEEI BAU - Industry'!W$39*'Others Split'!$D$48*'Others Split'!$M$13</f>
        <v>44923493933.650421</v>
      </c>
      <c r="J14" s="16">
        <f>'KEEI BAU - Industry'!X$39*'Others Split'!$D$48*'Others Split'!$M$13</f>
        <v>44059580588.77253</v>
      </c>
      <c r="K14" s="16">
        <f>'KEEI BAU - Industry'!Y$39*'Others Split'!$D$48*'Others Split'!$M$13</f>
        <v>43195667243.894638</v>
      </c>
      <c r="L14" s="16">
        <f>'KEEI BAU - Industry'!Z$39*'Others Split'!$D$48*'Others Split'!$M$13</f>
        <v>42331753899.016747</v>
      </c>
      <c r="M14" s="16">
        <f>'KEEI BAU - Industry'!AA$39*'Others Split'!$D$48*'Others Split'!$M$13</f>
        <v>42220354546.650909</v>
      </c>
      <c r="N14" s="16">
        <f>'KEEI BAU - Industry'!AB$39*'Others Split'!$D$48*'Others Split'!$M$13</f>
        <v>42108955194.28508</v>
      </c>
      <c r="O14" s="16">
        <f>'KEEI BAU - Industry'!AC$39*'Others Split'!$D$48*'Others Split'!$M$13</f>
        <v>41997555841.919243</v>
      </c>
      <c r="P14" s="16">
        <f>'KEEI BAU - Industry'!AD$39*'Others Split'!$D$48*'Others Split'!$M$13</f>
        <v>41886156489.553421</v>
      </c>
      <c r="Q14" s="16">
        <f>'KEEI BAU - Industry'!AE$39*'Others Split'!$D$48*'Others Split'!$M$13</f>
        <v>41774757137.187584</v>
      </c>
      <c r="R14" s="16">
        <f>'KEEI BAU - Industry'!AF$39*'Others Split'!$D$48*'Others Split'!$M$13</f>
        <v>41663357784.821747</v>
      </c>
      <c r="S14" s="16">
        <f>'KEEI BAU - Industry'!AG$39*'Others Split'!$D$48*'Others Split'!$M$13</f>
        <v>41551958432.455917</v>
      </c>
      <c r="T14" s="16">
        <f>'KEEI BAU - Industry'!AH$39*'Others Split'!$D$48*'Others Split'!$M$13</f>
        <v>41440559080.09008</v>
      </c>
      <c r="U14" s="16">
        <f>'KEEI BAU - Industry'!AI$39*'Others Split'!$D$48*'Others Split'!$M$13</f>
        <v>41329159727.724251</v>
      </c>
      <c r="V14" s="16">
        <f>'KEEI BAU - Industry'!AJ$39*'Others Split'!$D$48*'Others Split'!$M$13</f>
        <v>41217760375.358414</v>
      </c>
      <c r="W14" s="16">
        <f>'KEEI BAU - Industry'!AK$39*'Others Split'!$D$48*'Others Split'!$M$13</f>
        <v>40803991352.285316</v>
      </c>
      <c r="X14" s="16">
        <f>'KEEI BAU - Industry'!AL$39*'Others Split'!$D$48*'Others Split'!$M$13</f>
        <v>40390222329.212219</v>
      </c>
      <c r="Y14" s="16">
        <f>'KEEI BAU - Industry'!AM$39*'Others Split'!$D$48*'Others Split'!$M$13</f>
        <v>39976453306.13913</v>
      </c>
      <c r="Z14" s="16">
        <f>'KEEI BAU - Industry'!AN$39*'Others Split'!$D$48*'Others Split'!$M$13</f>
        <v>39562684283.066032</v>
      </c>
      <c r="AA14" s="16">
        <f>'KEEI BAU - Industry'!AO$39*'Others Split'!$D$48*'Others Split'!$M$13</f>
        <v>39148915259.992935</v>
      </c>
      <c r="AB14" s="16">
        <f>'KEEI BAU - Industry'!AP$39*'Others Split'!$D$48*'Others Split'!$M$13</f>
        <v>38735146236.919838</v>
      </c>
      <c r="AC14" s="16">
        <f>'KEEI BAU - Industry'!AQ$39*'Others Split'!$D$48*'Others Split'!$M$13</f>
        <v>38321377213.846741</v>
      </c>
      <c r="AD14" s="16">
        <f>'KEEI BAU - Industry'!AR$39*'Others Split'!$D$48*'Others Split'!$M$13</f>
        <v>37907608190.773643</v>
      </c>
      <c r="AE14" s="16">
        <f>'KEEI BAU - Industry'!AS$39*'Others Split'!$D$48*'Others Split'!$M$13</f>
        <v>37493839167.700546</v>
      </c>
      <c r="AF14" s="16">
        <f>'KEEI BAU - Industry'!AT$39*'Others Split'!$D$48*'Others Split'!$M$13</f>
        <v>37080070144.627457</v>
      </c>
    </row>
    <row r="15" spans="1:35">
      <c r="A15" t="s">
        <v>58</v>
      </c>
      <c r="B15" s="16">
        <f>'KEEI BAU - Industry'!P25*'Steel Split'!$D$12</f>
        <v>4549196263695.6963</v>
      </c>
      <c r="C15" s="16">
        <f>'KEEI BAU - Industry'!Q25*'Steel Split'!$D$12</f>
        <v>3547655218112.3979</v>
      </c>
      <c r="D15" s="16">
        <f>'KEEI BAU - Industry'!R25*'Steel Split'!$D$12</f>
        <v>2546114172529.1001</v>
      </c>
      <c r="E15" s="16">
        <f>'KEEI BAU - Industry'!S25*'Steel Split'!$D$12</f>
        <v>1544573126945.8025</v>
      </c>
      <c r="F15" s="16">
        <f>'KEEI BAU - Industry'!T25*'Steel Split'!$D$12</f>
        <v>1495116351945.075</v>
      </c>
      <c r="G15" s="16">
        <f>'KEEI BAU - Industry'!U25*'Steel Split'!$D$12</f>
        <v>1445659576944.3472</v>
      </c>
      <c r="H15" s="16">
        <f>'KEEI BAU - Industry'!V25*'Steel Split'!$D$12</f>
        <v>1396202801943.6196</v>
      </c>
      <c r="I15" s="16">
        <f>'KEEI BAU - Industry'!W25*'Steel Split'!$D$12</f>
        <v>1346746026942.8918</v>
      </c>
      <c r="J15" s="16">
        <f>'KEEI BAU - Industry'!X25*'Steel Split'!$D$12</f>
        <v>1297289251942.1643</v>
      </c>
      <c r="K15" s="16">
        <f>'KEEI BAU - Industry'!Y25*'Steel Split'!$D$12</f>
        <v>1247832476941.4365</v>
      </c>
      <c r="L15" s="16">
        <f>'KEEI BAU - Industry'!Z25*'Steel Split'!$D$12</f>
        <v>1198375701940.709</v>
      </c>
      <c r="M15" s="16">
        <f>'KEEI BAU - Industry'!AA25*'Steel Split'!$D$12</f>
        <v>1195712644825.2856</v>
      </c>
      <c r="N15" s="16">
        <f>'KEEI BAU - Industry'!AB25*'Steel Split'!$D$12</f>
        <v>1193049587709.8621</v>
      </c>
      <c r="O15" s="16">
        <f>'KEEI BAU - Industry'!AC25*'Steel Split'!$D$12</f>
        <v>1190386530594.4382</v>
      </c>
      <c r="P15" s="16">
        <f>'KEEI BAU - Industry'!AD25*'Steel Split'!$D$12</f>
        <v>1187723473479.0144</v>
      </c>
      <c r="Q15" s="16">
        <f>'KEEI BAU - Industry'!AE25*'Steel Split'!$D$12</f>
        <v>1185060416363.5906</v>
      </c>
      <c r="R15" s="16">
        <f>'KEEI BAU - Industry'!AF25*'Steel Split'!$D$12</f>
        <v>1182397359248.1667</v>
      </c>
      <c r="S15" s="16">
        <f>'KEEI BAU - Industry'!AG25*'Steel Split'!$D$12</f>
        <v>1179734302132.7429</v>
      </c>
      <c r="T15" s="16">
        <f>'KEEI BAU - Industry'!AH25*'Steel Split'!$D$12</f>
        <v>1177071245017.3191</v>
      </c>
      <c r="U15" s="16">
        <f>'KEEI BAU - Industry'!AI25*'Steel Split'!$D$12</f>
        <v>1174408187901.8953</v>
      </c>
      <c r="V15" s="16">
        <f>'KEEI BAU - Industry'!AJ25*'Steel Split'!$D$12</f>
        <v>1171745130786.4709</v>
      </c>
      <c r="W15" s="16">
        <f>'KEEI BAU - Industry'!AK25*'Steel Split'!$D$12</f>
        <v>1163755959440.1995</v>
      </c>
      <c r="X15" s="16">
        <f>'KEEI BAU - Industry'!AL25*'Steel Split'!$D$12</f>
        <v>1155766788093.9282</v>
      </c>
      <c r="Y15" s="16">
        <f>'KEEI BAU - Industry'!AM25*'Steel Split'!$D$12</f>
        <v>1147777616747.6567</v>
      </c>
      <c r="Z15" s="16">
        <f>'KEEI BAU - Industry'!AN25*'Steel Split'!$D$12</f>
        <v>1139788445401.3853</v>
      </c>
      <c r="AA15" s="16">
        <f>'KEEI BAU - Industry'!AO25*'Steel Split'!$D$12</f>
        <v>1131799274055.114</v>
      </c>
      <c r="AB15" s="16">
        <f>'KEEI BAU - Industry'!AP25*'Steel Split'!$D$12</f>
        <v>1123810102708.8425</v>
      </c>
      <c r="AC15" s="16">
        <f>'KEEI BAU - Industry'!AQ25*'Steel Split'!$D$12</f>
        <v>1115820931362.571</v>
      </c>
      <c r="AD15" s="16">
        <f>'KEEI BAU - Industry'!AR25*'Steel Split'!$D$12</f>
        <v>1107831760016.2998</v>
      </c>
      <c r="AE15" s="16">
        <f>'KEEI BAU - Industry'!AS25*'Steel Split'!$D$12</f>
        <v>1099842588670.0283</v>
      </c>
      <c r="AF15" s="16">
        <f>'KEEI BAU - Industry'!AT25*'Steel Split'!$D$12</f>
        <v>1091853417323.757</v>
      </c>
    </row>
    <row r="16" spans="1:35">
      <c r="A16" t="s">
        <v>61</v>
      </c>
      <c r="B16" s="16">
        <f>'KEEI BAU - Industry'!P$18*'Non-ferrous Metals Split'!$I$6*'Non-ferrous Metals Split'!$D$46</f>
        <v>1096321219900.2715</v>
      </c>
      <c r="C16" s="16">
        <f>'KEEI BAU - Industry'!Q$18*'Non-ferrous Metals Split'!$I$6*'Non-ferrous Metals Split'!$D$46</f>
        <v>1046959652027.2521</v>
      </c>
      <c r="D16" s="16">
        <f>'KEEI BAU - Industry'!R$18*'Non-ferrous Metals Split'!$I$6*'Non-ferrous Metals Split'!$D$46</f>
        <v>997598084154.23291</v>
      </c>
      <c r="E16" s="16">
        <f>'KEEI BAU - Industry'!S$18*'Non-ferrous Metals Split'!$I$6*'Non-ferrous Metals Split'!$D$46</f>
        <v>948236516281.21375</v>
      </c>
      <c r="F16" s="16">
        <f>'KEEI BAU - Industry'!T$18*'Non-ferrous Metals Split'!$I$6*'Non-ferrous Metals Split'!$D$46</f>
        <v>1001425798625.808</v>
      </c>
      <c r="G16" s="16">
        <f>'KEEI BAU - Industry'!U$18*'Non-ferrous Metals Split'!$I$6*'Non-ferrous Metals Split'!$D$46</f>
        <v>1054615080970.4021</v>
      </c>
      <c r="H16" s="16">
        <f>'KEEI BAU - Industry'!V$18*'Non-ferrous Metals Split'!$I$6*'Non-ferrous Metals Split'!$D$46</f>
        <v>1107804363314.9963</v>
      </c>
      <c r="I16" s="16">
        <f>'KEEI BAU - Industry'!W$18*'Non-ferrous Metals Split'!$I$6*'Non-ferrous Metals Split'!$D$46</f>
        <v>1160993645659.5906</v>
      </c>
      <c r="J16" s="16">
        <f>'KEEI BAU - Industry'!X$18*'Non-ferrous Metals Split'!$I$6*'Non-ferrous Metals Split'!$D$46</f>
        <v>1214182928004.1848</v>
      </c>
      <c r="K16" s="16">
        <f>'KEEI BAU - Industry'!Y$18*'Non-ferrous Metals Split'!$I$6*'Non-ferrous Metals Split'!$D$46</f>
        <v>1267372210348.7788</v>
      </c>
      <c r="L16" s="16">
        <f>'KEEI BAU - Industry'!Z$18*'Non-ferrous Metals Split'!$I$6*'Non-ferrous Metals Split'!$D$46</f>
        <v>1320561492693.3733</v>
      </c>
      <c r="M16" s="16">
        <f>'KEEI BAU - Industry'!AA$18*'Non-ferrous Metals Split'!$I$6*'Non-ferrous Metals Split'!$D$46</f>
        <v>1302954006124.1282</v>
      </c>
      <c r="N16" s="16">
        <f>'KEEI BAU - Industry'!AB$18*'Non-ferrous Metals Split'!$I$6*'Non-ferrous Metals Split'!$D$46</f>
        <v>1285346519554.8833</v>
      </c>
      <c r="O16" s="16">
        <f>'KEEI BAU - Industry'!AC$18*'Non-ferrous Metals Split'!$I$6*'Non-ferrous Metals Split'!$D$46</f>
        <v>1267739032985.6382</v>
      </c>
      <c r="P16" s="16">
        <f>'KEEI BAU - Industry'!AD$18*'Non-ferrous Metals Split'!$I$6*'Non-ferrous Metals Split'!$D$46</f>
        <v>1250131546416.3933</v>
      </c>
      <c r="Q16" s="16">
        <f>'KEEI BAU - Industry'!AE$18*'Non-ferrous Metals Split'!$I$6*'Non-ferrous Metals Split'!$D$46</f>
        <v>1232524059847.1482</v>
      </c>
      <c r="R16" s="16">
        <f>'KEEI BAU - Industry'!AF$18*'Non-ferrous Metals Split'!$I$6*'Non-ferrous Metals Split'!$D$46</f>
        <v>1214916573277.9033</v>
      </c>
      <c r="S16" s="16">
        <f>'KEEI BAU - Industry'!AG$18*'Non-ferrous Metals Split'!$I$6*'Non-ferrous Metals Split'!$D$46</f>
        <v>1197309086708.6584</v>
      </c>
      <c r="T16" s="16">
        <f>'KEEI BAU - Industry'!AH$18*'Non-ferrous Metals Split'!$I$6*'Non-ferrous Metals Split'!$D$46</f>
        <v>1179701600139.4133</v>
      </c>
      <c r="U16" s="16">
        <f>'KEEI BAU - Industry'!AI$18*'Non-ferrous Metals Split'!$I$6*'Non-ferrous Metals Split'!$D$46</f>
        <v>1162094113570.1685</v>
      </c>
      <c r="V16" s="16">
        <f>'KEEI BAU - Industry'!AJ$18*'Non-ferrous Metals Split'!$I$6*'Non-ferrous Metals Split'!$D$46</f>
        <v>1144486627000.9233</v>
      </c>
      <c r="W16" s="16">
        <f>'KEEI BAU - Industry'!AK$18*'Non-ferrous Metals Split'!$I$6*'Non-ferrous Metals Split'!$D$46</f>
        <v>1113490114186.3152</v>
      </c>
      <c r="X16" s="16">
        <f>'KEEI BAU - Industry'!AL$18*'Non-ferrous Metals Split'!$I$6*'Non-ferrous Metals Split'!$D$46</f>
        <v>1082493601371.7067</v>
      </c>
      <c r="Y16" s="16">
        <f>'KEEI BAU - Industry'!AM$18*'Non-ferrous Metals Split'!$I$6*'Non-ferrous Metals Split'!$D$46</f>
        <v>1051497088557.0984</v>
      </c>
      <c r="Z16" s="16">
        <f>'KEEI BAU - Industry'!AN$18*'Non-ferrous Metals Split'!$I$6*'Non-ferrous Metals Split'!$D$46</f>
        <v>1020500575742.4901</v>
      </c>
      <c r="AA16" s="16">
        <f>'KEEI BAU - Industry'!AO$18*'Non-ferrous Metals Split'!$I$6*'Non-ferrous Metals Split'!$D$46</f>
        <v>989504062927.88184</v>
      </c>
      <c r="AB16" s="16">
        <f>'KEEI BAU - Industry'!AP$18*'Non-ferrous Metals Split'!$I$6*'Non-ferrous Metals Split'!$D$46</f>
        <v>958507550113.27332</v>
      </c>
      <c r="AC16" s="16">
        <f>'KEEI BAU - Industry'!AQ$18*'Non-ferrous Metals Split'!$I$6*'Non-ferrous Metals Split'!$D$46</f>
        <v>927511037298.66504</v>
      </c>
      <c r="AD16" s="16">
        <f>'KEEI BAU - Industry'!AR$18*'Non-ferrous Metals Split'!$I$6*'Non-ferrous Metals Split'!$D$46</f>
        <v>896514524484.05664</v>
      </c>
      <c r="AE16" s="16">
        <f>'KEEI BAU - Industry'!AS$18*'Non-ferrous Metals Split'!$I$6*'Non-ferrous Metals Split'!$D$46</f>
        <v>865518011669.44824</v>
      </c>
      <c r="AF16" s="16">
        <f>'KEEI BAU - Industry'!AT$18*'Non-ferrous Metals Split'!$I$6*'Non-ferrous Metals Split'!$D$46</f>
        <v>834521498854.83997</v>
      </c>
    </row>
    <row r="17" spans="1:33">
      <c r="A17" t="s">
        <v>65</v>
      </c>
      <c r="B17" s="16">
        <f>'KEEI BAU - Industry'!P$18*'Non-ferrous Metals Split'!$I$7*'Non-ferrous Metals Split'!$D$46</f>
        <v>9318730369152.3066</v>
      </c>
      <c r="C17" s="16">
        <f>'KEEI BAU - Industry'!Q$18*'Non-ferrous Metals Split'!$I$7*'Non-ferrous Metals Split'!$D$46</f>
        <v>8899157042231.6426</v>
      </c>
      <c r="D17" s="16">
        <f>'KEEI BAU - Industry'!R$18*'Non-ferrous Metals Split'!$I$7*'Non-ferrous Metals Split'!$D$46</f>
        <v>8479583715310.9795</v>
      </c>
      <c r="E17" s="16">
        <f>'KEEI BAU - Industry'!S$18*'Non-ferrous Metals Split'!$I$7*'Non-ferrous Metals Split'!$D$46</f>
        <v>8060010388390.3174</v>
      </c>
      <c r="F17" s="16">
        <f>'KEEI BAU - Industry'!T$18*'Non-ferrous Metals Split'!$I$7*'Non-ferrous Metals Split'!$D$46</f>
        <v>8512119288319.3672</v>
      </c>
      <c r="G17" s="16">
        <f>'KEEI BAU - Industry'!U$18*'Non-ferrous Metals Split'!$I$7*'Non-ferrous Metals Split'!$D$46</f>
        <v>8964228188248.418</v>
      </c>
      <c r="H17" s="16">
        <f>'KEEI BAU - Industry'!V$18*'Non-ferrous Metals Split'!$I$7*'Non-ferrous Metals Split'!$D$46</f>
        <v>9416337088177.4688</v>
      </c>
      <c r="I17" s="16">
        <f>'KEEI BAU - Industry'!W$18*'Non-ferrous Metals Split'!$I$7*'Non-ferrous Metals Split'!$D$46</f>
        <v>9868445988106.5195</v>
      </c>
      <c r="J17" s="16">
        <f>'KEEI BAU - Industry'!X$18*'Non-ferrous Metals Split'!$I$7*'Non-ferrous Metals Split'!$D$46</f>
        <v>10320554888035.57</v>
      </c>
      <c r="K17" s="16">
        <f>'KEEI BAU - Industry'!Y$18*'Non-ferrous Metals Split'!$I$7*'Non-ferrous Metals Split'!$D$46</f>
        <v>10772663787964.621</v>
      </c>
      <c r="L17" s="16">
        <f>'KEEI BAU - Industry'!Z$18*'Non-ferrous Metals Split'!$I$7*'Non-ferrous Metals Split'!$D$46</f>
        <v>11224772687893.67</v>
      </c>
      <c r="M17" s="16">
        <f>'KEEI BAU - Industry'!AA$18*'Non-ferrous Metals Split'!$I$7*'Non-ferrous Metals Split'!$D$46</f>
        <v>11075109052055.088</v>
      </c>
      <c r="N17" s="16">
        <f>'KEEI BAU - Industry'!AB$18*'Non-ferrous Metals Split'!$I$7*'Non-ferrous Metals Split'!$D$46</f>
        <v>10925445416216.506</v>
      </c>
      <c r="O17" s="16">
        <f>'KEEI BAU - Industry'!AC$18*'Non-ferrous Metals Split'!$I$7*'Non-ferrous Metals Split'!$D$46</f>
        <v>10775781780377.924</v>
      </c>
      <c r="P17" s="16">
        <f>'KEEI BAU - Industry'!AD$18*'Non-ferrous Metals Split'!$I$7*'Non-ferrous Metals Split'!$D$46</f>
        <v>10626118144539.342</v>
      </c>
      <c r="Q17" s="16">
        <f>'KEEI BAU - Industry'!AE$18*'Non-ferrous Metals Split'!$I$7*'Non-ferrous Metals Split'!$D$46</f>
        <v>10476454508700.76</v>
      </c>
      <c r="R17" s="16">
        <f>'KEEI BAU - Industry'!AF$18*'Non-ferrous Metals Split'!$I$7*'Non-ferrous Metals Split'!$D$46</f>
        <v>10326790872862.178</v>
      </c>
      <c r="S17" s="16">
        <f>'KEEI BAU - Industry'!AG$18*'Non-ferrous Metals Split'!$I$7*'Non-ferrous Metals Split'!$D$46</f>
        <v>10177127237023.596</v>
      </c>
      <c r="T17" s="16">
        <f>'KEEI BAU - Industry'!AH$18*'Non-ferrous Metals Split'!$I$7*'Non-ferrous Metals Split'!$D$46</f>
        <v>10027463601185.014</v>
      </c>
      <c r="U17" s="16">
        <f>'KEEI BAU - Industry'!AI$18*'Non-ferrous Metals Split'!$I$7*'Non-ferrous Metals Split'!$D$46</f>
        <v>9877799965346.4297</v>
      </c>
      <c r="V17" s="16">
        <f>'KEEI BAU - Industry'!AJ$18*'Non-ferrous Metals Split'!$I$7*'Non-ferrous Metals Split'!$D$46</f>
        <v>9728136329507.8477</v>
      </c>
      <c r="W17" s="16">
        <f>'KEEI BAU - Industry'!AK$18*'Non-ferrous Metals Split'!$I$7*'Non-ferrous Metals Split'!$D$46</f>
        <v>9464665970583.6777</v>
      </c>
      <c r="X17" s="16">
        <f>'KEEI BAU - Industry'!AL$18*'Non-ferrous Metals Split'!$I$7*'Non-ferrous Metals Split'!$D$46</f>
        <v>9201195611659.5078</v>
      </c>
      <c r="Y17" s="16">
        <f>'KEEI BAU - Industry'!AM$18*'Non-ferrous Metals Split'!$I$7*'Non-ferrous Metals Split'!$D$46</f>
        <v>8937725252735.3359</v>
      </c>
      <c r="Z17" s="16">
        <f>'KEEI BAU - Industry'!AN$18*'Non-ferrous Metals Split'!$I$7*'Non-ferrous Metals Split'!$D$46</f>
        <v>8674254893811.1641</v>
      </c>
      <c r="AA17" s="16">
        <f>'KEEI BAU - Industry'!AO$18*'Non-ferrous Metals Split'!$I$7*'Non-ferrous Metals Split'!$D$46</f>
        <v>8410784534886.9932</v>
      </c>
      <c r="AB17" s="16">
        <f>'KEEI BAU - Industry'!AP$18*'Non-ferrous Metals Split'!$I$7*'Non-ferrous Metals Split'!$D$46</f>
        <v>8147314175962.8232</v>
      </c>
      <c r="AC17" s="16">
        <f>'KEEI BAU - Industry'!AQ$18*'Non-ferrous Metals Split'!$I$7*'Non-ferrous Metals Split'!$D$46</f>
        <v>7883843817038.6523</v>
      </c>
      <c r="AD17" s="16">
        <f>'KEEI BAU - Industry'!AR$18*'Non-ferrous Metals Split'!$I$7*'Non-ferrous Metals Split'!$D$46</f>
        <v>7620373458114.4814</v>
      </c>
      <c r="AE17" s="16">
        <f>'KEEI BAU - Industry'!AS$18*'Non-ferrous Metals Split'!$I$7*'Non-ferrous Metals Split'!$D$46</f>
        <v>7356903099190.3105</v>
      </c>
      <c r="AF17" s="16">
        <f>'KEEI BAU - Industry'!AT$18*'Non-ferrous Metals Split'!$I$7*'Non-ferrous Metals Split'!$D$46</f>
        <v>7093432740266.1396</v>
      </c>
    </row>
    <row r="18" spans="1:33">
      <c r="A18" t="s">
        <v>67</v>
      </c>
      <c r="B18" s="16">
        <f>'KEEI BAU - Industry'!P$35*'Machinery Split'!$M6*'Machinery Split'!$D$43</f>
        <v>85677310282.278458</v>
      </c>
      <c r="C18" s="16">
        <f>'KEEI BAU - Industry'!Q$35*'Machinery Split'!$M6*'Machinery Split'!$D$43</f>
        <v>89961175796.39238</v>
      </c>
      <c r="D18" s="16">
        <f>'KEEI BAU - Industry'!R$35*'Machinery Split'!$M6*'Machinery Split'!$D$43</f>
        <v>94245041310.506302</v>
      </c>
      <c r="E18" s="16">
        <f>'KEEI BAU - Industry'!S$35*'Machinery Split'!$M6*'Machinery Split'!$D$43</f>
        <v>98528906824.620224</v>
      </c>
      <c r="F18" s="16">
        <f>'KEEI BAU - Industry'!T$35*'Machinery Split'!$M6*'Machinery Split'!$D$43</f>
        <v>102919447888.88902</v>
      </c>
      <c r="G18" s="16">
        <f>'KEEI BAU - Industry'!U$35*'Machinery Split'!$M6*'Machinery Split'!$D$43</f>
        <v>107309988953.15781</v>
      </c>
      <c r="H18" s="16">
        <f>'KEEI BAU - Industry'!V$35*'Machinery Split'!$M6*'Machinery Split'!$D$43</f>
        <v>111700530017.42659</v>
      </c>
      <c r="I18" s="16">
        <f>'KEEI BAU - Industry'!W$35*'Machinery Split'!$M6*'Machinery Split'!$D$43</f>
        <v>116091071081.69539</v>
      </c>
      <c r="J18" s="16">
        <f>'KEEI BAU - Industry'!X$35*'Machinery Split'!$M6*'Machinery Split'!$D$43</f>
        <v>120481612145.96417</v>
      </c>
      <c r="K18" s="16">
        <f>'KEEI BAU - Industry'!Y$35*'Machinery Split'!$M6*'Machinery Split'!$D$43</f>
        <v>124872153210.23297</v>
      </c>
      <c r="L18" s="16">
        <f>'KEEI BAU - Industry'!Z$35*'Machinery Split'!$M6*'Machinery Split'!$D$43</f>
        <v>129262694274.50175</v>
      </c>
      <c r="M18" s="16">
        <f>'KEEI BAU - Industry'!AA$35*'Machinery Split'!$M6*'Machinery Split'!$D$43</f>
        <v>130618596661.99654</v>
      </c>
      <c r="N18" s="16">
        <f>'KEEI BAU - Industry'!AB$35*'Machinery Split'!$M6*'Machinery Split'!$D$43</f>
        <v>131974499049.4913</v>
      </c>
      <c r="O18" s="16">
        <f>'KEEI BAU - Industry'!AC$35*'Machinery Split'!$M6*'Machinery Split'!$D$43</f>
        <v>133330401436.98608</v>
      </c>
      <c r="P18" s="16">
        <f>'KEEI BAU - Industry'!AD$35*'Machinery Split'!$M6*'Machinery Split'!$D$43</f>
        <v>134686303824.48085</v>
      </c>
      <c r="Q18" s="16">
        <f>'KEEI BAU - Industry'!AE$35*'Machinery Split'!$M6*'Machinery Split'!$D$43</f>
        <v>136042206211.97563</v>
      </c>
      <c r="R18" s="16">
        <f>'KEEI BAU - Industry'!AF$35*'Machinery Split'!$M6*'Machinery Split'!$D$43</f>
        <v>137398108599.4704</v>
      </c>
      <c r="S18" s="16">
        <f>'KEEI BAU - Industry'!AG$35*'Machinery Split'!$M6*'Machinery Split'!$D$43</f>
        <v>138754010986.96518</v>
      </c>
      <c r="T18" s="16">
        <f>'KEEI BAU - Industry'!AH$35*'Machinery Split'!$M6*'Machinery Split'!$D$43</f>
        <v>140109913374.45996</v>
      </c>
      <c r="U18" s="16">
        <f>'KEEI BAU - Industry'!AI$35*'Machinery Split'!$M6*'Machinery Split'!$D$43</f>
        <v>141465815761.95474</v>
      </c>
      <c r="V18" s="16">
        <f>'KEEI BAU - Industry'!AJ$35*'Machinery Split'!$M6*'Machinery Split'!$D$43</f>
        <v>142821718149.44949</v>
      </c>
      <c r="W18" s="16">
        <f>'KEEI BAU - Industry'!AK$35*'Machinery Split'!$M6*'Machinery Split'!$D$43</f>
        <v>143213423283.61465</v>
      </c>
      <c r="X18" s="16">
        <f>'KEEI BAU - Industry'!AL$35*'Machinery Split'!$M6*'Machinery Split'!$D$43</f>
        <v>143605128417.77982</v>
      </c>
      <c r="Y18" s="16">
        <f>'KEEI BAU - Industry'!AM$35*'Machinery Split'!$M6*'Machinery Split'!$D$43</f>
        <v>143996833551.94498</v>
      </c>
      <c r="Z18" s="16">
        <f>'KEEI BAU - Industry'!AN$35*'Machinery Split'!$M6*'Machinery Split'!$D$43</f>
        <v>144388538686.11014</v>
      </c>
      <c r="AA18" s="16">
        <f>'KEEI BAU - Industry'!AO$35*'Machinery Split'!$M6*'Machinery Split'!$D$43</f>
        <v>144780243820.2753</v>
      </c>
      <c r="AB18" s="16">
        <f>'KEEI BAU - Industry'!AP$35*'Machinery Split'!$M6*'Machinery Split'!$D$43</f>
        <v>145171948954.44043</v>
      </c>
      <c r="AC18" s="16">
        <f>'KEEI BAU - Industry'!AQ$35*'Machinery Split'!$M6*'Machinery Split'!$D$43</f>
        <v>145563654088.60559</v>
      </c>
      <c r="AD18" s="16">
        <f>'KEEI BAU - Industry'!AR$35*'Machinery Split'!$M6*'Machinery Split'!$D$43</f>
        <v>145955359222.77075</v>
      </c>
      <c r="AE18" s="16">
        <f>'KEEI BAU - Industry'!AS$35*'Machinery Split'!$M6*'Machinery Split'!$D$43</f>
        <v>146347064356.93591</v>
      </c>
      <c r="AF18" s="16">
        <f>'KEEI BAU - Industry'!AT$35*'Machinery Split'!$M6*'Machinery Split'!$D$43</f>
        <v>146738769491.10107</v>
      </c>
    </row>
    <row r="19" spans="1:33">
      <c r="A19" t="s">
        <v>71</v>
      </c>
      <c r="B19" s="16">
        <f>'KEEI BAU - Industry'!P$35*'Machinery Split'!$M7*'Machinery Split'!$D$43</f>
        <v>109476563138.46693</v>
      </c>
      <c r="C19" s="16">
        <f>'KEEI BAU - Industry'!Q$35*'Machinery Split'!$M7*'Machinery Split'!$D$43</f>
        <v>114950391295.39029</v>
      </c>
      <c r="D19" s="16">
        <f>'KEEI BAU - Industry'!R$35*'Machinery Split'!$M7*'Machinery Split'!$D$43</f>
        <v>120424219452.31361</v>
      </c>
      <c r="E19" s="16">
        <f>'KEEI BAU - Industry'!S$35*'Machinery Split'!$M7*'Machinery Split'!$D$43</f>
        <v>125898047609.23697</v>
      </c>
      <c r="F19" s="16">
        <f>'KEEI BAU - Industry'!T$35*'Machinery Split'!$M7*'Machinery Split'!$D$43</f>
        <v>131508183413.58041</v>
      </c>
      <c r="G19" s="16">
        <f>'KEEI BAU - Industry'!U$35*'Machinery Split'!$M7*'Machinery Split'!$D$43</f>
        <v>137118319217.92387</v>
      </c>
      <c r="H19" s="16">
        <f>'KEEI BAU - Industry'!V$35*'Machinery Split'!$M7*'Machinery Split'!$D$43</f>
        <v>142728455022.26733</v>
      </c>
      <c r="I19" s="16">
        <f>'KEEI BAU - Industry'!W$35*'Machinery Split'!$M7*'Machinery Split'!$D$43</f>
        <v>148338590826.61081</v>
      </c>
      <c r="J19" s="16">
        <f>'KEEI BAU - Industry'!X$35*'Machinery Split'!$M7*'Machinery Split'!$D$43</f>
        <v>153948726630.95425</v>
      </c>
      <c r="K19" s="16">
        <f>'KEEI BAU - Industry'!Y$35*'Machinery Split'!$M7*'Machinery Split'!$D$43</f>
        <v>159558862435.2977</v>
      </c>
      <c r="L19" s="16">
        <f>'KEEI BAU - Industry'!Z$35*'Machinery Split'!$M7*'Machinery Split'!$D$43</f>
        <v>165168998239.64114</v>
      </c>
      <c r="M19" s="16">
        <f>'KEEI BAU - Industry'!AA$35*'Machinery Split'!$M7*'Machinery Split'!$D$43</f>
        <v>166901540179.2178</v>
      </c>
      <c r="N19" s="16">
        <f>'KEEI BAU - Industry'!AB$35*'Machinery Split'!$M7*'Machinery Split'!$D$43</f>
        <v>168634082118.79446</v>
      </c>
      <c r="O19" s="16">
        <f>'KEEI BAU - Industry'!AC$35*'Machinery Split'!$M7*'Machinery Split'!$D$43</f>
        <v>170366624058.37112</v>
      </c>
      <c r="P19" s="16">
        <f>'KEEI BAU - Industry'!AD$35*'Machinery Split'!$M7*'Machinery Split'!$D$43</f>
        <v>172099165997.94775</v>
      </c>
      <c r="Q19" s="16">
        <f>'KEEI BAU - Industry'!AE$35*'Machinery Split'!$M7*'Machinery Split'!$D$43</f>
        <v>173831707937.52444</v>
      </c>
      <c r="R19" s="16">
        <f>'KEEI BAU - Industry'!AF$35*'Machinery Split'!$M7*'Machinery Split'!$D$43</f>
        <v>175564249877.1011</v>
      </c>
      <c r="S19" s="16">
        <f>'KEEI BAU - Industry'!AG$35*'Machinery Split'!$M7*'Machinery Split'!$D$43</f>
        <v>177296791816.67776</v>
      </c>
      <c r="T19" s="16">
        <f>'KEEI BAU - Industry'!AH$35*'Machinery Split'!$M7*'Machinery Split'!$D$43</f>
        <v>179029333756.25439</v>
      </c>
      <c r="U19" s="16">
        <f>'KEEI BAU - Industry'!AI$35*'Machinery Split'!$M7*'Machinery Split'!$D$43</f>
        <v>180761875695.83105</v>
      </c>
      <c r="V19" s="16">
        <f>'KEEI BAU - Industry'!AJ$35*'Machinery Split'!$M7*'Machinery Split'!$D$43</f>
        <v>182494417635.40771</v>
      </c>
      <c r="W19" s="16">
        <f>'KEEI BAU - Industry'!AK$35*'Machinery Split'!$M7*'Machinery Split'!$D$43</f>
        <v>182994929751.28543</v>
      </c>
      <c r="X19" s="16">
        <f>'KEEI BAU - Industry'!AL$35*'Machinery Split'!$M7*'Machinery Split'!$D$43</f>
        <v>183495441867.16312</v>
      </c>
      <c r="Y19" s="16">
        <f>'KEEI BAU - Industry'!AM$35*'Machinery Split'!$M7*'Machinery Split'!$D$43</f>
        <v>183995953983.0408</v>
      </c>
      <c r="Z19" s="16">
        <f>'KEEI BAU - Industry'!AN$35*'Machinery Split'!$M7*'Machinery Split'!$D$43</f>
        <v>184496466098.91852</v>
      </c>
      <c r="AA19" s="16">
        <f>'KEEI BAU - Industry'!AO$35*'Machinery Split'!$M7*'Machinery Split'!$D$43</f>
        <v>184996978214.7962</v>
      </c>
      <c r="AB19" s="16">
        <f>'KEEI BAU - Industry'!AP$35*'Machinery Split'!$M7*'Machinery Split'!$D$43</f>
        <v>185497490330.67392</v>
      </c>
      <c r="AC19" s="16">
        <f>'KEEI BAU - Industry'!AQ$35*'Machinery Split'!$M7*'Machinery Split'!$D$43</f>
        <v>185998002446.55164</v>
      </c>
      <c r="AD19" s="16">
        <f>'KEEI BAU - Industry'!AR$35*'Machinery Split'!$M7*'Machinery Split'!$D$43</f>
        <v>186498514562.42932</v>
      </c>
      <c r="AE19" s="16">
        <f>'KEEI BAU - Industry'!AS$35*'Machinery Split'!$M7*'Machinery Split'!$D$43</f>
        <v>186999026678.30701</v>
      </c>
      <c r="AF19" s="16">
        <f>'KEEI BAU - Industry'!AT$35*'Machinery Split'!$M7*'Machinery Split'!$D$43</f>
        <v>187499538794.18472</v>
      </c>
    </row>
    <row r="20" spans="1:33">
      <c r="A20" t="s">
        <v>73</v>
      </c>
      <c r="B20" s="16">
        <f>'KEEI BAU - Industry'!P$35*'Machinery Split'!$M8*'Machinery Split'!$D$43</f>
        <v>414106999697.6792</v>
      </c>
      <c r="C20" s="16">
        <f>'KEEI BAU - Industry'!Q$35*'Machinery Split'!$M8*'Machinery Split'!$D$43</f>
        <v>434812349682.56317</v>
      </c>
      <c r="D20" s="16">
        <f>'KEEI BAU - Industry'!R$35*'Machinery Split'!$M8*'Machinery Split'!$D$43</f>
        <v>455517699667.44708</v>
      </c>
      <c r="E20" s="16">
        <f>'KEEI BAU - Industry'!S$35*'Machinery Split'!$M8*'Machinery Split'!$D$43</f>
        <v>476223049652.33112</v>
      </c>
      <c r="F20" s="16">
        <f>'KEEI BAU - Industry'!T$35*'Machinery Split'!$M8*'Machinery Split'!$D$43</f>
        <v>497443998129.63025</v>
      </c>
      <c r="G20" s="16">
        <f>'KEEI BAU - Industry'!U$35*'Machinery Split'!$M8*'Machinery Split'!$D$43</f>
        <v>518664946606.92944</v>
      </c>
      <c r="H20" s="16">
        <f>'KEEI BAU - Industry'!V$35*'Machinery Split'!$M8*'Machinery Split'!$D$43</f>
        <v>539885895084.22852</v>
      </c>
      <c r="I20" s="16">
        <f>'KEEI BAU - Industry'!W$35*'Machinery Split'!$M8*'Machinery Split'!$D$43</f>
        <v>561106843561.52771</v>
      </c>
      <c r="J20" s="16">
        <f>'KEEI BAU - Industry'!X$35*'Machinery Split'!$M8*'Machinery Split'!$D$43</f>
        <v>582327792038.82678</v>
      </c>
      <c r="K20" s="16">
        <f>'KEEI BAU - Industry'!Y$35*'Machinery Split'!$M8*'Machinery Split'!$D$43</f>
        <v>603548740516.12598</v>
      </c>
      <c r="L20" s="16">
        <f>'KEEI BAU - Industry'!Z$35*'Machinery Split'!$M8*'Machinery Split'!$D$43</f>
        <v>624769688993.42517</v>
      </c>
      <c r="M20" s="16">
        <f>'KEEI BAU - Industry'!AA$35*'Machinery Split'!$M8*'Machinery Split'!$D$43</f>
        <v>631323217199.6499</v>
      </c>
      <c r="N20" s="16">
        <f>'KEEI BAU - Industry'!AB$35*'Machinery Split'!$M8*'Machinery Split'!$D$43</f>
        <v>637876745405.87463</v>
      </c>
      <c r="O20" s="16">
        <f>'KEEI BAU - Industry'!AC$35*'Machinery Split'!$M8*'Machinery Split'!$D$43</f>
        <v>644430273612.09937</v>
      </c>
      <c r="P20" s="16">
        <f>'KEEI BAU - Industry'!AD$35*'Machinery Split'!$M8*'Machinery Split'!$D$43</f>
        <v>650983801818.3241</v>
      </c>
      <c r="Q20" s="16">
        <f>'KEEI BAU - Industry'!AE$35*'Machinery Split'!$M8*'Machinery Split'!$D$43</f>
        <v>657537330024.54883</v>
      </c>
      <c r="R20" s="16">
        <f>'KEEI BAU - Industry'!AF$35*'Machinery Split'!$M8*'Machinery Split'!$D$43</f>
        <v>664090858230.77368</v>
      </c>
      <c r="S20" s="16">
        <f>'KEEI BAU - Industry'!AG$35*'Machinery Split'!$M8*'Machinery Split'!$D$43</f>
        <v>670644386436.99829</v>
      </c>
      <c r="T20" s="16">
        <f>'KEEI BAU - Industry'!AH$35*'Machinery Split'!$M8*'Machinery Split'!$D$43</f>
        <v>677197914643.22314</v>
      </c>
      <c r="U20" s="16">
        <f>'KEEI BAU - Industry'!AI$35*'Machinery Split'!$M8*'Machinery Split'!$D$43</f>
        <v>683751442849.44788</v>
      </c>
      <c r="V20" s="16">
        <f>'KEEI BAU - Industry'!AJ$35*'Machinery Split'!$M8*'Machinery Split'!$D$43</f>
        <v>690304971055.67249</v>
      </c>
      <c r="W20" s="16">
        <f>'KEEI BAU - Industry'!AK$35*'Machinery Split'!$M8*'Machinery Split'!$D$43</f>
        <v>692198212537.47083</v>
      </c>
      <c r="X20" s="16">
        <f>'KEEI BAU - Industry'!AL$35*'Machinery Split'!$M8*'Machinery Split'!$D$43</f>
        <v>694091454019.26904</v>
      </c>
      <c r="Y20" s="16">
        <f>'KEEI BAU - Industry'!AM$35*'Machinery Split'!$M8*'Machinery Split'!$D$43</f>
        <v>695984695501.06726</v>
      </c>
      <c r="Z20" s="16">
        <f>'KEEI BAU - Industry'!AN$35*'Machinery Split'!$M8*'Machinery Split'!$D$43</f>
        <v>697877936982.8656</v>
      </c>
      <c r="AA20" s="16">
        <f>'KEEI BAU - Industry'!AO$35*'Machinery Split'!$M8*'Machinery Split'!$D$43</f>
        <v>699771178464.66382</v>
      </c>
      <c r="AB20" s="16">
        <f>'KEEI BAU - Industry'!AP$35*'Machinery Split'!$M8*'Machinery Split'!$D$43</f>
        <v>701664419946.46204</v>
      </c>
      <c r="AC20" s="16">
        <f>'KEEI BAU - Industry'!AQ$35*'Machinery Split'!$M8*'Machinery Split'!$D$43</f>
        <v>703557661428.26038</v>
      </c>
      <c r="AD20" s="16">
        <f>'KEEI BAU - Industry'!AR$35*'Machinery Split'!$M8*'Machinery Split'!$D$43</f>
        <v>705450902910.05859</v>
      </c>
      <c r="AE20" s="16">
        <f>'KEEI BAU - Industry'!AS$35*'Machinery Split'!$M8*'Machinery Split'!$D$43</f>
        <v>707344144391.85693</v>
      </c>
      <c r="AF20" s="16">
        <f>'KEEI BAU - Industry'!AT$35*'Machinery Split'!$M8*'Machinery Split'!$D$43</f>
        <v>709237385873.65515</v>
      </c>
    </row>
    <row r="21" spans="1:33">
      <c r="A21" t="s">
        <v>75</v>
      </c>
      <c r="B21" s="16">
        <f>'KEEI BAU - Industry'!P$35*'Machinery Split'!$M9*'Machinery Split'!$D$43</f>
        <v>1009088321102.3907</v>
      </c>
      <c r="C21" s="16">
        <f>'KEEI BAU - Industry'!Q$35*'Machinery Split'!$M9*'Machinery Split'!$D$43</f>
        <v>1059542737157.5104</v>
      </c>
      <c r="D21" s="16">
        <f>'KEEI BAU - Industry'!R$35*'Machinery Split'!$M9*'Machinery Split'!$D$43</f>
        <v>1109997153212.6299</v>
      </c>
      <c r="E21" s="16">
        <f>'KEEI BAU - Industry'!S$35*'Machinery Split'!$M9*'Machinery Split'!$D$43</f>
        <v>1160451569267.7495</v>
      </c>
      <c r="F21" s="16">
        <f>'KEEI BAU - Industry'!T$35*'Machinery Split'!$M9*'Machinery Split'!$D$43</f>
        <v>1212162386246.9153</v>
      </c>
      <c r="G21" s="16">
        <f>'KEEI BAU - Industry'!U$35*'Machinery Split'!$M9*'Machinery Split'!$D$43</f>
        <v>1263873203226.0811</v>
      </c>
      <c r="H21" s="16">
        <f>'KEEI BAU - Industry'!V$35*'Machinery Split'!$M9*'Machinery Split'!$D$43</f>
        <v>1315584020205.2468</v>
      </c>
      <c r="I21" s="16">
        <f>'KEEI BAU - Industry'!W$35*'Machinery Split'!$M9*'Machinery Split'!$D$43</f>
        <v>1367294837184.4124</v>
      </c>
      <c r="J21" s="16">
        <f>'KEEI BAU - Industry'!X$35*'Machinery Split'!$M9*'Machinery Split'!$D$43</f>
        <v>1419005654163.5781</v>
      </c>
      <c r="K21" s="16">
        <f>'KEEI BAU - Industry'!Y$35*'Machinery Split'!$M9*'Machinery Split'!$D$43</f>
        <v>1470716471142.7439</v>
      </c>
      <c r="L21" s="16">
        <f>'KEEI BAU - Industry'!Z$35*'Machinery Split'!$M9*'Machinery Split'!$D$43</f>
        <v>1522427288121.9097</v>
      </c>
      <c r="M21" s="16">
        <f>'KEEI BAU - Industry'!AA$35*'Machinery Split'!$M9*'Machinery Split'!$D$43</f>
        <v>1538396805130.1816</v>
      </c>
      <c r="N21" s="16">
        <f>'KEEI BAU - Industry'!AB$35*'Machinery Split'!$M9*'Machinery Split'!$D$43</f>
        <v>1554366322138.4534</v>
      </c>
      <c r="O21" s="16">
        <f>'KEEI BAU - Industry'!AC$35*'Machinery Split'!$M9*'Machinery Split'!$D$43</f>
        <v>1570335839146.7251</v>
      </c>
      <c r="P21" s="16">
        <f>'KEEI BAU - Industry'!AD$35*'Machinery Split'!$M9*'Machinery Split'!$D$43</f>
        <v>1586305356154.9971</v>
      </c>
      <c r="Q21" s="16">
        <f>'KEEI BAU - Industry'!AE$35*'Machinery Split'!$M9*'Machinery Split'!$D$43</f>
        <v>1602274873163.2686</v>
      </c>
      <c r="R21" s="16">
        <f>'KEEI BAU - Industry'!AF$35*'Machinery Split'!$M9*'Machinery Split'!$D$43</f>
        <v>1618244390171.5405</v>
      </c>
      <c r="S21" s="16">
        <f>'KEEI BAU - Industry'!AG$35*'Machinery Split'!$M9*'Machinery Split'!$D$43</f>
        <v>1634213907179.8123</v>
      </c>
      <c r="T21" s="16">
        <f>'KEEI BAU - Industry'!AH$35*'Machinery Split'!$M9*'Machinery Split'!$D$43</f>
        <v>1650183424188.084</v>
      </c>
      <c r="U21" s="16">
        <f>'KEEI BAU - Industry'!AI$35*'Machinery Split'!$M9*'Machinery Split'!$D$43</f>
        <v>1666152941196.356</v>
      </c>
      <c r="V21" s="16">
        <f>'KEEI BAU - Industry'!AJ$35*'Machinery Split'!$M9*'Machinery Split'!$D$43</f>
        <v>1682122458204.6277</v>
      </c>
      <c r="W21" s="16">
        <f>'KEEI BAU - Industry'!AK$35*'Machinery Split'!$M9*'Machinery Split'!$D$43</f>
        <v>1686735874229.2393</v>
      </c>
      <c r="X21" s="16">
        <f>'KEEI BAU - Industry'!AL$35*'Machinery Split'!$M9*'Machinery Split'!$D$43</f>
        <v>1691349290253.8513</v>
      </c>
      <c r="Y21" s="16">
        <f>'KEEI BAU - Industry'!AM$35*'Machinery Split'!$M9*'Machinery Split'!$D$43</f>
        <v>1695962706278.4631</v>
      </c>
      <c r="Z21" s="16">
        <f>'KEEI BAU - Industry'!AN$35*'Machinery Split'!$M9*'Machinery Split'!$D$43</f>
        <v>1700576122303.075</v>
      </c>
      <c r="AA21" s="16">
        <f>'KEEI BAU - Industry'!AO$35*'Machinery Split'!$M9*'Machinery Split'!$D$43</f>
        <v>1705189538327.6868</v>
      </c>
      <c r="AB21" s="16">
        <f>'KEEI BAU - Industry'!AP$35*'Machinery Split'!$M9*'Machinery Split'!$D$43</f>
        <v>1709802954352.2988</v>
      </c>
      <c r="AC21" s="16">
        <f>'KEEI BAU - Industry'!AQ$35*'Machinery Split'!$M9*'Machinery Split'!$D$43</f>
        <v>1714416370376.9104</v>
      </c>
      <c r="AD21" s="16">
        <f>'KEEI BAU - Industry'!AR$35*'Machinery Split'!$M9*'Machinery Split'!$D$43</f>
        <v>1719029786401.5225</v>
      </c>
      <c r="AE21" s="16">
        <f>'KEEI BAU - Industry'!AS$35*'Machinery Split'!$M9*'Machinery Split'!$D$43</f>
        <v>1723643202426.1343</v>
      </c>
      <c r="AF21" s="16">
        <f>'KEEI BAU - Industry'!AT$35*'Machinery Split'!$M9*'Machinery Split'!$D$43</f>
        <v>1728256618450.7458</v>
      </c>
    </row>
    <row r="22" spans="1:33">
      <c r="A22" t="s">
        <v>78</v>
      </c>
      <c r="B22" s="16">
        <f>'KEEI BAU - Industry'!P$35*'Machinery Split'!$M10*'Machinery Split'!$D$43</f>
        <v>518823712264.90845</v>
      </c>
      <c r="C22" s="16">
        <f>'KEEI BAU - Industry'!Q$35*'Machinery Split'!$M10*'Machinery Split'!$D$43</f>
        <v>544764897878.15393</v>
      </c>
      <c r="D22" s="16">
        <f>'KEEI BAU - Industry'!R$35*'Machinery Split'!$M10*'Machinery Split'!$D$43</f>
        <v>570706083491.39929</v>
      </c>
      <c r="E22" s="16">
        <f>'KEEI BAU - Industry'!S$35*'Machinery Split'!$M10*'Machinery Split'!$D$43</f>
        <v>596647269104.64465</v>
      </c>
      <c r="F22" s="16">
        <f>'KEEI BAU - Industry'!T$35*'Machinery Split'!$M10*'Machinery Split'!$D$43</f>
        <v>623234434438.27246</v>
      </c>
      <c r="G22" s="16">
        <f>'KEEI BAU - Industry'!U$35*'Machinery Split'!$M10*'Machinery Split'!$D$43</f>
        <v>649821599771.90015</v>
      </c>
      <c r="H22" s="16">
        <f>'KEEI BAU - Industry'!V$35*'Machinery Split'!$M10*'Machinery Split'!$D$43</f>
        <v>676408765105.52771</v>
      </c>
      <c r="I22" s="16">
        <f>'KEEI BAU - Industry'!W$35*'Machinery Split'!$M10*'Machinery Split'!$D$43</f>
        <v>702995930439.15552</v>
      </c>
      <c r="J22" s="16">
        <f>'KEEI BAU - Industry'!X$35*'Machinery Split'!$M10*'Machinery Split'!$D$43</f>
        <v>729583095772.7832</v>
      </c>
      <c r="K22" s="16">
        <f>'KEEI BAU - Industry'!Y$35*'Machinery Split'!$M10*'Machinery Split'!$D$43</f>
        <v>756170261106.41077</v>
      </c>
      <c r="L22" s="16">
        <f>'KEEI BAU - Industry'!Z$35*'Machinery Split'!$M10*'Machinery Split'!$D$43</f>
        <v>782757426440.03845</v>
      </c>
      <c r="M22" s="16">
        <f>'KEEI BAU - Industry'!AA$35*'Machinery Split'!$M10*'Machinery Split'!$D$43</f>
        <v>790968168675.42358</v>
      </c>
      <c r="N22" s="16">
        <f>'KEEI BAU - Industry'!AB$35*'Machinery Split'!$M10*'Machinery Split'!$D$43</f>
        <v>799178910910.80859</v>
      </c>
      <c r="O22" s="16">
        <f>'KEEI BAU - Industry'!AC$35*'Machinery Split'!$M10*'Machinery Split'!$D$43</f>
        <v>807389653146.19348</v>
      </c>
      <c r="P22" s="16">
        <f>'KEEI BAU - Industry'!AD$35*'Machinery Split'!$M10*'Machinery Split'!$D$43</f>
        <v>815600395381.57861</v>
      </c>
      <c r="Q22" s="16">
        <f>'KEEI BAU - Industry'!AE$35*'Machinery Split'!$M10*'Machinery Split'!$D$43</f>
        <v>823811137616.96362</v>
      </c>
      <c r="R22" s="16">
        <f>'KEEI BAU - Industry'!AF$35*'Machinery Split'!$M10*'Machinery Split'!$D$43</f>
        <v>832021879852.34863</v>
      </c>
      <c r="S22" s="16">
        <f>'KEEI BAU - Industry'!AG$35*'Machinery Split'!$M10*'Machinery Split'!$D$43</f>
        <v>840232622087.73364</v>
      </c>
      <c r="T22" s="16">
        <f>'KEEI BAU - Industry'!AH$35*'Machinery Split'!$M10*'Machinery Split'!$D$43</f>
        <v>848443364323.11877</v>
      </c>
      <c r="U22" s="16">
        <f>'KEEI BAU - Industry'!AI$35*'Machinery Split'!$M10*'Machinery Split'!$D$43</f>
        <v>856654106558.50366</v>
      </c>
      <c r="V22" s="16">
        <f>'KEEI BAU - Industry'!AJ$35*'Machinery Split'!$M10*'Machinery Split'!$D$43</f>
        <v>864864848793.88867</v>
      </c>
      <c r="W22" s="16">
        <f>'KEEI BAU - Industry'!AK$35*'Machinery Split'!$M10*'Machinery Split'!$D$43</f>
        <v>867236840995.22205</v>
      </c>
      <c r="X22" s="16">
        <f>'KEEI BAU - Industry'!AL$35*'Machinery Split'!$M10*'Machinery Split'!$D$43</f>
        <v>869608833196.55554</v>
      </c>
      <c r="Y22" s="16">
        <f>'KEEI BAU - Industry'!AM$35*'Machinery Split'!$M10*'Machinery Split'!$D$43</f>
        <v>871980825397.88904</v>
      </c>
      <c r="Z22" s="16">
        <f>'KEEI BAU - Industry'!AN$35*'Machinery Split'!$M10*'Machinery Split'!$D$43</f>
        <v>874352817599.22253</v>
      </c>
      <c r="AA22" s="16">
        <f>'KEEI BAU - Industry'!AO$35*'Machinery Split'!$M10*'Machinery Split'!$D$43</f>
        <v>876724809800.55603</v>
      </c>
      <c r="AB22" s="16">
        <f>'KEEI BAU - Industry'!AP$35*'Machinery Split'!$M10*'Machinery Split'!$D$43</f>
        <v>879096802001.88928</v>
      </c>
      <c r="AC22" s="16">
        <f>'KEEI BAU - Industry'!AQ$35*'Machinery Split'!$M10*'Machinery Split'!$D$43</f>
        <v>881468794203.22278</v>
      </c>
      <c r="AD22" s="16">
        <f>'KEEI BAU - Industry'!AR$35*'Machinery Split'!$M10*'Machinery Split'!$D$43</f>
        <v>883840786404.55627</v>
      </c>
      <c r="AE22" s="16">
        <f>'KEEI BAU - Industry'!AS$35*'Machinery Split'!$M10*'Machinery Split'!$D$43</f>
        <v>886212778605.88977</v>
      </c>
      <c r="AF22" s="16">
        <f>'KEEI BAU - Industry'!AT$35*'Machinery Split'!$M10*'Machinery Split'!$D$43</f>
        <v>888584770807.22327</v>
      </c>
    </row>
    <row r="23" spans="1:33">
      <c r="A23" t="s">
        <v>80</v>
      </c>
      <c r="B23" s="16">
        <f>'KEEI BAU - Industry'!P$39*'Others Split'!$D$48*'Others Split'!$M$14</f>
        <v>3421253143350.4243</v>
      </c>
      <c r="C23" s="16">
        <f>'KEEI BAU - Industry'!Q$39*'Others Split'!$D$48*'Others Split'!$M$14</f>
        <v>3167207222968.2451</v>
      </c>
      <c r="D23" s="16">
        <f>'KEEI BAU - Industry'!R$39*'Others Split'!$D$48*'Others Split'!$M$14</f>
        <v>2913161302586.0659</v>
      </c>
      <c r="E23" s="16">
        <f>'KEEI BAU - Industry'!S$39*'Others Split'!$D$48*'Others Split'!$M$14</f>
        <v>2659115382203.8867</v>
      </c>
      <c r="F23" s="16">
        <f>'KEEI BAU - Industry'!T$39*'Others Split'!$D$48*'Others Split'!$M$14</f>
        <v>2611631178950.2461</v>
      </c>
      <c r="G23" s="16">
        <f>'KEEI BAU - Industry'!U$39*'Others Split'!$D$48*'Others Split'!$M$14</f>
        <v>2564146975696.6055</v>
      </c>
      <c r="H23" s="16">
        <f>'KEEI BAU - Industry'!V$39*'Others Split'!$D$48*'Others Split'!$M$14</f>
        <v>2516662772442.9644</v>
      </c>
      <c r="I23" s="16">
        <f>'KEEI BAU - Industry'!W$39*'Others Split'!$D$48*'Others Split'!$M$14</f>
        <v>2469178569189.3232</v>
      </c>
      <c r="J23" s="16">
        <f>'KEEI BAU - Industry'!X$39*'Others Split'!$D$48*'Others Split'!$M$14</f>
        <v>2421694365935.6826</v>
      </c>
      <c r="K23" s="16">
        <f>'KEEI BAU - Industry'!Y$39*'Others Split'!$D$48*'Others Split'!$M$14</f>
        <v>2374210162682.0415</v>
      </c>
      <c r="L23" s="16">
        <f>'KEEI BAU - Industry'!Z$39*'Others Split'!$D$48*'Others Split'!$M$14</f>
        <v>2326725959428.4009</v>
      </c>
      <c r="M23" s="16">
        <f>'KEEI BAU - Industry'!AA$39*'Others Split'!$D$48*'Others Split'!$M$14</f>
        <v>2320602996377.2734</v>
      </c>
      <c r="N23" s="16">
        <f>'KEEI BAU - Industry'!AB$39*'Others Split'!$D$48*'Others Split'!$M$14</f>
        <v>2314480033326.146</v>
      </c>
      <c r="O23" s="16">
        <f>'KEEI BAU - Industry'!AC$39*'Others Split'!$D$48*'Others Split'!$M$14</f>
        <v>2308357070275.0186</v>
      </c>
      <c r="P23" s="16">
        <f>'KEEI BAU - Industry'!AD$39*'Others Split'!$D$48*'Others Split'!$M$14</f>
        <v>2302234107223.8916</v>
      </c>
      <c r="Q23" s="16">
        <f>'KEEI BAU - Industry'!AE$39*'Others Split'!$D$48*'Others Split'!$M$14</f>
        <v>2296111144172.7642</v>
      </c>
      <c r="R23" s="16">
        <f>'KEEI BAU - Industry'!AF$39*'Others Split'!$D$48*'Others Split'!$M$14</f>
        <v>2289988181121.6367</v>
      </c>
      <c r="S23" s="16">
        <f>'KEEI BAU - Industry'!AG$39*'Others Split'!$D$48*'Others Split'!$M$14</f>
        <v>2283865218070.5093</v>
      </c>
      <c r="T23" s="16">
        <f>'KEEI BAU - Industry'!AH$39*'Others Split'!$D$48*'Others Split'!$M$14</f>
        <v>2277742255019.3818</v>
      </c>
      <c r="U23" s="16">
        <f>'KEEI BAU - Industry'!AI$39*'Others Split'!$D$48*'Others Split'!$M$14</f>
        <v>2271619291968.2549</v>
      </c>
      <c r="V23" s="16">
        <f>'KEEI BAU - Industry'!AJ$39*'Others Split'!$D$48*'Others Split'!$M$14</f>
        <v>2265496328917.1274</v>
      </c>
      <c r="W23" s="16">
        <f>'KEEI BAU - Industry'!AK$39*'Others Split'!$D$48*'Others Split'!$M$14</f>
        <v>2242753894727.2256</v>
      </c>
      <c r="X23" s="16">
        <f>'KEEI BAU - Industry'!AL$39*'Others Split'!$D$48*'Others Split'!$M$14</f>
        <v>2220011460537.3237</v>
      </c>
      <c r="Y23" s="16">
        <f>'KEEI BAU - Industry'!AM$39*'Others Split'!$D$48*'Others Split'!$M$14</f>
        <v>2197269026347.4224</v>
      </c>
      <c r="Z23" s="16">
        <f>'KEEI BAU - Industry'!AN$39*'Others Split'!$D$48*'Others Split'!$M$14</f>
        <v>2174526592157.5208</v>
      </c>
      <c r="AA23" s="16">
        <f>'KEEI BAU - Industry'!AO$39*'Others Split'!$D$48*'Others Split'!$M$14</f>
        <v>2151784157967.6189</v>
      </c>
      <c r="AB23" s="16">
        <f>'KEEI BAU - Industry'!AP$39*'Others Split'!$D$48*'Others Split'!$M$14</f>
        <v>2129041723777.7173</v>
      </c>
      <c r="AC23" s="16">
        <f>'KEEI BAU - Industry'!AQ$39*'Others Split'!$D$48*'Others Split'!$M$14</f>
        <v>2106299289587.8154</v>
      </c>
      <c r="AD23" s="16">
        <f>'KEEI BAU - Industry'!AR$39*'Others Split'!$D$48*'Others Split'!$M$14</f>
        <v>2083556855397.9138</v>
      </c>
      <c r="AE23" s="16">
        <f>'KEEI BAU - Industry'!AS$39*'Others Split'!$D$48*'Others Split'!$M$14</f>
        <v>2060814421208.012</v>
      </c>
      <c r="AF23" s="16">
        <f>'KEEI BAU - Industry'!AT$39*'Others Split'!$D$48*'Others Split'!$M$14</f>
        <v>2038071987018.1108</v>
      </c>
    </row>
    <row r="24" spans="1:33">
      <c r="A24" t="s">
        <v>82</v>
      </c>
      <c r="B24" s="16">
        <f>-SUM('2019 KESIS Energy Balance'!W44:Y44)*'KEEI BAU - Industry'!$L$3/1000*(1+'KEEI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85</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89</v>
      </c>
      <c r="B26" s="16">
        <f>'KEEI BAU - Industry'!P$39*'Others Split'!$D$48*'Others Split'!$M$15</f>
        <v>80108926776.41008</v>
      </c>
      <c r="C26" s="16">
        <f>'KEEI BAU - Industry'!Q$39*'Others Split'!$D$48*'Others Split'!$M$15</f>
        <v>74160420430.629501</v>
      </c>
      <c r="D26" s="16">
        <f>'KEEI BAU - Industry'!R$39*'Others Split'!$D$48*'Others Split'!$M$15</f>
        <v>68211914084.848953</v>
      </c>
      <c r="E26" s="16">
        <f>'KEEI BAU - Industry'!S$39*'Others Split'!$D$48*'Others Split'!$M$15</f>
        <v>62263407739.06839</v>
      </c>
      <c r="F26" s="16">
        <f>'KEEI BAU - Industry'!T$39*'Others Split'!$D$48*'Others Split'!$M$15</f>
        <v>61151561172.299316</v>
      </c>
      <c r="G26" s="16">
        <f>'KEEI BAU - Industry'!U$39*'Others Split'!$D$48*'Others Split'!$M$15</f>
        <v>60039714605.530235</v>
      </c>
      <c r="H26" s="16">
        <f>'KEEI BAU - Industry'!V$39*'Others Split'!$D$48*'Others Split'!$M$15</f>
        <v>58927868038.761162</v>
      </c>
      <c r="I26" s="16">
        <f>'KEEI BAU - Industry'!W$39*'Others Split'!$D$48*'Others Split'!$M$15</f>
        <v>57816021471.992073</v>
      </c>
      <c r="J26" s="16">
        <f>'KEEI BAU - Industry'!X$39*'Others Split'!$D$48*'Others Split'!$M$15</f>
        <v>56704174905.222992</v>
      </c>
      <c r="K26" s="16">
        <f>'KEEI BAU - Industry'!Y$39*'Others Split'!$D$48*'Others Split'!$M$15</f>
        <v>55592328338.453918</v>
      </c>
      <c r="L26" s="16">
        <f>'KEEI BAU - Industry'!Z$39*'Others Split'!$D$48*'Others Split'!$M$15</f>
        <v>54480481771.684837</v>
      </c>
      <c r="M26" s="16">
        <f>'KEEI BAU - Industry'!AA$39*'Others Split'!$D$48*'Others Split'!$M$15</f>
        <v>54337112082.811981</v>
      </c>
      <c r="N26" s="16">
        <f>'KEEI BAU - Industry'!AB$39*'Others Split'!$D$48*'Others Split'!$M$15</f>
        <v>54193742393.939125</v>
      </c>
      <c r="O26" s="16">
        <f>'KEEI BAU - Industry'!AC$39*'Others Split'!$D$48*'Others Split'!$M$15</f>
        <v>54050372705.066269</v>
      </c>
      <c r="P26" s="16">
        <f>'KEEI BAU - Industry'!AD$39*'Others Split'!$D$48*'Others Split'!$M$15</f>
        <v>53907003016.193428</v>
      </c>
      <c r="Q26" s="16">
        <f>'KEEI BAU - Industry'!AE$39*'Others Split'!$D$48*'Others Split'!$M$15</f>
        <v>53763633327.320572</v>
      </c>
      <c r="R26" s="16">
        <f>'KEEI BAU - Industry'!AF$39*'Others Split'!$D$48*'Others Split'!$M$15</f>
        <v>53620263638.447716</v>
      </c>
      <c r="S26" s="16">
        <f>'KEEI BAU - Industry'!AG$39*'Others Split'!$D$48*'Others Split'!$M$15</f>
        <v>53476893949.57486</v>
      </c>
      <c r="T26" s="16">
        <f>'KEEI BAU - Industry'!AH$39*'Others Split'!$D$48*'Others Split'!$M$15</f>
        <v>53333524260.702003</v>
      </c>
      <c r="U26" s="16">
        <f>'KEEI BAU - Industry'!AI$39*'Others Split'!$D$48*'Others Split'!$M$15</f>
        <v>53190154571.829147</v>
      </c>
      <c r="V26" s="16">
        <f>'KEEI BAU - Industry'!AJ$39*'Others Split'!$D$48*'Others Split'!$M$15</f>
        <v>53046784882.956291</v>
      </c>
      <c r="W26" s="16">
        <f>'KEEI BAU - Industry'!AK$39*'Others Split'!$D$48*'Others Split'!$M$15</f>
        <v>52514268895.714256</v>
      </c>
      <c r="X26" s="16">
        <f>'KEEI BAU - Industry'!AL$39*'Others Split'!$D$48*'Others Split'!$M$15</f>
        <v>51981752908.472221</v>
      </c>
      <c r="Y26" s="16">
        <f>'KEEI BAU - Industry'!AM$39*'Others Split'!$D$48*'Others Split'!$M$15</f>
        <v>51449236921.230202</v>
      </c>
      <c r="Z26" s="16">
        <f>'KEEI BAU - Industry'!AN$39*'Others Split'!$D$48*'Others Split'!$M$15</f>
        <v>50916720933.988167</v>
      </c>
      <c r="AA26" s="16">
        <f>'KEEI BAU - Industry'!AO$39*'Others Split'!$D$48*'Others Split'!$M$15</f>
        <v>50384204946.746132</v>
      </c>
      <c r="AB26" s="16">
        <f>'KEEI BAU - Industry'!AP$39*'Others Split'!$D$48*'Others Split'!$M$15</f>
        <v>49851688959.504097</v>
      </c>
      <c r="AC26" s="16">
        <f>'KEEI BAU - Industry'!AQ$39*'Others Split'!$D$48*'Others Split'!$M$15</f>
        <v>49319172972.262062</v>
      </c>
      <c r="AD26" s="16">
        <f>'KEEI BAU - Industry'!AR$39*'Others Split'!$D$48*'Others Split'!$M$15</f>
        <v>48786656985.020027</v>
      </c>
      <c r="AE26" s="16">
        <f>'KEEI BAU - Industry'!AS$39*'Others Split'!$D$48*'Others Split'!$M$15</f>
        <v>48254140997.778</v>
      </c>
      <c r="AF26" s="16">
        <f>'KEEI BAU - Industry'!AT$39*'Others Split'!$D$48*'Others Split'!$M$15</f>
        <v>47721625010.535973</v>
      </c>
    </row>
    <row r="28" spans="1:33">
      <c r="B28" s="216"/>
    </row>
    <row r="29" spans="1:33">
      <c r="B29" s="2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5"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workbookViewId="0">
      <selection activeCell="N34" sqref="N34"/>
    </sheetView>
  </sheetViews>
  <sheetFormatPr defaultColWidth="9.125" defaultRowHeight="16.5"/>
  <cols>
    <col min="1" max="1" width="39.625" customWidth="1"/>
  </cols>
  <sheetData>
    <row r="1" spans="1:35">
      <c r="A1" s="24" t="s">
        <v>1028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28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38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56</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58</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67</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75</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78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89</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5"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3E003242-8B03-47C8-BCD4-9040A060FD1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33</vt:i4>
      </vt:variant>
    </vt:vector>
  </HeadingPairs>
  <TitlesOfParts>
    <vt:vector size="33" baseType="lpstr">
      <vt:lpstr>About</vt:lpstr>
      <vt:lpstr>KEEI BAU - Overview</vt:lpstr>
      <vt:lpstr>KEEI BAU - Industry</vt:lpstr>
      <vt:lpstr>KEEI BAU - Gas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공용계정2</cp:lastModifiedBy>
  <cp:revision/>
  <dcterms:created xsi:type="dcterms:W3CDTF">2014-03-20T21:01:41Z</dcterms:created>
  <dcterms:modified xsi:type="dcterms:W3CDTF">2026-01-13T15:09:24Z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