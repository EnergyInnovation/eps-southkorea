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3C6EBB25-E8C4-47E3-AB9D-5D08E57C4E42}" xr6:coauthVersionLast="47" xr6:coauthVersionMax="47" xr10:uidLastSave="{00000000-0000-0000-0000-000000000000}"/>
  <bookViews>
    <workbookView xWindow="-108" yWindow="-108" windowWidth="23256" windowHeight="13896" tabRatio="903" firstSheet="20" activeTab="26"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 i="87" l="1"/>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7" i="86"/>
  <c r="D47" i="86" s="1"/>
  <c r="C46" i="86"/>
  <c r="D46" i="86" s="1"/>
  <c r="C48" i="86"/>
  <c r="D48" i="86" s="1"/>
  <c r="C54" i="81"/>
  <c r="C53" i="81"/>
  <c r="C52" i="81"/>
  <c r="C46" i="81"/>
  <c r="C40"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22" i="96" l="1"/>
  <c r="AE22" i="96"/>
  <c r="AD22" i="96"/>
  <c r="AC22" i="96"/>
  <c r="AB22" i="96"/>
  <c r="AA22" i="96"/>
  <c r="Z22" i="96"/>
  <c r="Y22" i="96"/>
  <c r="X22" i="96"/>
  <c r="W22" i="96"/>
  <c r="V22" i="96"/>
  <c r="U22" i="96"/>
  <c r="T22" i="96"/>
  <c r="S22" i="96"/>
  <c r="R22" i="96"/>
  <c r="Q22" i="96"/>
  <c r="P22" i="96"/>
  <c r="O22" i="96"/>
  <c r="N22" i="96"/>
  <c r="M22" i="96"/>
  <c r="L22" i="96"/>
  <c r="K22" i="96"/>
  <c r="J22" i="96"/>
  <c r="I22" i="96"/>
  <c r="H22" i="96"/>
  <c r="G22" i="96"/>
  <c r="F22" i="96"/>
  <c r="E22" i="96"/>
  <c r="C22" i="96"/>
  <c r="B22" i="96"/>
  <c r="AF21" i="96"/>
  <c r="AE21" i="96"/>
  <c r="AD21" i="96"/>
  <c r="AC21" i="96"/>
  <c r="AB21" i="96"/>
  <c r="AA21" i="96"/>
  <c r="Z21" i="96"/>
  <c r="Y21" i="96"/>
  <c r="X21" i="96"/>
  <c r="W21" i="96"/>
  <c r="V21" i="96"/>
  <c r="U21" i="96"/>
  <c r="T21" i="96"/>
  <c r="S21" i="96"/>
  <c r="R21" i="96"/>
  <c r="Q21" i="96"/>
  <c r="P21" i="96"/>
  <c r="O21" i="96"/>
  <c r="N21" i="96"/>
  <c r="M21" i="96"/>
  <c r="L21" i="96"/>
  <c r="K21" i="96"/>
  <c r="J21" i="96"/>
  <c r="I21" i="96"/>
  <c r="H21" i="96"/>
  <c r="G21" i="96"/>
  <c r="F21" i="96"/>
  <c r="E21" i="96"/>
  <c r="C21" i="96"/>
  <c r="B21" i="96"/>
  <c r="AF20" i="96"/>
  <c r="AE20" i="96"/>
  <c r="AD20" i="96"/>
  <c r="AC20" i="96"/>
  <c r="AB20" i="96"/>
  <c r="AA20" i="96"/>
  <c r="Z20" i="96"/>
  <c r="Y20" i="96"/>
  <c r="X20" i="96"/>
  <c r="W20" i="96"/>
  <c r="V20" i="96"/>
  <c r="U20" i="96"/>
  <c r="T20" i="96"/>
  <c r="S20" i="96"/>
  <c r="R20" i="96"/>
  <c r="Q20" i="96"/>
  <c r="P20" i="96"/>
  <c r="O20" i="96"/>
  <c r="N20" i="96"/>
  <c r="M20" i="96"/>
  <c r="L20" i="96"/>
  <c r="K20" i="96"/>
  <c r="J20" i="96"/>
  <c r="I20" i="96"/>
  <c r="H20" i="96"/>
  <c r="G20" i="96"/>
  <c r="F20" i="96"/>
  <c r="E20" i="96"/>
  <c r="C20" i="96"/>
  <c r="B20" i="96"/>
  <c r="AF19" i="96"/>
  <c r="AE19" i="96"/>
  <c r="AD19" i="96"/>
  <c r="AC19" i="96"/>
  <c r="AB19" i="96"/>
  <c r="AA19" i="96"/>
  <c r="Z19" i="96"/>
  <c r="Y19" i="96"/>
  <c r="X19" i="96"/>
  <c r="W19" i="96"/>
  <c r="V19" i="96"/>
  <c r="U19" i="96"/>
  <c r="T19" i="96"/>
  <c r="S19" i="96"/>
  <c r="R19" i="96"/>
  <c r="Q19" i="96"/>
  <c r="P19" i="96"/>
  <c r="O19" i="96"/>
  <c r="N19" i="96"/>
  <c r="M19" i="96"/>
  <c r="L19" i="96"/>
  <c r="K19" i="96"/>
  <c r="J19" i="96"/>
  <c r="I19" i="96"/>
  <c r="H19" i="96"/>
  <c r="G19" i="96"/>
  <c r="F19" i="96"/>
  <c r="E19" i="96"/>
  <c r="C19" i="96"/>
  <c r="B19" i="96"/>
  <c r="AF18" i="96"/>
  <c r="AE18" i="96"/>
  <c r="AD18" i="96"/>
  <c r="AC18" i="96"/>
  <c r="AB18" i="96"/>
  <c r="AA18" i="96"/>
  <c r="Z18" i="96"/>
  <c r="Y18" i="96"/>
  <c r="X18" i="96"/>
  <c r="W18" i="96"/>
  <c r="V18" i="96"/>
  <c r="U18" i="96"/>
  <c r="T18" i="96"/>
  <c r="S18" i="96"/>
  <c r="R18" i="96"/>
  <c r="Q18" i="96"/>
  <c r="P18" i="96"/>
  <c r="O18" i="96"/>
  <c r="N18" i="96"/>
  <c r="M18" i="96"/>
  <c r="L18" i="96"/>
  <c r="K18" i="96"/>
  <c r="J18" i="96"/>
  <c r="I18" i="96"/>
  <c r="H18" i="96"/>
  <c r="G18" i="96"/>
  <c r="F18" i="96"/>
  <c r="E18" i="96"/>
  <c r="C18" i="96"/>
  <c r="B18" i="96"/>
  <c r="AF17" i="96"/>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22" i="95"/>
  <c r="AE22" i="95"/>
  <c r="AD22" i="95"/>
  <c r="AC22" i="95"/>
  <c r="AB22" i="95"/>
  <c r="AA22" i="95"/>
  <c r="Z22" i="95"/>
  <c r="Y22" i="95"/>
  <c r="X22" i="95"/>
  <c r="W22" i="95"/>
  <c r="V22" i="95"/>
  <c r="U22" i="95"/>
  <c r="T22" i="95"/>
  <c r="S22" i="95"/>
  <c r="R22" i="95"/>
  <c r="Q22" i="95"/>
  <c r="P22" i="95"/>
  <c r="O22" i="95"/>
  <c r="N22" i="95"/>
  <c r="M22" i="95"/>
  <c r="L22" i="95"/>
  <c r="K22" i="95"/>
  <c r="J22" i="95"/>
  <c r="I22" i="95"/>
  <c r="H22" i="95"/>
  <c r="G22" i="95"/>
  <c r="AF21" i="95"/>
  <c r="AE21" i="95"/>
  <c r="AD21" i="95"/>
  <c r="AC21" i="95"/>
  <c r="AB21" i="95"/>
  <c r="AA21" i="95"/>
  <c r="Z21" i="95"/>
  <c r="Y21" i="95"/>
  <c r="X21" i="95"/>
  <c r="W21" i="95"/>
  <c r="V21" i="95"/>
  <c r="U21" i="95"/>
  <c r="T21" i="95"/>
  <c r="S21" i="95"/>
  <c r="R21" i="95"/>
  <c r="Q21" i="95"/>
  <c r="P21" i="95"/>
  <c r="O21" i="95"/>
  <c r="N21" i="95"/>
  <c r="M21" i="95"/>
  <c r="L21" i="95"/>
  <c r="K21" i="95"/>
  <c r="J21" i="95"/>
  <c r="I21" i="95"/>
  <c r="H21" i="95"/>
  <c r="G21" i="95"/>
  <c r="AF20" i="95"/>
  <c r="AE20" i="95"/>
  <c r="AD20" i="95"/>
  <c r="AC20" i="95"/>
  <c r="AB20" i="95"/>
  <c r="AA20" i="95"/>
  <c r="Z20" i="95"/>
  <c r="Y20" i="95"/>
  <c r="X20" i="95"/>
  <c r="W20" i="95"/>
  <c r="V20" i="95"/>
  <c r="U20" i="95"/>
  <c r="T20" i="95"/>
  <c r="S20" i="95"/>
  <c r="R20" i="95"/>
  <c r="Q20" i="95"/>
  <c r="P20" i="95"/>
  <c r="O20" i="95"/>
  <c r="N20" i="95"/>
  <c r="M20" i="95"/>
  <c r="L20" i="95"/>
  <c r="K20" i="95"/>
  <c r="J20" i="95"/>
  <c r="I20" i="95"/>
  <c r="H20" i="95"/>
  <c r="G20" i="95"/>
  <c r="AF19" i="95"/>
  <c r="AE19" i="95"/>
  <c r="AD19" i="95"/>
  <c r="AC19" i="95"/>
  <c r="AB19" i="95"/>
  <c r="AA19" i="95"/>
  <c r="Z19" i="95"/>
  <c r="Y19" i="95"/>
  <c r="X19" i="95"/>
  <c r="W19" i="95"/>
  <c r="V19" i="95"/>
  <c r="U19" i="95"/>
  <c r="T19" i="95"/>
  <c r="S19" i="95"/>
  <c r="R19" i="95"/>
  <c r="Q19" i="95"/>
  <c r="P19" i="95"/>
  <c r="O19" i="95"/>
  <c r="N19" i="95"/>
  <c r="M19" i="95"/>
  <c r="L19" i="95"/>
  <c r="K19" i="95"/>
  <c r="J19" i="95"/>
  <c r="I19" i="95"/>
  <c r="H19" i="95"/>
  <c r="G19" i="95"/>
  <c r="AF18" i="95"/>
  <c r="AE18" i="95"/>
  <c r="AD18" i="95"/>
  <c r="AC18" i="95"/>
  <c r="AB18" i="95"/>
  <c r="AA18" i="95"/>
  <c r="Z18" i="95"/>
  <c r="Y18" i="95"/>
  <c r="X18" i="95"/>
  <c r="W18" i="95"/>
  <c r="V18" i="95"/>
  <c r="U18" i="95"/>
  <c r="T18" i="95"/>
  <c r="S18" i="95"/>
  <c r="R18" i="95"/>
  <c r="Q18" i="95"/>
  <c r="P18" i="95"/>
  <c r="O18" i="95"/>
  <c r="N18" i="95"/>
  <c r="M18" i="95"/>
  <c r="L18" i="95"/>
  <c r="K18" i="95"/>
  <c r="J18" i="95"/>
  <c r="I18" i="95"/>
  <c r="H18" i="95"/>
  <c r="G18" i="95"/>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22" i="94"/>
  <c r="AE22" i="94"/>
  <c r="AD22" i="94"/>
  <c r="AC22" i="94"/>
  <c r="AB22" i="94"/>
  <c r="AA22" i="94"/>
  <c r="Z22" i="94"/>
  <c r="Y22" i="94"/>
  <c r="X22" i="94"/>
  <c r="W22" i="94"/>
  <c r="V22" i="94"/>
  <c r="U22" i="94"/>
  <c r="T22" i="94"/>
  <c r="S22" i="94"/>
  <c r="R22" i="94"/>
  <c r="Q22" i="94"/>
  <c r="P22" i="94"/>
  <c r="O22" i="94"/>
  <c r="N22" i="94"/>
  <c r="M22" i="94"/>
  <c r="L22" i="94"/>
  <c r="K22" i="94"/>
  <c r="J22" i="94"/>
  <c r="I22" i="94"/>
  <c r="H22" i="94"/>
  <c r="G22" i="94"/>
  <c r="F22" i="94"/>
  <c r="E22" i="94"/>
  <c r="C22" i="94"/>
  <c r="B22" i="94"/>
  <c r="AF21" i="94"/>
  <c r="AE21" i="94"/>
  <c r="AD21" i="94"/>
  <c r="AC21" i="94"/>
  <c r="AB21" i="94"/>
  <c r="AA21" i="94"/>
  <c r="Z21" i="94"/>
  <c r="Y21" i="94"/>
  <c r="X21" i="94"/>
  <c r="W21" i="94"/>
  <c r="V21" i="94"/>
  <c r="U21" i="94"/>
  <c r="T21" i="94"/>
  <c r="S21" i="94"/>
  <c r="R21" i="94"/>
  <c r="Q21" i="94"/>
  <c r="P21" i="94"/>
  <c r="O21" i="94"/>
  <c r="N21" i="94"/>
  <c r="M21" i="94"/>
  <c r="L21" i="94"/>
  <c r="K21" i="94"/>
  <c r="J21" i="94"/>
  <c r="I21" i="94"/>
  <c r="H21" i="94"/>
  <c r="G21" i="94"/>
  <c r="F21" i="94"/>
  <c r="E21" i="94"/>
  <c r="C21" i="94"/>
  <c r="B21" i="94"/>
  <c r="AF20" i="94"/>
  <c r="AE20" i="94"/>
  <c r="AD20" i="94"/>
  <c r="AC20" i="94"/>
  <c r="AB20" i="94"/>
  <c r="AA20" i="94"/>
  <c r="Z20" i="94"/>
  <c r="Y20" i="94"/>
  <c r="X20" i="94"/>
  <c r="W20" i="94"/>
  <c r="V20" i="94"/>
  <c r="U20" i="94"/>
  <c r="T20" i="94"/>
  <c r="S20" i="94"/>
  <c r="R20" i="94"/>
  <c r="Q20" i="94"/>
  <c r="P20" i="94"/>
  <c r="O20" i="94"/>
  <c r="N20" i="94"/>
  <c r="M20" i="94"/>
  <c r="L20" i="94"/>
  <c r="K20" i="94"/>
  <c r="J20" i="94"/>
  <c r="I20" i="94"/>
  <c r="H20" i="94"/>
  <c r="G20" i="94"/>
  <c r="F20" i="94"/>
  <c r="E20" i="94"/>
  <c r="C20" i="94"/>
  <c r="B20" i="94"/>
  <c r="AF19" i="94"/>
  <c r="AE19" i="94"/>
  <c r="AD19" i="94"/>
  <c r="AC19" i="94"/>
  <c r="AB19" i="94"/>
  <c r="AA19" i="94"/>
  <c r="Z19" i="94"/>
  <c r="Y19" i="94"/>
  <c r="X19" i="94"/>
  <c r="W19" i="94"/>
  <c r="V19" i="94"/>
  <c r="U19" i="94"/>
  <c r="T19" i="94"/>
  <c r="S19" i="94"/>
  <c r="R19" i="94"/>
  <c r="Q19" i="94"/>
  <c r="P19" i="94"/>
  <c r="O19" i="94"/>
  <c r="N19" i="94"/>
  <c r="M19" i="94"/>
  <c r="L19" i="94"/>
  <c r="K19" i="94"/>
  <c r="J19" i="94"/>
  <c r="I19" i="94"/>
  <c r="H19" i="94"/>
  <c r="G19" i="94"/>
  <c r="F19" i="94"/>
  <c r="E19" i="94"/>
  <c r="C19" i="94"/>
  <c r="B19" i="94"/>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C21" i="95" a="1"/>
  <c r="C21" i="95" s="1"/>
  <c r="F18" i="95" a="1"/>
  <c r="F18" i="95" s="1"/>
  <c r="D21" i="95" a="1"/>
  <c r="D21" i="95" s="1"/>
  <c r="F20" i="95" a="1"/>
  <c r="F20" i="95" s="1"/>
  <c r="D17" i="95" a="1"/>
  <c r="D17" i="95" s="1"/>
  <c r="F22" i="95" a="1"/>
  <c r="F22" i="95" s="1"/>
  <c r="C19" i="95" a="1"/>
  <c r="C19" i="95" s="1"/>
  <c r="F16" i="95" a="1"/>
  <c r="F16" i="95" s="1"/>
  <c r="D19" i="95" a="1"/>
  <c r="D19" i="95" s="1"/>
  <c r="C16" i="95" a="1"/>
  <c r="C16" i="95" s="1"/>
  <c r="E17" i="95" a="1"/>
  <c r="E17" i="95" s="1"/>
  <c r="C18" i="95" a="1"/>
  <c r="C18" i="95" s="1"/>
  <c r="E19" i="95" a="1"/>
  <c r="E19" i="95" s="1"/>
  <c r="C20" i="95" a="1"/>
  <c r="C20" i="95" s="1"/>
  <c r="E21" i="95" a="1"/>
  <c r="E21" i="95" s="1"/>
  <c r="C22" i="95" a="1"/>
  <c r="C22" i="95" s="1"/>
  <c r="D16" i="95" a="1"/>
  <c r="D16" i="95" s="1"/>
  <c r="B17" i="95" a="1"/>
  <c r="B17" i="95" s="1"/>
  <c r="F17" i="95" a="1"/>
  <c r="F17" i="95" s="1"/>
  <c r="D18" i="95" a="1"/>
  <c r="D18" i="95" s="1"/>
  <c r="B19" i="95" a="1"/>
  <c r="B19" i="95" s="1"/>
  <c r="F19" i="95" a="1"/>
  <c r="F19" i="95" s="1"/>
  <c r="D20" i="95" a="1"/>
  <c r="D20" i="95" s="1"/>
  <c r="B21" i="95" a="1"/>
  <c r="B21" i="95" s="1"/>
  <c r="F21" i="95" a="1"/>
  <c r="F21" i="95" s="1"/>
  <c r="D22" i="95" a="1"/>
  <c r="D22" i="95" s="1"/>
  <c r="E16" i="95" a="1"/>
  <c r="E16" i="95" s="1"/>
  <c r="E18" i="95" a="1"/>
  <c r="E18" i="95" s="1"/>
  <c r="E20" i="95" a="1"/>
  <c r="E20" i="95" s="1"/>
  <c r="E22" i="95" a="1"/>
  <c r="E22" i="95" s="1"/>
  <c r="B16" i="95" a="1"/>
  <c r="B16" i="95" s="1"/>
  <c r="B18" i="95" a="1"/>
  <c r="B18" i="95" s="1"/>
  <c r="B20" i="95" a="1"/>
  <c r="B20" i="95" s="1"/>
  <c r="B22" i="95" a="1"/>
  <c r="B22"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T32" i="74"/>
  <c r="T35" i="74"/>
  <c r="T19" i="74"/>
  <c r="T21" i="74"/>
  <c r="T30" i="74"/>
  <c r="P35" i="74"/>
  <c r="Q35" i="74" s="1"/>
  <c r="T33" i="74"/>
  <c r="T34" i="74"/>
  <c r="T16" i="74"/>
  <c r="T17" i="74"/>
  <c r="T20" i="74"/>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9" i="94"/>
  <c r="D20" i="94"/>
  <c r="D21" i="94"/>
  <c r="D22" i="94"/>
  <c r="D12" i="96"/>
  <c r="D16" i="96"/>
  <c r="D17" i="96"/>
  <c r="D18" i="96"/>
  <c r="D19" i="96"/>
  <c r="D20" i="96"/>
  <c r="D21" i="96"/>
  <c r="D22"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2" i="86"/>
  <c r="C41" i="86"/>
  <c r="H10" i="86"/>
  <c r="H9" i="86"/>
  <c r="H8" i="86"/>
  <c r="H7" i="86"/>
  <c r="H6" i="86"/>
  <c r="G10" i="86"/>
  <c r="G9" i="86"/>
  <c r="G8" i="86"/>
  <c r="G7" i="86"/>
  <c r="G6" i="86"/>
  <c r="F10" i="86"/>
  <c r="F9" i="86"/>
  <c r="F8" i="86"/>
  <c r="F7" i="86"/>
  <c r="F6" i="86"/>
  <c r="E10" i="86"/>
  <c r="E9" i="86"/>
  <c r="E8" i="86"/>
  <c r="E7" i="86"/>
  <c r="E6" i="86"/>
  <c r="J6" i="85"/>
  <c r="J7" i="85" s="1"/>
  <c r="M6" i="85"/>
  <c r="M7" i="85" s="1"/>
  <c r="L6" i="85"/>
  <c r="L7" i="85" s="1"/>
  <c r="I6" i="85"/>
  <c r="I7" i="85" s="1"/>
  <c r="G6" i="85"/>
  <c r="G7" i="85" s="1"/>
  <c r="F6" i="85"/>
  <c r="F7" i="85" s="1"/>
  <c r="E6" i="85"/>
  <c r="B2" i="94" l="1"/>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0" i="86"/>
  <c r="D42" i="86"/>
  <c r="D41" i="86"/>
  <c r="D23" i="95" l="1"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<sst xmlns="http://schemas.openxmlformats.org/spreadsheetml/2006/main" count="3107" uniqueCount="1238">
  <si>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</si>
  <si>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</si>
  <si>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</si>
  <si>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</si>
  <si>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</si>
  <si>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</si>
  <si>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</si>
  <si>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</si>
  <si>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</si>
  <si>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</si>
  <si>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</si>
  <si>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</si>
  <si>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</si>
  <si>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</si>
  <si>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</si>
  <si>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</si>
  <si>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</si>
  <si>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</si>
  <si>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</si>
  <si>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</si>
  <si>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</si>
  <si>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</si>
  <si>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</si>
  <si>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</si>
  <si>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</si>
  <si>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</si>
  <si>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</si>
  <si>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</si>
  <si>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</si>
  <si>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</si>
  <si>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</si>
  <si>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</si>
  <si>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</si>
  <si>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</si>
  <si>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</si>
  <si>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</si>
  <si>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</si>
  <si>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</si>
  <si>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</si>
  <si>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</si>
  <si>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</si>
  <si>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</si>
  <si>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</si>
  <si>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</si>
  <si>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</si>
  <si>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</si>
  <si>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</si>
  <si>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</si>
  <si>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</si>
  <si>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</si>
  <si>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</si>
  <si>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</si>
  <si>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</si>
  <si>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</si>
  <si>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</si>
  <si>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</si>
  <si>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</si>
  <si>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</si>
  <si>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</si>
  <si>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</si>
  <si>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</si>
  <si>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</si>
  <si>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</si>
  <si>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</si>
  <si>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</si>
  <si>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</si>
  <si>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</si>
  <si>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</si>
  <si>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</si>
  <si>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</si>
  <si>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</si>
  <si>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</si>
  <si>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</si>
  <si>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</si>
  <si>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</si>
  <si>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</si>
  <si>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</si>
  <si>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</si>
  <si>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</si>
  <si>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</si>
  <si>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</si>
  <si>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</si>
  <si>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</si>
  <si>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</si>
  <si>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</si>
  <si>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</si>
  <si>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</si>
  <si>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</si>
  <si>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</si>
  <si>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</si>
  <si>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</si>
  <si>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</si>
  <si>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</si>
  <si>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</si>
  <si>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</si>
  <si>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</si>
  <si>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</si>
  <si>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</si>
  <si>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</si>
  <si>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</si>
  <si>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</si>
  <si>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</si>
  <si>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</si>
  <si>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</si>
  <si>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</si>
  <si>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</si>
  <si>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</si>
  <si>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</si>
  <si>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</si>
  <si>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</si>
  <si>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</si>
  <si>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</si>
  <si>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</si>
  <si>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</si>
  <si>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</si>
  <si>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</si>
  <si>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</si>
  <si>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</si>
  <si>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</si>
  <si>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</si>
  <si>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</si>
  <si>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</si>
  <si>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</si>
  <si>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</si>
  <si>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</si>
  <si>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</si>
  <si>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</si>
  <si>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</si>
  <si>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</si>
  <si>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</si>
  <si>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</si>
  <si>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</si>
  <si>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</si>
  <si>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</si>
  <si>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</si>
  <si>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</si>
  <si>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</si>
  <si>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</si>
  <si>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</si>
  <si>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</si>
  <si>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</si>
  <si>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</si>
  <si>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</si>
  <si>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</si>
  <si>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</si>
  <si>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</si>
  <si>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</si>
  <si>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</si>
  <si>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</si>
  <si>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</si>
  <si>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</si>
  <si>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</si>
  <si>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</si>
  <si>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</si>
  <si>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</si>
  <si>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</si>
  <si>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</si>
  <si>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</si>
  <si>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</si>
  <si>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</si>
  <si>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</si>
  <si>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</si>
  <si>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</si>
  <si>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</si>
  <si>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</si>
  <si>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</si>
  <si>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</si>
  <si>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</si>
  <si>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</si>
  <si>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</si>
  <si>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</si>
  <si>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</si>
  <si>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</si>
  <si>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</si>
  <si>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</si>
  <si>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</si>
  <si>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</si>
  <si>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</si>
  <si>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</si>
  <si>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</si>
  <si>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</si>
  <si>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4" type="noConversion"/>
  </si>
  <si>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</si>
  <si>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</si>
  <si>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</si>
  <si>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</si>
  <si>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</si>
  <si>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</si>
  <si>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석유화학</t>
    <phoneticPr fontId="34" type="noConversion"/>
  </si>
  <si>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</si>
  <si>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</si>
  <si>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</si>
  <si>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</si>
  <si>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</si>
  <si>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</si>
  <si>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비철금속</t>
    <phoneticPr fontId="34" type="noConversion"/>
  </si>
  <si>
    <t>Steel</t>
    <phoneticPr fontId="34" type="noConversion"/>
  </si>
  <si>
    <t>철강</t>
    <phoneticPr fontId="34" type="noConversion"/>
  </si>
  <si>
    <t>Electronics</t>
    <phoneticPr fontId="34" type="noConversion"/>
  </si>
  <si>
    <t>조립금속</t>
    <phoneticPr fontId="34" type="noConversion"/>
  </si>
  <si>
    <t>기계류</t>
  </si>
  <si>
    <t>가스</t>
  </si>
  <si>
    <t>신재생</t>
  </si>
  <si>
    <t>수송장비</t>
  </si>
  <si>
    <t>조립금속부문이 기계류와 수송장비 카테고리로 나뉘게 됨</t>
    <phoneticPr fontId="34" type="noConversion"/>
  </si>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</sst>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97">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s>
  <fills count="6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70">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8"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38" borderId="27"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Font="1" applyAlignment="1">
      <alignment horizontal="left" vertical="center"/>
    </xf>
    <xf numFmtId="0" fontId="93" fillId="65" borderId="0" xfId="0" applyFont="1" applyFill="1" applyAlignment="1">
      <alignment horizontal="left" vertical="center"/>
    </xf>
    <xf numFmtId="0" fontId="0" fillId="0" borderId="0" xfId="0" applyFont="1"/>
    <xf numFmtId="0" fontId="94" fillId="0" borderId="0" xfId="0" applyFont="1"/>
    <xf numFmtId="0" fontId="95" fillId="0" borderId="0" xfId="0" applyFont="1"/>
    <xf numFmtId="0" fontId="0" fillId="65" borderId="0" xfId="0" applyFont="1" applyFill="1" applyAlignment="1">
      <alignment horizontal="left" vertical="center"/>
    </xf>
    <xf numFmtId="0" fontId="0" fillId="0" borderId="0" xfId="0" applyBorder="1"/>
    <xf numFmtId="11" fontId="30" fillId="15" borderId="0" xfId="45" applyNumberFormat="1" applyBorder="1"/>
    <xf numFmtId="11" fontId="0" fillId="0" borderId="0" xfId="0" applyNumberFormat="1" applyBorder="1"/>
    <xf numFmtId="0" fontId="0" fillId="0" borderId="0" xfId="0" applyFont="1" applyFill="1"/>
    <xf numFmtId="0" fontId="0" fillId="0" borderId="0" xfId="0" applyFont="1" applyFill="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0" fillId="0" borderId="35" xfId="0" applyFont="1" applyBorder="1"/>
    <xf numFmtId="0" fontId="96" fillId="41" borderId="0" xfId="0" applyFont="1" applyFill="1" applyAlignment="1">
      <alignment horizontal="left" vertical="center"/>
    </xf>
    <xf numFmtId="0" fontId="0" fillId="41" borderId="0" xfId="0" applyFill="1" applyAlignment="1">
      <alignment vertical="center"/>
    </xf>
    <xf numFmtId="0" fontId="0" fillId="0" borderId="0" xfId="0" applyFill="1"/>
    <xf numFmtId="11" fontId="0" fillId="3" borderId="0" xfId="0" applyNumberFormat="1" applyFill="1"/>
    <xf numFmtId="166" fontId="0" fillId="3" borderId="0" xfId="0" applyNumberFormat="1" applyFill="1"/>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83268009523151.672</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2549020699688.3286</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opLeftCell="A66" workbookViewId="0"/>
  </sheetViews>
  <sheetFormatPr defaultColWidth="8.7773437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ht="17.399999999999999">
      <c r="B50" s="247" t="s">
        <v>28</v>
      </c>
      <c r="C50" s="248" t="s">
        <v>29</v>
      </c>
      <c r="D50" s="249" t="s">
        <v>30</v>
      </c>
      <c r="E50" s="252"/>
      <c r="F50" s="250"/>
    </row>
    <row r="51" spans="2:21" ht="17.399999999999999">
      <c r="B51" s="247" t="s">
        <v>31</v>
      </c>
      <c r="C51" s="249" t="s">
        <v>32</v>
      </c>
      <c r="D51" s="248" t="s">
        <v>33</v>
      </c>
      <c r="E51" s="305"/>
      <c r="F51" s="249" t="s">
        <v>34</v>
      </c>
    </row>
    <row r="52" spans="2:21" ht="17.399999999999999">
      <c r="B52" s="247" t="s">
        <v>35</v>
      </c>
      <c r="C52" s="249" t="s">
        <v>32</v>
      </c>
      <c r="D52" s="249" t="s">
        <v>36</v>
      </c>
      <c r="E52" s="252"/>
      <c r="F52" s="256"/>
      <c r="T52" s="199"/>
      <c r="U52" s="199"/>
    </row>
    <row r="53" spans="2:21" ht="17.399999999999999">
      <c r="B53" s="247" t="s">
        <v>37</v>
      </c>
      <c r="C53" s="248" t="s">
        <v>29</v>
      </c>
      <c r="D53" s="249" t="s">
        <v>38</v>
      </c>
      <c r="E53" s="252"/>
      <c r="F53" s="250"/>
    </row>
    <row r="54" spans="2:21" ht="17.399999999999999">
      <c r="B54" s="247" t="s">
        <v>39</v>
      </c>
      <c r="C54" s="248" t="s">
        <v>29</v>
      </c>
      <c r="D54" s="249" t="s">
        <v>40</v>
      </c>
      <c r="E54" s="252"/>
      <c r="F54" s="250"/>
    </row>
    <row r="55" spans="2:21" ht="17.399999999999999">
      <c r="B55" s="247" t="s">
        <v>41</v>
      </c>
      <c r="C55" s="248" t="s">
        <v>29</v>
      </c>
      <c r="D55" s="249" t="s">
        <v>42</v>
      </c>
      <c r="E55" s="252"/>
      <c r="F55" s="251"/>
    </row>
    <row r="56" spans="2:21" ht="17.399999999999999">
      <c r="B56" s="247" t="s">
        <v>43</v>
      </c>
      <c r="C56" s="248" t="s">
        <v>29</v>
      </c>
      <c r="D56" s="249" t="s">
        <v>44</v>
      </c>
      <c r="E56" s="252"/>
      <c r="F56" s="251"/>
    </row>
    <row r="57" spans="2:21" ht="17.399999999999999">
      <c r="B57" s="247" t="s">
        <v>45</v>
      </c>
      <c r="C57" s="248" t="s">
        <v>29</v>
      </c>
      <c r="D57" s="249" t="s">
        <v>46</v>
      </c>
      <c r="E57" s="252"/>
      <c r="F57" s="251"/>
    </row>
    <row r="58" spans="2:21" ht="52.2">
      <c r="B58" s="247" t="s">
        <v>47</v>
      </c>
      <c r="C58" s="249" t="s">
        <v>32</v>
      </c>
      <c r="D58" s="252" t="s">
        <v>48</v>
      </c>
      <c r="E58" s="252"/>
      <c r="F58" s="249" t="s">
        <v>49</v>
      </c>
    </row>
    <row r="59" spans="2:21" ht="104.4">
      <c r="B59" s="247" t="s">
        <v>50</v>
      </c>
      <c r="C59" s="249" t="s">
        <v>51</v>
      </c>
      <c r="D59" s="249" t="s">
        <v>52</v>
      </c>
      <c r="E59" s="252" t="s">
        <v>53</v>
      </c>
      <c r="F59" s="251"/>
    </row>
    <row r="60" spans="2:21" ht="34.799999999999997">
      <c r="B60" s="247" t="s">
        <v>54</v>
      </c>
      <c r="C60" s="249" t="s">
        <v>51</v>
      </c>
      <c r="D60" s="249" t="s">
        <v>52</v>
      </c>
      <c r="E60" s="252" t="s">
        <v>55</v>
      </c>
      <c r="F60" s="251"/>
    </row>
    <row r="61" spans="2:21" ht="17.399999999999999">
      <c r="B61" s="247" t="s">
        <v>56</v>
      </c>
      <c r="C61" s="248" t="s">
        <v>29</v>
      </c>
      <c r="D61" s="249" t="s">
        <v>57</v>
      </c>
      <c r="E61" s="252" t="s">
        <v>58</v>
      </c>
      <c r="F61" s="251"/>
    </row>
    <row r="62" spans="2:21" ht="69.599999999999994">
      <c r="B62" s="247" t="s">
        <v>59</v>
      </c>
      <c r="C62" s="248" t="s">
        <v>29</v>
      </c>
      <c r="D62" s="249" t="s">
        <v>57</v>
      </c>
      <c r="E62" s="252" t="s">
        <v>60</v>
      </c>
      <c r="F62" s="251"/>
    </row>
    <row r="63" spans="2:21" ht="17.399999999999999">
      <c r="B63" s="247" t="s">
        <v>61</v>
      </c>
      <c r="C63" s="249" t="s">
        <v>62</v>
      </c>
      <c r="D63" s="249" t="s">
        <v>63</v>
      </c>
      <c r="E63" s="252"/>
      <c r="F63" s="251"/>
    </row>
    <row r="64" spans="2:21" ht="17.399999999999999">
      <c r="B64" s="247" t="s">
        <v>64</v>
      </c>
      <c r="C64" s="249" t="s">
        <v>65</v>
      </c>
      <c r="D64" s="249" t="s">
        <v>66</v>
      </c>
      <c r="E64" s="252" t="s">
        <v>67</v>
      </c>
      <c r="F64" s="251"/>
    </row>
    <row r="65" spans="2:6" ht="52.2">
      <c r="B65" s="247" t="s">
        <v>68</v>
      </c>
      <c r="C65" s="249" t="s">
        <v>65</v>
      </c>
      <c r="D65" s="249" t="s">
        <v>66</v>
      </c>
      <c r="E65" s="252" t="s">
        <v>69</v>
      </c>
      <c r="F65" s="251"/>
    </row>
    <row r="66" spans="2:6" ht="87">
      <c r="B66" s="247" t="s">
        <v>70</v>
      </c>
      <c r="C66" s="249" t="s">
        <v>71</v>
      </c>
      <c r="D66" s="249" t="s">
        <v>72</v>
      </c>
      <c r="E66" s="252" t="s">
        <v>73</v>
      </c>
      <c r="F66" s="251"/>
    </row>
    <row r="67" spans="2:6" ht="87">
      <c r="B67" s="247" t="s">
        <v>74</v>
      </c>
      <c r="C67" s="249" t="s">
        <v>71</v>
      </c>
      <c r="D67" s="249" t="s">
        <v>72</v>
      </c>
      <c r="E67" s="252" t="s">
        <v>75</v>
      </c>
      <c r="F67" s="250"/>
    </row>
    <row r="68" spans="2:6" ht="121.8">
      <c r="B68" s="247" t="s">
        <v>76</v>
      </c>
      <c r="C68" s="249" t="s">
        <v>71</v>
      </c>
      <c r="D68" s="249" t="s">
        <v>72</v>
      </c>
      <c r="E68" s="252" t="s">
        <v>77</v>
      </c>
      <c r="F68" s="250"/>
    </row>
    <row r="69" spans="2:6" ht="69.599999999999994">
      <c r="B69" s="247" t="s">
        <v>78</v>
      </c>
      <c r="C69" s="249" t="s">
        <v>71</v>
      </c>
      <c r="D69" s="249" t="s">
        <v>79</v>
      </c>
      <c r="E69" s="271" t="s">
        <v>80</v>
      </c>
      <c r="F69" s="250"/>
    </row>
    <row r="70" spans="2:6" ht="69.599999999999994">
      <c r="B70" s="247" t="s">
        <v>81</v>
      </c>
      <c r="C70" s="249" t="s">
        <v>71</v>
      </c>
      <c r="D70" s="249" t="s">
        <v>79</v>
      </c>
      <c r="E70" s="252" t="s">
        <v>82</v>
      </c>
      <c r="F70" s="250"/>
    </row>
    <row r="71" spans="2:6" ht="17.399999999999999">
      <c r="B71" s="247" t="s">
        <v>83</v>
      </c>
      <c r="C71" s="248" t="s">
        <v>29</v>
      </c>
      <c r="D71" s="249" t="s">
        <v>84</v>
      </c>
      <c r="E71" s="252"/>
      <c r="F71" s="250"/>
    </row>
    <row r="72" spans="2:6" ht="52.2">
      <c r="B72" s="247" t="s">
        <v>85</v>
      </c>
      <c r="C72" s="249" t="s">
        <v>32</v>
      </c>
      <c r="D72" s="252" t="s">
        <v>86</v>
      </c>
      <c r="E72" s="252"/>
      <c r="F72" s="249" t="s">
        <v>87</v>
      </c>
    </row>
    <row r="73" spans="2:6" ht="17.399999999999999">
      <c r="B73" s="247" t="s">
        <v>88</v>
      </c>
      <c r="C73" s="249" t="s">
        <v>89</v>
      </c>
      <c r="D73" s="249" t="s">
        <v>90</v>
      </c>
      <c r="E73" s="252"/>
      <c r="F73" s="249" t="s">
        <v>91</v>
      </c>
    </row>
    <row r="74" spans="2:6" ht="17.399999999999999">
      <c r="B74" s="247" t="s">
        <v>92</v>
      </c>
      <c r="C74" s="248" t="s">
        <v>29</v>
      </c>
      <c r="D74" s="249" t="s">
        <v>93</v>
      </c>
      <c r="E74" s="252"/>
      <c r="F74" s="250"/>
    </row>
    <row r="76" spans="2:6">
      <c r="B76" s="1" t="s">
        <v>94</v>
      </c>
    </row>
    <row r="77" spans="2:6">
      <c r="B77" s="246" t="s">
        <v>95</v>
      </c>
      <c r="C77" s="246" t="s">
        <v>96</v>
      </c>
      <c r="D77" s="246" t="s">
        <v>27</v>
      </c>
      <c r="E77" s="246" t="s">
        <v>97</v>
      </c>
    </row>
    <row r="78" spans="2:6" ht="17.399999999999999">
      <c r="B78" s="247" t="s">
        <v>98</v>
      </c>
      <c r="C78" s="247" t="s">
        <v>98</v>
      </c>
      <c r="D78" s="249"/>
      <c r="E78" s="249"/>
    </row>
    <row r="79" spans="2:6" ht="17.399999999999999">
      <c r="B79" s="247" t="s">
        <v>99</v>
      </c>
      <c r="C79" s="247" t="s">
        <v>99</v>
      </c>
      <c r="D79" s="249"/>
      <c r="E79" s="249"/>
    </row>
    <row r="80" spans="2:6" ht="17.399999999999999">
      <c r="B80" s="247" t="s">
        <v>100</v>
      </c>
      <c r="C80" s="247" t="s">
        <v>100</v>
      </c>
      <c r="D80" s="249"/>
      <c r="E80" s="249"/>
    </row>
    <row r="81" spans="2:6" ht="17.399999999999999">
      <c r="B81" s="247" t="s">
        <v>101</v>
      </c>
      <c r="C81" s="248" t="s">
        <v>102</v>
      </c>
      <c r="D81" s="249"/>
      <c r="E81" s="249" t="s">
        <v>103</v>
      </c>
    </row>
    <row r="82" spans="2:6" ht="17.399999999999999">
      <c r="B82" s="247" t="s">
        <v>104</v>
      </c>
      <c r="C82" s="248" t="s">
        <v>32</v>
      </c>
      <c r="D82" s="249"/>
      <c r="E82" s="249" t="s">
        <v>105</v>
      </c>
    </row>
    <row r="83" spans="2:6" ht="17.399999999999999">
      <c r="B83" s="247" t="s">
        <v>106</v>
      </c>
      <c r="C83" s="248" t="s">
        <v>107</v>
      </c>
      <c r="D83" s="249" t="s">
        <v>108</v>
      </c>
      <c r="E83" s="249"/>
    </row>
    <row r="84" spans="2:6" ht="17.399999999999999">
      <c r="B84" s="247" t="s">
        <v>109</v>
      </c>
      <c r="C84" s="248" t="s">
        <v>107</v>
      </c>
      <c r="D84" s="517" t="s">
        <v>110</v>
      </c>
      <c r="E84" s="249"/>
    </row>
    <row r="85" spans="2:6" ht="17.399999999999999">
      <c r="B85" s="247" t="s">
        <v>111</v>
      </c>
      <c r="C85" s="248" t="s">
        <v>107</v>
      </c>
      <c r="D85" s="518"/>
      <c r="E85" s="249"/>
    </row>
    <row r="86" spans="2:6" ht="17.399999999999999">
      <c r="B86" s="247" t="s">
        <v>112</v>
      </c>
      <c r="C86" s="248" t="s">
        <v>107</v>
      </c>
      <c r="D86" s="519"/>
      <c r="E86" s="249"/>
    </row>
    <row r="87" spans="2:6" ht="17.399999999999999">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ht="17.399999999999999" hidden="1">
      <c r="B94" s="247" t="s">
        <v>28</v>
      </c>
      <c r="C94" s="248" t="s">
        <v>117</v>
      </c>
      <c r="D94" s="249" t="s">
        <v>118</v>
      </c>
      <c r="E94" s="252"/>
      <c r="F94" s="250"/>
    </row>
    <row r="95" spans="2:6" ht="17.399999999999999">
      <c r="B95" s="247" t="s">
        <v>31</v>
      </c>
      <c r="C95" s="514" t="s">
        <v>119</v>
      </c>
      <c r="D95" s="248" t="s">
        <v>120</v>
      </c>
      <c r="E95" s="305"/>
      <c r="F95" s="249" t="s">
        <v>121</v>
      </c>
    </row>
    <row r="96" spans="2:6" ht="17.399999999999999">
      <c r="B96" s="247" t="s">
        <v>35</v>
      </c>
      <c r="C96" s="514" t="s">
        <v>119</v>
      </c>
      <c r="D96" s="249" t="s">
        <v>122</v>
      </c>
      <c r="E96" s="252"/>
      <c r="F96" s="256"/>
    </row>
    <row r="97" spans="2:6" ht="17.399999999999999" hidden="1">
      <c r="B97" s="247" t="s">
        <v>37</v>
      </c>
      <c r="C97" s="248" t="s">
        <v>117</v>
      </c>
      <c r="D97" s="249" t="s">
        <v>123</v>
      </c>
      <c r="E97" s="252"/>
      <c r="F97" s="250"/>
    </row>
    <row r="98" spans="2:6" ht="17.399999999999999" hidden="1">
      <c r="B98" s="247" t="s">
        <v>39</v>
      </c>
      <c r="C98" s="248" t="s">
        <v>117</v>
      </c>
      <c r="D98" s="249" t="s">
        <v>124</v>
      </c>
      <c r="E98" s="252"/>
      <c r="F98" s="250"/>
    </row>
    <row r="99" spans="2:6" ht="17.399999999999999" hidden="1">
      <c r="B99" s="247" t="s">
        <v>41</v>
      </c>
      <c r="C99" s="248" t="s">
        <v>117</v>
      </c>
      <c r="D99" s="249" t="s">
        <v>125</v>
      </c>
      <c r="E99" s="252"/>
      <c r="F99" s="251"/>
    </row>
    <row r="100" spans="2:6" ht="17.399999999999999" hidden="1">
      <c r="B100" s="247" t="s">
        <v>43</v>
      </c>
      <c r="C100" s="248" t="s">
        <v>117</v>
      </c>
      <c r="D100" s="249" t="s">
        <v>126</v>
      </c>
      <c r="E100" s="252"/>
      <c r="F100" s="251"/>
    </row>
    <row r="101" spans="2:6" ht="17.399999999999999" hidden="1">
      <c r="B101" s="247" t="s">
        <v>45</v>
      </c>
      <c r="C101" s="248" t="s">
        <v>117</v>
      </c>
      <c r="D101" s="249" t="s">
        <v>127</v>
      </c>
      <c r="E101" s="252"/>
      <c r="F101" s="251"/>
    </row>
    <row r="102" spans="2:6" ht="34.799999999999997">
      <c r="B102" s="247" t="s">
        <v>47</v>
      </c>
      <c r="C102" s="514" t="s">
        <v>119</v>
      </c>
      <c r="D102" s="252" t="s">
        <v>128</v>
      </c>
      <c r="E102" s="252"/>
      <c r="F102" s="249" t="s">
        <v>129</v>
      </c>
    </row>
    <row r="103" spans="2:6" ht="52.2" hidden="1">
      <c r="B103" s="247" t="s">
        <v>50</v>
      </c>
      <c r="C103" s="249" t="s">
        <v>130</v>
      </c>
      <c r="D103" s="249" t="s">
        <v>131</v>
      </c>
      <c r="E103" s="252" t="s">
        <v>132</v>
      </c>
      <c r="F103" s="251"/>
    </row>
    <row r="104" spans="2:6" ht="34.799999999999997" hidden="1">
      <c r="B104" s="247" t="s">
        <v>54</v>
      </c>
      <c r="C104" s="249" t="s">
        <v>130</v>
      </c>
      <c r="D104" s="249" t="s">
        <v>131</v>
      </c>
      <c r="E104" s="252" t="s">
        <v>133</v>
      </c>
      <c r="F104" s="251"/>
    </row>
    <row r="105" spans="2:6" ht="17.399999999999999" hidden="1">
      <c r="B105" s="247" t="s">
        <v>56</v>
      </c>
      <c r="C105" s="248" t="s">
        <v>117</v>
      </c>
      <c r="D105" s="249" t="s">
        <v>134</v>
      </c>
      <c r="E105" s="252" t="s">
        <v>135</v>
      </c>
      <c r="F105" s="251"/>
    </row>
    <row r="106" spans="2:6" ht="34.799999999999997" hidden="1">
      <c r="B106" s="247" t="s">
        <v>59</v>
      </c>
      <c r="C106" s="248" t="s">
        <v>117</v>
      </c>
      <c r="D106" s="249" t="s">
        <v>134</v>
      </c>
      <c r="E106" s="252" t="s">
        <v>136</v>
      </c>
      <c r="F106" s="251"/>
    </row>
    <row r="107" spans="2:6" ht="17.399999999999999" hidden="1">
      <c r="B107" s="247" t="s">
        <v>1130</v>
      </c>
      <c r="C107" s="249" t="s">
        <v>137</v>
      </c>
      <c r="D107" s="249" t="s">
        <v>138</v>
      </c>
      <c r="E107" s="252"/>
      <c r="F107" s="251"/>
    </row>
    <row r="108" spans="2:6" ht="17.399999999999999" hidden="1">
      <c r="B108" s="247" t="s">
        <v>64</v>
      </c>
      <c r="C108" s="249" t="s">
        <v>139</v>
      </c>
      <c r="D108" s="249" t="s">
        <v>140</v>
      </c>
      <c r="E108" s="252" t="s">
        <v>141</v>
      </c>
      <c r="F108" s="251"/>
    </row>
    <row r="109" spans="2:6" ht="34.799999999999997" hidden="1">
      <c r="B109" s="247" t="s">
        <v>68</v>
      </c>
      <c r="C109" s="249" t="s">
        <v>139</v>
      </c>
      <c r="D109" s="249" t="s">
        <v>140</v>
      </c>
      <c r="E109" s="252" t="s">
        <v>142</v>
      </c>
      <c r="F109" s="251"/>
    </row>
    <row r="110" spans="2:6" ht="34.799999999999997" hidden="1">
      <c r="B110" s="247" t="s">
        <v>70</v>
      </c>
      <c r="C110" s="249" t="s">
        <v>143</v>
      </c>
      <c r="D110" s="249" t="s">
        <v>144</v>
      </c>
      <c r="E110" s="252" t="s">
        <v>145</v>
      </c>
      <c r="F110" s="251"/>
    </row>
    <row r="111" spans="2:6" ht="52.2" hidden="1">
      <c r="B111" s="247" t="s">
        <v>74</v>
      </c>
      <c r="C111" s="249" t="s">
        <v>143</v>
      </c>
      <c r="D111" s="249" t="s">
        <v>144</v>
      </c>
      <c r="E111" s="252" t="s">
        <v>146</v>
      </c>
      <c r="F111" s="250"/>
    </row>
    <row r="112" spans="2:6" ht="69.599999999999994" hidden="1">
      <c r="B112" s="247" t="s">
        <v>76</v>
      </c>
      <c r="C112" s="249" t="s">
        <v>143</v>
      </c>
      <c r="D112" s="249" t="s">
        <v>144</v>
      </c>
      <c r="E112" s="252" t="s">
        <v>147</v>
      </c>
      <c r="F112" s="250"/>
    </row>
    <row r="113" spans="1:6" ht="34.799999999999997" hidden="1">
      <c r="B113" s="247" t="s">
        <v>78</v>
      </c>
      <c r="C113" s="249" t="s">
        <v>143</v>
      </c>
      <c r="D113" s="249" t="s">
        <v>148</v>
      </c>
      <c r="E113" s="271" t="s">
        <v>149</v>
      </c>
      <c r="F113" s="250"/>
    </row>
    <row r="114" spans="1:6" ht="34.799999999999997" hidden="1">
      <c r="B114" s="247" t="s">
        <v>81</v>
      </c>
      <c r="C114" s="249" t="s">
        <v>143</v>
      </c>
      <c r="D114" s="249" t="s">
        <v>148</v>
      </c>
      <c r="E114" s="252" t="s">
        <v>150</v>
      </c>
      <c r="F114" s="250"/>
    </row>
    <row r="115" spans="1:6" ht="17.399999999999999" hidden="1">
      <c r="B115" s="247" t="s">
        <v>83</v>
      </c>
      <c r="C115" s="248" t="s">
        <v>117</v>
      </c>
      <c r="D115" s="249" t="s">
        <v>151</v>
      </c>
      <c r="E115" s="252"/>
      <c r="F115" s="250"/>
    </row>
    <row r="116" spans="1:6" ht="34.799999999999997">
      <c r="B116" s="247" t="s">
        <v>85</v>
      </c>
      <c r="C116" s="514" t="s">
        <v>119</v>
      </c>
      <c r="D116" s="252" t="s">
        <v>152</v>
      </c>
      <c r="E116" s="252"/>
      <c r="F116" s="249" t="s">
        <v>153</v>
      </c>
    </row>
    <row r="117" spans="1:6" ht="17.399999999999999">
      <c r="B117" s="247" t="s">
        <v>88</v>
      </c>
      <c r="C117" s="514" t="s">
        <v>154</v>
      </c>
      <c r="D117" s="249" t="s">
        <v>155</v>
      </c>
      <c r="E117" s="252"/>
      <c r="F117" s="249" t="s">
        <v>156</v>
      </c>
    </row>
    <row r="118" spans="1:6" ht="17.399999999999999" hidden="1">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2187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25" t="s">
        <v>1140</v>
      </c>
      <c r="C1" s="525"/>
      <c r="D1" s="525"/>
      <c r="E1" s="525"/>
      <c r="F1" s="525"/>
      <c r="G1" s="525"/>
      <c r="H1" s="525"/>
      <c r="I1" s="525"/>
      <c r="J1" s="525"/>
      <c r="K1" s="525"/>
      <c r="L1" s="525"/>
      <c r="M1" s="525"/>
    </row>
    <row r="2" spans="1:13">
      <c r="B2" s="526" t="s">
        <v>162</v>
      </c>
      <c r="C2" s="526"/>
      <c r="D2" s="526"/>
      <c r="E2" s="526"/>
      <c r="F2" s="526"/>
      <c r="G2" s="526"/>
      <c r="H2" s="526"/>
      <c r="I2" s="526"/>
      <c r="J2" s="526"/>
      <c r="K2" s="526"/>
      <c r="L2" s="526"/>
      <c r="M2" s="526"/>
    </row>
    <row r="3" spans="1:13" ht="15" customHeight="1">
      <c r="B3" s="31"/>
      <c r="C3" s="32"/>
      <c r="D3" s="32"/>
      <c r="E3" s="32"/>
      <c r="F3" s="32"/>
      <c r="G3" s="32"/>
      <c r="H3" s="32"/>
      <c r="I3" s="522" t="s">
        <v>163</v>
      </c>
      <c r="J3" s="522"/>
      <c r="K3" s="33"/>
      <c r="L3" s="522" t="s">
        <v>164</v>
      </c>
      <c r="M3" s="522"/>
    </row>
    <row r="4" spans="1:13" ht="15" customHeight="1">
      <c r="B4" s="31"/>
      <c r="C4" s="34">
        <v>2000</v>
      </c>
      <c r="D4" s="34">
        <v>2018</v>
      </c>
      <c r="E4" s="34">
        <v>2025</v>
      </c>
      <c r="F4" s="34">
        <v>2030</v>
      </c>
      <c r="G4" s="34">
        <v>2035</v>
      </c>
      <c r="H4" s="34">
        <v>2040</v>
      </c>
      <c r="I4" s="35">
        <v>2018</v>
      </c>
      <c r="J4" s="35">
        <v>2040</v>
      </c>
      <c r="K4" s="36"/>
      <c r="L4" s="35" t="s">
        <v>165</v>
      </c>
      <c r="M4" s="35" t="s">
        <v>166</v>
      </c>
    </row>
    <row r="5" spans="1:13" ht="13.5" customHeight="1">
      <c r="A5" s="548" t="s">
        <v>527</v>
      </c>
      <c r="B5" s="37" t="s">
        <v>167</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48" t="s">
        <v>1093</v>
      </c>
      <c r="B6" s="42" t="s">
        <v>168</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48" t="s">
        <v>1133</v>
      </c>
      <c r="B7" s="42" t="s">
        <v>169</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48" t="s">
        <v>396</v>
      </c>
      <c r="B8" s="42" t="s">
        <v>170</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48" t="s">
        <v>435</v>
      </c>
      <c r="B9" s="42" t="s">
        <v>171</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48" t="s">
        <v>1134</v>
      </c>
      <c r="B10" s="42" t="s">
        <v>172</v>
      </c>
      <c r="C10" s="83">
        <v>0</v>
      </c>
      <c r="D10" s="83">
        <v>0</v>
      </c>
      <c r="E10" s="45">
        <v>0</v>
      </c>
      <c r="F10" s="45">
        <v>0</v>
      </c>
      <c r="G10" s="45">
        <v>0</v>
      </c>
      <c r="H10" s="45">
        <v>0</v>
      </c>
      <c r="I10" s="45">
        <v>0</v>
      </c>
      <c r="J10" s="45">
        <v>0</v>
      </c>
      <c r="K10" s="46"/>
      <c r="L10" s="47" t="s">
        <v>173</v>
      </c>
      <c r="M10" s="47" t="s">
        <v>173</v>
      </c>
    </row>
    <row r="11" spans="1:13" ht="13.5" customHeight="1">
      <c r="A11" s="548" t="s">
        <v>1135</v>
      </c>
      <c r="B11" s="42" t="s">
        <v>174</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49"/>
      <c r="B12" s="84"/>
      <c r="C12" s="85"/>
      <c r="D12" s="85"/>
      <c r="E12" s="86"/>
      <c r="F12" s="86"/>
      <c r="G12" s="86"/>
      <c r="H12" s="86"/>
      <c r="I12" s="87"/>
      <c r="J12" s="87"/>
      <c r="K12" s="87"/>
      <c r="L12" s="87"/>
      <c r="M12" s="87"/>
    </row>
    <row r="13" spans="1:13" ht="13.5" customHeight="1">
      <c r="A13" s="548" t="s">
        <v>1136</v>
      </c>
      <c r="B13" s="37" t="s">
        <v>175</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48" t="s">
        <v>1093</v>
      </c>
      <c r="B14" s="42" t="s">
        <v>168</v>
      </c>
      <c r="C14" s="83">
        <v>0</v>
      </c>
      <c r="D14" s="83">
        <v>0</v>
      </c>
      <c r="E14" s="45">
        <v>0</v>
      </c>
      <c r="F14" s="45">
        <v>0</v>
      </c>
      <c r="G14" s="45">
        <v>0</v>
      </c>
      <c r="H14" s="45">
        <v>0</v>
      </c>
      <c r="I14" s="45">
        <v>0</v>
      </c>
      <c r="J14" s="45">
        <v>0</v>
      </c>
      <c r="K14" s="46"/>
      <c r="L14" s="47" t="s">
        <v>173</v>
      </c>
      <c r="M14" s="47" t="s">
        <v>173</v>
      </c>
    </row>
    <row r="15" spans="1:13" ht="13.5" customHeight="1">
      <c r="A15" s="548" t="s">
        <v>1133</v>
      </c>
      <c r="B15" s="42" t="s">
        <v>169</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48" t="s">
        <v>396</v>
      </c>
      <c r="B16" s="42" t="s">
        <v>170</v>
      </c>
      <c r="C16" s="83">
        <v>0</v>
      </c>
      <c r="D16" s="83">
        <v>1.2390000000000001</v>
      </c>
      <c r="E16" s="45">
        <v>1.452</v>
      </c>
      <c r="F16" s="45">
        <v>1.526</v>
      </c>
      <c r="G16" s="45">
        <v>1.4370000000000001</v>
      </c>
      <c r="H16" s="45">
        <v>1.3149999999999999</v>
      </c>
      <c r="I16" s="45">
        <v>2.88</v>
      </c>
      <c r="J16" s="45">
        <v>2.95</v>
      </c>
      <c r="K16" s="46"/>
      <c r="L16" s="47" t="s">
        <v>173</v>
      </c>
      <c r="M16" s="47">
        <v>0.27</v>
      </c>
    </row>
    <row r="17" spans="1:13" ht="13.5" customHeight="1">
      <c r="A17" s="548" t="s">
        <v>435</v>
      </c>
      <c r="B17" s="42" t="s">
        <v>171</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48" t="s">
        <v>1134</v>
      </c>
      <c r="B18" s="42" t="s">
        <v>172</v>
      </c>
      <c r="C18" s="83">
        <v>0</v>
      </c>
      <c r="D18" s="83">
        <v>0</v>
      </c>
      <c r="E18" s="45">
        <v>0</v>
      </c>
      <c r="F18" s="45">
        <v>0</v>
      </c>
      <c r="G18" s="45">
        <v>0</v>
      </c>
      <c r="H18" s="45">
        <v>0</v>
      </c>
      <c r="I18" s="45">
        <v>0</v>
      </c>
      <c r="J18" s="45">
        <v>0</v>
      </c>
      <c r="K18" s="46"/>
      <c r="L18" s="47" t="s">
        <v>173</v>
      </c>
      <c r="M18" s="47" t="s">
        <v>173</v>
      </c>
    </row>
    <row r="19" spans="1:13" ht="13.5" customHeight="1">
      <c r="A19" s="548" t="s">
        <v>1135</v>
      </c>
      <c r="B19" s="42" t="s">
        <v>174</v>
      </c>
      <c r="C19" s="83">
        <v>0</v>
      </c>
      <c r="D19" s="83">
        <v>0.68400000000000005</v>
      </c>
      <c r="E19" s="45">
        <v>0.64400000000000002</v>
      </c>
      <c r="F19" s="45">
        <v>0.625</v>
      </c>
      <c r="G19" s="45">
        <v>0.59499999999999997</v>
      </c>
      <c r="H19" s="45">
        <v>0.56599999999999995</v>
      </c>
      <c r="I19" s="45">
        <v>1.59</v>
      </c>
      <c r="J19" s="45">
        <v>1.27</v>
      </c>
      <c r="K19" s="46"/>
      <c r="L19" s="47" t="s">
        <v>173</v>
      </c>
      <c r="M19" s="47">
        <v>-0.86</v>
      </c>
    </row>
    <row r="20" spans="1:13" s="258" customFormat="1" ht="3" customHeight="1">
      <c r="A20" s="549"/>
      <c r="B20" s="84"/>
      <c r="C20" s="85"/>
      <c r="D20" s="85"/>
      <c r="E20" s="86"/>
      <c r="F20" s="86"/>
      <c r="G20" s="86"/>
      <c r="H20" s="86"/>
      <c r="I20" s="87"/>
      <c r="J20" s="87"/>
      <c r="K20" s="87"/>
      <c r="L20" s="87"/>
      <c r="M20" s="87"/>
    </row>
    <row r="21" spans="1:13" ht="13.5" customHeight="1">
      <c r="A21" s="548" t="s">
        <v>1137</v>
      </c>
      <c r="B21" s="37" t="s">
        <v>176</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48" t="s">
        <v>1093</v>
      </c>
      <c r="B22" s="42" t="s">
        <v>168</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48" t="s">
        <v>1133</v>
      </c>
      <c r="B23" s="42" t="s">
        <v>169</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48" t="s">
        <v>396</v>
      </c>
      <c r="B24" s="42" t="s">
        <v>170</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48" t="s">
        <v>435</v>
      </c>
      <c r="B25" s="42" t="s">
        <v>171</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48" t="s">
        <v>1134</v>
      </c>
      <c r="B26" s="42" t="s">
        <v>172</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48" t="s">
        <v>1135</v>
      </c>
      <c r="B27" s="42" t="s">
        <v>174</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49"/>
      <c r="B28" s="84"/>
      <c r="C28" s="85"/>
      <c r="D28" s="85"/>
      <c r="E28" s="86"/>
      <c r="F28" s="86"/>
      <c r="G28" s="86"/>
      <c r="H28" s="86"/>
      <c r="I28" s="87"/>
      <c r="J28" s="87"/>
      <c r="K28" s="87"/>
      <c r="L28" s="87"/>
      <c r="M28" s="87"/>
    </row>
    <row r="29" spans="1:13" ht="13.5" customHeight="1">
      <c r="A29" s="548" t="s">
        <v>1138</v>
      </c>
      <c r="B29" s="37" t="s">
        <v>177</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48" t="s">
        <v>1093</v>
      </c>
      <c r="B30" s="42" t="s">
        <v>168</v>
      </c>
      <c r="C30" s="83">
        <v>0</v>
      </c>
      <c r="D30" s="83">
        <v>0.113</v>
      </c>
      <c r="E30" s="45">
        <v>0.104</v>
      </c>
      <c r="F30" s="45">
        <v>9.9000000000000005E-2</v>
      </c>
      <c r="G30" s="45">
        <v>9.4E-2</v>
      </c>
      <c r="H30" s="45">
        <v>0.09</v>
      </c>
      <c r="I30" s="45">
        <v>0.44</v>
      </c>
      <c r="J30" s="45">
        <v>0.28000000000000003</v>
      </c>
      <c r="K30" s="46"/>
      <c r="L30" s="47" t="s">
        <v>173</v>
      </c>
      <c r="M30" s="47">
        <v>-1.05</v>
      </c>
    </row>
    <row r="31" spans="1:13" ht="13.5" customHeight="1">
      <c r="A31" s="548" t="s">
        <v>1133</v>
      </c>
      <c r="B31" s="42" t="s">
        <v>169</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48" t="s">
        <v>396</v>
      </c>
      <c r="B32" s="42" t="s">
        <v>170</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48" t="s">
        <v>435</v>
      </c>
      <c r="B33" s="42" t="s">
        <v>171</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48" t="s">
        <v>1134</v>
      </c>
      <c r="B34" s="42" t="s">
        <v>172</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50" t="s">
        <v>1135</v>
      </c>
      <c r="B35" s="42" t="s">
        <v>174</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20" t="s">
        <v>1139</v>
      </c>
      <c r="C37" s="521"/>
      <c r="D37" s="521"/>
      <c r="E37" s="521"/>
      <c r="F37" s="521"/>
      <c r="G37" s="521"/>
      <c r="H37" s="521"/>
      <c r="I37" s="521"/>
      <c r="J37" s="521"/>
      <c r="K37" s="521"/>
      <c r="L37" s="259"/>
      <c r="M37" s="259"/>
    </row>
    <row r="38" spans="1:13" ht="17.100000000000001" customHeight="1">
      <c r="B38" s="527" t="s">
        <v>162</v>
      </c>
      <c r="C38" s="527"/>
      <c r="D38" s="527"/>
      <c r="E38" s="527"/>
      <c r="F38" s="527"/>
      <c r="G38" s="527"/>
      <c r="H38" s="527"/>
      <c r="I38" s="527"/>
      <c r="J38" s="527"/>
      <c r="K38" s="527"/>
      <c r="L38" s="259"/>
      <c r="M38" s="259"/>
    </row>
    <row r="39" spans="1:13">
      <c r="B39" s="31"/>
      <c r="C39" s="32"/>
      <c r="D39" s="32"/>
      <c r="E39" s="32"/>
      <c r="F39" s="32"/>
      <c r="G39" s="32"/>
      <c r="H39" s="522" t="s">
        <v>163</v>
      </c>
      <c r="I39" s="522"/>
      <c r="J39" s="522" t="s">
        <v>164</v>
      </c>
      <c r="K39" s="522"/>
      <c r="L39" s="259"/>
      <c r="M39" s="259"/>
    </row>
    <row r="40" spans="1:13" ht="17.100000000000001" customHeight="1">
      <c r="B40" s="31"/>
      <c r="C40" s="34">
        <v>2000</v>
      </c>
      <c r="D40" s="34">
        <v>2022</v>
      </c>
      <c r="E40" s="34">
        <v>2030</v>
      </c>
      <c r="F40" s="34">
        <v>2040</v>
      </c>
      <c r="G40" s="34">
        <v>2050</v>
      </c>
      <c r="H40" s="35">
        <v>2022</v>
      </c>
      <c r="I40" s="35">
        <v>2050</v>
      </c>
      <c r="J40" s="35" t="s">
        <v>178</v>
      </c>
      <c r="K40" s="35" t="s">
        <v>179</v>
      </c>
      <c r="L40" s="259"/>
      <c r="M40" s="259"/>
    </row>
    <row r="41" spans="1:13">
      <c r="A41" s="548" t="s">
        <v>527</v>
      </c>
      <c r="B41" s="37" t="s">
        <v>167</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48" t="s">
        <v>1093</v>
      </c>
      <c r="B42" s="42" t="s">
        <v>168</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48" t="s">
        <v>1133</v>
      </c>
      <c r="B43" s="42" t="s">
        <v>169</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48" t="s">
        <v>396</v>
      </c>
      <c r="B44" s="42" t="s">
        <v>170</v>
      </c>
      <c r="C44" s="83">
        <v>3.516</v>
      </c>
      <c r="D44" s="83">
        <v>10.010999999999999</v>
      </c>
      <c r="E44" s="45">
        <v>12.151</v>
      </c>
      <c r="F44" s="45">
        <v>14.108000000000001</v>
      </c>
      <c r="G44" s="45">
        <v>14.766999999999999</v>
      </c>
      <c r="H44" s="45">
        <v>7.8</v>
      </c>
      <c r="I44" s="45">
        <v>10.01</v>
      </c>
      <c r="J44" s="47">
        <v>4.87</v>
      </c>
      <c r="K44" s="47">
        <v>1.4</v>
      </c>
      <c r="L44" s="259"/>
      <c r="M44" s="259"/>
    </row>
    <row r="45" spans="1:13">
      <c r="A45" s="548" t="s">
        <v>435</v>
      </c>
      <c r="B45" s="42" t="s">
        <v>171</v>
      </c>
      <c r="C45" s="83">
        <v>11.016999999999999</v>
      </c>
      <c r="D45" s="83">
        <v>23.57</v>
      </c>
      <c r="E45" s="45">
        <v>27.631</v>
      </c>
      <c r="F45" s="45">
        <v>30.23</v>
      </c>
      <c r="G45" s="45">
        <v>30.279</v>
      </c>
      <c r="H45" s="45">
        <v>18.350000000000001</v>
      </c>
      <c r="I45" s="45">
        <v>20.52</v>
      </c>
      <c r="J45" s="47">
        <v>3.52</v>
      </c>
      <c r="K45" s="47">
        <v>0.9</v>
      </c>
      <c r="L45" s="259"/>
      <c r="M45" s="259"/>
    </row>
    <row r="46" spans="1:13">
      <c r="A46" s="548" t="s">
        <v>1134</v>
      </c>
      <c r="B46" s="42" t="s">
        <v>172</v>
      </c>
      <c r="C46" s="83">
        <v>0</v>
      </c>
      <c r="D46" s="83">
        <v>0</v>
      </c>
      <c r="E46" s="45">
        <v>0</v>
      </c>
      <c r="F46" s="45">
        <v>0</v>
      </c>
      <c r="G46" s="45">
        <v>0</v>
      </c>
      <c r="H46" s="45">
        <v>0</v>
      </c>
      <c r="I46" s="45">
        <v>0</v>
      </c>
      <c r="J46" s="47" t="s">
        <v>173</v>
      </c>
      <c r="K46" s="47" t="s">
        <v>173</v>
      </c>
      <c r="L46" s="259"/>
      <c r="M46" s="259"/>
    </row>
    <row r="47" spans="1:13">
      <c r="A47" s="548" t="s">
        <v>1135</v>
      </c>
      <c r="B47" s="42" t="s">
        <v>174</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49"/>
      <c r="B48" s="84"/>
      <c r="C48" s="85"/>
      <c r="D48" s="85"/>
      <c r="E48" s="86"/>
      <c r="F48" s="86"/>
      <c r="G48" s="86"/>
      <c r="H48" s="87"/>
      <c r="I48" s="87"/>
      <c r="J48" s="87"/>
      <c r="K48" s="87"/>
      <c r="L48" s="259"/>
      <c r="M48" s="259"/>
    </row>
    <row r="49" spans="1:13">
      <c r="A49" s="548" t="s">
        <v>1136</v>
      </c>
      <c r="B49" s="37" t="s">
        <v>175</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48" t="s">
        <v>1093</v>
      </c>
      <c r="B50" s="42" t="s">
        <v>168</v>
      </c>
      <c r="C50" s="83">
        <v>0</v>
      </c>
      <c r="D50" s="83">
        <v>0</v>
      </c>
      <c r="E50" s="45">
        <v>0</v>
      </c>
      <c r="F50" s="45">
        <v>0</v>
      </c>
      <c r="G50" s="45">
        <v>0</v>
      </c>
      <c r="H50" s="45">
        <v>0</v>
      </c>
      <c r="I50" s="45">
        <v>0</v>
      </c>
      <c r="J50" s="47" t="s">
        <v>173</v>
      </c>
      <c r="K50" s="47" t="s">
        <v>173</v>
      </c>
      <c r="L50" s="259"/>
      <c r="M50" s="259"/>
    </row>
    <row r="51" spans="1:13">
      <c r="A51" s="548" t="s">
        <v>1133</v>
      </c>
      <c r="B51" s="42" t="s">
        <v>169</v>
      </c>
      <c r="C51" s="83">
        <v>24.832000000000001</v>
      </c>
      <c r="D51" s="83">
        <v>34.238</v>
      </c>
      <c r="E51" s="45">
        <v>29.847999999999999</v>
      </c>
      <c r="F51" s="45">
        <v>23.436</v>
      </c>
      <c r="G51" s="45">
        <v>15.898999999999999</v>
      </c>
      <c r="H51" s="45">
        <v>94.34</v>
      </c>
      <c r="I51" s="45">
        <v>80.06</v>
      </c>
      <c r="J51" s="47">
        <v>1.47</v>
      </c>
      <c r="K51" s="47">
        <v>-2.7</v>
      </c>
      <c r="L51" s="259"/>
      <c r="M51" s="259"/>
    </row>
    <row r="52" spans="1:13">
      <c r="A52" s="548" t="s">
        <v>396</v>
      </c>
      <c r="B52" s="42" t="s">
        <v>170</v>
      </c>
      <c r="C52" s="83">
        <v>0</v>
      </c>
      <c r="D52" s="83">
        <v>1.0249999999999999</v>
      </c>
      <c r="E52" s="45">
        <v>1.419</v>
      </c>
      <c r="F52" s="45">
        <v>0.79100000000000004</v>
      </c>
      <c r="G52" s="45">
        <v>0.129</v>
      </c>
      <c r="H52" s="45">
        <v>2.83</v>
      </c>
      <c r="I52" s="45">
        <v>0.65</v>
      </c>
      <c r="J52" s="47" t="s">
        <v>173</v>
      </c>
      <c r="K52" s="47">
        <v>-7.13</v>
      </c>
      <c r="L52" s="259"/>
      <c r="M52" s="259"/>
    </row>
    <row r="53" spans="1:13">
      <c r="A53" s="548" t="s">
        <v>435</v>
      </c>
      <c r="B53" s="42" t="s">
        <v>171</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48" t="s">
        <v>1134</v>
      </c>
      <c r="B54" s="42" t="s">
        <v>172</v>
      </c>
      <c r="C54" s="83">
        <v>0</v>
      </c>
      <c r="D54" s="83">
        <v>0</v>
      </c>
      <c r="E54" s="45">
        <v>0</v>
      </c>
      <c r="F54" s="45">
        <v>0</v>
      </c>
      <c r="G54" s="45">
        <v>0</v>
      </c>
      <c r="H54" s="45">
        <v>0</v>
      </c>
      <c r="I54" s="45">
        <v>0</v>
      </c>
      <c r="J54" s="47" t="s">
        <v>173</v>
      </c>
      <c r="K54" s="47" t="s">
        <v>173</v>
      </c>
      <c r="L54" s="259"/>
      <c r="M54" s="259"/>
    </row>
    <row r="55" spans="1:13">
      <c r="A55" s="548" t="s">
        <v>1135</v>
      </c>
      <c r="B55" s="42" t="s">
        <v>174</v>
      </c>
      <c r="C55" s="83">
        <v>0</v>
      </c>
      <c r="D55" s="83">
        <v>0.68200000000000005</v>
      </c>
      <c r="E55" s="45">
        <v>0.69599999999999995</v>
      </c>
      <c r="F55" s="45">
        <v>1.581</v>
      </c>
      <c r="G55" s="45">
        <v>2.5609999999999999</v>
      </c>
      <c r="H55" s="45">
        <v>1.88</v>
      </c>
      <c r="I55" s="45">
        <v>12.9</v>
      </c>
      <c r="J55" s="47" t="s">
        <v>173</v>
      </c>
      <c r="K55" s="47">
        <v>4.84</v>
      </c>
      <c r="L55" s="259"/>
      <c r="M55" s="259"/>
    </row>
    <row r="56" spans="1:13">
      <c r="A56" s="549"/>
      <c r="B56" s="84"/>
      <c r="C56" s="85"/>
      <c r="D56" s="85"/>
      <c r="E56" s="86"/>
      <c r="F56" s="86"/>
      <c r="G56" s="86"/>
      <c r="H56" s="87"/>
      <c r="I56" s="87"/>
      <c r="J56" s="87"/>
      <c r="K56" s="87"/>
      <c r="L56" s="259"/>
      <c r="M56" s="259"/>
    </row>
    <row r="57" spans="1:13">
      <c r="A57" s="548" t="s">
        <v>1137</v>
      </c>
      <c r="B57" s="37" t="s">
        <v>176</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48" t="s">
        <v>1093</v>
      </c>
      <c r="B58" s="42" t="s">
        <v>168</v>
      </c>
      <c r="C58" s="83">
        <v>0.45</v>
      </c>
      <c r="D58" s="83">
        <v>0.182</v>
      </c>
      <c r="E58" s="45">
        <v>0.05</v>
      </c>
      <c r="F58" s="45">
        <v>1.4999999999999999E-2</v>
      </c>
      <c r="G58" s="45">
        <v>4.0000000000000001E-3</v>
      </c>
      <c r="H58" s="45">
        <v>0.78</v>
      </c>
      <c r="I58" s="45">
        <v>0.02</v>
      </c>
      <c r="J58" s="47">
        <v>-4.03</v>
      </c>
      <c r="K58" s="47">
        <v>-12.57</v>
      </c>
      <c r="L58" s="259"/>
      <c r="M58" s="259"/>
    </row>
    <row r="59" spans="1:13">
      <c r="A59" s="548" t="s">
        <v>1133</v>
      </c>
      <c r="B59" s="42" t="s">
        <v>169</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48" t="s">
        <v>396</v>
      </c>
      <c r="B60" s="42" t="s">
        <v>170</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48" t="s">
        <v>435</v>
      </c>
      <c r="B61" s="42" t="s">
        <v>171</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48" t="s">
        <v>1134</v>
      </c>
      <c r="B62" s="42" t="s">
        <v>172</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48" t="s">
        <v>1135</v>
      </c>
      <c r="B63" s="42" t="s">
        <v>174</v>
      </c>
      <c r="C63" s="83">
        <v>7.8E-2</v>
      </c>
      <c r="D63" s="83">
        <v>0.44500000000000001</v>
      </c>
      <c r="E63" s="45">
        <v>0.44</v>
      </c>
      <c r="F63" s="45">
        <v>0.49299999999999999</v>
      </c>
      <c r="G63" s="45">
        <v>0.52600000000000002</v>
      </c>
      <c r="H63" s="45">
        <v>1.92</v>
      </c>
      <c r="I63" s="45">
        <v>2.56</v>
      </c>
      <c r="J63" s="47">
        <v>8.25</v>
      </c>
      <c r="K63" s="47">
        <v>0.6</v>
      </c>
      <c r="L63" s="259"/>
      <c r="M63" s="259"/>
    </row>
    <row r="64" spans="1:13">
      <c r="A64" s="549"/>
      <c r="B64" s="84"/>
      <c r="C64" s="85"/>
      <c r="D64" s="85"/>
      <c r="E64" s="86"/>
      <c r="F64" s="86"/>
      <c r="G64" s="86"/>
      <c r="H64" s="87"/>
      <c r="I64" s="87"/>
      <c r="J64" s="87"/>
      <c r="K64" s="87"/>
      <c r="L64" s="259"/>
      <c r="M64" s="259"/>
    </row>
    <row r="65" spans="1:13">
      <c r="A65" s="548" t="s">
        <v>1138</v>
      </c>
      <c r="B65" s="37" t="s">
        <v>177</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48" t="s">
        <v>1093</v>
      </c>
      <c r="B66" s="42" t="s">
        <v>168</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48" t="s">
        <v>1133</v>
      </c>
      <c r="B67" s="42" t="s">
        <v>169</v>
      </c>
      <c r="C67" s="83">
        <v>10.449</v>
      </c>
      <c r="D67" s="83">
        <v>3.29</v>
      </c>
      <c r="E67" s="45">
        <v>2.4670000000000001</v>
      </c>
      <c r="F67" s="45">
        <v>1.5109999999999999</v>
      </c>
      <c r="G67" s="45">
        <v>0.82899999999999996</v>
      </c>
      <c r="H67" s="45">
        <v>13.58</v>
      </c>
      <c r="I67" s="45">
        <v>2.61</v>
      </c>
      <c r="J67" s="47">
        <v>-5.12</v>
      </c>
      <c r="K67" s="47">
        <v>-4.8</v>
      </c>
      <c r="L67" s="259"/>
      <c r="M67" s="259"/>
    </row>
    <row r="68" spans="1:13">
      <c r="A68" s="548" t="s">
        <v>396</v>
      </c>
      <c r="B68" s="42" t="s">
        <v>170</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48" t="s">
        <v>435</v>
      </c>
      <c r="B69" s="42" t="s">
        <v>171</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48" t="s">
        <v>1134</v>
      </c>
      <c r="B70" s="42" t="s">
        <v>172</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50" t="s">
        <v>1135</v>
      </c>
      <c r="B71" s="42" t="s">
        <v>174</v>
      </c>
      <c r="C71" s="83">
        <v>0.43</v>
      </c>
      <c r="D71" s="83">
        <v>1.4550000000000001</v>
      </c>
      <c r="E71" s="45">
        <v>2.673</v>
      </c>
      <c r="F71" s="45">
        <v>4.258</v>
      </c>
      <c r="G71" s="45">
        <v>4.9400000000000004</v>
      </c>
      <c r="H71" s="45">
        <v>6.01</v>
      </c>
      <c r="I71" s="45">
        <v>15.52</v>
      </c>
      <c r="J71" s="47">
        <v>5.69</v>
      </c>
      <c r="K71" s="47">
        <v>4.46</v>
      </c>
      <c r="L71" s="259"/>
      <c r="M71" s="259"/>
    </row>
    <row r="72" spans="1:13">
      <c r="B72" s="523" t="s">
        <v>180</v>
      </c>
      <c r="C72" s="524"/>
      <c r="D72" s="524"/>
      <c r="E72" s="524"/>
      <c r="F72" s="524"/>
      <c r="G72" s="524"/>
      <c r="H72" s="524"/>
      <c r="I72" s="524"/>
      <c r="J72" s="524"/>
      <c r="K72" s="524"/>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H17" workbookViewId="0">
      <selection activeCell="A27" sqref="A27:XFD27"/>
    </sheetView>
  </sheetViews>
  <sheetFormatPr defaultColWidth="9.109375" defaultRowHeight="14.4"/>
  <cols>
    <col min="1" max="1" width="20.5546875" style="30" customWidth="1"/>
    <col min="2" max="2" width="12.21875" style="30" bestFit="1" customWidth="1"/>
    <col min="3" max="3" width="7.21875" style="30" bestFit="1" customWidth="1"/>
    <col min="4" max="4" width="7.21875" style="30" bestFit="1" customWidth="1" collapsed="1"/>
    <col min="5" max="5" width="7.21875" style="30" bestFit="1" customWidth="1"/>
    <col min="6" max="6" width="9.33203125" style="30" bestFit="1" customWidth="1"/>
    <col min="7" max="7" width="7.21875" style="30" bestFit="1" customWidth="1"/>
    <col min="8" max="9" width="6.5546875" style="30" customWidth="1"/>
    <col min="10" max="10" width="6.5546875" style="55" customWidth="1"/>
    <col min="11" max="13" width="6.5546875" style="30" customWidth="1"/>
    <col min="14" max="14" width="19.77734375" style="30" customWidth="1"/>
    <col min="15" max="15" width="14.33203125" style="150" customWidth="1"/>
    <col min="16" max="17" width="15.21875" style="150" customWidth="1"/>
    <col min="18" max="19" width="8.5546875" style="150" bestFit="1" customWidth="1"/>
    <col min="20" max="20" width="9.77734375" style="150" customWidth="1"/>
    <col min="21" max="21" width="17.77734375" style="150" bestFit="1" customWidth="1"/>
    <col min="22" max="36" width="8.5546875" style="150" bestFit="1" customWidth="1"/>
    <col min="37" max="37" width="13" style="150" bestFit="1" customWidth="1"/>
    <col min="38" max="48" width="8.5546875" style="150" bestFit="1" customWidth="1"/>
    <col min="49" max="16384" width="9.109375" style="30"/>
  </cols>
  <sheetData>
    <row r="1" spans="1:49">
      <c r="P1" s="415"/>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114</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N3" s="494">
        <f>About!C89</f>
        <v>39656668310000</v>
      </c>
      <c r="O3" s="253" t="s">
        <v>115</v>
      </c>
      <c r="P3" s="476" t="s">
        <v>181</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30" t="s">
        <v>182</v>
      </c>
      <c r="B4" s="531"/>
      <c r="C4" s="531"/>
      <c r="D4" s="531"/>
      <c r="E4" s="531"/>
      <c r="F4" s="531"/>
      <c r="G4" s="531"/>
      <c r="H4" s="531"/>
      <c r="I4" s="531"/>
      <c r="J4" s="531"/>
      <c r="K4" s="531"/>
      <c r="L4" s="531"/>
      <c r="O4" s="30"/>
      <c r="P4" s="476" t="s">
        <v>183</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32" t="s">
        <v>184</v>
      </c>
      <c r="B5" s="532"/>
      <c r="C5" s="532"/>
      <c r="D5" s="532"/>
      <c r="E5" s="532"/>
      <c r="F5" s="532"/>
      <c r="G5" s="532"/>
      <c r="H5" s="532"/>
      <c r="I5" s="532"/>
      <c r="J5" s="532"/>
      <c r="K5" s="532"/>
      <c r="L5" s="532"/>
      <c r="N5" s="153" t="s">
        <v>185</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22" t="s">
        <v>163</v>
      </c>
      <c r="I6" s="522"/>
      <c r="J6" s="33"/>
      <c r="K6" s="522" t="s">
        <v>164</v>
      </c>
      <c r="L6" s="522"/>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178</v>
      </c>
      <c r="L7" s="35" t="s">
        <v>179</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186</v>
      </c>
    </row>
    <row r="8" spans="1:49" ht="13.5" customHeight="1">
      <c r="A8" s="37" t="s">
        <v>187</v>
      </c>
      <c r="B8" s="38"/>
      <c r="C8" s="38"/>
      <c r="D8" s="38"/>
      <c r="E8" s="39"/>
      <c r="F8" s="39"/>
      <c r="G8" s="39"/>
      <c r="H8" s="40"/>
      <c r="I8" s="40"/>
      <c r="J8" s="41"/>
      <c r="K8" s="40"/>
      <c r="L8" s="40"/>
      <c r="N8" s="37" t="s">
        <v>187</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188</v>
      </c>
      <c r="B9" s="43">
        <v>35.962000000000003</v>
      </c>
      <c r="C9" s="43">
        <v>71.519000000000005</v>
      </c>
      <c r="D9" s="43">
        <v>81.052000000000007</v>
      </c>
      <c r="E9" s="44">
        <v>73.45</v>
      </c>
      <c r="F9" s="44">
        <v>79.043999999999997</v>
      </c>
      <c r="G9" s="44">
        <v>81.483999999999995</v>
      </c>
      <c r="H9" s="45">
        <v>100</v>
      </c>
      <c r="I9" s="45">
        <v>100</v>
      </c>
      <c r="J9" s="46"/>
      <c r="K9" s="47">
        <v>3.16</v>
      </c>
      <c r="L9" s="47">
        <v>0.75</v>
      </c>
      <c r="N9" s="497" t="s">
        <v>188</v>
      </c>
      <c r="O9" s="483">
        <f>B9*$N$3</f>
        <v>1426133105764220.3</v>
      </c>
      <c r="P9" s="483">
        <f t="shared" ref="P9:Y14" si="0">AK64*$N$3</f>
        <v>2858897520289901.5</v>
      </c>
      <c r="Q9" s="484">
        <f t="shared" si="0"/>
        <v>2855389650037872.5</v>
      </c>
      <c r="R9" s="484">
        <f t="shared" si="0"/>
        <v>2742420254216531.5</v>
      </c>
      <c r="S9" s="484">
        <f t="shared" si="0"/>
        <v>3027811124232944</v>
      </c>
      <c r="T9" s="485">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6">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189</v>
      </c>
      <c r="B10" s="43">
        <v>0.27300000000000002</v>
      </c>
      <c r="C10" s="43">
        <v>0.219</v>
      </c>
      <c r="D10" s="43">
        <v>0.26</v>
      </c>
      <c r="E10" s="44">
        <v>2.9470000000000001</v>
      </c>
      <c r="F10" s="44">
        <v>3.0470000000000002</v>
      </c>
      <c r="G10" s="44">
        <v>2.891</v>
      </c>
      <c r="H10" s="45">
        <v>4.0599999999999996</v>
      </c>
      <c r="I10" s="45">
        <v>3.55</v>
      </c>
      <c r="J10" s="46"/>
      <c r="K10" s="47">
        <v>2.88</v>
      </c>
      <c r="L10" s="47">
        <v>0.27</v>
      </c>
      <c r="N10" s="498" t="s">
        <v>189</v>
      </c>
      <c r="O10" s="483">
        <f t="shared" ref="O10:O14" si="3">B10*$N$3</f>
        <v>10826270448630</v>
      </c>
      <c r="P10" s="483">
        <f t="shared" si="0"/>
        <v>8673071986070.2402</v>
      </c>
      <c r="Q10" s="484">
        <f t="shared" si="0"/>
        <v>8125611680050.6895</v>
      </c>
      <c r="R10" s="484">
        <f t="shared" si="0"/>
        <v>8063747277487.0898</v>
      </c>
      <c r="S10" s="484">
        <f t="shared" si="0"/>
        <v>9078648069632.9902</v>
      </c>
      <c r="T10" s="485">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6">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190</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8" t="s">
        <v>190</v>
      </c>
      <c r="O11" s="483">
        <f t="shared" si="3"/>
        <v>1310930484323670</v>
      </c>
      <c r="P11" s="483">
        <f t="shared" si="0"/>
        <v>2460210831358717.5</v>
      </c>
      <c r="Q11" s="484">
        <f t="shared" si="0"/>
        <v>2409341478024074.5</v>
      </c>
      <c r="R11" s="484">
        <f t="shared" si="0"/>
        <v>2291916179638085.5</v>
      </c>
      <c r="S11" s="484">
        <f t="shared" si="0"/>
        <v>2566768914236943</v>
      </c>
      <c r="T11" s="485">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6">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191</v>
      </c>
      <c r="B12" s="43">
        <v>0.31900000000000001</v>
      </c>
      <c r="C12" s="43">
        <v>3.653</v>
      </c>
      <c r="D12" s="43">
        <v>4.5960000000000001</v>
      </c>
      <c r="E12" s="44">
        <v>3.339</v>
      </c>
      <c r="F12" s="44">
        <v>4.0410000000000004</v>
      </c>
      <c r="G12" s="44">
        <v>4.4880000000000004</v>
      </c>
      <c r="H12" s="45">
        <v>3.39</v>
      </c>
      <c r="I12" s="45">
        <v>5.51</v>
      </c>
      <c r="J12" s="46"/>
      <c r="K12" s="47">
        <v>9.25</v>
      </c>
      <c r="L12" s="47">
        <v>2.52</v>
      </c>
      <c r="N12" s="498" t="s">
        <v>191</v>
      </c>
      <c r="O12" s="483">
        <f t="shared" si="3"/>
        <v>12650477190890</v>
      </c>
      <c r="P12" s="483">
        <f t="shared" si="0"/>
        <v>177485044944805.69</v>
      </c>
      <c r="Q12" s="484">
        <f t="shared" si="0"/>
        <v>225207919245728.03</v>
      </c>
      <c r="R12" s="484">
        <f t="shared" si="0"/>
        <v>239658452267877.22</v>
      </c>
      <c r="S12" s="484">
        <f t="shared" si="0"/>
        <v>269821792546433.97</v>
      </c>
      <c r="T12" s="485">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6">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192</v>
      </c>
      <c r="B13" s="43">
        <v>2.3130000000000002</v>
      </c>
      <c r="C13" s="43">
        <v>5.359</v>
      </c>
      <c r="D13" s="43">
        <v>6.633</v>
      </c>
      <c r="E13" s="44">
        <v>5.7110000000000003</v>
      </c>
      <c r="F13" s="44">
        <v>7.024</v>
      </c>
      <c r="G13" s="44">
        <v>7.9969999999999999</v>
      </c>
      <c r="H13" s="45">
        <v>6.96</v>
      </c>
      <c r="I13" s="45">
        <v>9.81</v>
      </c>
      <c r="J13" s="46"/>
      <c r="K13" s="47">
        <v>3.89</v>
      </c>
      <c r="L13" s="47">
        <v>2</v>
      </c>
      <c r="N13" s="498" t="s">
        <v>192</v>
      </c>
      <c r="O13" s="483">
        <f t="shared" si="3"/>
        <v>91725873801030</v>
      </c>
      <c r="P13" s="483">
        <f t="shared" si="0"/>
        <v>212528572000308.31</v>
      </c>
      <c r="Q13" s="484">
        <f t="shared" si="0"/>
        <v>212714641088018.88</v>
      </c>
      <c r="R13" s="484">
        <f t="shared" si="0"/>
        <v>202781875033081.47</v>
      </c>
      <c r="S13" s="484">
        <f t="shared" si="0"/>
        <v>182141769379934.19</v>
      </c>
      <c r="T13" s="485">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6">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193</v>
      </c>
      <c r="B14" s="43">
        <v>0</v>
      </c>
      <c r="C14" s="43">
        <v>0</v>
      </c>
      <c r="D14" s="43">
        <v>0</v>
      </c>
      <c r="E14" s="44">
        <v>1.7869999999999999</v>
      </c>
      <c r="F14" s="44">
        <v>2.1179999999999999</v>
      </c>
      <c r="G14" s="44">
        <v>2.3639999999999999</v>
      </c>
      <c r="H14" s="45">
        <v>2.23</v>
      </c>
      <c r="I14" s="45">
        <v>2.9</v>
      </c>
      <c r="J14" s="46"/>
      <c r="K14" s="47" t="s">
        <v>173</v>
      </c>
      <c r="L14" s="47">
        <v>1.71</v>
      </c>
      <c r="N14" s="499" t="s">
        <v>193</v>
      </c>
      <c r="O14" s="487">
        <f t="shared" si="3"/>
        <v>0</v>
      </c>
      <c r="P14" s="487">
        <f t="shared" si="0"/>
        <v>0</v>
      </c>
      <c r="Q14" s="488">
        <f t="shared" si="0"/>
        <v>0</v>
      </c>
      <c r="R14" s="488">
        <f t="shared" si="0"/>
        <v>0</v>
      </c>
      <c r="S14" s="488">
        <f t="shared" si="0"/>
        <v>0</v>
      </c>
      <c r="T14" s="489">
        <f t="shared" si="0"/>
        <v>0</v>
      </c>
      <c r="U14" s="488">
        <f t="shared" si="0"/>
        <v>0</v>
      </c>
      <c r="V14" s="488">
        <f t="shared" si="0"/>
        <v>0</v>
      </c>
      <c r="W14" s="488">
        <f t="shared" si="0"/>
        <v>174494741109.67758</v>
      </c>
      <c r="X14" s="488">
        <f t="shared" si="0"/>
        <v>149798723611.96213</v>
      </c>
      <c r="Y14" s="488">
        <f t="shared" si="0"/>
        <v>146425444711.97583</v>
      </c>
      <c r="Z14" s="488">
        <f t="shared" si="1"/>
        <v>1246615558963.7085</v>
      </c>
      <c r="AA14" s="488">
        <f t="shared" si="1"/>
        <v>1213627896184.4924</v>
      </c>
      <c r="AB14" s="488">
        <f t="shared" si="1"/>
        <v>72866685162698.891</v>
      </c>
      <c r="AC14" s="488">
        <f t="shared" si="1"/>
        <v>72339845471314.141</v>
      </c>
      <c r="AD14" s="488">
        <f t="shared" si="1"/>
        <v>71811428722427.094</v>
      </c>
      <c r="AE14" s="488">
        <f t="shared" si="1"/>
        <v>71281407951941.297</v>
      </c>
      <c r="AF14" s="488">
        <f t="shared" si="1"/>
        <v>70749755410245.297</v>
      </c>
      <c r="AG14" s="490">
        <f t="shared" si="1"/>
        <v>70216442529667.555</v>
      </c>
      <c r="AH14" s="488">
        <f t="shared" ref="AH14:AV14" si="8">BC69*$N$3</f>
        <v>70169392442855.547</v>
      </c>
      <c r="AI14" s="488">
        <f t="shared" si="8"/>
        <v>70122342356043.547</v>
      </c>
      <c r="AJ14" s="488">
        <f t="shared" si="8"/>
        <v>70075292269231.531</v>
      </c>
      <c r="AK14" s="488">
        <f t="shared" si="8"/>
        <v>70028242182419.523</v>
      </c>
      <c r="AL14" s="488">
        <f t="shared" si="8"/>
        <v>69981192095607.523</v>
      </c>
      <c r="AM14" s="491">
        <f t="shared" si="8"/>
        <v>69910511497897.703</v>
      </c>
      <c r="AN14" s="491">
        <f t="shared" si="8"/>
        <v>69839830900187.859</v>
      </c>
      <c r="AO14" s="491">
        <f t="shared" si="8"/>
        <v>69769150302478.023</v>
      </c>
      <c r="AP14" s="491">
        <f t="shared" si="8"/>
        <v>69698469704768.211</v>
      </c>
      <c r="AQ14" s="491">
        <f t="shared" si="8"/>
        <v>69627789107058.383</v>
      </c>
      <c r="AR14" s="491">
        <f t="shared" si="8"/>
        <v>69557108509348.547</v>
      </c>
      <c r="AS14" s="491">
        <f t="shared" si="8"/>
        <v>69486427911638.719</v>
      </c>
      <c r="AT14" s="491">
        <f t="shared" si="8"/>
        <v>69415747313928.891</v>
      </c>
      <c r="AU14" s="491">
        <f t="shared" si="8"/>
        <v>69345066716219.07</v>
      </c>
      <c r="AV14" s="491">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485"/>
      <c r="U15" s="484"/>
      <c r="V15" s="484"/>
      <c r="W15" s="484"/>
      <c r="X15" s="484"/>
      <c r="Y15" s="484"/>
      <c r="Z15" s="484"/>
      <c r="AA15" s="484"/>
      <c r="AB15" s="484"/>
      <c r="AC15" s="484"/>
      <c r="AD15" s="484"/>
      <c r="AE15" s="484"/>
      <c r="AF15" s="484"/>
      <c r="AG15" s="486"/>
      <c r="AH15" s="484"/>
      <c r="AI15" s="484"/>
      <c r="AJ15" s="484"/>
      <c r="AK15" s="484"/>
      <c r="AL15" s="484"/>
      <c r="AM15" s="484"/>
      <c r="AN15" s="484"/>
      <c r="AO15" s="484"/>
      <c r="AP15" s="484"/>
      <c r="AQ15" s="484"/>
      <c r="AR15" s="484"/>
      <c r="AS15" s="484"/>
      <c r="AT15" s="484"/>
      <c r="AU15" s="484"/>
      <c r="AV15" s="484"/>
      <c r="AW15" s="169"/>
    </row>
    <row r="16" spans="1:49" ht="13.5" customHeight="1">
      <c r="A16" s="42" t="s">
        <v>194</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42" t="s">
        <v>195</v>
      </c>
      <c r="O16" s="483">
        <f t="shared" ref="O16:P21" si="9">B16*$N$3</f>
        <v>225606786015590</v>
      </c>
      <c r="P16" s="483">
        <f t="shared" si="9"/>
        <v>171356463767510</v>
      </c>
      <c r="Q16" s="484">
        <f>SUM(Q17:Q21)</f>
        <v>179286945435216.31</v>
      </c>
      <c r="R16" s="506">
        <v>180318803281272.25</v>
      </c>
      <c r="S16" s="506">
        <v>179977769438665.81</v>
      </c>
      <c r="T16" s="485">
        <f t="shared" ref="T16:T35" si="10">D16*$N$3</f>
        <v>178613634068239.97</v>
      </c>
      <c r="U16" s="506">
        <v>179295701753452.91</v>
      </c>
      <c r="V16" s="506">
        <v>178954667910846.44</v>
      </c>
      <c r="W16" s="506">
        <v>178613634068239.97</v>
      </c>
      <c r="X16" s="506">
        <v>178550183398944</v>
      </c>
      <c r="Y16" s="506">
        <v>178486732729648</v>
      </c>
      <c r="Z16" s="506">
        <v>178423282060352</v>
      </c>
      <c r="AA16" s="506">
        <v>178359831391056.03</v>
      </c>
      <c r="AB16" s="506">
        <v>178296380721760.03</v>
      </c>
      <c r="AC16" s="506">
        <v>177963264707956</v>
      </c>
      <c r="AD16" s="506">
        <v>177630148694152</v>
      </c>
      <c r="AE16" s="506">
        <v>177297032680348</v>
      </c>
      <c r="AF16" s="506">
        <v>176963916666544</v>
      </c>
      <c r="AG16" s="507">
        <v>176630800652740</v>
      </c>
      <c r="AH16" s="506">
        <v>176440448644851.94</v>
      </c>
      <c r="AI16" s="506">
        <v>176250096636963.94</v>
      </c>
      <c r="AJ16" s="506">
        <v>176059744629075.94</v>
      </c>
      <c r="AK16" s="506">
        <v>175869392621187.94</v>
      </c>
      <c r="AL16" s="506">
        <v>175679040613300</v>
      </c>
      <c r="AM16" s="506">
        <v>175298336597523.94</v>
      </c>
      <c r="AN16" s="506">
        <v>175047418041671.56</v>
      </c>
      <c r="AO16" s="506">
        <v>174796499485819.25</v>
      </c>
      <c r="AP16" s="506">
        <v>174545580929966.88</v>
      </c>
      <c r="AQ16" s="506">
        <v>174294662374114.5</v>
      </c>
      <c r="AR16" s="506">
        <v>174043743818262.13</v>
      </c>
      <c r="AS16" s="506">
        <v>173792825262409.75</v>
      </c>
      <c r="AT16" s="506">
        <v>173541906706557.38</v>
      </c>
      <c r="AU16" s="506">
        <v>173290988150705</v>
      </c>
      <c r="AV16" s="506">
        <v>173040069594852.63</v>
      </c>
      <c r="AW16" s="171">
        <f>(AV16/R16)^(1/30)-1</f>
        <v>-1.3724982547810294E-3</v>
      </c>
    </row>
    <row r="17" spans="1:49" ht="13.5" customHeight="1">
      <c r="A17" s="48" t="s">
        <v>189</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189</v>
      </c>
      <c r="O17" s="483">
        <f t="shared" si="9"/>
        <v>139948382465990</v>
      </c>
      <c r="P17" s="483">
        <f t="shared" si="9"/>
        <v>87086043608760</v>
      </c>
      <c r="Q17" s="484">
        <f>P17*P$113</f>
        <v>86284396563339.703</v>
      </c>
      <c r="R17" s="506">
        <v>82115831927154.188</v>
      </c>
      <c r="S17" s="506">
        <v>82856071586291.344</v>
      </c>
      <c r="T17" s="485">
        <f t="shared" si="10"/>
        <v>85817030222840</v>
      </c>
      <c r="U17" s="506">
        <v>84336550904565.672</v>
      </c>
      <c r="V17" s="506">
        <v>85076790563702.844</v>
      </c>
      <c r="W17" s="506">
        <v>85817030222840</v>
      </c>
      <c r="X17" s="506">
        <v>85158729528894</v>
      </c>
      <c r="Y17" s="506">
        <v>84500428834948</v>
      </c>
      <c r="Z17" s="506">
        <v>83842128141002</v>
      </c>
      <c r="AA17" s="506">
        <v>83183827447056</v>
      </c>
      <c r="AB17" s="506">
        <v>82525526753110</v>
      </c>
      <c r="AC17" s="506">
        <v>81827569390854</v>
      </c>
      <c r="AD17" s="506">
        <v>81129612028598</v>
      </c>
      <c r="AE17" s="506">
        <v>80431654666342</v>
      </c>
      <c r="AF17" s="506">
        <v>79733697304086</v>
      </c>
      <c r="AG17" s="507">
        <v>79035739941830</v>
      </c>
      <c r="AH17" s="506">
        <v>78456752584504</v>
      </c>
      <c r="AI17" s="506">
        <v>77877765227178</v>
      </c>
      <c r="AJ17" s="506">
        <v>77298777869852</v>
      </c>
      <c r="AK17" s="506">
        <v>76719790512526</v>
      </c>
      <c r="AL17" s="506">
        <v>76140803155200</v>
      </c>
      <c r="AM17" s="506">
        <v>75403189124634</v>
      </c>
      <c r="AN17" s="506">
        <v>74773729644004.25</v>
      </c>
      <c r="AO17" s="506">
        <v>74144270163374.75</v>
      </c>
      <c r="AP17" s="506">
        <v>73514810682745</v>
      </c>
      <c r="AQ17" s="506">
        <v>72885351202115.5</v>
      </c>
      <c r="AR17" s="506">
        <v>72255891721485.75</v>
      </c>
      <c r="AS17" s="506">
        <v>71626432240856.25</v>
      </c>
      <c r="AT17" s="506">
        <v>70996972760226.5</v>
      </c>
      <c r="AU17" s="506">
        <v>70367513279596.75</v>
      </c>
      <c r="AV17" s="506">
        <v>69738053798967.25</v>
      </c>
      <c r="AW17" s="169"/>
    </row>
    <row r="18" spans="1:49" ht="13.5" customHeight="1">
      <c r="A18" s="48" t="s">
        <v>190</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190</v>
      </c>
      <c r="O18" s="483">
        <f t="shared" si="9"/>
        <v>45049975200159.992</v>
      </c>
      <c r="P18" s="483">
        <f t="shared" si="9"/>
        <v>21176660877540</v>
      </c>
      <c r="Q18" s="484">
        <f>P18*P$114</f>
        <v>21152823266981.238</v>
      </c>
      <c r="R18" s="506">
        <v>20318506897424.656</v>
      </c>
      <c r="S18" s="506">
        <v>20609107698377.723</v>
      </c>
      <c r="T18" s="485">
        <f t="shared" si="10"/>
        <v>21771510902190</v>
      </c>
      <c r="U18" s="506">
        <v>21190309300283.859</v>
      </c>
      <c r="V18" s="506">
        <v>21480910101236.93</v>
      </c>
      <c r="W18" s="506">
        <v>21771510902190</v>
      </c>
      <c r="X18" s="506">
        <v>21763579568528</v>
      </c>
      <c r="Y18" s="506">
        <v>21755648234866</v>
      </c>
      <c r="Z18" s="506">
        <v>21747716901204</v>
      </c>
      <c r="AA18" s="506">
        <v>21739785567542</v>
      </c>
      <c r="AB18" s="506">
        <v>21731854233880</v>
      </c>
      <c r="AC18" s="506">
        <v>21684266231908</v>
      </c>
      <c r="AD18" s="506">
        <v>21636678229936</v>
      </c>
      <c r="AE18" s="506">
        <v>21589090227964</v>
      </c>
      <c r="AF18" s="506">
        <v>21541502225992</v>
      </c>
      <c r="AG18" s="507">
        <v>21493914224020</v>
      </c>
      <c r="AH18" s="506">
        <v>21493914224020</v>
      </c>
      <c r="AI18" s="506">
        <v>21493914224020</v>
      </c>
      <c r="AJ18" s="506">
        <v>21493914224020</v>
      </c>
      <c r="AK18" s="506">
        <v>21493914224020</v>
      </c>
      <c r="AL18" s="506">
        <v>21493914224020</v>
      </c>
      <c r="AM18" s="506">
        <v>21430463554724</v>
      </c>
      <c r="AN18" s="506">
        <v>21410274705402.547</v>
      </c>
      <c r="AO18" s="506">
        <v>21390085856081.094</v>
      </c>
      <c r="AP18" s="506">
        <v>21369897006759.641</v>
      </c>
      <c r="AQ18" s="506">
        <v>21349708157438.188</v>
      </c>
      <c r="AR18" s="506">
        <v>21329519308116.727</v>
      </c>
      <c r="AS18" s="506">
        <v>21309330458795.273</v>
      </c>
      <c r="AT18" s="506">
        <v>21289141609473.82</v>
      </c>
      <c r="AU18" s="506">
        <v>21268952760152.367</v>
      </c>
      <c r="AV18" s="506">
        <v>21248763910830.914</v>
      </c>
      <c r="AW18" s="169"/>
    </row>
    <row r="19" spans="1:49" ht="13.5" customHeight="1">
      <c r="A19" s="48" t="s">
        <v>191</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191</v>
      </c>
      <c r="O19" s="483">
        <f t="shared" si="9"/>
        <v>9993480414120</v>
      </c>
      <c r="P19" s="483">
        <f t="shared" si="9"/>
        <v>21692197565570</v>
      </c>
      <c r="Q19" s="484">
        <f>P19*P$115</f>
        <v>30984292008525.156</v>
      </c>
      <c r="R19" s="506">
        <v>38328559094022.359</v>
      </c>
      <c r="S19" s="506">
        <v>35683381483263.883</v>
      </c>
      <c r="T19" s="485">
        <f t="shared" si="10"/>
        <v>25102671040230</v>
      </c>
      <c r="U19" s="506">
        <v>30393026261746.941</v>
      </c>
      <c r="V19" s="506">
        <v>27747848650988.469</v>
      </c>
      <c r="W19" s="506">
        <v>25102671040230</v>
      </c>
      <c r="X19" s="506">
        <v>25356473717414</v>
      </c>
      <c r="Y19" s="506">
        <v>25610276394598</v>
      </c>
      <c r="Z19" s="506">
        <v>25864079071782</v>
      </c>
      <c r="AA19" s="506">
        <v>26117881748966</v>
      </c>
      <c r="AB19" s="506">
        <v>26371684426150</v>
      </c>
      <c r="AC19" s="506">
        <v>26514448432066</v>
      </c>
      <c r="AD19" s="506">
        <v>26657212437982</v>
      </c>
      <c r="AE19" s="506">
        <v>26799976443898</v>
      </c>
      <c r="AF19" s="506">
        <v>26942740449814</v>
      </c>
      <c r="AG19" s="507">
        <v>27085504455730.004</v>
      </c>
      <c r="AH19" s="506">
        <v>27148955125026</v>
      </c>
      <c r="AI19" s="506">
        <v>27212405794322</v>
      </c>
      <c r="AJ19" s="506">
        <v>27275856463618</v>
      </c>
      <c r="AK19" s="506">
        <v>27339307132914</v>
      </c>
      <c r="AL19" s="506">
        <v>27402757802209.996</v>
      </c>
      <c r="AM19" s="506">
        <v>27571959586999.344</v>
      </c>
      <c r="AN19" s="506">
        <v>27669058338497.781</v>
      </c>
      <c r="AO19" s="506">
        <v>27766157089996.188</v>
      </c>
      <c r="AP19" s="506">
        <v>27863255841494.625</v>
      </c>
      <c r="AQ19" s="506">
        <v>27960354592993.031</v>
      </c>
      <c r="AR19" s="506">
        <v>28057453344491.469</v>
      </c>
      <c r="AS19" s="506">
        <v>28154552095989.875</v>
      </c>
      <c r="AT19" s="506">
        <v>28251650847488.313</v>
      </c>
      <c r="AU19" s="506">
        <v>28348749598986.75</v>
      </c>
      <c r="AV19" s="506">
        <v>28445848350485.156</v>
      </c>
      <c r="AW19" s="169"/>
    </row>
    <row r="20" spans="1:49" ht="13.5" customHeight="1">
      <c r="A20" s="48" t="s">
        <v>192</v>
      </c>
      <c r="B20" s="43">
        <v>0.77200000000000002</v>
      </c>
      <c r="C20" s="43">
        <v>1.0449999999999999</v>
      </c>
      <c r="D20" s="43">
        <v>1.157</v>
      </c>
      <c r="E20" s="44">
        <v>1.232</v>
      </c>
      <c r="F20" s="44">
        <v>1.365</v>
      </c>
      <c r="G20" s="44">
        <v>1.3580000000000001</v>
      </c>
      <c r="H20" s="45">
        <v>20.32</v>
      </c>
      <c r="I20" s="45">
        <v>28.3</v>
      </c>
      <c r="J20" s="46"/>
      <c r="K20" s="47">
        <v>1.25</v>
      </c>
      <c r="L20" s="47">
        <v>1.05</v>
      </c>
      <c r="N20" s="48" t="s">
        <v>192</v>
      </c>
      <c r="O20" s="483">
        <f t="shared" si="9"/>
        <v>30614947935320</v>
      </c>
      <c r="P20" s="483">
        <f t="shared" si="9"/>
        <v>41441218383950</v>
      </c>
      <c r="Q20" s="484">
        <f>P20*P$117</f>
        <v>40865433596370.219</v>
      </c>
      <c r="R20" s="506">
        <v>39555905362671.078</v>
      </c>
      <c r="S20" s="506">
        <v>40821277337070.867</v>
      </c>
      <c r="T20" s="485">
        <f t="shared" si="10"/>
        <v>45882765234670</v>
      </c>
      <c r="U20" s="506">
        <v>43352021285870.438</v>
      </c>
      <c r="V20" s="506">
        <v>44617393260270.219</v>
      </c>
      <c r="W20" s="506">
        <v>45882765234670</v>
      </c>
      <c r="X20" s="506">
        <v>46231743915798</v>
      </c>
      <c r="Y20" s="506">
        <v>46580722596926</v>
      </c>
      <c r="Z20" s="506">
        <v>46929701278054</v>
      </c>
      <c r="AA20" s="506">
        <v>47278679959182</v>
      </c>
      <c r="AB20" s="506">
        <v>47627658640310</v>
      </c>
      <c r="AC20" s="506">
        <v>47913186652142</v>
      </c>
      <c r="AD20" s="506">
        <v>48198714663974</v>
      </c>
      <c r="AE20" s="506">
        <v>48484242675806</v>
      </c>
      <c r="AF20" s="506">
        <v>48769770687638</v>
      </c>
      <c r="AG20" s="507">
        <v>49055298699470.008</v>
      </c>
      <c r="AH20" s="506">
        <v>49364620712288</v>
      </c>
      <c r="AI20" s="506">
        <v>49673942725106</v>
      </c>
      <c r="AJ20" s="506">
        <v>49983264737924</v>
      </c>
      <c r="AK20" s="506">
        <v>50292586750742</v>
      </c>
      <c r="AL20" s="506">
        <v>50601908763560</v>
      </c>
      <c r="AM20" s="506">
        <v>50879505441730</v>
      </c>
      <c r="AN20" s="506">
        <v>51178733029887.25</v>
      </c>
      <c r="AO20" s="506">
        <v>51477960618044.5</v>
      </c>
      <c r="AP20" s="506">
        <v>51777188206201.75</v>
      </c>
      <c r="AQ20" s="506">
        <v>52076415794359</v>
      </c>
      <c r="AR20" s="506">
        <v>52375643382516.375</v>
      </c>
      <c r="AS20" s="506">
        <v>52674870970673.625</v>
      </c>
      <c r="AT20" s="506">
        <v>52974098558830.875</v>
      </c>
      <c r="AU20" s="506">
        <v>53273326146988.125</v>
      </c>
      <c r="AV20" s="506">
        <v>53572553735145.375</v>
      </c>
      <c r="AW20" s="169"/>
    </row>
    <row r="21" spans="1:49" ht="13.5" customHeight="1">
      <c r="A21" s="49" t="s">
        <v>193</v>
      </c>
      <c r="B21" s="43">
        <v>0</v>
      </c>
      <c r="C21" s="43">
        <v>0</v>
      </c>
      <c r="D21" s="43">
        <v>0</v>
      </c>
      <c r="E21" s="44">
        <v>0.74</v>
      </c>
      <c r="F21" s="44">
        <v>0.72</v>
      </c>
      <c r="G21" s="44">
        <v>0.69699999999999995</v>
      </c>
      <c r="H21" s="45">
        <v>16.62</v>
      </c>
      <c r="I21" s="45">
        <v>14.52</v>
      </c>
      <c r="J21" s="46"/>
      <c r="K21" s="47" t="s">
        <v>173</v>
      </c>
      <c r="L21" s="47">
        <v>-0.62</v>
      </c>
      <c r="N21" s="49" t="s">
        <v>193</v>
      </c>
      <c r="O21" s="487">
        <f t="shared" si="9"/>
        <v>0</v>
      </c>
      <c r="P21" s="487">
        <f t="shared" si="9"/>
        <v>0</v>
      </c>
      <c r="Q21" s="488">
        <f>P21*P$118</f>
        <v>0</v>
      </c>
      <c r="R21" s="508">
        <v>0</v>
      </c>
      <c r="S21" s="508">
        <v>0</v>
      </c>
      <c r="T21" s="492">
        <f t="shared" si="10"/>
        <v>0</v>
      </c>
      <c r="U21" s="508">
        <v>0</v>
      </c>
      <c r="V21" s="508">
        <v>0</v>
      </c>
      <c r="W21" s="508">
        <v>0</v>
      </c>
      <c r="X21" s="508">
        <v>0</v>
      </c>
      <c r="Y21" s="508">
        <v>0</v>
      </c>
      <c r="Z21" s="508">
        <v>0</v>
      </c>
      <c r="AA21" s="508">
        <v>0</v>
      </c>
      <c r="AB21" s="508">
        <v>0</v>
      </c>
      <c r="AC21" s="508">
        <v>0</v>
      </c>
      <c r="AD21" s="508">
        <v>0</v>
      </c>
      <c r="AE21" s="508">
        <v>0</v>
      </c>
      <c r="AF21" s="508">
        <v>0</v>
      </c>
      <c r="AG21" s="509">
        <v>0</v>
      </c>
      <c r="AH21" s="508">
        <v>0</v>
      </c>
      <c r="AI21" s="508">
        <v>0</v>
      </c>
      <c r="AJ21" s="508">
        <v>0</v>
      </c>
      <c r="AK21" s="508">
        <v>0</v>
      </c>
      <c r="AL21" s="508">
        <v>0</v>
      </c>
      <c r="AM21" s="510">
        <v>0</v>
      </c>
      <c r="AN21" s="510">
        <v>0</v>
      </c>
      <c r="AO21" s="510">
        <v>0</v>
      </c>
      <c r="AP21" s="510">
        <v>0</v>
      </c>
      <c r="AQ21" s="510">
        <v>0</v>
      </c>
      <c r="AR21" s="510">
        <v>0</v>
      </c>
      <c r="AS21" s="510">
        <v>0</v>
      </c>
      <c r="AT21" s="510">
        <v>0</v>
      </c>
      <c r="AU21" s="510">
        <v>0</v>
      </c>
      <c r="AV21" s="510">
        <v>0</v>
      </c>
      <c r="AW21" s="169"/>
    </row>
    <row r="22" spans="1:49" s="55" customFormat="1" ht="3" customHeight="1">
      <c r="A22" s="50"/>
      <c r="B22" s="51"/>
      <c r="C22" s="51"/>
      <c r="D22" s="51"/>
      <c r="E22" s="52"/>
      <c r="F22" s="52"/>
      <c r="G22" s="52"/>
      <c r="H22" s="53"/>
      <c r="I22" s="53"/>
      <c r="J22" s="53"/>
      <c r="K22" s="54"/>
      <c r="L22" s="54"/>
      <c r="N22" s="496"/>
      <c r="O22" s="483"/>
      <c r="P22" s="483"/>
      <c r="Q22" s="484"/>
      <c r="R22" s="484"/>
      <c r="S22" s="484"/>
      <c r="T22" s="485"/>
      <c r="U22" s="484"/>
      <c r="V22" s="484"/>
      <c r="W22" s="484"/>
      <c r="X22" s="484"/>
      <c r="Y22" s="484"/>
      <c r="Z22" s="484"/>
      <c r="AA22" s="484"/>
      <c r="AB22" s="484">
        <v>0</v>
      </c>
      <c r="AC22" s="484"/>
      <c r="AD22" s="484"/>
      <c r="AE22" s="484"/>
      <c r="AF22" s="484"/>
      <c r="AG22" s="486">
        <v>0</v>
      </c>
      <c r="AH22" s="484"/>
      <c r="AI22" s="484"/>
      <c r="AJ22" s="484"/>
      <c r="AK22" s="484"/>
      <c r="AL22" s="484">
        <v>0</v>
      </c>
      <c r="AM22" s="484"/>
      <c r="AN22" s="484"/>
      <c r="AO22" s="484"/>
      <c r="AP22" s="484"/>
      <c r="AQ22" s="484"/>
      <c r="AR22" s="484"/>
      <c r="AS22" s="484"/>
      <c r="AT22" s="484"/>
      <c r="AU22" s="484"/>
      <c r="AV22" s="484"/>
      <c r="AW22" s="169"/>
    </row>
    <row r="23" spans="1:49" ht="13.5" customHeight="1">
      <c r="A23" s="42" t="s">
        <v>196</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7" t="s">
        <v>197</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485">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6">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189</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8" t="s">
        <v>189</v>
      </c>
      <c r="O24" s="483">
        <f t="shared" si="11"/>
        <v>526442955893830.69</v>
      </c>
      <c r="P24" s="483">
        <f t="shared" si="12"/>
        <v>772591212015419.88</v>
      </c>
      <c r="Q24" s="484">
        <f t="shared" si="12"/>
        <v>778944399180864.5</v>
      </c>
      <c r="R24" s="493">
        <f t="shared" si="12"/>
        <v>739444659395065</v>
      </c>
      <c r="S24" s="484">
        <f t="shared" si="12"/>
        <v>767964757409266.63</v>
      </c>
      <c r="T24" s="485">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6">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190</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8" t="s">
        <v>190</v>
      </c>
      <c r="O25" s="483">
        <f t="shared" si="11"/>
        <v>36595829325918.25</v>
      </c>
      <c r="P25" s="483">
        <f t="shared" si="12"/>
        <v>0</v>
      </c>
      <c r="Q25" s="484">
        <f t="shared" si="12"/>
        <v>0</v>
      </c>
      <c r="R25" s="484">
        <f t="shared" si="12"/>
        <v>0</v>
      </c>
      <c r="S25" s="484">
        <f t="shared" si="12"/>
        <v>0</v>
      </c>
      <c r="T25" s="485">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6">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191</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8" t="s">
        <v>191</v>
      </c>
      <c r="O26" s="483">
        <f t="shared" si="11"/>
        <v>25658603993433.984</v>
      </c>
      <c r="P26" s="483">
        <f t="shared" si="12"/>
        <v>91461566231037.359</v>
      </c>
      <c r="Q26" s="484">
        <f t="shared" si="12"/>
        <v>89762548928311.75</v>
      </c>
      <c r="R26" s="484">
        <f t="shared" si="12"/>
        <v>84158587719609.094</v>
      </c>
      <c r="S26" s="484">
        <f t="shared" si="12"/>
        <v>88518965936138.891</v>
      </c>
      <c r="T26" s="485">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6">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192</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8" t="s">
        <v>192</v>
      </c>
      <c r="O27" s="483">
        <f t="shared" si="11"/>
        <v>68198225404297.656</v>
      </c>
      <c r="P27" s="483">
        <f t="shared" si="12"/>
        <v>97211434550299.641</v>
      </c>
      <c r="Q27" s="484">
        <f t="shared" si="12"/>
        <v>94807496866442.625</v>
      </c>
      <c r="R27" s="484">
        <f t="shared" si="12"/>
        <v>88624821284395.469</v>
      </c>
      <c r="S27" s="484">
        <f t="shared" si="12"/>
        <v>93499452277686.141</v>
      </c>
      <c r="T27" s="485">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6">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193</v>
      </c>
      <c r="B28" s="56">
        <v>0</v>
      </c>
      <c r="C28" s="56">
        <v>0</v>
      </c>
      <c r="D28" s="43">
        <v>0</v>
      </c>
      <c r="E28" s="44">
        <v>1.0999999999999999E-2</v>
      </c>
      <c r="F28" s="44">
        <v>1.2E-2</v>
      </c>
      <c r="G28" s="44">
        <v>1.2999999999999999E-2</v>
      </c>
      <c r="H28" s="45">
        <v>0.04</v>
      </c>
      <c r="I28" s="45">
        <v>0.05</v>
      </c>
      <c r="J28" s="57"/>
      <c r="K28" s="47" t="s">
        <v>173</v>
      </c>
      <c r="L28" s="47">
        <v>0.47</v>
      </c>
      <c r="N28" s="499" t="s">
        <v>193</v>
      </c>
      <c r="O28" s="487">
        <f t="shared" si="11"/>
        <v>0</v>
      </c>
      <c r="P28" s="487">
        <f t="shared" si="12"/>
        <v>0</v>
      </c>
      <c r="Q28" s="488">
        <f t="shared" si="12"/>
        <v>0</v>
      </c>
      <c r="R28" s="488">
        <f t="shared" si="12"/>
        <v>0</v>
      </c>
      <c r="S28" s="488">
        <f t="shared" si="12"/>
        <v>0</v>
      </c>
      <c r="T28" s="492">
        <f t="shared" si="12"/>
        <v>0</v>
      </c>
      <c r="U28" s="488">
        <f t="shared" si="12"/>
        <v>0</v>
      </c>
      <c r="V28" s="488">
        <f t="shared" si="12"/>
        <v>0</v>
      </c>
      <c r="W28" s="488">
        <f t="shared" si="12"/>
        <v>0</v>
      </c>
      <c r="X28" s="488">
        <f t="shared" si="12"/>
        <v>0</v>
      </c>
      <c r="Y28" s="488">
        <f t="shared" si="12"/>
        <v>0</v>
      </c>
      <c r="Z28" s="488">
        <f t="shared" si="13"/>
        <v>0</v>
      </c>
      <c r="AA28" s="488">
        <f t="shared" si="13"/>
        <v>0</v>
      </c>
      <c r="AB28" s="488">
        <f t="shared" si="13"/>
        <v>0</v>
      </c>
      <c r="AC28" s="488">
        <f t="shared" si="13"/>
        <v>0</v>
      </c>
      <c r="AD28" s="488">
        <f t="shared" si="13"/>
        <v>0</v>
      </c>
      <c r="AE28" s="488">
        <f t="shared" si="13"/>
        <v>0</v>
      </c>
      <c r="AF28" s="488">
        <f t="shared" si="13"/>
        <v>0</v>
      </c>
      <c r="AG28" s="490">
        <f t="shared" si="13"/>
        <v>0</v>
      </c>
      <c r="AH28" s="488">
        <f t="shared" ref="AH28:AV28" si="19">BC79*$N$3</f>
        <v>0</v>
      </c>
      <c r="AI28" s="488">
        <f t="shared" si="19"/>
        <v>0</v>
      </c>
      <c r="AJ28" s="488">
        <f t="shared" si="19"/>
        <v>0</v>
      </c>
      <c r="AK28" s="488">
        <f t="shared" si="19"/>
        <v>0</v>
      </c>
      <c r="AL28" s="488">
        <f t="shared" si="19"/>
        <v>0</v>
      </c>
      <c r="AM28" s="491">
        <f t="shared" si="19"/>
        <v>0</v>
      </c>
      <c r="AN28" s="491">
        <f t="shared" si="19"/>
        <v>0</v>
      </c>
      <c r="AO28" s="491">
        <f t="shared" si="19"/>
        <v>0</v>
      </c>
      <c r="AP28" s="491">
        <f t="shared" si="19"/>
        <v>0</v>
      </c>
      <c r="AQ28" s="491">
        <f t="shared" si="19"/>
        <v>0</v>
      </c>
      <c r="AR28" s="491">
        <f t="shared" si="19"/>
        <v>0</v>
      </c>
      <c r="AS28" s="491">
        <f t="shared" si="19"/>
        <v>0</v>
      </c>
      <c r="AT28" s="491">
        <f t="shared" si="19"/>
        <v>0</v>
      </c>
      <c r="AU28" s="491">
        <f t="shared" si="19"/>
        <v>0</v>
      </c>
      <c r="AV28" s="491">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485"/>
      <c r="U29" s="484"/>
      <c r="V29" s="484"/>
      <c r="W29" s="484"/>
      <c r="X29" s="484"/>
      <c r="Y29" s="484"/>
      <c r="Z29" s="484"/>
      <c r="AA29" s="484"/>
      <c r="AB29" s="484">
        <v>0</v>
      </c>
      <c r="AC29" s="484"/>
      <c r="AD29" s="484"/>
      <c r="AE29" s="484"/>
      <c r="AF29" s="484"/>
      <c r="AG29" s="486">
        <v>0</v>
      </c>
      <c r="AH29" s="484"/>
      <c r="AI29" s="484"/>
      <c r="AJ29" s="484"/>
      <c r="AK29" s="484"/>
      <c r="AL29" s="484">
        <v>0</v>
      </c>
      <c r="AM29" s="484"/>
      <c r="AN29" s="484"/>
      <c r="AO29" s="484"/>
      <c r="AP29" s="484"/>
      <c r="AQ29" s="484"/>
      <c r="AR29" s="484"/>
      <c r="AS29" s="484"/>
      <c r="AT29" s="484"/>
      <c r="AU29" s="484"/>
      <c r="AV29" s="484"/>
      <c r="AW29" s="169"/>
    </row>
    <row r="30" spans="1:49" ht="13.5" customHeight="1">
      <c r="A30" s="42" t="s">
        <v>198</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2" t="s">
        <v>199</v>
      </c>
      <c r="O30" s="483">
        <f t="shared" ref="O30:P35" si="21">B30*$N$3</f>
        <v>202557059593443.84</v>
      </c>
      <c r="P30" s="483">
        <f t="shared" si="21"/>
        <v>453041367029179.94</v>
      </c>
      <c r="Q30" s="484">
        <f>SUM(Q31:Q35)</f>
        <v>481384618057926.56</v>
      </c>
      <c r="R30" s="506">
        <v>495852240569989.63</v>
      </c>
      <c r="S30" s="506">
        <v>500804340770727.69</v>
      </c>
      <c r="T30" s="485">
        <f>D30*$N$3</f>
        <v>520612741573680</v>
      </c>
      <c r="U30" s="506">
        <v>510708541172203.88</v>
      </c>
      <c r="V30" s="506">
        <v>515660641372941.94</v>
      </c>
      <c r="W30" s="506">
        <v>520612741573680</v>
      </c>
      <c r="X30" s="506">
        <v>529828951288920</v>
      </c>
      <c r="Y30" s="506">
        <v>539045161004164</v>
      </c>
      <c r="Z30" s="506">
        <v>548261370719408</v>
      </c>
      <c r="AA30" s="506">
        <v>557477580434652</v>
      </c>
      <c r="AB30" s="506">
        <v>566693790149900</v>
      </c>
      <c r="AC30" s="506">
        <v>574522016474292</v>
      </c>
      <c r="AD30" s="506">
        <v>582350242798686</v>
      </c>
      <c r="AE30" s="506">
        <v>590178469123080</v>
      </c>
      <c r="AF30" s="506">
        <v>598006695447474</v>
      </c>
      <c r="AG30" s="507">
        <v>605834921771870</v>
      </c>
      <c r="AH30" s="506">
        <v>613932813440770</v>
      </c>
      <c r="AI30" s="506">
        <v>622030705109672</v>
      </c>
      <c r="AJ30" s="506">
        <v>630128596778574</v>
      </c>
      <c r="AK30" s="506">
        <v>638226488447476</v>
      </c>
      <c r="AL30" s="506">
        <v>646324380116379.88</v>
      </c>
      <c r="AM30" s="506">
        <v>654062717992606</v>
      </c>
      <c r="AN30" s="506">
        <v>662046206182018</v>
      </c>
      <c r="AO30" s="506">
        <v>670029694371432</v>
      </c>
      <c r="AP30" s="506">
        <v>678013182560846</v>
      </c>
      <c r="AQ30" s="506">
        <v>685996670750260</v>
      </c>
      <c r="AR30" s="506">
        <v>693980158939674</v>
      </c>
      <c r="AS30" s="506">
        <v>701963647129088</v>
      </c>
      <c r="AT30" s="506">
        <v>709947135318502</v>
      </c>
      <c r="AU30" s="506">
        <v>717930623507916</v>
      </c>
      <c r="AV30" s="506">
        <v>725914111697330</v>
      </c>
      <c r="AW30" s="171">
        <f>(AV30/R30)^(1/30)-1</f>
        <v>1.2786177125774234E-2</v>
      </c>
    </row>
    <row r="31" spans="1:49" ht="13.5" customHeight="1">
      <c r="A31" s="48" t="s">
        <v>189</v>
      </c>
      <c r="B31" s="43">
        <v>0</v>
      </c>
      <c r="C31" s="43">
        <v>0</v>
      </c>
      <c r="D31" s="43">
        <v>0</v>
      </c>
      <c r="E31" s="44">
        <f t="shared" ref="E31:G35" si="22">E38+E45</f>
        <v>0.09</v>
      </c>
      <c r="F31" s="44">
        <f t="shared" si="22"/>
        <v>9.0999999999999998E-2</v>
      </c>
      <c r="G31" s="44">
        <f t="shared" si="22"/>
        <v>8.4000000000000005E-2</v>
      </c>
      <c r="H31" s="45"/>
      <c r="I31" s="45"/>
      <c r="J31" s="41"/>
      <c r="K31" s="47"/>
      <c r="L31" s="47"/>
      <c r="N31" s="48" t="s">
        <v>189</v>
      </c>
      <c r="O31" s="483">
        <f t="shared" si="21"/>
        <v>0</v>
      </c>
      <c r="P31" s="483">
        <f t="shared" si="21"/>
        <v>0</v>
      </c>
      <c r="Q31" s="484">
        <f>P31*P$113</f>
        <v>0</v>
      </c>
      <c r="R31" s="506">
        <v>0</v>
      </c>
      <c r="S31" s="506">
        <v>0</v>
      </c>
      <c r="T31" s="485">
        <f t="shared" si="10"/>
        <v>0</v>
      </c>
      <c r="U31" s="506">
        <v>0</v>
      </c>
      <c r="V31" s="506">
        <v>0</v>
      </c>
      <c r="W31" s="506">
        <v>0</v>
      </c>
      <c r="X31" s="506">
        <v>0</v>
      </c>
      <c r="Y31" s="506">
        <v>0</v>
      </c>
      <c r="Z31" s="506">
        <v>0</v>
      </c>
      <c r="AA31" s="506">
        <v>0</v>
      </c>
      <c r="AB31" s="506">
        <v>0</v>
      </c>
      <c r="AC31" s="506">
        <v>0</v>
      </c>
      <c r="AD31" s="506">
        <v>0</v>
      </c>
      <c r="AE31" s="506">
        <v>0</v>
      </c>
      <c r="AF31" s="506">
        <v>0</v>
      </c>
      <c r="AG31" s="507">
        <v>0</v>
      </c>
      <c r="AH31" s="506">
        <v>0</v>
      </c>
      <c r="AI31" s="506">
        <v>0</v>
      </c>
      <c r="AJ31" s="506">
        <v>0</v>
      </c>
      <c r="AK31" s="506">
        <v>0</v>
      </c>
      <c r="AL31" s="506">
        <v>0</v>
      </c>
      <c r="AM31" s="506">
        <v>0</v>
      </c>
      <c r="AN31" s="506">
        <v>0</v>
      </c>
      <c r="AO31" s="506">
        <v>0</v>
      </c>
      <c r="AP31" s="506">
        <v>0</v>
      </c>
      <c r="AQ31" s="506">
        <v>0</v>
      </c>
      <c r="AR31" s="506">
        <v>0</v>
      </c>
      <c r="AS31" s="506">
        <v>0</v>
      </c>
      <c r="AT31" s="506">
        <v>0</v>
      </c>
      <c r="AU31" s="506">
        <v>0</v>
      </c>
      <c r="AV31" s="506">
        <v>0</v>
      </c>
      <c r="AW31" s="169"/>
    </row>
    <row r="32" spans="1:49" ht="13.5" customHeight="1">
      <c r="A32" s="48" t="s">
        <v>190</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190</v>
      </c>
      <c r="O32" s="483">
        <f t="shared" si="21"/>
        <v>61409800049226.93</v>
      </c>
      <c r="P32" s="483">
        <f t="shared" si="21"/>
        <v>11264184927151.188</v>
      </c>
      <c r="Q32" s="484">
        <f>P32*P$114</f>
        <v>11251505343003.902</v>
      </c>
      <c r="R32" s="506">
        <v>10807719897848.939</v>
      </c>
      <c r="S32" s="506">
        <v>10803498674343.15</v>
      </c>
      <c r="T32" s="485">
        <f t="shared" si="10"/>
        <v>10786613780320</v>
      </c>
      <c r="U32" s="506">
        <v>10795056227331.574</v>
      </c>
      <c r="V32" s="506">
        <v>10790835003825.787</v>
      </c>
      <c r="W32" s="506">
        <v>10786613780320</v>
      </c>
      <c r="X32" s="506">
        <v>10556605104122</v>
      </c>
      <c r="Y32" s="506">
        <v>10326596427924</v>
      </c>
      <c r="Z32" s="506">
        <v>10096587751726</v>
      </c>
      <c r="AA32" s="506">
        <v>9866579075528</v>
      </c>
      <c r="AB32" s="506">
        <v>9636570399330</v>
      </c>
      <c r="AC32" s="506">
        <v>9430355724118</v>
      </c>
      <c r="AD32" s="506">
        <v>9224141048906</v>
      </c>
      <c r="AE32" s="506">
        <v>9017926373694</v>
      </c>
      <c r="AF32" s="506">
        <v>8811711698482</v>
      </c>
      <c r="AG32" s="507">
        <v>8605497023270</v>
      </c>
      <c r="AH32" s="506">
        <v>8391351014396</v>
      </c>
      <c r="AI32" s="506">
        <v>8177205005522</v>
      </c>
      <c r="AJ32" s="506">
        <v>7963058996648</v>
      </c>
      <c r="AK32" s="506">
        <v>7748912987774</v>
      </c>
      <c r="AL32" s="506">
        <v>7534766978900</v>
      </c>
      <c r="AM32" s="506">
        <v>7331196081575.3125</v>
      </c>
      <c r="AN32" s="506">
        <v>7120414880921.5625</v>
      </c>
      <c r="AO32" s="506">
        <v>6909633680267.8125</v>
      </c>
      <c r="AP32" s="506">
        <v>6698852479614</v>
      </c>
      <c r="AQ32" s="506">
        <v>6488071278960.25</v>
      </c>
      <c r="AR32" s="506">
        <v>6277290078306.5</v>
      </c>
      <c r="AS32" s="506">
        <v>6066508877652.75</v>
      </c>
      <c r="AT32" s="506">
        <v>5855727676999</v>
      </c>
      <c r="AU32" s="506">
        <v>5644946476345.25</v>
      </c>
      <c r="AV32" s="506">
        <v>5434165275691.5</v>
      </c>
      <c r="AW32" s="169"/>
    </row>
    <row r="33" spans="1:49" ht="13.5" customHeight="1">
      <c r="A33" s="48" t="s">
        <v>191</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191</v>
      </c>
      <c r="O33" s="483">
        <f t="shared" si="21"/>
        <v>28611126228116.938</v>
      </c>
      <c r="P33" s="483">
        <f t="shared" si="21"/>
        <v>77995673021520.797</v>
      </c>
      <c r="Q33" s="484">
        <f>P33*P$115</f>
        <v>111405988305027.98</v>
      </c>
      <c r="R33" s="506">
        <v>137812766707800</v>
      </c>
      <c r="S33" s="506">
        <v>126969464725736</v>
      </c>
      <c r="T33" s="485">
        <f t="shared" si="10"/>
        <v>83596256797480</v>
      </c>
      <c r="U33" s="506">
        <v>105282860761608.02</v>
      </c>
      <c r="V33" s="506">
        <v>94439558779544.016</v>
      </c>
      <c r="W33" s="506">
        <v>83596256797480</v>
      </c>
      <c r="X33" s="506">
        <v>85317356202134</v>
      </c>
      <c r="Y33" s="506">
        <v>87038455606788</v>
      </c>
      <c r="Z33" s="506">
        <v>88759555011442</v>
      </c>
      <c r="AA33" s="506">
        <v>90480654416096</v>
      </c>
      <c r="AB33" s="506">
        <v>92201753820750</v>
      </c>
      <c r="AC33" s="506">
        <v>93780089219488</v>
      </c>
      <c r="AD33" s="506">
        <v>95358424618226</v>
      </c>
      <c r="AE33" s="506">
        <v>96936760016964</v>
      </c>
      <c r="AF33" s="506">
        <v>98515095415702</v>
      </c>
      <c r="AG33" s="507">
        <v>100093430814440</v>
      </c>
      <c r="AH33" s="506">
        <v>101751079549798</v>
      </c>
      <c r="AI33" s="506">
        <v>103408728285156</v>
      </c>
      <c r="AJ33" s="506">
        <v>105066377020514</v>
      </c>
      <c r="AK33" s="506">
        <v>106724025755872</v>
      </c>
      <c r="AL33" s="506">
        <v>108381674491230</v>
      </c>
      <c r="AM33" s="506">
        <v>109933572111094.5</v>
      </c>
      <c r="AN33" s="506">
        <v>111557572764250</v>
      </c>
      <c r="AO33" s="506">
        <v>113181573417405.5</v>
      </c>
      <c r="AP33" s="506">
        <v>114805574070561</v>
      </c>
      <c r="AQ33" s="506">
        <v>116429574723717</v>
      </c>
      <c r="AR33" s="506">
        <v>118053575376872.5</v>
      </c>
      <c r="AS33" s="506">
        <v>119677576030028</v>
      </c>
      <c r="AT33" s="506">
        <v>121301576683183.5</v>
      </c>
      <c r="AU33" s="506">
        <v>122925577336339</v>
      </c>
      <c r="AV33" s="506">
        <v>124549577989494.5</v>
      </c>
      <c r="AW33" s="169"/>
    </row>
    <row r="34" spans="1:49" ht="13.5" customHeight="1">
      <c r="A34" s="48" t="s">
        <v>192</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192</v>
      </c>
      <c r="O34" s="483">
        <f t="shared" si="21"/>
        <v>112536133316099.98</v>
      </c>
      <c r="P34" s="483">
        <f t="shared" si="21"/>
        <v>363781509080507.94</v>
      </c>
      <c r="Q34" s="484">
        <f>P34*P$117</f>
        <v>358727124409894.69</v>
      </c>
      <c r="R34" s="506">
        <v>347231753964340.75</v>
      </c>
      <c r="S34" s="506">
        <v>363023446036986.56</v>
      </c>
      <c r="T34" s="485">
        <f t="shared" si="10"/>
        <v>426190214327570</v>
      </c>
      <c r="U34" s="506">
        <v>394606830182278.31</v>
      </c>
      <c r="V34" s="506">
        <v>410398522254924.13</v>
      </c>
      <c r="W34" s="506">
        <v>426190214327570</v>
      </c>
      <c r="X34" s="506">
        <v>433923264648018</v>
      </c>
      <c r="Y34" s="506">
        <v>441656314968468</v>
      </c>
      <c r="Z34" s="506">
        <v>449389365288918</v>
      </c>
      <c r="AA34" s="506">
        <v>457122415609368</v>
      </c>
      <c r="AB34" s="506">
        <v>464855465929820</v>
      </c>
      <c r="AC34" s="506">
        <v>471311571530688</v>
      </c>
      <c r="AD34" s="506">
        <v>477767677131556</v>
      </c>
      <c r="AE34" s="506">
        <v>484223782732424</v>
      </c>
      <c r="AF34" s="506">
        <v>490679888333292</v>
      </c>
      <c r="AG34" s="507">
        <v>497135993934160</v>
      </c>
      <c r="AH34" s="506">
        <v>503782451542916</v>
      </c>
      <c r="AI34" s="506">
        <v>510428909151672</v>
      </c>
      <c r="AJ34" s="506">
        <v>517075366760428</v>
      </c>
      <c r="AK34" s="506">
        <v>523721824369184</v>
      </c>
      <c r="AL34" s="506">
        <v>530368281977940</v>
      </c>
      <c r="AM34" s="506">
        <v>536760936909512</v>
      </c>
      <c r="AN34" s="506">
        <v>543326639120982</v>
      </c>
      <c r="AO34" s="506">
        <v>549892341332454</v>
      </c>
      <c r="AP34" s="506">
        <v>556458043543924</v>
      </c>
      <c r="AQ34" s="506">
        <v>563023745755394</v>
      </c>
      <c r="AR34" s="506">
        <v>569589447966864</v>
      </c>
      <c r="AS34" s="506">
        <v>576155150178334</v>
      </c>
      <c r="AT34" s="506">
        <v>582720852389804</v>
      </c>
      <c r="AU34" s="506">
        <v>589286554601274</v>
      </c>
      <c r="AV34" s="506">
        <v>595852256812744</v>
      </c>
      <c r="AW34" s="169"/>
    </row>
    <row r="35" spans="1:49" ht="13.5" customHeight="1">
      <c r="A35" s="49" t="s">
        <v>193</v>
      </c>
      <c r="B35" s="56">
        <v>0</v>
      </c>
      <c r="C35" s="56">
        <v>0</v>
      </c>
      <c r="D35" s="43">
        <v>0</v>
      </c>
      <c r="E35" s="409">
        <f t="shared" si="22"/>
        <v>0.46599999999999997</v>
      </c>
      <c r="F35" s="409">
        <f t="shared" si="22"/>
        <v>0.52500000000000002</v>
      </c>
      <c r="G35" s="409">
        <f t="shared" si="22"/>
        <v>0.55900000000000005</v>
      </c>
      <c r="H35" s="45"/>
      <c r="I35" s="45"/>
      <c r="J35" s="57"/>
      <c r="K35" s="47"/>
      <c r="L35" s="47"/>
      <c r="N35" s="49" t="s">
        <v>193</v>
      </c>
      <c r="O35" s="487">
        <f t="shared" si="21"/>
        <v>0</v>
      </c>
      <c r="P35" s="487">
        <f t="shared" si="21"/>
        <v>0</v>
      </c>
      <c r="Q35" s="488">
        <f>P35*P$118</f>
        <v>0</v>
      </c>
      <c r="R35" s="508">
        <v>0</v>
      </c>
      <c r="S35" s="508">
        <v>0</v>
      </c>
      <c r="T35" s="492">
        <f t="shared" si="10"/>
        <v>0</v>
      </c>
      <c r="U35" s="508">
        <v>0</v>
      </c>
      <c r="V35" s="508">
        <v>0</v>
      </c>
      <c r="W35" s="508">
        <v>0</v>
      </c>
      <c r="X35" s="508">
        <v>0</v>
      </c>
      <c r="Y35" s="508">
        <v>0</v>
      </c>
      <c r="Z35" s="508">
        <v>0</v>
      </c>
      <c r="AA35" s="508">
        <v>0</v>
      </c>
      <c r="AB35" s="508">
        <v>0</v>
      </c>
      <c r="AC35" s="508">
        <v>0</v>
      </c>
      <c r="AD35" s="508">
        <v>0</v>
      </c>
      <c r="AE35" s="508">
        <v>0</v>
      </c>
      <c r="AF35" s="508">
        <v>0</v>
      </c>
      <c r="AG35" s="509">
        <v>0</v>
      </c>
      <c r="AH35" s="508">
        <v>0</v>
      </c>
      <c r="AI35" s="508">
        <v>0</v>
      </c>
      <c r="AJ35" s="508">
        <v>0</v>
      </c>
      <c r="AK35" s="508">
        <v>0</v>
      </c>
      <c r="AL35" s="508">
        <v>0</v>
      </c>
      <c r="AM35" s="510">
        <v>0</v>
      </c>
      <c r="AN35" s="510">
        <v>0</v>
      </c>
      <c r="AO35" s="510">
        <v>0</v>
      </c>
      <c r="AP35" s="510">
        <v>0</v>
      </c>
      <c r="AQ35" s="510">
        <v>0</v>
      </c>
      <c r="AR35" s="510">
        <v>0</v>
      </c>
      <c r="AS35" s="510">
        <v>0</v>
      </c>
      <c r="AT35" s="510">
        <v>0</v>
      </c>
      <c r="AU35" s="510">
        <v>0</v>
      </c>
      <c r="AV35" s="510">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3">RATE(30,0,-R36,AV36)</f>
        <v>#NUM!</v>
      </c>
    </row>
    <row r="37" spans="1:49" ht="13.5" customHeight="1">
      <c r="A37" s="42" t="s">
        <v>200</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168</v>
      </c>
      <c r="B38" s="43">
        <v>0</v>
      </c>
      <c r="C38" s="404"/>
      <c r="D38" s="43">
        <v>8.5574999999999998E-2</v>
      </c>
      <c r="E38" s="44">
        <v>0.09</v>
      </c>
      <c r="F38" s="44">
        <v>9.0999999999999998E-2</v>
      </c>
      <c r="G38" s="44">
        <v>8.4000000000000005E-2</v>
      </c>
      <c r="H38" s="45">
        <v>0.86</v>
      </c>
      <c r="I38" s="45">
        <v>0.76</v>
      </c>
      <c r="K38" s="47" t="s">
        <v>173</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169</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201</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171</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202</v>
      </c>
      <c r="B42" s="56">
        <v>0</v>
      </c>
      <c r="C42" s="407"/>
      <c r="D42" s="408">
        <v>0.31311800000000001</v>
      </c>
      <c r="E42" s="409">
        <v>0.34899999999999998</v>
      </c>
      <c r="F42" s="409">
        <v>0.40400000000000003</v>
      </c>
      <c r="G42" s="409">
        <v>0.442</v>
      </c>
      <c r="H42" s="45">
        <v>3.16</v>
      </c>
      <c r="I42" s="45">
        <v>3.97</v>
      </c>
      <c r="J42" s="410"/>
      <c r="K42" s="47" t="s">
        <v>173</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203</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168</v>
      </c>
      <c r="B45" s="43">
        <v>0</v>
      </c>
      <c r="C45" s="404"/>
      <c r="D45" s="43">
        <v>0</v>
      </c>
      <c r="E45" s="44">
        <v>0</v>
      </c>
      <c r="F45" s="44">
        <v>0</v>
      </c>
      <c r="G45" s="44">
        <v>0</v>
      </c>
      <c r="H45" s="45">
        <v>0</v>
      </c>
      <c r="I45" s="45">
        <v>0</v>
      </c>
      <c r="K45" s="47" t="s">
        <v>173</v>
      </c>
      <c r="L45" s="47" t="s">
        <v>173</v>
      </c>
    </row>
    <row r="46" spans="1:49">
      <c r="A46" s="48" t="s">
        <v>169</v>
      </c>
      <c r="B46" s="43">
        <v>0.97194100000000005</v>
      </c>
      <c r="C46" s="404"/>
      <c r="D46" s="43">
        <v>0.24479400000000001</v>
      </c>
      <c r="E46" s="44">
        <v>0.26</v>
      </c>
      <c r="F46" s="44">
        <v>0.247</v>
      </c>
      <c r="G46" s="44">
        <v>0.21199999999999999</v>
      </c>
      <c r="H46" s="45">
        <v>7.9</v>
      </c>
      <c r="I46" s="45">
        <v>7.06</v>
      </c>
      <c r="K46" s="47">
        <v>-6.08</v>
      </c>
      <c r="L46" s="47">
        <v>-0.51</v>
      </c>
    </row>
    <row r="47" spans="1:49">
      <c r="A47" s="48" t="s">
        <v>201</v>
      </c>
      <c r="B47" s="43">
        <v>0</v>
      </c>
      <c r="C47" s="404"/>
      <c r="D47" s="43">
        <v>0.79857</v>
      </c>
      <c r="E47" s="44">
        <v>0.62</v>
      </c>
      <c r="F47" s="44">
        <v>0.56899999999999995</v>
      </c>
      <c r="G47" s="44">
        <v>0.52600000000000002</v>
      </c>
      <c r="H47" s="45">
        <v>25.76</v>
      </c>
      <c r="I47" s="45">
        <v>17.48</v>
      </c>
      <c r="K47" s="47" t="s">
        <v>173</v>
      </c>
      <c r="L47" s="47">
        <v>-1.48</v>
      </c>
    </row>
    <row r="48" spans="1:49">
      <c r="A48" s="48" t="s">
        <v>171</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202</v>
      </c>
      <c r="B49" s="408">
        <v>0</v>
      </c>
      <c r="C49" s="407"/>
      <c r="D49" s="408">
        <v>0.100434</v>
      </c>
      <c r="E49" s="409">
        <v>0.11700000000000001</v>
      </c>
      <c r="F49" s="409">
        <v>0.121</v>
      </c>
      <c r="G49" s="409">
        <v>0.11700000000000001</v>
      </c>
      <c r="H49" s="411">
        <v>3.24</v>
      </c>
      <c r="I49" s="411">
        <v>3.89</v>
      </c>
      <c r="J49" s="410"/>
      <c r="K49" s="412" t="s">
        <v>173</v>
      </c>
      <c r="L49" s="412">
        <v>0.55000000000000004</v>
      </c>
      <c r="T49" s="548" t="s">
        <v>1214</v>
      </c>
    </row>
    <row r="50" spans="1:69">
      <c r="A50" s="477" t="s">
        <v>204</v>
      </c>
      <c r="T50" s="468" t="s">
        <v>205</v>
      </c>
    </row>
    <row r="51" spans="1:69">
      <c r="A51" s="42" t="s">
        <v>206</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207</v>
      </c>
      <c r="O51" s="149">
        <f t="shared" ref="O51:P56" si="24">B51*$N$3</f>
        <v>649404241647955.63</v>
      </c>
      <c r="P51" s="149">
        <f t="shared" si="24"/>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189</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189</v>
      </c>
      <c r="O52" s="149">
        <f t="shared" si="24"/>
        <v>145499631950809.28</v>
      </c>
      <c r="P52" s="149">
        <f t="shared" si="24"/>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190</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190</v>
      </c>
      <c r="O53" s="149">
        <f t="shared" si="24"/>
        <v>307602774099534.38</v>
      </c>
      <c r="P53" s="149">
        <f t="shared" si="24"/>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191</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191</v>
      </c>
      <c r="O54" s="149">
        <f t="shared" si="24"/>
        <v>62519157951399.086</v>
      </c>
      <c r="P54" s="149">
        <f t="shared" si="24"/>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192</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192</v>
      </c>
      <c r="O55" s="149">
        <f t="shared" si="24"/>
        <v>133822334314522.34</v>
      </c>
      <c r="P55" s="149">
        <f t="shared" si="24"/>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193</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193</v>
      </c>
      <c r="O56" s="149">
        <f t="shared" si="24"/>
        <v>0</v>
      </c>
      <c r="P56" s="149">
        <f t="shared" si="24"/>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23" t="s">
        <v>208</v>
      </c>
      <c r="B57" s="524"/>
      <c r="C57" s="524"/>
      <c r="D57" s="524"/>
      <c r="E57" s="524"/>
      <c r="F57" s="524"/>
      <c r="G57" s="524"/>
      <c r="H57" s="524"/>
      <c r="I57" s="524"/>
      <c r="J57" s="524"/>
      <c r="K57" s="524"/>
      <c r="L57" s="524"/>
      <c r="N57" s="528" t="s">
        <v>209</v>
      </c>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210</v>
      </c>
      <c r="B61"/>
      <c r="C61"/>
      <c r="D61"/>
      <c r="E61"/>
      <c r="F61" t="s">
        <v>211</v>
      </c>
      <c r="G61"/>
      <c r="H61"/>
      <c r="I61"/>
      <c r="J61"/>
      <c r="K61"/>
      <c r="L61"/>
      <c r="M61"/>
      <c r="N61"/>
      <c r="O61"/>
      <c r="P61"/>
      <c r="Q61"/>
      <c r="R61"/>
      <c r="S61"/>
      <c r="T61"/>
      <c r="AK61" s="468" t="s">
        <v>212</v>
      </c>
      <c r="AM61" s="468" t="s">
        <v>213</v>
      </c>
      <c r="AW61" s="150"/>
      <c r="AX61" s="150"/>
      <c r="AY61" s="150"/>
      <c r="AZ61" s="150"/>
      <c r="BA61" s="150"/>
      <c r="BB61" s="150"/>
    </row>
    <row r="62" spans="1:69">
      <c r="A62"/>
      <c r="B62" s="457" t="s">
        <v>214</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187</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5" t="s">
        <v>215</v>
      </c>
      <c r="B64" s="462">
        <v>72194</v>
      </c>
      <c r="C64" s="500">
        <v>72091.217999999993</v>
      </c>
      <c r="D64" s="462">
        <v>72002.762000000002</v>
      </c>
      <c r="E64" s="462">
        <v>69154.076000000001</v>
      </c>
      <c r="F64" s="512">
        <v>76350.617771625504</v>
      </c>
      <c r="G64" s="500">
        <v>72464.716090123722</v>
      </c>
      <c r="H64" s="462">
        <v>67820.920612173883</v>
      </c>
      <c r="I64" s="462">
        <v>66067.536988538996</v>
      </c>
      <c r="J64" s="462">
        <v>65267.904362029301</v>
      </c>
      <c r="K64" s="462">
        <v>64360.325421142647</v>
      </c>
      <c r="L64" s="462">
        <v>63351.786603656219</v>
      </c>
      <c r="M64" s="462">
        <v>62262.864034883103</v>
      </c>
      <c r="N64" s="462">
        <v>60692.732482411142</v>
      </c>
      <c r="O64" s="500">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500">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500">
        <v>55591.211198189834</v>
      </c>
      <c r="AK64" s="467">
        <f t="shared" ref="AK64:AT69" si="25">C64/1000</f>
        <v>72.091217999999998</v>
      </c>
      <c r="AL64" s="467">
        <f t="shared" si="25"/>
        <v>72.002762000000004</v>
      </c>
      <c r="AM64" s="467">
        <f t="shared" si="25"/>
        <v>69.154076000000003</v>
      </c>
      <c r="AN64" s="467">
        <f t="shared" si="25"/>
        <v>76.350617771625508</v>
      </c>
      <c r="AO64" s="467">
        <f t="shared" si="25"/>
        <v>72.464716090123716</v>
      </c>
      <c r="AP64" s="467">
        <f t="shared" si="25"/>
        <v>67.820920612173879</v>
      </c>
      <c r="AQ64" s="467">
        <f t="shared" si="25"/>
        <v>66.06753698853899</v>
      </c>
      <c r="AR64" s="467">
        <f t="shared" si="25"/>
        <v>65.267904362029299</v>
      </c>
      <c r="AS64" s="467">
        <f t="shared" si="25"/>
        <v>64.360325421142647</v>
      </c>
      <c r="AT64" s="467">
        <f t="shared" si="25"/>
        <v>63.351786603656222</v>
      </c>
      <c r="AU64" s="467">
        <f t="shared" ref="AU64:BB69" si="26">M64/1000</f>
        <v>62.262864034883101</v>
      </c>
      <c r="AV64" s="467">
        <f t="shared" si="26"/>
        <v>60.692732482411145</v>
      </c>
      <c r="AW64" s="467">
        <f t="shared" si="26"/>
        <v>59.476156750208176</v>
      </c>
      <c r="AX64" s="467">
        <f t="shared" si="26"/>
        <v>59.046133070702702</v>
      </c>
      <c r="AY64" s="467">
        <f t="shared" si="26"/>
        <v>58.614822145606176</v>
      </c>
      <c r="AZ64" s="467">
        <f t="shared" si="26"/>
        <v>58.182201965946653</v>
      </c>
      <c r="BA64" s="467">
        <f t="shared" si="26"/>
        <v>57.748249881589388</v>
      </c>
      <c r="BB64" s="467">
        <f t="shared" si="26"/>
        <v>56.991025480432825</v>
      </c>
      <c r="BC64" s="467">
        <f t="shared" ref="BC64:BQ69" si="27">U64/1000</f>
        <v>56.888669666899688</v>
      </c>
      <c r="BD64" s="467">
        <f t="shared" si="27"/>
        <v>56.786313853366565</v>
      </c>
      <c r="BE64" s="467">
        <f t="shared" si="27"/>
        <v>56.683958039833435</v>
      </c>
      <c r="BF64" s="467">
        <f t="shared" si="27"/>
        <v>56.581602226300284</v>
      </c>
      <c r="BG64" s="467">
        <f t="shared" si="27"/>
        <v>56.479246412767139</v>
      </c>
      <c r="BH64" s="467">
        <f t="shared" si="27"/>
        <v>56.390442891309419</v>
      </c>
      <c r="BI64" s="467">
        <f t="shared" si="27"/>
        <v>56.301639369851678</v>
      </c>
      <c r="BJ64" s="467">
        <f t="shared" si="27"/>
        <v>56.212835848393965</v>
      </c>
      <c r="BK64" s="467">
        <f t="shared" si="27"/>
        <v>56.124032326936224</v>
      </c>
      <c r="BL64" s="467">
        <f t="shared" si="27"/>
        <v>56.035228805478489</v>
      </c>
      <c r="BM64" s="467">
        <f t="shared" si="27"/>
        <v>55.946425284020748</v>
      </c>
      <c r="BN64" s="467">
        <f t="shared" si="27"/>
        <v>55.857621762563035</v>
      </c>
      <c r="BO64" s="467">
        <f t="shared" si="27"/>
        <v>55.768818241105301</v>
      </c>
      <c r="BP64" s="467">
        <f t="shared" si="27"/>
        <v>55.680014719647559</v>
      </c>
      <c r="BQ64" s="467">
        <f t="shared" si="27"/>
        <v>55.591211198189832</v>
      </c>
    </row>
    <row r="65" spans="1:69">
      <c r="A65" s="463" t="s">
        <v>216</v>
      </c>
      <c r="B65" s="462">
        <v>219</v>
      </c>
      <c r="C65" s="500">
        <v>218.70400000000001</v>
      </c>
      <c r="D65" s="462">
        <v>204.899</v>
      </c>
      <c r="E65" s="462">
        <v>203.339</v>
      </c>
      <c r="F65" s="512">
        <v>228.9311850068776</v>
      </c>
      <c r="G65" s="500">
        <v>217.74334456671252</v>
      </c>
      <c r="H65" s="462">
        <v>204.55002379278838</v>
      </c>
      <c r="I65" s="462">
        <v>199.52598156759154</v>
      </c>
      <c r="J65" s="462">
        <v>197.35509697337176</v>
      </c>
      <c r="K65" s="462">
        <v>194.86267280939512</v>
      </c>
      <c r="L65" s="462">
        <v>192.0520549272446</v>
      </c>
      <c r="M65" s="462">
        <v>188.90192896752245</v>
      </c>
      <c r="N65" s="462">
        <v>166.86131018215065</v>
      </c>
      <c r="O65" s="500">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500">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500">
        <v>86.293467793899993</v>
      </c>
      <c r="AK65" s="467">
        <f t="shared" si="25"/>
        <v>0.21870400000000001</v>
      </c>
      <c r="AL65" s="467">
        <f t="shared" si="25"/>
        <v>0.204899</v>
      </c>
      <c r="AM65" s="467">
        <f t="shared" si="25"/>
        <v>0.20333899999999999</v>
      </c>
      <c r="AN65" s="467">
        <f t="shared" si="25"/>
        <v>0.22893118500687759</v>
      </c>
      <c r="AO65" s="467">
        <f t="shared" si="25"/>
        <v>0.21774334456671252</v>
      </c>
      <c r="AP65" s="467">
        <f t="shared" si="25"/>
        <v>0.20455002379278839</v>
      </c>
      <c r="AQ65" s="467">
        <f t="shared" si="25"/>
        <v>0.19952598156759155</v>
      </c>
      <c r="AR65" s="467">
        <f t="shared" si="25"/>
        <v>0.19735509697337175</v>
      </c>
      <c r="AS65" s="467">
        <f t="shared" si="25"/>
        <v>0.19486267280939512</v>
      </c>
      <c r="AT65" s="467">
        <f t="shared" si="25"/>
        <v>0.19205205492724459</v>
      </c>
      <c r="AU65" s="467">
        <f t="shared" si="26"/>
        <v>0.18890192896752245</v>
      </c>
      <c r="AV65" s="467">
        <f t="shared" si="26"/>
        <v>0.16686131018215064</v>
      </c>
      <c r="AW65" s="467">
        <f t="shared" si="26"/>
        <v>0.14522929588615849</v>
      </c>
      <c r="AX65" s="467">
        <f t="shared" si="26"/>
        <v>0.14417926105537335</v>
      </c>
      <c r="AY65" s="467">
        <f t="shared" si="26"/>
        <v>0.14312608301929325</v>
      </c>
      <c r="AZ65" s="467">
        <f t="shared" si="26"/>
        <v>0.14206970803625646</v>
      </c>
      <c r="BA65" s="467">
        <f t="shared" si="26"/>
        <v>0.14101008079900537</v>
      </c>
      <c r="BB65" s="467">
        <f t="shared" si="26"/>
        <v>0.12245375132359358</v>
      </c>
      <c r="BC65" s="467">
        <f t="shared" si="27"/>
        <v>0.11888474169513302</v>
      </c>
      <c r="BD65" s="467">
        <f t="shared" si="27"/>
        <v>0.11531573206667327</v>
      </c>
      <c r="BE65" s="467">
        <f t="shared" si="27"/>
        <v>0.1117467224382126</v>
      </c>
      <c r="BF65" s="467">
        <f t="shared" si="27"/>
        <v>0.10817771280975194</v>
      </c>
      <c r="BG65" s="467">
        <f t="shared" si="27"/>
        <v>0.10460870318129047</v>
      </c>
      <c r="BH65" s="467">
        <f t="shared" si="27"/>
        <v>0.10277717964255134</v>
      </c>
      <c r="BI65" s="467">
        <f t="shared" si="27"/>
        <v>0.10094565610381233</v>
      </c>
      <c r="BJ65" s="467">
        <f t="shared" si="27"/>
        <v>9.9114132565073301E-2</v>
      </c>
      <c r="BK65" s="467">
        <f t="shared" si="27"/>
        <v>9.7282609026334288E-2</v>
      </c>
      <c r="BL65" s="467">
        <f t="shared" si="27"/>
        <v>9.5451085487595261E-2</v>
      </c>
      <c r="BM65" s="467">
        <f t="shared" si="27"/>
        <v>9.3619561948856247E-2</v>
      </c>
      <c r="BN65" s="467">
        <f t="shared" si="27"/>
        <v>9.178803841011722E-2</v>
      </c>
      <c r="BO65" s="467">
        <f t="shared" si="27"/>
        <v>8.9956514871378207E-2</v>
      </c>
      <c r="BP65" s="467">
        <f t="shared" si="27"/>
        <v>8.812499133263918E-2</v>
      </c>
      <c r="BQ65" s="467">
        <f t="shared" si="27"/>
        <v>8.6293467793899986E-2</v>
      </c>
    </row>
    <row r="66" spans="1:69">
      <c r="A66" s="463" t="s">
        <v>217</v>
      </c>
      <c r="B66" s="462">
        <v>62288</v>
      </c>
      <c r="C66" s="500">
        <v>62037.759000000005</v>
      </c>
      <c r="D66" s="462">
        <v>60755.014999999999</v>
      </c>
      <c r="E66" s="462">
        <v>57793.966999999997</v>
      </c>
      <c r="F66" s="512">
        <v>64724.774511370015</v>
      </c>
      <c r="G66" s="500">
        <v>61055.061642974091</v>
      </c>
      <c r="H66" s="462">
        <v>56777.567465040716</v>
      </c>
      <c r="I66" s="462">
        <v>54983.724302306146</v>
      </c>
      <c r="J66" s="462">
        <v>53997.126224084626</v>
      </c>
      <c r="K66" s="462">
        <v>52938.081662879165</v>
      </c>
      <c r="L66" s="462">
        <v>51808.962032533978</v>
      </c>
      <c r="M66" s="462">
        <v>50605.459530970198</v>
      </c>
      <c r="N66" s="462">
        <v>49003.525513953864</v>
      </c>
      <c r="O66" s="500">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500">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500">
        <v>42755.682359299455</v>
      </c>
      <c r="AK66" s="467">
        <f t="shared" si="25"/>
        <v>62.037759000000008</v>
      </c>
      <c r="AL66" s="467">
        <f t="shared" si="25"/>
        <v>60.755015</v>
      </c>
      <c r="AM66" s="467">
        <f t="shared" si="25"/>
        <v>57.793966999999995</v>
      </c>
      <c r="AN66" s="467">
        <f t="shared" si="25"/>
        <v>64.724774511370015</v>
      </c>
      <c r="AO66" s="467">
        <f t="shared" si="25"/>
        <v>61.055061642974088</v>
      </c>
      <c r="AP66" s="467">
        <f t="shared" si="25"/>
        <v>56.777567465040718</v>
      </c>
      <c r="AQ66" s="467">
        <f t="shared" si="25"/>
        <v>54.983724302306143</v>
      </c>
      <c r="AR66" s="467">
        <f t="shared" si="25"/>
        <v>53.997126224084624</v>
      </c>
      <c r="AS66" s="467">
        <f t="shared" si="25"/>
        <v>52.938081662879164</v>
      </c>
      <c r="AT66" s="467">
        <f t="shared" si="25"/>
        <v>51.808962032533977</v>
      </c>
      <c r="AU66" s="467">
        <f t="shared" si="26"/>
        <v>50.605459530970201</v>
      </c>
      <c r="AV66" s="467">
        <f t="shared" si="26"/>
        <v>49.003525513953861</v>
      </c>
      <c r="AW66" s="467">
        <f t="shared" si="26"/>
        <v>45.920566541681367</v>
      </c>
      <c r="AX66" s="467">
        <f t="shared" si="26"/>
        <v>45.588552301552099</v>
      </c>
      <c r="AY66" s="467">
        <f t="shared" si="26"/>
        <v>45.255544200184154</v>
      </c>
      <c r="AZ66" s="467">
        <f t="shared" si="26"/>
        <v>44.921525244810752</v>
      </c>
      <c r="BA66" s="467">
        <f t="shared" si="26"/>
        <v>44.586477947633817</v>
      </c>
      <c r="BB66" s="467">
        <f t="shared" si="26"/>
        <v>43.945960604120657</v>
      </c>
      <c r="BC66" s="467">
        <f t="shared" si="27"/>
        <v>43.855832882809217</v>
      </c>
      <c r="BD66" s="467">
        <f t="shared" si="27"/>
        <v>43.765705161497813</v>
      </c>
      <c r="BE66" s="467">
        <f t="shared" si="27"/>
        <v>43.675577440186373</v>
      </c>
      <c r="BF66" s="467">
        <f t="shared" si="27"/>
        <v>43.585449718874941</v>
      </c>
      <c r="BG66" s="467">
        <f t="shared" si="27"/>
        <v>43.495321997563529</v>
      </c>
      <c r="BH66" s="467">
        <f t="shared" si="27"/>
        <v>43.421358033737107</v>
      </c>
      <c r="BI66" s="467">
        <f t="shared" si="27"/>
        <v>43.347394069910692</v>
      </c>
      <c r="BJ66" s="467">
        <f t="shared" si="27"/>
        <v>43.273430106084298</v>
      </c>
      <c r="BK66" s="467">
        <f t="shared" si="27"/>
        <v>43.199466142257876</v>
      </c>
      <c r="BL66" s="467">
        <f t="shared" si="27"/>
        <v>43.125502178431489</v>
      </c>
      <c r="BM66" s="467">
        <f t="shared" si="27"/>
        <v>43.051538214605067</v>
      </c>
      <c r="BN66" s="467">
        <f t="shared" si="27"/>
        <v>42.97757425077868</v>
      </c>
      <c r="BO66" s="467">
        <f t="shared" si="27"/>
        <v>42.903610286952258</v>
      </c>
      <c r="BP66" s="467">
        <f t="shared" si="27"/>
        <v>42.829646323125836</v>
      </c>
      <c r="BQ66" s="467">
        <f t="shared" si="27"/>
        <v>42.755682359299456</v>
      </c>
    </row>
    <row r="67" spans="1:69">
      <c r="A67" s="463" t="s">
        <v>218</v>
      </c>
      <c r="B67" s="462">
        <v>4226</v>
      </c>
      <c r="C67" s="500">
        <v>4475.5410000000002</v>
      </c>
      <c r="D67" s="462">
        <v>5678.942</v>
      </c>
      <c r="E67" s="462">
        <v>6043.3329999999996</v>
      </c>
      <c r="F67" s="512">
        <v>6803.945062585969</v>
      </c>
      <c r="G67" s="500">
        <v>6823.4018547418927</v>
      </c>
      <c r="H67" s="462">
        <v>6734.986897117572</v>
      </c>
      <c r="I67" s="462">
        <v>6881.2660961730144</v>
      </c>
      <c r="J67" s="462">
        <v>7109.5560014383009</v>
      </c>
      <c r="K67" s="462">
        <v>7314.1414336441567</v>
      </c>
      <c r="L67" s="462">
        <v>7494.0063788234866</v>
      </c>
      <c r="M67" s="462">
        <v>7647.1934447203057</v>
      </c>
      <c r="N67" s="462">
        <v>7772.0971401414108</v>
      </c>
      <c r="O67" s="500">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500">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500">
        <v>7539.830098217697</v>
      </c>
      <c r="AK67" s="467">
        <f t="shared" si="25"/>
        <v>4.4755409999999998</v>
      </c>
      <c r="AL67" s="467">
        <f t="shared" si="25"/>
        <v>5.6789420000000002</v>
      </c>
      <c r="AM67" s="467">
        <f t="shared" si="25"/>
        <v>6.0433329999999996</v>
      </c>
      <c r="AN67" s="467">
        <f t="shared" si="25"/>
        <v>6.803945062585969</v>
      </c>
      <c r="AO67" s="467">
        <f t="shared" si="25"/>
        <v>6.8234018547418929</v>
      </c>
      <c r="AP67" s="467">
        <f t="shared" si="25"/>
        <v>6.7349868971175724</v>
      </c>
      <c r="AQ67" s="467">
        <f t="shared" si="25"/>
        <v>6.8812660961730145</v>
      </c>
      <c r="AR67" s="467">
        <f t="shared" si="25"/>
        <v>7.1095560014383006</v>
      </c>
      <c r="AS67" s="467">
        <f t="shared" si="25"/>
        <v>7.3141414336441564</v>
      </c>
      <c r="AT67" s="467">
        <f t="shared" si="25"/>
        <v>7.494006378823487</v>
      </c>
      <c r="AU67" s="467">
        <f t="shared" si="26"/>
        <v>7.6471934447203056</v>
      </c>
      <c r="AV67" s="467">
        <f t="shared" si="26"/>
        <v>7.772097140141411</v>
      </c>
      <c r="AW67" s="467">
        <f t="shared" si="26"/>
        <v>7.9308162328164835</v>
      </c>
      <c r="AX67" s="467">
        <f t="shared" si="26"/>
        <v>7.8734749558365182</v>
      </c>
      <c r="AY67" s="467">
        <f t="shared" si="26"/>
        <v>7.8159620317833909</v>
      </c>
      <c r="AZ67" s="467">
        <f t="shared" si="26"/>
        <v>7.7582745258825385</v>
      </c>
      <c r="BA67" s="467">
        <f t="shared" si="26"/>
        <v>7.7004094178638862</v>
      </c>
      <c r="BB67" s="467">
        <f t="shared" si="26"/>
        <v>7.642363598419621</v>
      </c>
      <c r="BC67" s="467">
        <f t="shared" si="27"/>
        <v>7.6372426629549297</v>
      </c>
      <c r="BD67" s="467">
        <f t="shared" si="27"/>
        <v>7.6321217274902393</v>
      </c>
      <c r="BE67" s="467">
        <f t="shared" si="27"/>
        <v>7.627000792025548</v>
      </c>
      <c r="BF67" s="467">
        <f t="shared" si="27"/>
        <v>7.6218798565608576</v>
      </c>
      <c r="BG67" s="467">
        <f t="shared" si="27"/>
        <v>7.616758921096169</v>
      </c>
      <c r="BH67" s="467">
        <f t="shared" si="27"/>
        <v>7.6090660388083196</v>
      </c>
      <c r="BI67" s="467">
        <f t="shared" si="27"/>
        <v>7.6013731565204727</v>
      </c>
      <c r="BJ67" s="467">
        <f t="shared" si="27"/>
        <v>7.593680274232625</v>
      </c>
      <c r="BK67" s="467">
        <f t="shared" si="27"/>
        <v>7.5859873919447782</v>
      </c>
      <c r="BL67" s="467">
        <f t="shared" si="27"/>
        <v>7.5782945096569314</v>
      </c>
      <c r="BM67" s="467">
        <f t="shared" si="27"/>
        <v>7.5706016273690837</v>
      </c>
      <c r="BN67" s="467">
        <f t="shared" si="27"/>
        <v>7.5629087450812369</v>
      </c>
      <c r="BO67" s="467">
        <f t="shared" si="27"/>
        <v>7.5552158627933892</v>
      </c>
      <c r="BP67" s="467">
        <f t="shared" si="27"/>
        <v>7.5475229805055424</v>
      </c>
      <c r="BQ67" s="467">
        <f t="shared" si="27"/>
        <v>7.5398300982176973</v>
      </c>
    </row>
    <row r="68" spans="1:69">
      <c r="A68" s="463" t="s">
        <v>219</v>
      </c>
      <c r="B68" s="462">
        <v>4056</v>
      </c>
      <c r="C68" s="500">
        <v>5359.2139999999999</v>
      </c>
      <c r="D68" s="462">
        <v>5363.9059999999999</v>
      </c>
      <c r="E68" s="462">
        <v>5113.4369999999999</v>
      </c>
      <c r="F68" s="512">
        <v>4592.9670126626479</v>
      </c>
      <c r="G68" s="500">
        <v>4368.5092478410161</v>
      </c>
      <c r="H68" s="462">
        <v>4103.8162262227952</v>
      </c>
      <c r="I68" s="462">
        <v>4003.020608492252</v>
      </c>
      <c r="J68" s="462">
        <v>3959.4669033504674</v>
      </c>
      <c r="K68" s="462">
        <v>3909.4622612727003</v>
      </c>
      <c r="L68" s="462">
        <v>3853.0738089195211</v>
      </c>
      <c r="M68" s="462">
        <v>3789.8739236863171</v>
      </c>
      <c r="N68" s="462">
        <v>3719.6451430166371</v>
      </c>
      <c r="O68" s="500">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500">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500">
        <v>3462.5518666121629</v>
      </c>
      <c r="AK68" s="467">
        <f t="shared" si="25"/>
        <v>5.3592139999999997</v>
      </c>
      <c r="AL68" s="467">
        <f t="shared" si="25"/>
        <v>5.3639060000000001</v>
      </c>
      <c r="AM68" s="467">
        <f t="shared" si="25"/>
        <v>5.1134370000000002</v>
      </c>
      <c r="AN68" s="467">
        <f t="shared" si="25"/>
        <v>4.5929670126626476</v>
      </c>
      <c r="AO68" s="467">
        <f t="shared" si="25"/>
        <v>4.3685092478410157</v>
      </c>
      <c r="AP68" s="467">
        <f t="shared" si="25"/>
        <v>4.1038162262227953</v>
      </c>
      <c r="AQ68" s="467">
        <f t="shared" si="25"/>
        <v>4.0030206084922524</v>
      </c>
      <c r="AR68" s="467">
        <f t="shared" si="25"/>
        <v>3.9594669033504672</v>
      </c>
      <c r="AS68" s="467">
        <f t="shared" si="25"/>
        <v>3.9094622612727004</v>
      </c>
      <c r="AT68" s="467">
        <f t="shared" si="25"/>
        <v>3.8530738089195209</v>
      </c>
      <c r="AU68" s="467">
        <f t="shared" si="26"/>
        <v>3.7898739236863173</v>
      </c>
      <c r="AV68" s="467">
        <f t="shared" si="26"/>
        <v>3.7196451430166371</v>
      </c>
      <c r="AW68" s="467">
        <f t="shared" si="26"/>
        <v>3.6421062799794508</v>
      </c>
      <c r="AX68" s="467">
        <f t="shared" si="26"/>
        <v>3.6157731739207573</v>
      </c>
      <c r="AY68" s="467">
        <f t="shared" si="26"/>
        <v>3.5893612415641436</v>
      </c>
      <c r="AZ68" s="467">
        <f t="shared" si="26"/>
        <v>3.5628691351591986</v>
      </c>
      <c r="BA68" s="467">
        <f t="shared" si="26"/>
        <v>3.5362954676929959</v>
      </c>
      <c r="BB68" s="467">
        <f t="shared" si="26"/>
        <v>3.5096388112633932</v>
      </c>
      <c r="BC68" s="467">
        <f t="shared" si="27"/>
        <v>3.5072870998294365</v>
      </c>
      <c r="BD68" s="467">
        <f t="shared" si="27"/>
        <v>3.5049353883954799</v>
      </c>
      <c r="BE68" s="467">
        <f t="shared" si="27"/>
        <v>3.5025836769615242</v>
      </c>
      <c r="BF68" s="467">
        <f t="shared" si="27"/>
        <v>3.5002319655275689</v>
      </c>
      <c r="BG68" s="467">
        <f t="shared" si="27"/>
        <v>3.4978802540936131</v>
      </c>
      <c r="BH68" s="467">
        <f t="shared" si="27"/>
        <v>3.494347415345469</v>
      </c>
      <c r="BI68" s="467">
        <f t="shared" si="27"/>
        <v>3.490814576597324</v>
      </c>
      <c r="BJ68" s="467">
        <f t="shared" si="27"/>
        <v>3.4872817378491789</v>
      </c>
      <c r="BK68" s="467">
        <f t="shared" si="27"/>
        <v>3.4837488991010339</v>
      </c>
      <c r="BL68" s="467">
        <f t="shared" si="27"/>
        <v>3.4802160603528893</v>
      </c>
      <c r="BM68" s="467">
        <f t="shared" si="27"/>
        <v>3.4766832216047443</v>
      </c>
      <c r="BN68" s="467">
        <f t="shared" si="27"/>
        <v>3.4731503828565993</v>
      </c>
      <c r="BO68" s="467">
        <f t="shared" si="27"/>
        <v>3.4696175441084542</v>
      </c>
      <c r="BP68" s="467">
        <f t="shared" si="27"/>
        <v>3.4660847053603092</v>
      </c>
      <c r="BQ68" s="467">
        <f t="shared" si="27"/>
        <v>3.4625518666121629</v>
      </c>
    </row>
    <row r="69" spans="1:69">
      <c r="A69" s="464" t="s">
        <v>220</v>
      </c>
      <c r="B69" s="465">
        <v>1405</v>
      </c>
      <c r="C69" s="501">
        <v>0</v>
      </c>
      <c r="D69" s="465">
        <v>0</v>
      </c>
      <c r="E69" s="465">
        <v>0</v>
      </c>
      <c r="F69" s="513">
        <v>0</v>
      </c>
      <c r="G69" s="501">
        <v>0</v>
      </c>
      <c r="H69" s="465">
        <v>0</v>
      </c>
      <c r="I69" s="465">
        <v>0</v>
      </c>
      <c r="J69" s="465">
        <v>4.4001361825364489</v>
      </c>
      <c r="K69" s="465">
        <v>3.7773905372224177</v>
      </c>
      <c r="L69" s="465">
        <v>3.6923284519857797</v>
      </c>
      <c r="M69" s="465">
        <v>31.435206538753953</v>
      </c>
      <c r="N69" s="465">
        <v>30.603375117078574</v>
      </c>
      <c r="O69" s="501">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501">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501">
        <v>1746.8534062666254</v>
      </c>
      <c r="AK69" s="465">
        <f t="shared" si="25"/>
        <v>0</v>
      </c>
      <c r="AL69" s="465">
        <f t="shared" si="25"/>
        <v>0</v>
      </c>
      <c r="AM69" s="465">
        <f t="shared" si="25"/>
        <v>0</v>
      </c>
      <c r="AN69" s="465">
        <f t="shared" si="25"/>
        <v>0</v>
      </c>
      <c r="AO69" s="465">
        <f t="shared" si="25"/>
        <v>0</v>
      </c>
      <c r="AP69" s="465">
        <f t="shared" si="25"/>
        <v>0</v>
      </c>
      <c r="AQ69" s="465">
        <f t="shared" si="25"/>
        <v>0</v>
      </c>
      <c r="AR69" s="465">
        <f t="shared" si="25"/>
        <v>4.4001361825364493E-3</v>
      </c>
      <c r="AS69" s="465">
        <f t="shared" si="25"/>
        <v>3.7773905372224179E-3</v>
      </c>
      <c r="AT69" s="465">
        <f t="shared" si="25"/>
        <v>3.6923284519857799E-3</v>
      </c>
      <c r="AU69" s="465">
        <f t="shared" si="26"/>
        <v>3.1435206538753951E-2</v>
      </c>
      <c r="AV69" s="465">
        <f t="shared" si="26"/>
        <v>3.0603375117078575E-2</v>
      </c>
      <c r="AW69" s="465">
        <f t="shared" si="26"/>
        <v>1.8374383998447119</v>
      </c>
      <c r="AX69" s="465">
        <f t="shared" si="26"/>
        <v>1.8241533783379529</v>
      </c>
      <c r="AY69" s="465">
        <f t="shared" si="26"/>
        <v>1.8108285890551932</v>
      </c>
      <c r="AZ69" s="465">
        <f t="shared" si="26"/>
        <v>1.7974633520579102</v>
      </c>
      <c r="BA69" s="465">
        <f t="shared" si="26"/>
        <v>1.7840569675996893</v>
      </c>
      <c r="BB69" s="465">
        <f t="shared" si="26"/>
        <v>1.7706087153055534</v>
      </c>
      <c r="BC69" s="465">
        <f t="shared" si="27"/>
        <v>1.7694222796109507</v>
      </c>
      <c r="BD69" s="465">
        <f t="shared" si="27"/>
        <v>1.7682358439163481</v>
      </c>
      <c r="BE69" s="465">
        <f t="shared" si="27"/>
        <v>1.7670494082217452</v>
      </c>
      <c r="BF69" s="465">
        <f t="shared" si="27"/>
        <v>1.7658629725271422</v>
      </c>
      <c r="BG69" s="465">
        <f t="shared" si="27"/>
        <v>1.7646765368325397</v>
      </c>
      <c r="BH69" s="465">
        <f t="shared" si="27"/>
        <v>1.7628942237759484</v>
      </c>
      <c r="BI69" s="465">
        <f t="shared" si="27"/>
        <v>1.7611119107193567</v>
      </c>
      <c r="BJ69" s="465">
        <f t="shared" si="27"/>
        <v>1.759329597662765</v>
      </c>
      <c r="BK69" s="465">
        <f t="shared" si="27"/>
        <v>1.7575472846061739</v>
      </c>
      <c r="BL69" s="465">
        <f t="shared" si="27"/>
        <v>1.7557649715495827</v>
      </c>
      <c r="BM69" s="465">
        <f t="shared" si="27"/>
        <v>1.753982658492991</v>
      </c>
      <c r="BN69" s="465">
        <f t="shared" si="27"/>
        <v>1.7522003454363995</v>
      </c>
      <c r="BO69" s="465">
        <f t="shared" si="27"/>
        <v>1.7504180323798082</v>
      </c>
      <c r="BP69" s="465">
        <f t="shared" si="27"/>
        <v>1.7486357193232169</v>
      </c>
      <c r="BQ69" s="465">
        <f t="shared" si="27"/>
        <v>1.7468534062666254</v>
      </c>
    </row>
    <row r="70" spans="1:69">
      <c r="AW70" s="150"/>
      <c r="AX70" s="150"/>
      <c r="AY70" s="150"/>
      <c r="AZ70" s="150"/>
      <c r="BA70" s="150"/>
      <c r="BB70" s="150"/>
    </row>
    <row r="71" spans="1:69">
      <c r="A71" s="30" t="s">
        <v>221</v>
      </c>
      <c r="F71" t="s">
        <v>211</v>
      </c>
      <c r="AK71" s="468" t="s">
        <v>212</v>
      </c>
      <c r="AM71" s="468" t="s">
        <v>213</v>
      </c>
      <c r="AW71" s="150"/>
      <c r="AX71" s="150"/>
      <c r="AY71" s="150"/>
      <c r="AZ71" s="150"/>
      <c r="BA71" s="150"/>
      <c r="BB71" s="150"/>
    </row>
    <row r="72" spans="1:69">
      <c r="A72" s="463"/>
      <c r="B72" s="457" t="s">
        <v>214</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187</v>
      </c>
      <c r="B73" s="218"/>
      <c r="C73" s="502"/>
      <c r="D73" s="218"/>
      <c r="E73" s="218"/>
      <c r="F73" s="218"/>
      <c r="G73" s="502"/>
      <c r="H73" s="502"/>
      <c r="I73" s="502"/>
      <c r="J73" s="502"/>
      <c r="K73" s="502"/>
      <c r="L73" s="503"/>
      <c r="M73" s="503"/>
      <c r="N73" s="504"/>
      <c r="O73" s="503"/>
      <c r="P73" s="503"/>
      <c r="Q73" s="218"/>
      <c r="R73" s="218"/>
      <c r="S73" s="218"/>
      <c r="T73" s="218"/>
      <c r="U73" s="505"/>
      <c r="V73" s="505"/>
      <c r="W73" s="505"/>
      <c r="X73" s="505"/>
      <c r="Y73" s="505"/>
      <c r="Z73" s="505"/>
      <c r="AA73" s="505"/>
      <c r="AB73" s="505"/>
      <c r="AC73" s="505"/>
      <c r="AD73" s="505"/>
      <c r="AE73" s="505"/>
      <c r="AF73" s="505"/>
      <c r="AG73" s="505"/>
      <c r="AH73" s="505"/>
      <c r="AI73" s="505"/>
      <c r="AK73" s="459"/>
      <c r="AL73"/>
      <c r="AM73"/>
      <c r="AN73"/>
      <c r="AO73" s="459"/>
      <c r="AP73" s="459"/>
      <c r="AQ73" s="459"/>
      <c r="AR73" s="459"/>
      <c r="AS73" s="459"/>
      <c r="AT73" s="460"/>
      <c r="AU73" s="460"/>
      <c r="AV73" s="461"/>
      <c r="AW73" s="460"/>
      <c r="AX73" s="460"/>
      <c r="AY73"/>
      <c r="AZ73"/>
      <c r="BA73"/>
      <c r="BB73"/>
    </row>
    <row r="74" spans="1:69">
      <c r="A74" s="495" t="s">
        <v>222</v>
      </c>
      <c r="B74" s="462">
        <v>30478</v>
      </c>
      <c r="C74" s="500">
        <v>24239.661417909894</v>
      </c>
      <c r="D74" s="462">
        <v>24296.404262802247</v>
      </c>
      <c r="E74" s="462">
        <v>23003.144421212965</v>
      </c>
      <c r="F74" s="512">
        <v>23955.193820040091</v>
      </c>
      <c r="G74" s="500">
        <v>22090.759816216767</v>
      </c>
      <c r="H74" s="462">
        <v>22076.205198005944</v>
      </c>
      <c r="I74" s="462">
        <v>22170.216531026708</v>
      </c>
      <c r="J74" s="462">
        <v>22170.216531026708</v>
      </c>
      <c r="K74" s="462">
        <v>22170.216531026708</v>
      </c>
      <c r="L74" s="462">
        <v>19990.894802874765</v>
      </c>
      <c r="M74" s="462">
        <v>18781.912463999077</v>
      </c>
      <c r="N74" s="462">
        <v>18451.502072352512</v>
      </c>
      <c r="O74" s="500">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500">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500">
        <v>8319.1078449026772</v>
      </c>
      <c r="AK74" s="467">
        <f t="shared" ref="AK74:AT79" si="28">C74/1000</f>
        <v>24.239661417909893</v>
      </c>
      <c r="AL74" s="467">
        <f t="shared" si="28"/>
        <v>24.296404262802248</v>
      </c>
      <c r="AM74" s="467">
        <f t="shared" si="28"/>
        <v>23.003144421212966</v>
      </c>
      <c r="AN74" s="467">
        <f t="shared" si="28"/>
        <v>23.95519382004009</v>
      </c>
      <c r="AO74" s="467">
        <f t="shared" si="28"/>
        <v>22.090759816216767</v>
      </c>
      <c r="AP74" s="467">
        <f t="shared" si="28"/>
        <v>22.076205198005944</v>
      </c>
      <c r="AQ74" s="467">
        <f t="shared" si="28"/>
        <v>22.170216531026707</v>
      </c>
      <c r="AR74" s="467">
        <f t="shared" si="28"/>
        <v>22.170216531026707</v>
      </c>
      <c r="AS74" s="467">
        <f t="shared" si="28"/>
        <v>22.170216531026707</v>
      </c>
      <c r="AT74" s="467">
        <f t="shared" si="28"/>
        <v>19.990894802874767</v>
      </c>
      <c r="AU74" s="467">
        <f t="shared" ref="AU74:BB79" si="29">M74/1000</f>
        <v>18.781912463999078</v>
      </c>
      <c r="AV74" s="467">
        <f t="shared" si="29"/>
        <v>18.451502072352511</v>
      </c>
      <c r="AW74" s="467">
        <f t="shared" si="29"/>
        <v>19.17815137757928</v>
      </c>
      <c r="AX74" s="467">
        <f t="shared" si="29"/>
        <v>17.499756400686586</v>
      </c>
      <c r="AY74" s="467">
        <f t="shared" si="29"/>
        <v>17.679686921594868</v>
      </c>
      <c r="AZ74" s="467">
        <f t="shared" si="29"/>
        <v>18.160705091796029</v>
      </c>
      <c r="BA74" s="467">
        <f t="shared" si="29"/>
        <v>16.142814602766457</v>
      </c>
      <c r="BB74" s="467">
        <f t="shared" si="29"/>
        <v>17.383940671719181</v>
      </c>
      <c r="BC74" s="467">
        <f t="shared" ref="BC74:BQ79" si="30">U74/1000</f>
        <v>17.383940671719181</v>
      </c>
      <c r="BD74" s="467">
        <f t="shared" si="30"/>
        <v>17.383940671719181</v>
      </c>
      <c r="BE74" s="467">
        <f t="shared" si="30"/>
        <v>16.183830767568601</v>
      </c>
      <c r="BF74" s="467">
        <f t="shared" si="30"/>
        <v>11.439819242728973</v>
      </c>
      <c r="BG74" s="467">
        <f t="shared" si="30"/>
        <v>12.241516193064244</v>
      </c>
      <c r="BH74" s="467">
        <f t="shared" si="30"/>
        <v>10.927413471254456</v>
      </c>
      <c r="BI74" s="467">
        <f t="shared" si="30"/>
        <v>9.1641025956119186</v>
      </c>
      <c r="BJ74" s="467">
        <f t="shared" si="30"/>
        <v>7.5174108945674032</v>
      </c>
      <c r="BK74" s="467">
        <f t="shared" si="30"/>
        <v>7.5174108945674032</v>
      </c>
      <c r="BL74" s="467">
        <f t="shared" si="30"/>
        <v>7.8380896747015143</v>
      </c>
      <c r="BM74" s="467">
        <f t="shared" si="30"/>
        <v>7.8380896747015143</v>
      </c>
      <c r="BN74" s="467">
        <f t="shared" si="30"/>
        <v>8.3191078449026765</v>
      </c>
      <c r="BO74" s="467">
        <f t="shared" si="30"/>
        <v>8.3191078449026765</v>
      </c>
      <c r="BP74" s="467">
        <f t="shared" si="30"/>
        <v>8.3191078449026765</v>
      </c>
      <c r="BQ74" s="467">
        <f t="shared" si="30"/>
        <v>8.3191078449026765</v>
      </c>
    </row>
    <row r="75" spans="1:69">
      <c r="A75" s="463" t="s">
        <v>216</v>
      </c>
      <c r="B75" s="462">
        <v>25182</v>
      </c>
      <c r="C75" s="500">
        <v>19481.999999999996</v>
      </c>
      <c r="D75" s="462">
        <v>19642.204763440564</v>
      </c>
      <c r="E75" s="462">
        <v>18646.161942167073</v>
      </c>
      <c r="F75" s="512">
        <v>19365.337284665773</v>
      </c>
      <c r="G75" s="500">
        <v>17857.783892232768</v>
      </c>
      <c r="H75" s="462">
        <v>17960.841570081349</v>
      </c>
      <c r="I75" s="462">
        <v>17954.08457920036</v>
      </c>
      <c r="J75" s="462">
        <v>17954.08457920036</v>
      </c>
      <c r="K75" s="462">
        <v>17954.08457920036</v>
      </c>
      <c r="L75" s="462">
        <v>16041.192437642632</v>
      </c>
      <c r="M75" s="462">
        <v>14670.911734239564</v>
      </c>
      <c r="N75" s="462">
        <v>14314.92496073035</v>
      </c>
      <c r="O75" s="500">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500">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500">
        <v>427.00710380120995</v>
      </c>
      <c r="AK75" s="467">
        <f t="shared" si="28"/>
        <v>19.481999999999996</v>
      </c>
      <c r="AL75" s="467">
        <f t="shared" si="28"/>
        <v>19.642204763440564</v>
      </c>
      <c r="AM75" s="467">
        <f t="shared" si="28"/>
        <v>18.646161942167073</v>
      </c>
      <c r="AN75" s="467">
        <f t="shared" si="28"/>
        <v>19.365337284665774</v>
      </c>
      <c r="AO75" s="467">
        <f t="shared" si="28"/>
        <v>17.857783892232767</v>
      </c>
      <c r="AP75" s="467">
        <f t="shared" si="28"/>
        <v>17.96084157008135</v>
      </c>
      <c r="AQ75" s="467">
        <f t="shared" si="28"/>
        <v>17.954084579200359</v>
      </c>
      <c r="AR75" s="467">
        <f t="shared" si="28"/>
        <v>17.954084579200359</v>
      </c>
      <c r="AS75" s="467">
        <f t="shared" si="28"/>
        <v>17.954084579200359</v>
      </c>
      <c r="AT75" s="467">
        <f t="shared" si="28"/>
        <v>16.041192437642632</v>
      </c>
      <c r="AU75" s="467">
        <f t="shared" si="29"/>
        <v>14.670911734239564</v>
      </c>
      <c r="AV75" s="467">
        <f t="shared" si="29"/>
        <v>14.31492496073035</v>
      </c>
      <c r="AW75" s="467">
        <f t="shared" si="29"/>
        <v>14.670625571008888</v>
      </c>
      <c r="AX75" s="467">
        <f t="shared" si="29"/>
        <v>12.868882610610733</v>
      </c>
      <c r="AY75" s="467">
        <f t="shared" si="29"/>
        <v>12.871192955855856</v>
      </c>
      <c r="AZ75" s="467">
        <f t="shared" si="29"/>
        <v>12.895451580929629</v>
      </c>
      <c r="BA75" s="467">
        <f t="shared" si="29"/>
        <v>11.124255153561366</v>
      </c>
      <c r="BB75" s="467">
        <f t="shared" si="29"/>
        <v>11.148513778635138</v>
      </c>
      <c r="BC75" s="467">
        <f t="shared" si="30"/>
        <v>11.148513778635138</v>
      </c>
      <c r="BD75" s="467">
        <f t="shared" si="30"/>
        <v>11.148513778635138</v>
      </c>
      <c r="BE75" s="467">
        <f t="shared" si="30"/>
        <v>9.9394483956830371</v>
      </c>
      <c r="BF75" s="467">
        <f t="shared" si="30"/>
        <v>5.4897641118897127</v>
      </c>
      <c r="BG75" s="467">
        <f t="shared" si="30"/>
        <v>5.5301951536793359</v>
      </c>
      <c r="BH75" s="467">
        <f t="shared" si="30"/>
        <v>3.7012441908165212</v>
      </c>
      <c r="BI75" s="467">
        <f t="shared" si="30"/>
        <v>2.1392897274188822</v>
      </c>
      <c r="BJ75" s="467">
        <f t="shared" si="30"/>
        <v>0.38657606201158601</v>
      </c>
      <c r="BK75" s="467">
        <f t="shared" si="30"/>
        <v>0.38657606201158601</v>
      </c>
      <c r="BL75" s="467">
        <f t="shared" si="30"/>
        <v>0.40274847872743574</v>
      </c>
      <c r="BM75" s="467">
        <f t="shared" si="30"/>
        <v>0.40274847872743574</v>
      </c>
      <c r="BN75" s="467">
        <f t="shared" si="30"/>
        <v>0.42700710380120993</v>
      </c>
      <c r="BO75" s="467">
        <f t="shared" si="30"/>
        <v>0.42700710380120993</v>
      </c>
      <c r="BP75" s="467">
        <f t="shared" si="30"/>
        <v>0.42700710380120993</v>
      </c>
      <c r="BQ75" s="467">
        <f t="shared" si="30"/>
        <v>0.42700710380120993</v>
      </c>
    </row>
    <row r="76" spans="1:69">
      <c r="A76" s="463" t="s">
        <v>217</v>
      </c>
      <c r="B76" s="462">
        <v>68</v>
      </c>
      <c r="C76" s="500">
        <v>0</v>
      </c>
      <c r="D76" s="462">
        <v>0</v>
      </c>
      <c r="E76" s="462">
        <v>0</v>
      </c>
      <c r="F76" s="512">
        <v>0</v>
      </c>
      <c r="G76" s="500">
        <v>0</v>
      </c>
      <c r="H76" s="462">
        <v>0</v>
      </c>
      <c r="I76" s="462">
        <v>0</v>
      </c>
      <c r="J76" s="462">
        <v>0</v>
      </c>
      <c r="K76" s="462">
        <v>0</v>
      </c>
      <c r="L76" s="462">
        <v>0</v>
      </c>
      <c r="M76" s="462">
        <v>0</v>
      </c>
      <c r="N76" s="462">
        <v>0</v>
      </c>
      <c r="O76" s="500">
        <v>0</v>
      </c>
      <c r="P76" s="462">
        <v>0</v>
      </c>
      <c r="Q76" s="462">
        <v>0</v>
      </c>
      <c r="R76" s="462">
        <v>0</v>
      </c>
      <c r="S76" s="462">
        <v>0</v>
      </c>
      <c r="T76" s="462">
        <v>0</v>
      </c>
      <c r="U76" s="462">
        <v>0</v>
      </c>
      <c r="V76" s="462">
        <v>0</v>
      </c>
      <c r="W76" s="462">
        <v>0</v>
      </c>
      <c r="X76" s="462">
        <v>0</v>
      </c>
      <c r="Y76" s="500">
        <v>0</v>
      </c>
      <c r="Z76" s="462">
        <v>0</v>
      </c>
      <c r="AA76" s="462">
        <v>0</v>
      </c>
      <c r="AB76" s="462">
        <v>0</v>
      </c>
      <c r="AC76" s="462">
        <v>0</v>
      </c>
      <c r="AD76" s="462">
        <v>0</v>
      </c>
      <c r="AE76" s="462">
        <v>0</v>
      </c>
      <c r="AF76" s="462">
        <v>0</v>
      </c>
      <c r="AG76" s="462">
        <v>0</v>
      </c>
      <c r="AH76" s="462">
        <v>0</v>
      </c>
      <c r="AI76" s="500">
        <v>0</v>
      </c>
      <c r="AK76" s="467">
        <f t="shared" si="28"/>
        <v>0</v>
      </c>
      <c r="AL76" s="467">
        <f t="shared" si="28"/>
        <v>0</v>
      </c>
      <c r="AM76" s="467">
        <f t="shared" si="28"/>
        <v>0</v>
      </c>
      <c r="AN76" s="467">
        <f t="shared" si="28"/>
        <v>0</v>
      </c>
      <c r="AO76" s="467">
        <f t="shared" si="28"/>
        <v>0</v>
      </c>
      <c r="AP76" s="467">
        <f t="shared" si="28"/>
        <v>0</v>
      </c>
      <c r="AQ76" s="467">
        <f t="shared" si="28"/>
        <v>0</v>
      </c>
      <c r="AR76" s="467">
        <f t="shared" si="28"/>
        <v>0</v>
      </c>
      <c r="AS76" s="467">
        <f t="shared" si="28"/>
        <v>0</v>
      </c>
      <c r="AT76" s="467">
        <f t="shared" si="28"/>
        <v>0</v>
      </c>
      <c r="AU76" s="467">
        <f t="shared" si="29"/>
        <v>0</v>
      </c>
      <c r="AV76" s="467">
        <f t="shared" si="29"/>
        <v>0</v>
      </c>
      <c r="AW76" s="467">
        <f t="shared" si="29"/>
        <v>0</v>
      </c>
      <c r="AX76" s="467">
        <f t="shared" si="29"/>
        <v>0</v>
      </c>
      <c r="AY76" s="467">
        <f t="shared" si="29"/>
        <v>0</v>
      </c>
      <c r="AZ76" s="467">
        <f t="shared" si="29"/>
        <v>0</v>
      </c>
      <c r="BA76" s="467">
        <f t="shared" si="29"/>
        <v>0</v>
      </c>
      <c r="BB76" s="467">
        <f t="shared" si="29"/>
        <v>0</v>
      </c>
      <c r="BC76" s="467">
        <f t="shared" si="30"/>
        <v>0</v>
      </c>
      <c r="BD76" s="467">
        <f t="shared" si="30"/>
        <v>0</v>
      </c>
      <c r="BE76" s="467">
        <f t="shared" si="30"/>
        <v>0</v>
      </c>
      <c r="BF76" s="467">
        <f t="shared" si="30"/>
        <v>0</v>
      </c>
      <c r="BG76" s="467">
        <f t="shared" si="30"/>
        <v>0</v>
      </c>
      <c r="BH76" s="467">
        <f t="shared" si="30"/>
        <v>0</v>
      </c>
      <c r="BI76" s="467">
        <f t="shared" si="30"/>
        <v>0</v>
      </c>
      <c r="BJ76" s="467">
        <f t="shared" si="30"/>
        <v>0</v>
      </c>
      <c r="BK76" s="467">
        <f t="shared" si="30"/>
        <v>0</v>
      </c>
      <c r="BL76" s="467">
        <f t="shared" si="30"/>
        <v>0</v>
      </c>
      <c r="BM76" s="467">
        <f t="shared" si="30"/>
        <v>0</v>
      </c>
      <c r="BN76" s="467">
        <f t="shared" si="30"/>
        <v>0</v>
      </c>
      <c r="BO76" s="467">
        <f t="shared" si="30"/>
        <v>0</v>
      </c>
      <c r="BP76" s="467">
        <f t="shared" si="30"/>
        <v>0</v>
      </c>
      <c r="BQ76" s="467">
        <f t="shared" si="30"/>
        <v>0</v>
      </c>
    </row>
    <row r="77" spans="1:69">
      <c r="A77" s="463" t="s">
        <v>218</v>
      </c>
      <c r="B77" s="462">
        <v>2230</v>
      </c>
      <c r="C77" s="500">
        <v>2306.3351039999998</v>
      </c>
      <c r="D77" s="462">
        <v>2263.4919359999999</v>
      </c>
      <c r="E77" s="462">
        <v>2122.1799839999999</v>
      </c>
      <c r="F77" s="512">
        <v>2232.1331999999998</v>
      </c>
      <c r="G77" s="500">
        <v>2058.5527199999997</v>
      </c>
      <c r="H77" s="462">
        <v>2008.8599601611968</v>
      </c>
      <c r="I77" s="462">
        <v>2052.4569876667006</v>
      </c>
      <c r="J77" s="462">
        <v>2052.4569876667006</v>
      </c>
      <c r="K77" s="462">
        <v>2052.4569876667006</v>
      </c>
      <c r="L77" s="462">
        <v>1913.0100354777599</v>
      </c>
      <c r="M77" s="462">
        <v>1950.2228107956107</v>
      </c>
      <c r="N77" s="462">
        <v>1954.9828807724955</v>
      </c>
      <c r="O77" s="500">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500">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500">
        <v>3474.3210191383218</v>
      </c>
      <c r="AK77" s="467">
        <f t="shared" si="28"/>
        <v>2.306335104</v>
      </c>
      <c r="AL77" s="467">
        <f t="shared" si="28"/>
        <v>2.2634919359999999</v>
      </c>
      <c r="AM77" s="467">
        <f t="shared" si="28"/>
        <v>2.1221799839999997</v>
      </c>
      <c r="AN77" s="467">
        <f t="shared" si="28"/>
        <v>2.2321331999999998</v>
      </c>
      <c r="AO77" s="467">
        <f t="shared" si="28"/>
        <v>2.0585527199999998</v>
      </c>
      <c r="AP77" s="467">
        <f t="shared" si="28"/>
        <v>2.0088599601611969</v>
      </c>
      <c r="AQ77" s="467">
        <f t="shared" si="28"/>
        <v>2.0524569876667007</v>
      </c>
      <c r="AR77" s="467">
        <f t="shared" si="28"/>
        <v>2.0524569876667007</v>
      </c>
      <c r="AS77" s="467">
        <f t="shared" si="28"/>
        <v>2.0524569876667007</v>
      </c>
      <c r="AT77" s="467">
        <f t="shared" si="28"/>
        <v>1.9130100354777599</v>
      </c>
      <c r="AU77" s="467">
        <f t="shared" si="29"/>
        <v>1.9502228107956108</v>
      </c>
      <c r="AV77" s="467">
        <f t="shared" si="29"/>
        <v>1.9549828807724956</v>
      </c>
      <c r="AW77" s="467">
        <f t="shared" si="29"/>
        <v>2.104629970078618</v>
      </c>
      <c r="AX77" s="467">
        <f t="shared" si="29"/>
        <v>2.1146548707890629</v>
      </c>
      <c r="AY77" s="467">
        <f t="shared" si="29"/>
        <v>2.1817876707890629</v>
      </c>
      <c r="AZ77" s="467">
        <f t="shared" si="29"/>
        <v>2.3980477524217156</v>
      </c>
      <c r="BA77" s="467">
        <f t="shared" si="29"/>
        <v>2.2689302040986226</v>
      </c>
      <c r="BB77" s="467">
        <f t="shared" si="29"/>
        <v>2.4851902857312758</v>
      </c>
      <c r="BC77" s="467">
        <f t="shared" si="30"/>
        <v>2.4851902857312758</v>
      </c>
      <c r="BD77" s="467">
        <f t="shared" si="30"/>
        <v>2.4851902857312758</v>
      </c>
      <c r="BE77" s="467">
        <f t="shared" si="30"/>
        <v>2.4974978117414706</v>
      </c>
      <c r="BF77" s="467">
        <f t="shared" si="30"/>
        <v>2.4131816991328741</v>
      </c>
      <c r="BG77" s="467">
        <f t="shared" si="30"/>
        <v>2.7736151685206289</v>
      </c>
      <c r="BH77" s="467">
        <f t="shared" si="30"/>
        <v>3.0692707305634563</v>
      </c>
      <c r="BI77" s="467">
        <f t="shared" si="30"/>
        <v>3.0316989103185583</v>
      </c>
      <c r="BJ77" s="467">
        <f t="shared" si="30"/>
        <v>3.1138875497505669</v>
      </c>
      <c r="BK77" s="467">
        <f t="shared" si="30"/>
        <v>3.1138875497505669</v>
      </c>
      <c r="BL77" s="467">
        <f t="shared" si="30"/>
        <v>3.2580609375056691</v>
      </c>
      <c r="BM77" s="467">
        <f t="shared" si="30"/>
        <v>3.2580609375056691</v>
      </c>
      <c r="BN77" s="467">
        <f t="shared" si="30"/>
        <v>3.4743210191383218</v>
      </c>
      <c r="BO77" s="467">
        <f t="shared" si="30"/>
        <v>3.4743210191383218</v>
      </c>
      <c r="BP77" s="467">
        <f t="shared" si="30"/>
        <v>3.4743210191383218</v>
      </c>
      <c r="BQ77" s="467">
        <f t="shared" si="30"/>
        <v>3.4743210191383218</v>
      </c>
    </row>
    <row r="78" spans="1:69">
      <c r="A78" s="463" t="s">
        <v>219</v>
      </c>
      <c r="B78" s="462">
        <v>2297</v>
      </c>
      <c r="C78" s="500">
        <v>2451.3263139098949</v>
      </c>
      <c r="D78" s="462">
        <v>2390.7075633616842</v>
      </c>
      <c r="E78" s="462">
        <v>2234.8024950458948</v>
      </c>
      <c r="F78" s="512">
        <v>2357.7233353743159</v>
      </c>
      <c r="G78" s="500">
        <v>2174.4232039839999</v>
      </c>
      <c r="H78" s="462">
        <v>2106.5036677633971</v>
      </c>
      <c r="I78" s="462">
        <v>2163.674964159648</v>
      </c>
      <c r="J78" s="462">
        <v>2163.674964159648</v>
      </c>
      <c r="K78" s="462">
        <v>2163.674964159648</v>
      </c>
      <c r="L78" s="462">
        <v>2036.6923297543722</v>
      </c>
      <c r="M78" s="462">
        <v>2160.7779189639032</v>
      </c>
      <c r="N78" s="462">
        <v>2181.5942308496683</v>
      </c>
      <c r="O78" s="500">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500">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500">
        <v>4417.7797219631457</v>
      </c>
      <c r="AK78" s="467">
        <f t="shared" si="28"/>
        <v>2.4513263139098949</v>
      </c>
      <c r="AL78" s="467">
        <f t="shared" si="28"/>
        <v>2.3907075633616843</v>
      </c>
      <c r="AM78" s="467">
        <f t="shared" si="28"/>
        <v>2.2348024950458947</v>
      </c>
      <c r="AN78" s="467">
        <f t="shared" si="28"/>
        <v>2.3577233353743159</v>
      </c>
      <c r="AO78" s="467">
        <f t="shared" si="28"/>
        <v>2.1744232039839999</v>
      </c>
      <c r="AP78" s="467">
        <f t="shared" si="28"/>
        <v>2.106503667763397</v>
      </c>
      <c r="AQ78" s="467">
        <f t="shared" si="28"/>
        <v>2.163674964159648</v>
      </c>
      <c r="AR78" s="467">
        <f t="shared" si="28"/>
        <v>2.163674964159648</v>
      </c>
      <c r="AS78" s="467">
        <f t="shared" si="28"/>
        <v>2.163674964159648</v>
      </c>
      <c r="AT78" s="467">
        <f t="shared" si="28"/>
        <v>2.0366923297543722</v>
      </c>
      <c r="AU78" s="467">
        <f t="shared" si="29"/>
        <v>2.1607779189639031</v>
      </c>
      <c r="AV78" s="467">
        <f t="shared" si="29"/>
        <v>2.1815942308496683</v>
      </c>
      <c r="AW78" s="467">
        <f t="shared" si="29"/>
        <v>2.4028958364917736</v>
      </c>
      <c r="AX78" s="467">
        <f t="shared" si="29"/>
        <v>2.5162189192867914</v>
      </c>
      <c r="AY78" s="467">
        <f t="shared" si="29"/>
        <v>2.6267062949499485</v>
      </c>
      <c r="AZ78" s="467">
        <f t="shared" si="29"/>
        <v>2.8672057584446851</v>
      </c>
      <c r="BA78" s="467">
        <f t="shared" si="29"/>
        <v>2.7496292451064672</v>
      </c>
      <c r="BB78" s="467">
        <f t="shared" si="29"/>
        <v>3.750236607352766</v>
      </c>
      <c r="BC78" s="467">
        <f t="shared" si="30"/>
        <v>3.750236607352766</v>
      </c>
      <c r="BD78" s="467">
        <f t="shared" si="30"/>
        <v>3.750236607352766</v>
      </c>
      <c r="BE78" s="467">
        <f t="shared" si="30"/>
        <v>3.7468845601440957</v>
      </c>
      <c r="BF78" s="467">
        <f t="shared" si="30"/>
        <v>3.5368734317063852</v>
      </c>
      <c r="BG78" s="467">
        <f t="shared" si="30"/>
        <v>3.93770587086428</v>
      </c>
      <c r="BH78" s="467">
        <f t="shared" si="30"/>
        <v>4.1568985498744775</v>
      </c>
      <c r="BI78" s="467">
        <f t="shared" si="30"/>
        <v>3.9931139578744776</v>
      </c>
      <c r="BJ78" s="467">
        <f t="shared" si="30"/>
        <v>4.0169472828052495</v>
      </c>
      <c r="BK78" s="467">
        <f t="shared" si="30"/>
        <v>4.0169472828052495</v>
      </c>
      <c r="BL78" s="467">
        <f t="shared" si="30"/>
        <v>4.177280258468409</v>
      </c>
      <c r="BM78" s="467">
        <f t="shared" si="30"/>
        <v>4.177280258468409</v>
      </c>
      <c r="BN78" s="467">
        <f t="shared" si="30"/>
        <v>4.4177797219631456</v>
      </c>
      <c r="BO78" s="467">
        <f t="shared" si="30"/>
        <v>4.4177797219631456</v>
      </c>
      <c r="BP78" s="467">
        <f t="shared" si="30"/>
        <v>4.4177797219631456</v>
      </c>
      <c r="BQ78" s="467">
        <f t="shared" si="30"/>
        <v>4.4177797219631456</v>
      </c>
    </row>
    <row r="79" spans="1:69">
      <c r="A79" s="464" t="s">
        <v>220</v>
      </c>
      <c r="B79" s="465">
        <v>0</v>
      </c>
      <c r="C79" s="501">
        <v>0</v>
      </c>
      <c r="D79" s="465">
        <v>0</v>
      </c>
      <c r="E79" s="465">
        <v>0</v>
      </c>
      <c r="F79" s="513">
        <v>0</v>
      </c>
      <c r="G79" s="501">
        <v>0</v>
      </c>
      <c r="H79" s="465">
        <v>0</v>
      </c>
      <c r="I79" s="465">
        <v>0</v>
      </c>
      <c r="J79" s="465">
        <v>0</v>
      </c>
      <c r="K79" s="465">
        <v>0</v>
      </c>
      <c r="L79" s="465">
        <v>0</v>
      </c>
      <c r="M79" s="465">
        <v>0</v>
      </c>
      <c r="N79" s="465">
        <v>0</v>
      </c>
      <c r="O79" s="501">
        <v>0</v>
      </c>
      <c r="P79" s="465">
        <v>0</v>
      </c>
      <c r="Q79" s="465">
        <v>0</v>
      </c>
      <c r="R79" s="465">
        <v>0</v>
      </c>
      <c r="S79" s="465">
        <v>0</v>
      </c>
      <c r="T79" s="465">
        <v>0</v>
      </c>
      <c r="U79" s="465">
        <v>0</v>
      </c>
      <c r="V79" s="465">
        <v>0</v>
      </c>
      <c r="W79" s="465">
        <v>0</v>
      </c>
      <c r="X79" s="465">
        <v>0</v>
      </c>
      <c r="Y79" s="501">
        <v>0</v>
      </c>
      <c r="Z79" s="465">
        <v>0</v>
      </c>
      <c r="AA79" s="465">
        <v>0</v>
      </c>
      <c r="AB79" s="465">
        <v>0</v>
      </c>
      <c r="AC79" s="465">
        <v>0</v>
      </c>
      <c r="AD79" s="465">
        <v>0</v>
      </c>
      <c r="AE79" s="465">
        <v>0</v>
      </c>
      <c r="AF79" s="465">
        <v>0</v>
      </c>
      <c r="AG79" s="465">
        <v>0</v>
      </c>
      <c r="AH79" s="465">
        <v>0</v>
      </c>
      <c r="AI79" s="501">
        <v>0</v>
      </c>
      <c r="AK79" s="465">
        <f t="shared" si="28"/>
        <v>0</v>
      </c>
      <c r="AL79" s="465">
        <f t="shared" si="28"/>
        <v>0</v>
      </c>
      <c r="AM79" s="465">
        <f t="shared" si="28"/>
        <v>0</v>
      </c>
      <c r="AN79" s="465">
        <f t="shared" si="28"/>
        <v>0</v>
      </c>
      <c r="AO79" s="465">
        <f t="shared" si="28"/>
        <v>0</v>
      </c>
      <c r="AP79" s="465">
        <f t="shared" si="28"/>
        <v>0</v>
      </c>
      <c r="AQ79" s="465">
        <f t="shared" si="28"/>
        <v>0</v>
      </c>
      <c r="AR79" s="465">
        <f t="shared" si="28"/>
        <v>0</v>
      </c>
      <c r="AS79" s="465">
        <f t="shared" si="28"/>
        <v>0</v>
      </c>
      <c r="AT79" s="465">
        <f t="shared" si="28"/>
        <v>0</v>
      </c>
      <c r="AU79" s="465">
        <f t="shared" si="29"/>
        <v>0</v>
      </c>
      <c r="AV79" s="465">
        <f t="shared" si="29"/>
        <v>0</v>
      </c>
      <c r="AW79" s="465">
        <f t="shared" si="29"/>
        <v>0</v>
      </c>
      <c r="AX79" s="465">
        <f t="shared" si="29"/>
        <v>0</v>
      </c>
      <c r="AY79" s="465">
        <f t="shared" si="29"/>
        <v>0</v>
      </c>
      <c r="AZ79" s="465">
        <f t="shared" si="29"/>
        <v>0</v>
      </c>
      <c r="BA79" s="465">
        <f t="shared" si="29"/>
        <v>0</v>
      </c>
      <c r="BB79" s="465">
        <f t="shared" si="29"/>
        <v>0</v>
      </c>
      <c r="BC79" s="465">
        <f t="shared" si="30"/>
        <v>0</v>
      </c>
      <c r="BD79" s="465">
        <f t="shared" si="30"/>
        <v>0</v>
      </c>
      <c r="BE79" s="465">
        <f t="shared" si="30"/>
        <v>0</v>
      </c>
      <c r="BF79" s="465">
        <f t="shared" si="30"/>
        <v>0</v>
      </c>
      <c r="BG79" s="465">
        <f t="shared" si="30"/>
        <v>0</v>
      </c>
      <c r="BH79" s="465">
        <f t="shared" si="30"/>
        <v>0</v>
      </c>
      <c r="BI79" s="465">
        <f t="shared" si="30"/>
        <v>0</v>
      </c>
      <c r="BJ79" s="465">
        <f t="shared" si="30"/>
        <v>0</v>
      </c>
      <c r="BK79" s="465">
        <f t="shared" si="30"/>
        <v>0</v>
      </c>
      <c r="BL79" s="465">
        <f t="shared" si="30"/>
        <v>0</v>
      </c>
      <c r="BM79" s="465">
        <f t="shared" si="30"/>
        <v>0</v>
      </c>
      <c r="BN79" s="465">
        <f t="shared" si="30"/>
        <v>0</v>
      </c>
      <c r="BO79" s="465">
        <f t="shared" si="30"/>
        <v>0</v>
      </c>
      <c r="BP79" s="465">
        <f t="shared" si="30"/>
        <v>0</v>
      </c>
      <c r="BQ79" s="465">
        <f t="shared" si="30"/>
        <v>0</v>
      </c>
    </row>
    <row r="80" spans="1:69">
      <c r="A80" s="466" t="s">
        <v>223</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224</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20" t="s">
        <v>225</v>
      </c>
      <c r="B84" s="521"/>
      <c r="C84" s="521"/>
      <c r="D84" s="521"/>
      <c r="E84" s="521"/>
      <c r="F84" s="521"/>
      <c r="G84" s="521"/>
      <c r="H84" s="521"/>
      <c r="I84" s="521"/>
      <c r="J84" s="521"/>
      <c r="K84" s="521"/>
      <c r="L84" s="521"/>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27"/>
      <c r="B85" s="527"/>
      <c r="C85" s="527"/>
      <c r="D85" s="527"/>
      <c r="E85" s="527"/>
      <c r="F85" s="527"/>
      <c r="G85" s="527"/>
      <c r="H85" s="527"/>
      <c r="I85" s="527"/>
      <c r="J85" s="527"/>
      <c r="K85" s="527"/>
      <c r="L85" s="527"/>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22" t="s">
        <v>163</v>
      </c>
      <c r="I86" s="522"/>
      <c r="J86" s="33"/>
      <c r="K86" s="522" t="s">
        <v>164</v>
      </c>
      <c r="L86" s="522"/>
      <c r="M86" s="58"/>
      <c r="N86" s="391" t="s">
        <v>226</v>
      </c>
      <c r="O86" s="390" t="s">
        <v>227</v>
      </c>
      <c r="P86" s="390" t="s">
        <v>228</v>
      </c>
      <c r="Q86" s="390" t="s">
        <v>229</v>
      </c>
      <c r="R86" s="390" t="s">
        <v>230</v>
      </c>
      <c r="S86" s="390" t="s">
        <v>231</v>
      </c>
      <c r="T86" s="390" t="s">
        <v>232</v>
      </c>
      <c r="U86" s="390" t="s">
        <v>233</v>
      </c>
      <c r="V86" s="390" t="s">
        <v>234</v>
      </c>
      <c r="W86" s="390" t="s">
        <v>235</v>
      </c>
      <c r="X86" s="390" t="s">
        <v>236</v>
      </c>
      <c r="Y86" s="390" t="s">
        <v>237</v>
      </c>
      <c r="Z86" s="390" t="s">
        <v>238</v>
      </c>
      <c r="AA86" s="390" t="s">
        <v>239</v>
      </c>
      <c r="AB86" s="390" t="s">
        <v>240</v>
      </c>
      <c r="AC86" s="390" t="s">
        <v>241</v>
      </c>
      <c r="AD86" s="390" t="s">
        <v>242</v>
      </c>
      <c r="AE86" s="390" t="s">
        <v>243</v>
      </c>
      <c r="AF86" s="390" t="s">
        <v>244</v>
      </c>
      <c r="AG86" s="390" t="s">
        <v>245</v>
      </c>
      <c r="AH86" s="390" t="s">
        <v>246</v>
      </c>
      <c r="AI86" s="390" t="s">
        <v>247</v>
      </c>
      <c r="AJ86" s="390" t="s">
        <v>248</v>
      </c>
      <c r="AK86" s="390" t="s">
        <v>249</v>
      </c>
      <c r="AL86" s="390" t="s">
        <v>250</v>
      </c>
      <c r="AM86" s="390" t="s">
        <v>251</v>
      </c>
      <c r="AN86" s="390" t="s">
        <v>252</v>
      </c>
      <c r="AO86" s="390" t="s">
        <v>253</v>
      </c>
      <c r="AP86" s="390" t="s">
        <v>254</v>
      </c>
      <c r="AQ86" s="390" t="s">
        <v>255</v>
      </c>
      <c r="AR86" s="390" t="s">
        <v>256</v>
      </c>
      <c r="AS86" s="390" t="s">
        <v>257</v>
      </c>
      <c r="AT86" s="390" t="s">
        <v>258</v>
      </c>
      <c r="AU86" s="390" t="s">
        <v>259</v>
      </c>
      <c r="AV86" s="390" t="s">
        <v>260</v>
      </c>
      <c r="AW86" s="390" t="s">
        <v>261</v>
      </c>
      <c r="AX86" s="390" t="s">
        <v>262</v>
      </c>
      <c r="AY86" s="390" t="s">
        <v>263</v>
      </c>
      <c r="AZ86" s="390" t="s">
        <v>264</v>
      </c>
      <c r="BA86" s="390" t="s">
        <v>265</v>
      </c>
      <c r="BB86" s="390" t="s">
        <v>266</v>
      </c>
      <c r="BC86" s="390" t="s">
        <v>267</v>
      </c>
      <c r="BD86" s="390" t="s">
        <v>268</v>
      </c>
      <c r="BE86" s="390" t="s">
        <v>269</v>
      </c>
      <c r="BF86" s="390" t="s">
        <v>270</v>
      </c>
      <c r="BG86" s="390" t="s">
        <v>271</v>
      </c>
    </row>
    <row r="87" spans="1:59">
      <c r="A87" s="31"/>
      <c r="B87" s="34">
        <v>2000</v>
      </c>
      <c r="C87" s="34">
        <v>2018</v>
      </c>
      <c r="D87" s="34">
        <v>2025</v>
      </c>
      <c r="E87" s="34">
        <v>2030</v>
      </c>
      <c r="F87" s="34">
        <v>2035</v>
      </c>
      <c r="G87" s="34">
        <v>2040</v>
      </c>
      <c r="H87" s="35">
        <v>2018</v>
      </c>
      <c r="I87" s="35">
        <v>2040</v>
      </c>
      <c r="J87" s="36"/>
      <c r="K87" s="35" t="s">
        <v>165</v>
      </c>
      <c r="L87" s="35" t="s">
        <v>166</v>
      </c>
      <c r="M87" s="58"/>
      <c r="N87" s="392" t="s">
        <v>272</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187</v>
      </c>
      <c r="B88" s="38"/>
      <c r="C88" s="38"/>
      <c r="D88" s="39"/>
      <c r="E88" s="39"/>
      <c r="F88" s="39"/>
      <c r="G88" s="39"/>
      <c r="H88" s="40"/>
      <c r="I88" s="40"/>
      <c r="J88" s="41"/>
      <c r="K88" s="40"/>
      <c r="L88" s="40"/>
      <c r="M88" s="58"/>
      <c r="N88" s="392" t="s">
        <v>168</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273</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169</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168</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274</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169</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170</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201</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275</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171</v>
      </c>
      <c r="B93" s="43">
        <v>2.3130000000000002</v>
      </c>
      <c r="C93" s="43">
        <v>5.359</v>
      </c>
      <c r="D93" s="44">
        <v>6.633</v>
      </c>
      <c r="E93" s="44">
        <v>7.3479999999999999</v>
      </c>
      <c r="F93" s="44">
        <v>7.98</v>
      </c>
      <c r="G93" s="44">
        <v>8.5749999999999993</v>
      </c>
      <c r="H93" s="45">
        <v>7.49</v>
      </c>
      <c r="I93" s="45">
        <v>9.84</v>
      </c>
      <c r="J93" s="46"/>
      <c r="K93" s="47">
        <v>4.78</v>
      </c>
      <c r="L93" s="47">
        <v>2.16</v>
      </c>
      <c r="M93" s="58"/>
      <c r="N93" s="393" t="s">
        <v>276</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202</v>
      </c>
      <c r="B94" s="43">
        <v>0</v>
      </c>
      <c r="C94" s="43">
        <v>0</v>
      </c>
      <c r="D94" s="44">
        <v>0</v>
      </c>
      <c r="E94" s="44">
        <v>0</v>
      </c>
      <c r="F94" s="44">
        <v>0</v>
      </c>
      <c r="G94" s="44">
        <v>0</v>
      </c>
      <c r="H94" s="45">
        <v>0</v>
      </c>
      <c r="I94" s="45">
        <v>0</v>
      </c>
      <c r="J94" s="46"/>
      <c r="K94" s="47" t="s">
        <v>173</v>
      </c>
      <c r="L94" s="47" t="s">
        <v>173</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277</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272</v>
      </c>
      <c r="O96" s="395">
        <f t="shared" ref="O96:O102" si="31">SUM(O87:Z87)</f>
        <v>143496</v>
      </c>
      <c r="P96" s="395">
        <f t="shared" ref="P96:P102" si="32">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168</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168</v>
      </c>
      <c r="O97" s="395">
        <f>SUM(O88:Z88)</f>
        <v>32047</v>
      </c>
      <c r="P97" s="395">
        <f t="shared" si="32"/>
        <v>31752</v>
      </c>
      <c r="Q97" s="395">
        <f t="shared" ref="Q97:Q102" si="33">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169</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169</v>
      </c>
      <c r="O98" s="395">
        <f t="shared" si="31"/>
        <v>69293</v>
      </c>
      <c r="P98" s="395">
        <f t="shared" si="32"/>
        <v>69215</v>
      </c>
      <c r="Q98" s="395">
        <f t="shared" si="33"/>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201</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274</v>
      </c>
      <c r="O99" s="395">
        <f t="shared" si="31"/>
        <v>2038</v>
      </c>
      <c r="P99" s="395">
        <f t="shared" si="32"/>
        <v>2911</v>
      </c>
      <c r="Q99" s="395">
        <f t="shared" si="33"/>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171</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170</v>
      </c>
      <c r="O100" s="395">
        <f t="shared" si="31"/>
        <v>9028</v>
      </c>
      <c r="P100" s="395">
        <f t="shared" si="32"/>
        <v>8541</v>
      </c>
      <c r="Q100" s="395">
        <f t="shared" si="33"/>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202</v>
      </c>
      <c r="B101" s="43">
        <v>0</v>
      </c>
      <c r="C101" s="43">
        <v>0</v>
      </c>
      <c r="D101" s="44">
        <v>0</v>
      </c>
      <c r="E101" s="44">
        <v>0</v>
      </c>
      <c r="F101" s="44">
        <v>0</v>
      </c>
      <c r="G101" s="44">
        <v>0</v>
      </c>
      <c r="H101" s="45">
        <v>0</v>
      </c>
      <c r="I101" s="45">
        <v>0</v>
      </c>
      <c r="J101" s="46"/>
      <c r="K101" s="47" t="s">
        <v>173</v>
      </c>
      <c r="L101" s="47" t="s">
        <v>173</v>
      </c>
      <c r="M101" s="58"/>
      <c r="N101" s="392" t="s">
        <v>275</v>
      </c>
      <c r="O101" s="395">
        <f t="shared" si="31"/>
        <v>24399</v>
      </c>
      <c r="P101" s="395">
        <f t="shared" si="32"/>
        <v>24060</v>
      </c>
      <c r="Q101" s="395">
        <f t="shared" si="33"/>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276</v>
      </c>
      <c r="O102" s="395">
        <f t="shared" si="31"/>
        <v>6692</v>
      </c>
      <c r="P102" s="395">
        <f t="shared" si="32"/>
        <v>6426</v>
      </c>
      <c r="Q102" s="395">
        <f t="shared" si="33"/>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222</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168</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272</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169</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168</v>
      </c>
      <c r="O105" s="172"/>
      <c r="P105" s="396">
        <f t="shared" ref="P105:P110" si="34">(P97-O97)/O97</f>
        <v>-9.2052298187037789E-3</v>
      </c>
      <c r="Q105" s="396">
        <f t="shared" ref="Q105:Q110" si="35">(Q97-P97)/P97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201</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169</v>
      </c>
      <c r="O106" s="172"/>
      <c r="P106" s="396">
        <f t="shared" si="34"/>
        <v>-1.1256548280490094E-3</v>
      </c>
      <c r="Q106" s="396">
        <f t="shared" si="35"/>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171</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274</v>
      </c>
      <c r="O107" s="172"/>
      <c r="P107" s="396">
        <f t="shared" si="34"/>
        <v>0.42836113837095191</v>
      </c>
      <c r="Q107" s="396">
        <f t="shared" si="35"/>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202</v>
      </c>
      <c r="B108" s="56">
        <v>0</v>
      </c>
      <c r="C108" s="56">
        <v>0</v>
      </c>
      <c r="D108" s="44">
        <v>0</v>
      </c>
      <c r="E108" s="44">
        <v>0</v>
      </c>
      <c r="F108" s="44">
        <v>0</v>
      </c>
      <c r="G108" s="44">
        <v>0</v>
      </c>
      <c r="H108" s="45">
        <v>0</v>
      </c>
      <c r="I108" s="45">
        <v>0</v>
      </c>
      <c r="J108" s="57"/>
      <c r="K108" s="47" t="s">
        <v>173</v>
      </c>
      <c r="L108" s="47" t="s">
        <v>173</v>
      </c>
      <c r="M108" s="58"/>
      <c r="N108" s="392" t="s">
        <v>170</v>
      </c>
      <c r="O108" s="172"/>
      <c r="P108" s="396">
        <f t="shared" si="34"/>
        <v>-5.3943287549844926E-2</v>
      </c>
      <c r="Q108" s="396">
        <f t="shared" si="35"/>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275</v>
      </c>
      <c r="O109" s="172"/>
      <c r="P109" s="396">
        <f t="shared" si="34"/>
        <v>-1.3894012049674167E-2</v>
      </c>
      <c r="Q109" s="396">
        <f t="shared" si="35"/>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278</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276</v>
      </c>
      <c r="O110" s="172"/>
      <c r="P110" s="396">
        <f t="shared" si="34"/>
        <v>-3.9748953974895397E-2</v>
      </c>
      <c r="Q110" s="396">
        <f t="shared" si="35"/>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168</v>
      </c>
      <c r="B111" s="43">
        <v>0</v>
      </c>
      <c r="C111" s="43">
        <v>0</v>
      </c>
      <c r="D111" s="44">
        <v>0</v>
      </c>
      <c r="E111" s="44">
        <v>0</v>
      </c>
      <c r="F111" s="44">
        <v>0</v>
      </c>
      <c r="G111" s="44">
        <v>0</v>
      </c>
      <c r="H111" s="45">
        <v>0</v>
      </c>
      <c r="I111" s="45">
        <v>0</v>
      </c>
      <c r="J111" s="41"/>
      <c r="K111" s="47" t="s">
        <v>173</v>
      </c>
      <c r="L111" s="47" t="s">
        <v>173</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169</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272</v>
      </c>
      <c r="O112" s="172"/>
      <c r="P112" s="397">
        <f>P104+1</f>
        <v>0.99586051179126944</v>
      </c>
      <c r="Q112" s="397">
        <f t="shared" ref="Q112:Q118" si="36">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201</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168</v>
      </c>
      <c r="O113" s="172"/>
      <c r="P113" s="397">
        <f t="shared" ref="P113:P118" si="37">P105+1</f>
        <v>0.99079477018129625</v>
      </c>
      <c r="Q113" s="397">
        <f t="shared" si="36"/>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171</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169</v>
      </c>
      <c r="O114" s="172"/>
      <c r="P114" s="397">
        <f t="shared" si="37"/>
        <v>0.99887434517195095</v>
      </c>
      <c r="Q114" s="397">
        <f t="shared" si="36"/>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202</v>
      </c>
      <c r="B115" s="56">
        <v>0</v>
      </c>
      <c r="C115" s="56">
        <v>0</v>
      </c>
      <c r="D115" s="44">
        <v>0</v>
      </c>
      <c r="E115" s="44">
        <v>0</v>
      </c>
      <c r="F115" s="44">
        <v>0</v>
      </c>
      <c r="G115" s="44">
        <v>0</v>
      </c>
      <c r="H115" s="45">
        <v>0</v>
      </c>
      <c r="I115" s="45">
        <v>0</v>
      </c>
      <c r="J115" s="57"/>
      <c r="K115" s="47" t="s">
        <v>173</v>
      </c>
      <c r="L115" s="47" t="s">
        <v>173</v>
      </c>
      <c r="N115" s="392" t="s">
        <v>274</v>
      </c>
      <c r="O115" s="172"/>
      <c r="P115" s="397">
        <f t="shared" si="37"/>
        <v>1.4283611383709518</v>
      </c>
      <c r="Q115" s="397">
        <f t="shared" si="36"/>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23" t="s">
        <v>209</v>
      </c>
      <c r="B116" s="524"/>
      <c r="C116" s="524"/>
      <c r="D116" s="524"/>
      <c r="E116" s="524"/>
      <c r="F116" s="524"/>
      <c r="G116" s="524"/>
      <c r="H116" s="524"/>
      <c r="I116" s="524"/>
      <c r="J116" s="524"/>
      <c r="K116" s="524"/>
      <c r="L116" s="524"/>
      <c r="N116" s="392" t="s">
        <v>170</v>
      </c>
      <c r="O116" s="172"/>
      <c r="P116" s="397">
        <f t="shared" si="37"/>
        <v>0.9460567124501551</v>
      </c>
      <c r="Q116" s="397">
        <f t="shared" si="36"/>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275</v>
      </c>
      <c r="O117" s="172"/>
      <c r="P117" s="397">
        <f t="shared" si="37"/>
        <v>0.98610598795032578</v>
      </c>
      <c r="Q117" s="397">
        <f t="shared" si="36"/>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276</v>
      </c>
      <c r="O118" s="172"/>
      <c r="P118" s="397">
        <f t="shared" si="37"/>
        <v>0.96025104602510458</v>
      </c>
      <c r="Q118" s="397">
        <f t="shared" si="36"/>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N57:AL57"/>
    <mergeCell ref="A4:L4"/>
    <mergeCell ref="A5:L5"/>
    <mergeCell ref="H6:I6"/>
    <mergeCell ref="K6:L6"/>
    <mergeCell ref="A57:L57"/>
    <mergeCell ref="A84:L84"/>
    <mergeCell ref="A85:L85"/>
    <mergeCell ref="H86:I86"/>
    <mergeCell ref="K86:L86"/>
    <mergeCell ref="A116:L116"/>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21875" style="150" bestFit="1" customWidth="1"/>
    <col min="18" max="50" width="6.109375" style="150" customWidth="1"/>
    <col min="51" max="51" width="9.109375" style="30"/>
    <col min="52" max="16384" width="9.109375" style="207"/>
  </cols>
  <sheetData>
    <row r="1" spans="1:51" ht="30" customHeight="1">
      <c r="B1" s="533" t="s">
        <v>1156</v>
      </c>
      <c r="C1" s="534"/>
      <c r="D1" s="534"/>
      <c r="E1" s="534"/>
      <c r="F1" s="534"/>
      <c r="G1" s="534"/>
      <c r="H1" s="534"/>
      <c r="I1" s="534"/>
      <c r="J1" s="534"/>
      <c r="K1" s="534"/>
      <c r="L1" s="534"/>
      <c r="M1" s="534"/>
      <c r="N1" s="159">
        <v>1</v>
      </c>
      <c r="O1" s="159"/>
      <c r="P1" s="160" t="s">
        <v>279</v>
      </c>
      <c r="Q1" s="161" t="s">
        <v>280</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35" t="s">
        <v>162</v>
      </c>
      <c r="C2" s="535"/>
      <c r="D2" s="535"/>
      <c r="E2" s="535"/>
      <c r="F2" s="535"/>
      <c r="G2" s="535"/>
      <c r="H2" s="535"/>
      <c r="I2" s="535"/>
      <c r="J2" s="535"/>
      <c r="K2" s="535"/>
      <c r="L2" s="535"/>
      <c r="M2" s="535"/>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22" t="s">
        <v>163</v>
      </c>
      <c r="J3" s="522"/>
      <c r="K3" s="33"/>
      <c r="L3" s="522" t="s">
        <v>164</v>
      </c>
      <c r="M3" s="52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48" t="s">
        <v>1141</v>
      </c>
      <c r="B5" s="37" t="s">
        <v>281</v>
      </c>
      <c r="C5" s="67">
        <v>18.923999999999999</v>
      </c>
      <c r="D5" s="67">
        <v>53.462000000000003</v>
      </c>
      <c r="E5" s="68">
        <v>56.15</v>
      </c>
      <c r="F5" s="68">
        <v>61.253999999999998</v>
      </c>
      <c r="G5" s="68">
        <v>64.962000000000003</v>
      </c>
      <c r="H5" s="68">
        <v>71.137</v>
      </c>
      <c r="I5" s="39">
        <v>100.17</v>
      </c>
      <c r="J5" s="39">
        <v>100.16999999999999</v>
      </c>
      <c r="K5" s="74"/>
      <c r="L5" s="75">
        <v>5.94</v>
      </c>
      <c r="M5" s="75">
        <v>1.31</v>
      </c>
      <c r="O5" s="548" t="s">
        <v>1150</v>
      </c>
      <c r="P5" s="37" t="s">
        <v>281</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48" t="s">
        <v>1142</v>
      </c>
      <c r="B6" s="42" t="s">
        <v>282</v>
      </c>
      <c r="C6" s="43">
        <v>6.7649999999999997</v>
      </c>
      <c r="D6" s="43">
        <v>27.69</v>
      </c>
      <c r="E6" s="44">
        <v>27.73</v>
      </c>
      <c r="F6" s="44">
        <v>31.283000000000001</v>
      </c>
      <c r="G6" s="44">
        <v>33.979999999999997</v>
      </c>
      <c r="H6" s="44">
        <v>39.469000000000001</v>
      </c>
      <c r="I6" s="45">
        <v>51.79</v>
      </c>
      <c r="J6" s="45">
        <v>55.48</v>
      </c>
      <c r="K6" s="46"/>
      <c r="L6" s="47">
        <v>8.14</v>
      </c>
      <c r="M6" s="47">
        <v>1.62</v>
      </c>
      <c r="O6" s="548" t="s">
        <v>1151</v>
      </c>
      <c r="P6" s="42" t="s">
        <v>282</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48" t="s">
        <v>1143</v>
      </c>
      <c r="B7" s="42" t="s">
        <v>283</v>
      </c>
      <c r="C7" s="43">
        <v>12.561</v>
      </c>
      <c r="D7" s="43">
        <v>25.864999999999998</v>
      </c>
      <c r="E7" s="44">
        <v>28.533999999999999</v>
      </c>
      <c r="F7" s="44">
        <v>30.09</v>
      </c>
      <c r="G7" s="44">
        <v>31.105</v>
      </c>
      <c r="H7" s="44">
        <v>31.792999999999999</v>
      </c>
      <c r="I7" s="45">
        <v>48.38</v>
      </c>
      <c r="J7" s="45">
        <v>44.69</v>
      </c>
      <c r="K7" s="46"/>
      <c r="L7" s="47">
        <v>4.09</v>
      </c>
      <c r="M7" s="47">
        <v>0.94</v>
      </c>
      <c r="O7" s="550" t="s">
        <v>1152</v>
      </c>
      <c r="P7" s="42" t="s">
        <v>283</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49"/>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48" t="s">
        <v>1144</v>
      </c>
      <c r="B9" s="37" t="s">
        <v>284</v>
      </c>
      <c r="C9" s="67"/>
      <c r="D9" s="67"/>
      <c r="E9" s="68"/>
      <c r="F9" s="68"/>
      <c r="G9" s="68"/>
      <c r="H9" s="68"/>
      <c r="I9" s="60"/>
      <c r="J9" s="60"/>
      <c r="K9" s="46"/>
      <c r="L9" s="60"/>
      <c r="M9" s="60"/>
      <c r="P9" s="37" t="s">
        <v>285</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48" t="s">
        <v>1095</v>
      </c>
      <c r="B10" s="42" t="s">
        <v>274</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48" t="s">
        <v>1145</v>
      </c>
      <c r="B11" s="42" t="s">
        <v>170</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1131</v>
      </c>
      <c r="Q11" s="515">
        <v>24000000</v>
      </c>
      <c r="R11" s="217" t="s">
        <v>1132</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49"/>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48" t="s">
        <v>1146</v>
      </c>
      <c r="B13" s="37" t="s">
        <v>286</v>
      </c>
      <c r="C13" s="67"/>
      <c r="D13" s="67"/>
      <c r="E13" s="68"/>
      <c r="F13" s="68"/>
      <c r="G13" s="68"/>
      <c r="H13" s="68"/>
      <c r="I13" s="39"/>
      <c r="J13" s="39"/>
      <c r="K13" s="74"/>
      <c r="L13" s="75"/>
      <c r="M13" s="75"/>
      <c r="P13" t="s">
        <v>1157</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48" t="s">
        <v>1147</v>
      </c>
      <c r="B14" s="42" t="s">
        <v>287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115</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48" t="s">
        <v>1148</v>
      </c>
      <c r="B15" s="42" t="s">
        <v>288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48" t="s">
        <v>527</v>
      </c>
      <c r="B16" s="42" t="s">
        <v>167</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48" t="s">
        <v>557</v>
      </c>
      <c r="B17" s="42" t="s">
        <v>289</v>
      </c>
      <c r="C17" s="43">
        <v>0</v>
      </c>
      <c r="D17" s="43">
        <v>1.2390000000000001</v>
      </c>
      <c r="E17" s="44">
        <v>1.452</v>
      </c>
      <c r="F17" s="44">
        <v>1.526</v>
      </c>
      <c r="G17" s="44">
        <v>1.4370000000000001</v>
      </c>
      <c r="H17" s="44">
        <v>1.3149999999999999</v>
      </c>
      <c r="I17" s="45">
        <v>2.3199999999999998</v>
      </c>
      <c r="J17" s="45">
        <v>1.85</v>
      </c>
      <c r="K17" s="46"/>
      <c r="L17" s="47" t="s">
        <v>173</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48" t="s">
        <v>1137</v>
      </c>
      <c r="B18" s="42" t="s">
        <v>290</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50" t="s">
        <v>1149</v>
      </c>
      <c r="B19" s="42" t="s">
        <v>291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114</v>
      </c>
      <c r="C21" s="30"/>
      <c r="I21" s="211"/>
      <c r="J21" s="211"/>
      <c r="K21" s="212"/>
      <c r="L21" s="211"/>
      <c r="M21" s="211"/>
      <c r="O21" s="548" t="s">
        <v>1158</v>
      </c>
      <c r="P21" s="31" t="s">
        <v>292</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115</v>
      </c>
      <c r="I22" s="211"/>
      <c r="J22" s="211"/>
      <c r="K22" s="212"/>
      <c r="L22" s="211"/>
      <c r="M22" s="211"/>
      <c r="O22" s="549"/>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48" t="s">
        <v>1159</v>
      </c>
      <c r="P23" s="37" t="s">
        <v>281</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20" t="s">
        <v>1155</v>
      </c>
      <c r="C24" s="521"/>
      <c r="D24" s="521"/>
      <c r="E24" s="521"/>
      <c r="F24" s="521"/>
      <c r="G24" s="521"/>
      <c r="H24" s="521"/>
      <c r="I24" s="521"/>
      <c r="J24" s="521"/>
      <c r="K24" s="521"/>
      <c r="L24" s="211"/>
      <c r="M24" s="211"/>
      <c r="O24" s="548" t="s">
        <v>1142</v>
      </c>
      <c r="P24" s="42" t="s">
        <v>282</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27" t="s">
        <v>162</v>
      </c>
      <c r="C25" s="527"/>
      <c r="D25" s="527"/>
      <c r="E25" s="527"/>
      <c r="F25" s="527"/>
      <c r="G25" s="527"/>
      <c r="H25" s="527"/>
      <c r="I25" s="527"/>
      <c r="J25" s="527"/>
      <c r="K25" s="527"/>
      <c r="L25" s="211"/>
      <c r="M25" s="211"/>
      <c r="O25" s="548" t="s">
        <v>1143</v>
      </c>
      <c r="P25" s="42" t="s">
        <v>283</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22" t="s">
        <v>163</v>
      </c>
      <c r="I26" s="522"/>
      <c r="J26" s="522" t="s">
        <v>164</v>
      </c>
      <c r="K26" s="522"/>
      <c r="O26" s="549"/>
    </row>
    <row r="27" spans="1:51" ht="51">
      <c r="B27" s="31"/>
      <c r="C27" s="34">
        <v>2000</v>
      </c>
      <c r="D27" s="34">
        <v>2022</v>
      </c>
      <c r="E27" s="34">
        <v>2030</v>
      </c>
      <c r="F27" s="34">
        <v>2040</v>
      </c>
      <c r="G27" s="34">
        <v>2050</v>
      </c>
      <c r="H27" s="35">
        <v>2022</v>
      </c>
      <c r="I27" s="35">
        <v>2050</v>
      </c>
      <c r="J27" s="35" t="s">
        <v>178</v>
      </c>
      <c r="K27" s="35" t="s">
        <v>179</v>
      </c>
      <c r="O27" s="548" t="s">
        <v>1160</v>
      </c>
      <c r="P27" s="31" t="s">
        <v>293</v>
      </c>
      <c r="Q27" s="146"/>
      <c r="R27" s="146"/>
      <c r="S27" s="146"/>
      <c r="T27" s="146"/>
      <c r="U27" s="146"/>
      <c r="AW27" s="30"/>
      <c r="AX27" s="207"/>
      <c r="AY27" s="207"/>
    </row>
    <row r="28" spans="1:51">
      <c r="A28" s="548" t="s">
        <v>1141</v>
      </c>
      <c r="B28" s="37" t="s">
        <v>281</v>
      </c>
      <c r="C28" s="67">
        <v>18.920000000000002</v>
      </c>
      <c r="D28" s="67">
        <v>60.206000000000003</v>
      </c>
      <c r="E28" s="68">
        <v>72.98</v>
      </c>
      <c r="F28" s="68">
        <v>86.266000000000005</v>
      </c>
      <c r="G28" s="68">
        <v>92.314999999999998</v>
      </c>
      <c r="H28" s="39">
        <v>94.77</v>
      </c>
      <c r="I28" s="39">
        <v>96.210000000000008</v>
      </c>
      <c r="J28" s="75">
        <v>5.4</v>
      </c>
      <c r="K28" s="75">
        <v>1.54</v>
      </c>
      <c r="O28" s="549"/>
      <c r="P28" s="31"/>
      <c r="Q28" s="144">
        <v>2000</v>
      </c>
      <c r="R28" s="144">
        <v>2022</v>
      </c>
      <c r="S28" s="156">
        <v>2030</v>
      </c>
      <c r="T28" s="156">
        <v>2040</v>
      </c>
      <c r="U28" s="144">
        <v>2050</v>
      </c>
      <c r="AW28" s="30"/>
      <c r="AX28" s="207"/>
      <c r="AY28" s="207"/>
    </row>
    <row r="29" spans="1:51">
      <c r="A29" s="548" t="s">
        <v>1142</v>
      </c>
      <c r="B29" s="42" t="s">
        <v>282</v>
      </c>
      <c r="C29" s="43">
        <v>6.1669999999999998</v>
      </c>
      <c r="D29" s="43">
        <v>30.994</v>
      </c>
      <c r="E29" s="44">
        <v>39.746000000000002</v>
      </c>
      <c r="F29" s="44">
        <v>51.463999999999999</v>
      </c>
      <c r="G29" s="44">
        <v>58.578000000000003</v>
      </c>
      <c r="H29" s="45">
        <v>51.48</v>
      </c>
      <c r="I29" s="45">
        <v>63.45</v>
      </c>
      <c r="J29" s="47">
        <v>7.61</v>
      </c>
      <c r="K29" s="47">
        <v>2.2999999999999998</v>
      </c>
      <c r="O29" s="548" t="s">
        <v>1159</v>
      </c>
      <c r="P29" s="37" t="s">
        <v>281</v>
      </c>
      <c r="Q29" s="147">
        <f>Q5</f>
        <v>750304164425200.13</v>
      </c>
      <c r="R29" s="147">
        <f>V5</f>
        <v>2387569372271860</v>
      </c>
      <c r="S29" s="148">
        <f>AD5</f>
        <v>2894143653263800</v>
      </c>
      <c r="T29" s="148">
        <f>AN5</f>
        <v>3421022148430460</v>
      </c>
      <c r="U29" s="148">
        <f>AX5</f>
        <v>3660905335037650</v>
      </c>
      <c r="AW29" s="30"/>
      <c r="AX29" s="207"/>
      <c r="AY29" s="207"/>
    </row>
    <row r="30" spans="1:51">
      <c r="A30" s="548" t="s">
        <v>1143</v>
      </c>
      <c r="B30" s="42" t="s">
        <v>283</v>
      </c>
      <c r="C30" s="43">
        <v>12.717000000000001</v>
      </c>
      <c r="D30" s="43">
        <v>26.064</v>
      </c>
      <c r="E30" s="44">
        <v>28.777999999999999</v>
      </c>
      <c r="F30" s="44">
        <v>30.654</v>
      </c>
      <c r="G30" s="44">
        <v>30.244</v>
      </c>
      <c r="H30" s="45">
        <v>43.29</v>
      </c>
      <c r="I30" s="45">
        <v>32.76</v>
      </c>
      <c r="J30" s="47">
        <v>3.32</v>
      </c>
      <c r="K30" s="47">
        <v>0.53</v>
      </c>
      <c r="O30" s="548" t="s">
        <v>1142</v>
      </c>
      <c r="P30" s="42" t="s">
        <v>282</v>
      </c>
      <c r="Q30" s="147">
        <f>Q6</f>
        <v>244562673467770</v>
      </c>
      <c r="R30" s="147">
        <f>V6</f>
        <v>1229118777600140</v>
      </c>
      <c r="S30" s="148">
        <f>AD6</f>
        <v>1576193938649260</v>
      </c>
      <c r="T30" s="148">
        <f>AN6</f>
        <v>2040890777905840</v>
      </c>
      <c r="U30" s="148">
        <f>AX6</f>
        <v>2323008316263180</v>
      </c>
      <c r="AW30" s="30"/>
      <c r="AX30" s="207"/>
      <c r="AY30" s="207"/>
    </row>
    <row r="31" spans="1:51">
      <c r="A31" s="549"/>
      <c r="B31" s="50"/>
      <c r="C31" s="51"/>
      <c r="D31" s="51"/>
      <c r="E31" s="52"/>
      <c r="F31" s="52"/>
      <c r="G31" s="52"/>
      <c r="H31" s="52"/>
      <c r="I31" s="52"/>
      <c r="J31" s="54"/>
      <c r="K31" s="54"/>
      <c r="O31" s="550" t="s">
        <v>1143</v>
      </c>
      <c r="P31" s="42" t="s">
        <v>283</v>
      </c>
      <c r="Q31" s="147">
        <f>Q7</f>
        <v>504313850898270</v>
      </c>
      <c r="R31" s="147">
        <f>V7</f>
        <v>1033611402831840</v>
      </c>
      <c r="S31" s="148">
        <f>AD7</f>
        <v>1141239600625180</v>
      </c>
      <c r="T31" s="148">
        <f>AN7</f>
        <v>1215635510374740</v>
      </c>
      <c r="U31" s="148">
        <f>AX7</f>
        <v>1199376276367640</v>
      </c>
      <c r="AW31" s="30"/>
      <c r="AX31" s="207"/>
      <c r="AY31" s="207"/>
    </row>
    <row r="32" spans="1:51">
      <c r="A32" s="548" t="s">
        <v>1146</v>
      </c>
      <c r="B32" s="37" t="s">
        <v>286</v>
      </c>
      <c r="C32" s="67"/>
      <c r="D32" s="67"/>
      <c r="E32" s="68"/>
      <c r="F32" s="68"/>
      <c r="G32" s="68"/>
      <c r="H32" s="39"/>
      <c r="I32" s="39"/>
      <c r="J32" s="75"/>
      <c r="K32" s="75"/>
    </row>
    <row r="33" spans="1:11">
      <c r="A33" s="548" t="s">
        <v>1147</v>
      </c>
      <c r="B33" s="42" t="s">
        <v>287</v>
      </c>
      <c r="C33" s="43">
        <v>5.8380000000000001</v>
      </c>
      <c r="D33" s="43">
        <v>14.004</v>
      </c>
      <c r="E33" s="44">
        <v>20.587</v>
      </c>
      <c r="F33" s="44">
        <v>26.1</v>
      </c>
      <c r="G33" s="44">
        <v>29.808</v>
      </c>
      <c r="H33" s="45">
        <v>23.26</v>
      </c>
      <c r="I33" s="45">
        <v>32.29</v>
      </c>
      <c r="J33" s="47">
        <v>4.0599999999999996</v>
      </c>
      <c r="K33" s="47">
        <v>2.73</v>
      </c>
    </row>
    <row r="34" spans="1:11">
      <c r="A34" s="548" t="s">
        <v>1148</v>
      </c>
      <c r="B34" s="42" t="s">
        <v>288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48" t="s">
        <v>1153</v>
      </c>
      <c r="B35" s="42" t="s">
        <v>294</v>
      </c>
      <c r="C35" s="43">
        <v>0</v>
      </c>
      <c r="D35" s="43">
        <v>0.61</v>
      </c>
      <c r="E35" s="44">
        <v>2.4380000000000002</v>
      </c>
      <c r="F35" s="44">
        <v>7.7519999999999998</v>
      </c>
      <c r="G35" s="44">
        <v>11.093</v>
      </c>
      <c r="H35" s="45">
        <v>1.01</v>
      </c>
      <c r="I35" s="45">
        <v>12.02</v>
      </c>
      <c r="J35" s="47">
        <v>429.64</v>
      </c>
      <c r="K35" s="47">
        <v>10.91</v>
      </c>
    </row>
    <row r="36" spans="1:11">
      <c r="A36" s="548" t="s">
        <v>1154</v>
      </c>
      <c r="B36" s="42" t="s">
        <v>295</v>
      </c>
      <c r="C36" s="43">
        <v>0.438</v>
      </c>
      <c r="D36" s="43">
        <v>2.8029999999999999</v>
      </c>
      <c r="E36" s="44">
        <v>4.0890000000000004</v>
      </c>
      <c r="F36" s="44">
        <v>3.7930000000000001</v>
      </c>
      <c r="G36" s="44">
        <v>3.13</v>
      </c>
      <c r="H36" s="45">
        <v>4.66</v>
      </c>
      <c r="I36" s="45">
        <v>3.39</v>
      </c>
      <c r="J36" s="47">
        <v>8.8000000000000007</v>
      </c>
      <c r="K36" s="47">
        <v>0.39</v>
      </c>
    </row>
    <row r="37" spans="1:11">
      <c r="A37" s="548" t="s">
        <v>527</v>
      </c>
      <c r="B37" s="42" t="s">
        <v>167</v>
      </c>
      <c r="C37" s="43">
        <v>3.516</v>
      </c>
      <c r="D37" s="43">
        <v>10.010999999999999</v>
      </c>
      <c r="E37" s="44">
        <v>12.151</v>
      </c>
      <c r="F37" s="44">
        <v>14.108000000000001</v>
      </c>
      <c r="G37" s="44">
        <v>14.766999999999999</v>
      </c>
      <c r="H37" s="45">
        <v>16.63</v>
      </c>
      <c r="I37" s="45">
        <v>16</v>
      </c>
      <c r="J37" s="47">
        <v>4.87</v>
      </c>
      <c r="K37" s="47">
        <v>1.4</v>
      </c>
    </row>
    <row r="38" spans="1:11">
      <c r="A38" s="548" t="s">
        <v>557</v>
      </c>
      <c r="B38" s="42" t="s">
        <v>289</v>
      </c>
      <c r="C38" s="43">
        <v>0</v>
      </c>
      <c r="D38" s="43">
        <v>1.0249999999999999</v>
      </c>
      <c r="E38" s="44">
        <v>1.419</v>
      </c>
      <c r="F38" s="44">
        <v>0.79100000000000004</v>
      </c>
      <c r="G38" s="44">
        <v>0.129</v>
      </c>
      <c r="H38" s="45">
        <v>1.7</v>
      </c>
      <c r="I38" s="45">
        <v>0.14000000000000001</v>
      </c>
      <c r="J38" s="47" t="s">
        <v>173</v>
      </c>
      <c r="K38" s="47">
        <v>-7.13</v>
      </c>
    </row>
    <row r="39" spans="1:11">
      <c r="A39" s="548" t="s">
        <v>1137</v>
      </c>
      <c r="B39" s="42" t="s">
        <v>290</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50" t="s">
        <v>1149</v>
      </c>
      <c r="B40" s="42" t="s">
        <v>291</v>
      </c>
      <c r="C40" s="43">
        <v>1.849</v>
      </c>
      <c r="D40" s="43">
        <v>3.5579999999999998</v>
      </c>
      <c r="E40" s="44">
        <v>4.5839999999999996</v>
      </c>
      <c r="F40" s="44">
        <v>5.6710000000000003</v>
      </c>
      <c r="G40" s="44">
        <v>6.1449999999999996</v>
      </c>
      <c r="H40" s="45">
        <v>5.91</v>
      </c>
      <c r="I40" s="45">
        <v>6.66</v>
      </c>
      <c r="J40" s="47">
        <v>3.02</v>
      </c>
      <c r="K40" s="47">
        <v>1.97</v>
      </c>
    </row>
    <row r="41" spans="1:11">
      <c r="B41" s="523" t="s">
        <v>296</v>
      </c>
      <c r="C41" s="524"/>
      <c r="D41" s="524"/>
      <c r="E41" s="524"/>
      <c r="F41" s="524"/>
      <c r="G41" s="524"/>
      <c r="H41" s="524"/>
      <c r="I41" s="524"/>
      <c r="J41" s="524"/>
      <c r="K41" s="524"/>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533" t="s">
        <v>1164</v>
      </c>
      <c r="C1" s="534"/>
      <c r="D1" s="534"/>
      <c r="E1" s="534"/>
      <c r="F1" s="534"/>
      <c r="G1" s="534"/>
      <c r="H1" s="534"/>
      <c r="I1" s="534"/>
      <c r="J1" s="534"/>
      <c r="K1" s="534"/>
      <c r="L1" s="534"/>
      <c r="M1" s="534"/>
      <c r="N1" s="159">
        <v>1</v>
      </c>
      <c r="O1" s="551"/>
      <c r="P1" s="160" t="s">
        <v>279</v>
      </c>
      <c r="Q1" s="161" t="s">
        <v>280</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35" t="s">
        <v>162</v>
      </c>
      <c r="C2" s="535"/>
      <c r="D2" s="535"/>
      <c r="E2" s="535"/>
      <c r="F2" s="535"/>
      <c r="G2" s="535"/>
      <c r="H2" s="535"/>
      <c r="I2" s="535"/>
      <c r="J2" s="535"/>
      <c r="K2" s="535"/>
      <c r="L2" s="535"/>
      <c r="M2" s="535"/>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22" t="s">
        <v>163</v>
      </c>
      <c r="J3" s="522"/>
      <c r="K3" s="33"/>
      <c r="L3" s="522" t="s">
        <v>164</v>
      </c>
      <c r="M3" s="52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48" t="s">
        <v>1141</v>
      </c>
      <c r="B5" s="80" t="s">
        <v>297</v>
      </c>
      <c r="C5" s="67">
        <v>42.924999999999997</v>
      </c>
      <c r="D5" s="67">
        <v>86.650999999999996</v>
      </c>
      <c r="E5" s="68">
        <v>93.97</v>
      </c>
      <c r="F5" s="68">
        <v>95.808999999999997</v>
      </c>
      <c r="G5" s="68">
        <v>94.081999999999994</v>
      </c>
      <c r="H5" s="68">
        <v>84.397000000000006</v>
      </c>
      <c r="I5" s="39">
        <v>100</v>
      </c>
      <c r="J5" s="39">
        <v>100</v>
      </c>
      <c r="K5" s="74"/>
      <c r="L5" s="75">
        <v>3.98</v>
      </c>
      <c r="M5" s="75">
        <v>-0.12</v>
      </c>
      <c r="O5" s="548" t="s">
        <v>1150</v>
      </c>
      <c r="P5" s="37" t="s">
        <v>281</v>
      </c>
      <c r="Q5" s="149">
        <f>C5*$B$24</f>
        <v>1702262487206750</v>
      </c>
      <c r="R5" s="149">
        <f>D5*$B$24</f>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48" t="s">
        <v>1166</v>
      </c>
      <c r="B6" s="224" t="s">
        <v>298</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48" t="s">
        <v>1151</v>
      </c>
      <c r="P6" s="42" t="s">
        <v>282</v>
      </c>
      <c r="Q6" s="149">
        <f>C6*$B$24</f>
        <v>922572731563840</v>
      </c>
      <c r="R6" s="149">
        <f>D6*$B$24</f>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48" t="s">
        <v>1143</v>
      </c>
      <c r="B7" s="224" t="s">
        <v>299</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48" t="s">
        <v>1152</v>
      </c>
      <c r="P7" s="42" t="s">
        <v>283</v>
      </c>
      <c r="Q7" s="152">
        <f>C7*$B$24</f>
        <v>779689755642910</v>
      </c>
      <c r="R7" s="152">
        <f>D7*$B$24</f>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49"/>
      <c r="B8" s="50"/>
      <c r="C8" s="51"/>
      <c r="D8" s="51"/>
      <c r="E8" s="52"/>
      <c r="F8" s="52"/>
      <c r="G8" s="52"/>
      <c r="H8" s="52"/>
      <c r="I8" s="52"/>
      <c r="J8" s="52"/>
      <c r="K8" s="54"/>
      <c r="L8" s="54"/>
      <c r="M8" s="54"/>
      <c r="O8" s="549"/>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48" t="s">
        <v>1167</v>
      </c>
      <c r="B9" s="228" t="s">
        <v>300</v>
      </c>
      <c r="C9" s="229"/>
      <c r="D9" s="229"/>
      <c r="E9" s="230"/>
      <c r="F9" s="230"/>
      <c r="G9" s="230"/>
      <c r="H9" s="230"/>
      <c r="I9" s="40"/>
      <c r="J9" s="40"/>
      <c r="K9" s="41"/>
      <c r="L9" s="40"/>
      <c r="M9" s="40"/>
      <c r="O9" s="548"/>
      <c r="P9" s="37" t="s">
        <v>285</v>
      </c>
      <c r="Q9" s="149"/>
      <c r="R9" s="149"/>
      <c r="S9" s="214">
        <f>S5/R5-1</f>
        <v>-3.5491924089567806E-2</v>
      </c>
      <c r="T9" s="214">
        <f t="shared" ref="T9:AX9" si="0">T5/S5-1</f>
        <v>-3.6797954289889301E-2</v>
      </c>
      <c r="U9" s="214">
        <f t="shared" si="0"/>
        <v>-3.8203775058171519E-2</v>
      </c>
      <c r="V9" s="421">
        <f t="shared" si="0"/>
        <v>-0.10771447029109371</v>
      </c>
      <c r="W9" s="214">
        <f t="shared" si="0"/>
        <v>-1.9115944126806284E-2</v>
      </c>
      <c r="X9" s="214">
        <f t="shared" si="0"/>
        <v>-1.9488484915557214E-2</v>
      </c>
      <c r="Y9" s="214">
        <f t="shared" si="0"/>
        <v>-1.9875834822689287E-2</v>
      </c>
      <c r="Z9" s="214">
        <f t="shared" si="0"/>
        <v>-2.0278894785839219E-2</v>
      </c>
      <c r="AA9" s="214">
        <f t="shared" si="0"/>
        <v>-2.0698640335411023E-2</v>
      </c>
      <c r="AB9" s="214">
        <f t="shared" si="0"/>
        <v>-2.1136129477549503E-2</v>
      </c>
      <c r="AC9" s="214">
        <f t="shared" si="0"/>
        <v>-2.1592511598439557E-2</v>
      </c>
      <c r="AD9" s="214">
        <f t="shared" si="0"/>
        <v>-2.2069037547646997E-2</v>
      </c>
      <c r="AE9" s="214">
        <f t="shared" si="0"/>
        <v>-2.2484620642511111E-2</v>
      </c>
      <c r="AF9" s="214">
        <f t="shared" si="0"/>
        <v>-2.3001807559587362E-2</v>
      </c>
      <c r="AG9" s="214">
        <f t="shared" si="0"/>
        <v>-2.3543347098863965E-2</v>
      </c>
      <c r="AH9" s="214">
        <f t="shared" si="0"/>
        <v>-2.4111000758617829E-2</v>
      </c>
      <c r="AI9" s="214">
        <f t="shared" si="0"/>
        <v>-2.4706704120415535E-2</v>
      </c>
      <c r="AJ9" s="214">
        <f t="shared" si="0"/>
        <v>-2.5332588898945962E-2</v>
      </c>
      <c r="AK9" s="214">
        <f t="shared" si="0"/>
        <v>-2.5991008430578999E-2</v>
      </c>
      <c r="AL9" s="214">
        <f t="shared" si="0"/>
        <v>-2.6684567242759916E-2</v>
      </c>
      <c r="AM9" s="214">
        <f t="shared" si="0"/>
        <v>-2.7416155487393068E-2</v>
      </c>
      <c r="AN9" s="214">
        <f t="shared" si="0"/>
        <v>-2.8188989198296488E-2</v>
      </c>
      <c r="AO9" s="214">
        <f t="shared" si="0"/>
        <v>-2.7814029363778525E-2</v>
      </c>
      <c r="AP9" s="214">
        <f t="shared" si="0"/>
        <v>-2.8609782699886788E-2</v>
      </c>
      <c r="AQ9" s="214">
        <f t="shared" si="0"/>
        <v>-2.9452409742620311E-2</v>
      </c>
      <c r="AR9" s="214">
        <f t="shared" si="0"/>
        <v>-3.0346177805459673E-2</v>
      </c>
      <c r="AS9" s="214">
        <f t="shared" si="0"/>
        <v>-3.1295888399417993E-2</v>
      </c>
      <c r="AT9" s="214">
        <f t="shared" si="0"/>
        <v>-3.230696352439133E-2</v>
      </c>
      <c r="AU9" s="214">
        <f t="shared" si="0"/>
        <v>-3.3385549246138457E-2</v>
      </c>
      <c r="AV9" s="214">
        <f t="shared" si="0"/>
        <v>-3.4538640737359572E-2</v>
      </c>
      <c r="AW9" s="214">
        <f t="shared" si="0"/>
        <v>-3.5774234158618246E-2</v>
      </c>
      <c r="AX9" s="214">
        <f t="shared" si="0"/>
        <v>-3.710151234905068E-2</v>
      </c>
      <c r="AY9" s="169"/>
    </row>
    <row r="10" spans="1:51" ht="13.5" customHeight="1">
      <c r="A10" s="548" t="s">
        <v>1168</v>
      </c>
      <c r="B10" s="224" t="s">
        <v>301</v>
      </c>
      <c r="C10" s="225">
        <v>1.871</v>
      </c>
      <c r="D10" s="225">
        <v>0.52</v>
      </c>
      <c r="E10" s="226">
        <v>0.35899999999999999</v>
      </c>
      <c r="F10" s="226">
        <v>0.29199999999999998</v>
      </c>
      <c r="G10" s="226">
        <v>0.245</v>
      </c>
      <c r="H10" s="226">
        <v>0.126</v>
      </c>
      <c r="I10" s="45">
        <v>0.6</v>
      </c>
      <c r="J10" s="45">
        <v>0.15</v>
      </c>
      <c r="K10" s="41"/>
      <c r="L10" s="227">
        <v>-6.87</v>
      </c>
      <c r="M10" s="227">
        <v>-6.23</v>
      </c>
      <c r="O10" s="549"/>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48" t="s">
        <v>1169</v>
      </c>
      <c r="B11" s="224" t="s">
        <v>302</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48" t="s">
        <v>1170</v>
      </c>
      <c r="B12" s="224" t="s">
        <v>303</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48" t="s">
        <v>1171</v>
      </c>
      <c r="B13" s="224" t="s">
        <v>304</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49"/>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48" t="s">
        <v>1172</v>
      </c>
      <c r="B15" s="228" t="s">
        <v>305</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48" t="s">
        <v>1173</v>
      </c>
      <c r="B16" s="224" t="s">
        <v>287</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48" t="s">
        <v>1174</v>
      </c>
      <c r="B17" s="224" t="s">
        <v>306</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48" t="s">
        <v>1175</v>
      </c>
      <c r="B18" s="224" t="s">
        <v>307</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48" t="s">
        <v>1176</v>
      </c>
      <c r="B19" s="224" t="s">
        <v>308</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50" t="s">
        <v>1177</v>
      </c>
      <c r="B20" s="224" t="s">
        <v>309</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23"/>
      <c r="C21" s="524"/>
      <c r="D21" s="524"/>
      <c r="E21" s="524"/>
      <c r="F21" s="524"/>
      <c r="G21" s="524"/>
      <c r="H21" s="524"/>
      <c r="I21" s="524"/>
      <c r="J21" s="524"/>
      <c r="K21" s="524"/>
      <c r="L21" s="524"/>
      <c r="M21" s="524"/>
      <c r="O21" s="548" t="s">
        <v>1161</v>
      </c>
      <c r="P21" s="31" t="s">
        <v>310</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48" t="s">
        <v>1162</v>
      </c>
      <c r="P22" s="31" t="s">
        <v>224</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114</v>
      </c>
      <c r="C23" s="349"/>
      <c r="I23" s="209"/>
      <c r="J23" s="209"/>
      <c r="K23" s="210"/>
      <c r="L23" s="209"/>
      <c r="M23" s="209"/>
      <c r="O23" s="548" t="s">
        <v>1150</v>
      </c>
      <c r="P23" s="37" t="s">
        <v>281</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115</v>
      </c>
      <c r="I24" s="209"/>
      <c r="J24" s="209"/>
      <c r="K24" s="210"/>
      <c r="L24" s="209"/>
      <c r="M24" s="209"/>
      <c r="O24" s="548" t="s">
        <v>1151</v>
      </c>
      <c r="P24" s="42" t="s">
        <v>282</v>
      </c>
      <c r="Q24" s="147">
        <f t="shared" ref="Q24:R24" si="1">Q6</f>
        <v>922572731563840</v>
      </c>
      <c r="R24" s="147">
        <f t="shared" si="1"/>
        <v>2150462152446369.8</v>
      </c>
      <c r="S24" s="148">
        <f t="shared" ref="S24:S25" si="2">Y6</f>
        <v>1363673853175968</v>
      </c>
      <c r="T24" s="148">
        <f t="shared" ref="T24:T25" si="3">AD6</f>
        <v>1052369006942470</v>
      </c>
      <c r="U24" s="148">
        <f t="shared" ref="U24:U25" si="4">AI6</f>
        <v>835109949606128</v>
      </c>
      <c r="V24" s="148">
        <f t="shared" ref="V24:V25" si="5">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48" t="s">
        <v>1152</v>
      </c>
      <c r="P25" s="42" t="s">
        <v>283</v>
      </c>
      <c r="Q25" s="147">
        <f t="shared" ref="Q25:R25" si="6">Q7</f>
        <v>779689755642910</v>
      </c>
      <c r="R25" s="147">
        <f t="shared" si="6"/>
        <v>1285827813283440</v>
      </c>
      <c r="S25" s="148">
        <f t="shared" si="2"/>
        <v>1218892314259696</v>
      </c>
      <c r="T25" s="148">
        <f t="shared" si="3"/>
        <v>1268339222558730</v>
      </c>
      <c r="U25" s="148">
        <f t="shared" si="4"/>
        <v>1224697059083576</v>
      </c>
      <c r="V25" s="148">
        <f t="shared" si="5"/>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49"/>
    </row>
    <row r="27" spans="1:51" ht="15.6">
      <c r="B27" s="520" t="s">
        <v>1165</v>
      </c>
      <c r="C27" s="521"/>
      <c r="D27" s="521"/>
      <c r="E27" s="521"/>
      <c r="F27" s="521"/>
      <c r="G27" s="521"/>
      <c r="H27" s="521"/>
      <c r="I27" s="521"/>
      <c r="J27" s="521"/>
      <c r="K27" s="521"/>
      <c r="L27" s="209"/>
      <c r="M27" s="209"/>
      <c r="AX27" s="30"/>
      <c r="AY27" s="207"/>
    </row>
    <row r="28" spans="1:51">
      <c r="B28" s="527" t="s">
        <v>162</v>
      </c>
      <c r="C28" s="527"/>
      <c r="D28" s="527"/>
      <c r="E28" s="527"/>
      <c r="F28" s="527"/>
      <c r="G28" s="527"/>
      <c r="H28" s="527"/>
      <c r="I28" s="527"/>
      <c r="J28" s="527"/>
      <c r="K28" s="527"/>
      <c r="L28" s="209"/>
      <c r="M28" s="209"/>
      <c r="O28" s="548" t="s">
        <v>1161</v>
      </c>
      <c r="P28" s="31" t="s">
        <v>310</v>
      </c>
      <c r="Q28" s="146"/>
      <c r="R28" s="146"/>
      <c r="S28" s="146"/>
      <c r="T28" s="146"/>
      <c r="U28" s="146"/>
      <c r="AX28" s="30"/>
      <c r="AY28" s="207"/>
    </row>
    <row r="29" spans="1:51">
      <c r="B29" s="31"/>
      <c r="C29" s="32"/>
      <c r="D29" s="32"/>
      <c r="E29" s="32"/>
      <c r="F29" s="32"/>
      <c r="G29" s="32"/>
      <c r="H29" s="522" t="s">
        <v>163</v>
      </c>
      <c r="I29" s="522"/>
      <c r="J29" s="522" t="s">
        <v>164</v>
      </c>
      <c r="K29" s="522"/>
      <c r="L29" s="209"/>
      <c r="M29" s="209"/>
      <c r="O29" s="548" t="s">
        <v>1163</v>
      </c>
      <c r="P29" s="31" t="s">
        <v>311</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178</v>
      </c>
      <c r="K30" s="425" t="s">
        <v>179</v>
      </c>
      <c r="L30" s="211"/>
      <c r="M30" s="211"/>
      <c r="O30" s="548" t="s">
        <v>1150</v>
      </c>
      <c r="P30" s="37" t="s">
        <v>281</v>
      </c>
      <c r="Q30" s="147">
        <f>Q5</f>
        <v>1702262487206750</v>
      </c>
      <c r="R30" s="147">
        <f>V5</f>
        <v>2739680930196350</v>
      </c>
      <c r="S30" s="148">
        <f>AD5</f>
        <v>2320708229501200</v>
      </c>
      <c r="T30" s="148">
        <f>AN5</f>
        <v>1798905787878220</v>
      </c>
      <c r="U30" s="148">
        <f>AX5</f>
        <v>1298557603810950</v>
      </c>
      <c r="AX30" s="30"/>
      <c r="AY30" s="207"/>
    </row>
    <row r="31" spans="1:51">
      <c r="A31" s="548" t="s">
        <v>1141</v>
      </c>
      <c r="B31" s="80" t="s">
        <v>297</v>
      </c>
      <c r="C31" s="67">
        <v>44.204000000000001</v>
      </c>
      <c r="D31" s="67">
        <v>69.084999999999994</v>
      </c>
      <c r="E31" s="68">
        <v>58.52</v>
      </c>
      <c r="F31" s="68">
        <v>45.362000000000002</v>
      </c>
      <c r="G31" s="68">
        <v>32.744999999999997</v>
      </c>
      <c r="H31" s="39">
        <v>100</v>
      </c>
      <c r="I31" s="39">
        <v>100</v>
      </c>
      <c r="J31" s="75">
        <v>2.0499999999999998</v>
      </c>
      <c r="K31" s="75">
        <v>-2.63</v>
      </c>
      <c r="L31" s="211"/>
      <c r="M31" s="211"/>
      <c r="O31" s="548" t="s">
        <v>1151</v>
      </c>
      <c r="P31" s="42" t="s">
        <v>282</v>
      </c>
      <c r="Q31" s="147">
        <f>Q6</f>
        <v>922572731563840</v>
      </c>
      <c r="R31" s="147">
        <f>V6</f>
        <v>1550456760916070</v>
      </c>
      <c r="S31" s="148">
        <f>AD6</f>
        <v>1052369006942470</v>
      </c>
      <c r="T31" s="148">
        <f>AN6</f>
        <v>617850892269800</v>
      </c>
      <c r="U31" s="148">
        <f>AX6</f>
        <v>236433056464220</v>
      </c>
      <c r="AX31" s="30"/>
      <c r="AY31" s="207"/>
    </row>
    <row r="32" spans="1:51">
      <c r="A32" s="548" t="s">
        <v>1166</v>
      </c>
      <c r="B32" s="224" t="s">
        <v>298</v>
      </c>
      <c r="C32" s="225">
        <v>22.988</v>
      </c>
      <c r="D32" s="225">
        <v>39.097000000000001</v>
      </c>
      <c r="E32" s="226">
        <v>26.536999999999999</v>
      </c>
      <c r="F32" s="226">
        <v>15.58</v>
      </c>
      <c r="G32" s="226">
        <v>5.9619999999999997</v>
      </c>
      <c r="H32" s="45">
        <v>56.59</v>
      </c>
      <c r="I32" s="45">
        <v>18.21</v>
      </c>
      <c r="J32" s="227">
        <v>2.44</v>
      </c>
      <c r="K32" s="227">
        <v>-6.5</v>
      </c>
      <c r="L32" s="211"/>
      <c r="M32" s="211"/>
      <c r="O32" s="550" t="s">
        <v>1152</v>
      </c>
      <c r="P32" s="42" t="s">
        <v>283</v>
      </c>
      <c r="Q32" s="147">
        <f>Q7</f>
        <v>779689755642910</v>
      </c>
      <c r="R32" s="147">
        <f>V7</f>
        <v>1189224169280280</v>
      </c>
      <c r="S32" s="148">
        <f>AD7</f>
        <v>1268339222558730</v>
      </c>
      <c r="T32" s="148">
        <f>AN7</f>
        <v>1181054895608420</v>
      </c>
      <c r="U32" s="148">
        <f>AX7</f>
        <v>1062164204015040</v>
      </c>
      <c r="AX32" s="30"/>
      <c r="AY32" s="207"/>
    </row>
    <row r="33" spans="1:51">
      <c r="A33" s="548" t="s">
        <v>1143</v>
      </c>
      <c r="B33" s="224" t="s">
        <v>299</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49"/>
      <c r="B34" s="50"/>
      <c r="C34" s="51"/>
      <c r="D34" s="51"/>
      <c r="E34" s="52"/>
      <c r="F34" s="52"/>
      <c r="G34" s="52"/>
      <c r="H34" s="52"/>
      <c r="I34" s="52"/>
      <c r="J34" s="54"/>
      <c r="K34" s="54"/>
      <c r="L34" s="211"/>
      <c r="M34" s="211"/>
    </row>
    <row r="35" spans="1:51">
      <c r="A35" s="548" t="s">
        <v>1167</v>
      </c>
      <c r="B35" s="228" t="s">
        <v>300</v>
      </c>
      <c r="C35" s="229"/>
      <c r="D35" s="229"/>
      <c r="E35" s="230"/>
      <c r="F35" s="230"/>
      <c r="G35" s="230"/>
      <c r="H35" s="40"/>
      <c r="I35" s="40"/>
      <c r="J35" s="40"/>
      <c r="K35" s="40"/>
      <c r="L35" s="211"/>
      <c r="M35" s="211"/>
    </row>
    <row r="36" spans="1:51">
      <c r="A36" s="548" t="s">
        <v>1168</v>
      </c>
      <c r="B36" s="224" t="s">
        <v>301</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48" t="s">
        <v>1169</v>
      </c>
      <c r="B37" s="224" t="s">
        <v>302</v>
      </c>
      <c r="C37" s="225">
        <v>1.2230000000000001</v>
      </c>
      <c r="D37" s="225">
        <v>2.68</v>
      </c>
      <c r="E37" s="226">
        <v>2.7890000000000001</v>
      </c>
      <c r="F37" s="226">
        <v>2.548</v>
      </c>
      <c r="G37" s="226">
        <v>2.024</v>
      </c>
      <c r="H37" s="45">
        <v>3.88</v>
      </c>
      <c r="I37" s="45">
        <v>6.18</v>
      </c>
      <c r="J37" s="227">
        <v>3.63</v>
      </c>
      <c r="K37" s="227">
        <v>-1</v>
      </c>
      <c r="L37" s="211"/>
      <c r="M37" s="211"/>
    </row>
    <row r="38" spans="1:51">
      <c r="A38" s="548" t="s">
        <v>1170</v>
      </c>
      <c r="B38" s="224" t="s">
        <v>303</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48" t="s">
        <v>1171</v>
      </c>
      <c r="B39" s="224" t="s">
        <v>304</v>
      </c>
      <c r="C39" s="225">
        <v>14.244</v>
      </c>
      <c r="D39" s="225">
        <v>17.09</v>
      </c>
      <c r="E39" s="226">
        <v>18.931000000000001</v>
      </c>
      <c r="F39" s="226">
        <v>17.210999999999999</v>
      </c>
      <c r="G39" s="226">
        <v>15.728</v>
      </c>
      <c r="H39" s="45">
        <v>24.74</v>
      </c>
      <c r="I39" s="45">
        <v>48.03</v>
      </c>
      <c r="J39" s="227">
        <v>0.83</v>
      </c>
      <c r="K39" s="227">
        <v>-0.3</v>
      </c>
      <c r="L39" s="211"/>
      <c r="M39" s="211"/>
    </row>
    <row r="40" spans="1:51">
      <c r="A40" s="549"/>
      <c r="B40" s="50"/>
      <c r="C40" s="51"/>
      <c r="D40" s="51"/>
      <c r="E40" s="52"/>
      <c r="F40" s="52"/>
      <c r="G40" s="52"/>
      <c r="H40" s="52"/>
      <c r="I40" s="52"/>
      <c r="J40" s="54"/>
      <c r="K40" s="54"/>
      <c r="L40" s="211"/>
      <c r="M40" s="211"/>
    </row>
    <row r="41" spans="1:51">
      <c r="A41" s="548" t="s">
        <v>1172</v>
      </c>
      <c r="B41" s="228" t="s">
        <v>305</v>
      </c>
      <c r="C41" s="225"/>
      <c r="D41" s="225"/>
      <c r="E41" s="226"/>
      <c r="F41" s="226"/>
      <c r="G41" s="226"/>
      <c r="H41" s="45"/>
      <c r="I41" s="45"/>
      <c r="J41" s="227"/>
      <c r="K41" s="227"/>
      <c r="L41" s="211"/>
      <c r="M41" s="211"/>
    </row>
    <row r="42" spans="1:51">
      <c r="A42" s="548" t="s">
        <v>1178</v>
      </c>
      <c r="B42" s="224" t="s">
        <v>312</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48" t="s">
        <v>1179</v>
      </c>
      <c r="B43" s="224" t="s">
        <v>306</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48" t="s">
        <v>1175</v>
      </c>
      <c r="B44" s="224" t="s">
        <v>307</v>
      </c>
      <c r="C44" s="225">
        <v>3.5030000000000001</v>
      </c>
      <c r="D44" s="225">
        <v>2.1419999999999999</v>
      </c>
      <c r="E44" s="226">
        <v>1.847</v>
      </c>
      <c r="F44" s="226">
        <v>1.6359999999999999</v>
      </c>
      <c r="G44" s="226">
        <v>1.365</v>
      </c>
      <c r="H44" s="45">
        <v>3.1</v>
      </c>
      <c r="I44" s="45">
        <v>4.17</v>
      </c>
      <c r="J44" s="227">
        <v>-2.21</v>
      </c>
      <c r="K44" s="227">
        <v>-1.6</v>
      </c>
      <c r="L44" s="211"/>
      <c r="M44" s="211"/>
    </row>
    <row r="45" spans="1:51">
      <c r="A45" s="548" t="s">
        <v>1176</v>
      </c>
      <c r="B45" s="224" t="s">
        <v>308</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50" t="s">
        <v>1177</v>
      </c>
      <c r="B46" s="224" t="s">
        <v>309</v>
      </c>
      <c r="C46" s="225">
        <v>0.45</v>
      </c>
      <c r="D46" s="225">
        <v>0.182</v>
      </c>
      <c r="E46" s="226">
        <v>0.05</v>
      </c>
      <c r="F46" s="226">
        <v>1.4999999999999999E-2</v>
      </c>
      <c r="G46" s="226">
        <v>4.0000000000000001E-3</v>
      </c>
      <c r="H46" s="45">
        <v>0.26</v>
      </c>
      <c r="I46" s="45">
        <v>0.01</v>
      </c>
      <c r="J46" s="227">
        <v>-4.03</v>
      </c>
      <c r="K46" s="227">
        <v>-12.57</v>
      </c>
      <c r="L46" s="211"/>
      <c r="M46" s="211"/>
    </row>
    <row r="47" spans="1:51">
      <c r="B47" s="523"/>
      <c r="C47" s="524"/>
      <c r="D47" s="524"/>
      <c r="E47" s="524"/>
      <c r="F47" s="524"/>
      <c r="G47" s="524"/>
      <c r="H47" s="524"/>
      <c r="I47" s="524"/>
      <c r="J47" s="524"/>
      <c r="K47" s="524"/>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1:M1"/>
    <mergeCell ref="B2:M2"/>
    <mergeCell ref="I3:J3"/>
    <mergeCell ref="L3:M3"/>
    <mergeCell ref="B21:M21"/>
    <mergeCell ref="B27:K27"/>
    <mergeCell ref="B28:K28"/>
    <mergeCell ref="H29:I29"/>
    <mergeCell ref="J29:K29"/>
    <mergeCell ref="B47:K47"/>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36" t="s">
        <v>313</v>
      </c>
      <c r="E1" s="536"/>
      <c r="F1" s="536"/>
      <c r="G1" s="536"/>
      <c r="H1" s="536"/>
      <c r="I1" s="536"/>
      <c r="J1" s="536"/>
      <c r="K1" s="536"/>
      <c r="L1" s="536"/>
      <c r="M1" s="536"/>
      <c r="N1" s="536"/>
      <c r="O1" s="536"/>
      <c r="P1" s="536"/>
      <c r="Q1" s="537" t="s">
        <v>314</v>
      </c>
      <c r="R1" s="537"/>
      <c r="S1" s="142" t="s">
        <v>315</v>
      </c>
      <c r="T1" s="538" t="s">
        <v>316</v>
      </c>
      <c r="U1" s="538"/>
      <c r="V1" s="538"/>
      <c r="W1" s="537" t="s">
        <v>317</v>
      </c>
      <c r="X1" s="537"/>
      <c r="Y1" s="537"/>
      <c r="Z1" s="536" t="s">
        <v>318</v>
      </c>
      <c r="AA1" s="536"/>
      <c r="AB1" s="536"/>
      <c r="AC1" s="536"/>
      <c r="AD1" s="536"/>
      <c r="AE1" s="536"/>
      <c r="AF1" s="537" t="s">
        <v>319</v>
      </c>
      <c r="AG1" s="537"/>
      <c r="AH1" s="537"/>
      <c r="AI1" s="536" t="s">
        <v>320</v>
      </c>
      <c r="AJ1" s="536"/>
      <c r="AK1" s="536"/>
      <c r="AL1" s="536"/>
      <c r="AM1" s="536"/>
      <c r="AN1" s="536"/>
      <c r="AO1" s="536"/>
      <c r="AP1" s="537" t="s">
        <v>321</v>
      </c>
      <c r="AQ1" s="537"/>
      <c r="AR1" s="537"/>
      <c r="AS1" s="537"/>
      <c r="AT1" s="537"/>
      <c r="AU1" s="537"/>
      <c r="AV1" s="537"/>
      <c r="AW1" s="537"/>
      <c r="AX1" s="537"/>
      <c r="AY1" s="536" t="s">
        <v>322</v>
      </c>
      <c r="AZ1" s="536"/>
      <c r="BA1" s="536"/>
      <c r="BB1" s="536"/>
      <c r="BC1" s="536"/>
      <c r="BD1" s="536"/>
      <c r="BE1" s="536"/>
      <c r="BF1" s="536"/>
      <c r="BG1" s="536"/>
      <c r="BH1" s="213" t="s">
        <v>192</v>
      </c>
      <c r="BI1" s="143" t="s">
        <v>323</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324</v>
      </c>
      <c r="D3" s="97" t="s">
        <v>325</v>
      </c>
      <c r="E3" s="97" t="s">
        <v>326</v>
      </c>
      <c r="F3" s="97" t="s">
        <v>327</v>
      </c>
      <c r="G3" s="97" t="s">
        <v>328</v>
      </c>
      <c r="H3" s="97" t="s">
        <v>329</v>
      </c>
      <c r="I3" s="97" t="s">
        <v>330</v>
      </c>
      <c r="J3" s="97" t="s">
        <v>331</v>
      </c>
      <c r="K3" s="97" t="s">
        <v>332</v>
      </c>
      <c r="L3" s="97" t="s">
        <v>333</v>
      </c>
      <c r="M3" s="97" t="s">
        <v>334</v>
      </c>
      <c r="N3" s="97" t="s">
        <v>335</v>
      </c>
      <c r="O3" s="97" t="s">
        <v>336</v>
      </c>
      <c r="P3" s="97" t="s">
        <v>337</v>
      </c>
      <c r="Q3" s="97" t="s">
        <v>274</v>
      </c>
      <c r="R3" s="97" t="s">
        <v>170</v>
      </c>
      <c r="S3" s="97" t="s">
        <v>338</v>
      </c>
      <c r="T3" s="97" t="s">
        <v>339</v>
      </c>
      <c r="U3" s="97" t="s">
        <v>340</v>
      </c>
      <c r="V3" s="97" t="s">
        <v>341</v>
      </c>
      <c r="W3" s="97" t="s">
        <v>342</v>
      </c>
      <c r="X3" s="97" t="s">
        <v>343</v>
      </c>
      <c r="Y3" s="97" t="s">
        <v>344</v>
      </c>
      <c r="Z3" s="97" t="s">
        <v>345</v>
      </c>
      <c r="AA3" s="97" t="s">
        <v>346</v>
      </c>
      <c r="AB3" s="97" t="s">
        <v>347</v>
      </c>
      <c r="AC3" s="97" t="s">
        <v>348</v>
      </c>
      <c r="AD3" s="97" t="s">
        <v>349</v>
      </c>
      <c r="AE3" s="97" t="s">
        <v>350</v>
      </c>
      <c r="AF3" s="97" t="s">
        <v>351</v>
      </c>
      <c r="AG3" s="97" t="s">
        <v>352</v>
      </c>
      <c r="AH3" s="97" t="s">
        <v>353</v>
      </c>
      <c r="AI3" s="97" t="s">
        <v>354</v>
      </c>
      <c r="AJ3" s="97" t="s">
        <v>355</v>
      </c>
      <c r="AK3" s="97" t="s">
        <v>356</v>
      </c>
      <c r="AL3" s="97" t="s">
        <v>357</v>
      </c>
      <c r="AM3" s="97" t="s">
        <v>358</v>
      </c>
      <c r="AN3" s="97" t="s">
        <v>359</v>
      </c>
      <c r="AO3" s="97" t="s">
        <v>360</v>
      </c>
      <c r="AP3" s="97" t="s">
        <v>361</v>
      </c>
      <c r="AQ3" s="97" t="s">
        <v>362</v>
      </c>
      <c r="AR3" s="97" t="s">
        <v>363</v>
      </c>
      <c r="AS3" s="97" t="s">
        <v>364</v>
      </c>
      <c r="AT3" s="97" t="s">
        <v>365</v>
      </c>
      <c r="AU3" s="97" t="s">
        <v>366</v>
      </c>
      <c r="AV3" s="97" t="s">
        <v>367</v>
      </c>
      <c r="AW3" s="97" t="s">
        <v>368</v>
      </c>
      <c r="AX3" s="97" t="s">
        <v>369</v>
      </c>
      <c r="AY3" s="97" t="s">
        <v>370</v>
      </c>
      <c r="AZ3" s="97" t="s">
        <v>371</v>
      </c>
      <c r="BA3" s="97" t="s">
        <v>372</v>
      </c>
      <c r="BB3" s="97" t="s">
        <v>373</v>
      </c>
      <c r="BC3" s="97" t="s">
        <v>374</v>
      </c>
      <c r="BD3" s="97" t="s">
        <v>375</v>
      </c>
      <c r="BE3" s="97" t="s">
        <v>376</v>
      </c>
      <c r="BF3" s="97" t="s">
        <v>377</v>
      </c>
      <c r="BG3" s="97" t="s">
        <v>378</v>
      </c>
      <c r="BH3" s="97" t="s">
        <v>171</v>
      </c>
      <c r="BI3" s="97" t="s">
        <v>379</v>
      </c>
      <c r="BJ3" s="97" t="s">
        <v>380</v>
      </c>
      <c r="BK3" s="97" t="s">
        <v>381</v>
      </c>
      <c r="BL3" s="94"/>
      <c r="BM3" s="94"/>
    </row>
    <row r="4" spans="2:65">
      <c r="B4" s="96">
        <v>2019</v>
      </c>
      <c r="D4" s="97" t="s">
        <v>382</v>
      </c>
      <c r="E4" s="97" t="s">
        <v>383</v>
      </c>
      <c r="F4" s="97" t="s">
        <v>384</v>
      </c>
      <c r="G4" s="97" t="s">
        <v>385</v>
      </c>
      <c r="H4" s="97" t="s">
        <v>386</v>
      </c>
      <c r="I4" s="97" t="s">
        <v>387</v>
      </c>
      <c r="J4" s="97" t="s">
        <v>388</v>
      </c>
      <c r="K4" s="97" t="s">
        <v>389</v>
      </c>
      <c r="L4" s="97" t="s">
        <v>390</v>
      </c>
      <c r="M4" s="97" t="s">
        <v>391</v>
      </c>
      <c r="N4" s="97" t="s">
        <v>392</v>
      </c>
      <c r="O4" s="97" t="s">
        <v>393</v>
      </c>
      <c r="P4" s="97" t="s">
        <v>394</v>
      </c>
      <c r="Q4" s="97" t="s">
        <v>395</v>
      </c>
      <c r="R4" s="97" t="s">
        <v>396</v>
      </c>
      <c r="S4" s="97" t="s">
        <v>397</v>
      </c>
      <c r="T4" s="97" t="s">
        <v>398</v>
      </c>
      <c r="U4" s="97" t="s">
        <v>399</v>
      </c>
      <c r="V4" s="97" t="s">
        <v>400</v>
      </c>
      <c r="W4" s="97" t="s">
        <v>401</v>
      </c>
      <c r="X4" s="97" t="s">
        <v>402</v>
      </c>
      <c r="Y4" s="97" t="s">
        <v>403</v>
      </c>
      <c r="Z4" s="97" t="s">
        <v>404</v>
      </c>
      <c r="AA4" s="97" t="s">
        <v>405</v>
      </c>
      <c r="AB4" s="97" t="s">
        <v>406</v>
      </c>
      <c r="AC4" s="97" t="s">
        <v>407</v>
      </c>
      <c r="AD4" s="97" t="s">
        <v>408</v>
      </c>
      <c r="AE4" s="97" t="s">
        <v>409</v>
      </c>
      <c r="AF4" s="97" t="s">
        <v>351</v>
      </c>
      <c r="AG4" s="97" t="s">
        <v>352</v>
      </c>
      <c r="AH4" s="97" t="s">
        <v>353</v>
      </c>
      <c r="AI4" s="97" t="s">
        <v>410</v>
      </c>
      <c r="AJ4" s="97" t="s">
        <v>411</v>
      </c>
      <c r="AK4" s="97" t="s">
        <v>412</v>
      </c>
      <c r="AL4" s="97" t="s">
        <v>413</v>
      </c>
      <c r="AM4" s="97" t="s">
        <v>414</v>
      </c>
      <c r="AN4" s="97" t="s">
        <v>415</v>
      </c>
      <c r="AO4" s="97" t="s">
        <v>416</v>
      </c>
      <c r="AP4" s="97" t="s">
        <v>417</v>
      </c>
      <c r="AQ4" s="97" t="s">
        <v>418</v>
      </c>
      <c r="AR4" s="97" t="s">
        <v>419</v>
      </c>
      <c r="AS4" s="97" t="s">
        <v>420</v>
      </c>
      <c r="AT4" s="97" t="s">
        <v>421</v>
      </c>
      <c r="AU4" s="97" t="s">
        <v>422</v>
      </c>
      <c r="AV4" s="97" t="s">
        <v>423</v>
      </c>
      <c r="AW4" s="97" t="s">
        <v>424</v>
      </c>
      <c r="AX4" s="97" t="s">
        <v>425</v>
      </c>
      <c r="AY4" s="97" t="s">
        <v>426</v>
      </c>
      <c r="AZ4" s="97" t="s">
        <v>427</v>
      </c>
      <c r="BA4" s="97" t="s">
        <v>428</v>
      </c>
      <c r="BB4" s="97" t="s">
        <v>429</v>
      </c>
      <c r="BC4" s="97" t="s">
        <v>430</v>
      </c>
      <c r="BD4" s="97" t="s">
        <v>431</v>
      </c>
      <c r="BE4" s="97" t="s">
        <v>432</v>
      </c>
      <c r="BF4" s="97" t="s">
        <v>433</v>
      </c>
      <c r="BG4" s="97" t="s">
        <v>434</v>
      </c>
      <c r="BH4" s="97" t="s">
        <v>435</v>
      </c>
      <c r="BI4" s="97" t="s">
        <v>436</v>
      </c>
      <c r="BJ4" s="97" t="s">
        <v>437</v>
      </c>
      <c r="BK4" s="97" t="s">
        <v>438</v>
      </c>
      <c r="BL4" s="94"/>
      <c r="BM4" s="94"/>
    </row>
    <row r="5" spans="2:65" ht="14.4" thickBot="1">
      <c r="B5" s="98" t="s">
        <v>439</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440</v>
      </c>
      <c r="C6" s="101" t="s">
        <v>441</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442</v>
      </c>
      <c r="C7" s="101" t="s">
        <v>443</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444</v>
      </c>
      <c r="C8" s="105" t="s">
        <v>445</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446</v>
      </c>
      <c r="C9" s="106" t="s">
        <v>447</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448</v>
      </c>
      <c r="C10" s="106" t="s">
        <v>449</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450</v>
      </c>
      <c r="C11" s="101" t="s">
        <v>451</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452</v>
      </c>
      <c r="C12" s="108" t="s">
        <v>453</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454</v>
      </c>
      <c r="C13" s="110" t="s">
        <v>455</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456</v>
      </c>
      <c r="C14" s="112" t="s">
        <v>457</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458</v>
      </c>
      <c r="C15" s="108" t="s">
        <v>459</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460</v>
      </c>
      <c r="C16" s="108" t="s">
        <v>461</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462</v>
      </c>
      <c r="C17" s="115" t="s">
        <v>463</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464</v>
      </c>
      <c r="C18" s="117" t="s">
        <v>465</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466</v>
      </c>
      <c r="C19" s="117" t="s">
        <v>467</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468</v>
      </c>
      <c r="C20" s="115" t="s">
        <v>469</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470</v>
      </c>
      <c r="C21" s="117" t="s">
        <v>471</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472</v>
      </c>
      <c r="C22" s="117" t="s">
        <v>473</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474</v>
      </c>
      <c r="C23" s="115" t="s">
        <v>475</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476</v>
      </c>
      <c r="C24" s="117" t="s">
        <v>477</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478</v>
      </c>
      <c r="C25" s="117" t="s">
        <v>479</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480</v>
      </c>
      <c r="C26" s="115" t="s">
        <v>481</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482</v>
      </c>
      <c r="C27" s="115" t="s">
        <v>483</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484</v>
      </c>
      <c r="C28" s="115" t="s">
        <v>485</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486</v>
      </c>
      <c r="C29" s="115" t="s">
        <v>487</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488</v>
      </c>
      <c r="C30" s="241" t="s">
        <v>489</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215</v>
      </c>
      <c r="C31" s="115" t="s">
        <v>490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491</v>
      </c>
      <c r="C32" s="203" t="s">
        <v>492</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493</v>
      </c>
      <c r="C33" s="115" t="s">
        <v>494</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495</v>
      </c>
      <c r="C34" s="115" t="s">
        <v>496</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497</v>
      </c>
      <c r="C35" s="119" t="s">
        <v>498</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499</v>
      </c>
      <c r="C36" s="220" t="s">
        <v>500</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501</v>
      </c>
      <c r="C37" s="232" t="s">
        <v>502</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503</v>
      </c>
      <c r="C38" s="115" t="s">
        <v>504</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505</v>
      </c>
      <c r="C39" s="115" t="s">
        <v>506</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507</v>
      </c>
      <c r="C40" s="115" t="s">
        <v>508</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509</v>
      </c>
      <c r="C41" s="115" t="s">
        <v>510</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511</v>
      </c>
      <c r="C42" s="115" t="s">
        <v>512</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513</v>
      </c>
      <c r="C43" s="245" t="s">
        <v>514</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515</v>
      </c>
      <c r="C44" s="203" t="s">
        <v>516</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517</v>
      </c>
      <c r="C45" s="115" t="s">
        <v>518</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519</v>
      </c>
      <c r="C46" s="115" t="s">
        <v>520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521</v>
      </c>
      <c r="C47" s="121" t="s">
        <v>522</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523</v>
      </c>
      <c r="C48" s="119" t="s">
        <v>524</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525</v>
      </c>
      <c r="C49" s="122" t="s">
        <v>526</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167</v>
      </c>
      <c r="C50" s="123" t="s">
        <v>527</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528</v>
      </c>
      <c r="C51" s="136" t="s">
        <v>529</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530</v>
      </c>
      <c r="C52" s="136" t="s">
        <v>531</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532</v>
      </c>
      <c r="C53" s="136" t="s">
        <v>533</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534</v>
      </c>
      <c r="C54" s="125" t="s">
        <v>535</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536</v>
      </c>
      <c r="C55" s="138" t="s">
        <v>537</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538</v>
      </c>
      <c r="C56" s="138" t="s">
        <v>539</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540</v>
      </c>
      <c r="C57" s="138" t="s">
        <v>541</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542</v>
      </c>
      <c r="C58" s="138" t="s">
        <v>543</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544</v>
      </c>
      <c r="C59" s="177" t="s">
        <v>545</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546</v>
      </c>
      <c r="C60" s="138" t="s">
        <v>547</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222</v>
      </c>
      <c r="C61" s="183" t="s">
        <v>548</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549</v>
      </c>
      <c r="C62" s="188" t="s">
        <v>550</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200</v>
      </c>
      <c r="C63" s="193" t="s">
        <v>551</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203</v>
      </c>
      <c r="C64" s="193" t="s">
        <v>552</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553</v>
      </c>
      <c r="C65" s="138" t="s">
        <v>554</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555</v>
      </c>
      <c r="C66" s="136" t="s">
        <v>556</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175</v>
      </c>
      <c r="C67" s="117" t="s">
        <v>557</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558</v>
      </c>
      <c r="C68" s="126" t="s">
        <v>559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560</v>
      </c>
      <c r="C69" s="126" t="s">
        <v>561</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562</v>
      </c>
      <c r="C70" s="126" t="s">
        <v>563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564</v>
      </c>
      <c r="C71" s="126" t="s">
        <v>565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176</v>
      </c>
      <c r="C72" s="123" t="s">
        <v>566</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567</v>
      </c>
      <c r="C73" s="117" t="s">
        <v>568</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569</v>
      </c>
      <c r="C74" s="262" t="s">
        <v>570</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571</v>
      </c>
      <c r="C75" s="128" t="s">
        <v>572</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573</v>
      </c>
      <c r="C76" s="130" t="s">
        <v>574</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575</v>
      </c>
      <c r="C77" s="130" t="s">
        <v>576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577</v>
      </c>
      <c r="C78" s="130" t="s">
        <v>578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579</v>
      </c>
      <c r="C79" s="130" t="s">
        <v>580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581</v>
      </c>
      <c r="C80" s="130" t="s">
        <v>582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583</v>
      </c>
      <c r="C81" s="130" t="s">
        <v>584</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585</v>
      </c>
      <c r="C82" s="132" t="s">
        <v>586</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587</v>
      </c>
      <c r="C83" s="115" t="s">
        <v>588</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589</v>
      </c>
      <c r="C84" s="115" t="s">
        <v>590</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591</v>
      </c>
      <c r="C85" s="115" t="s">
        <v>592</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593</v>
      </c>
      <c r="C86" s="115" t="s">
        <v>594</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595</v>
      </c>
      <c r="C87" s="115" t="s">
        <v>596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597</v>
      </c>
      <c r="C88" s="134" t="s">
        <v>598</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599</v>
      </c>
      <c r="C89" s="115" t="s">
        <v>592</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600</v>
      </c>
      <c r="C90" s="115" t="s">
        <v>594</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601</v>
      </c>
      <c r="C91" s="115" t="s">
        <v>602</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603</v>
      </c>
      <c r="C92" s="115" t="s">
        <v>604</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605</v>
      </c>
      <c r="C93" s="115" t="s">
        <v>606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77734375" bestFit="1" customWidth="1"/>
    <col min="12" max="12" width="9.44140625" bestFit="1" customWidth="1"/>
    <col min="13" max="13" width="8.77734375" bestFit="1" customWidth="1"/>
    <col min="14" max="15" width="10.109375" bestFit="1" customWidth="1"/>
    <col min="16" max="16" width="8.77734375" bestFit="1" customWidth="1"/>
    <col min="17" max="17" width="12.33203125" bestFit="1" customWidth="1"/>
    <col min="18" max="18" width="11.44140625" bestFit="1" customWidth="1"/>
    <col min="19" max="19" width="13.5546875" bestFit="1" customWidth="1"/>
    <col min="20" max="20" width="12.33203125" bestFit="1" customWidth="1"/>
    <col min="21" max="21" width="8.77734375" bestFit="1" customWidth="1"/>
    <col min="22" max="22" width="9.33203125" bestFit="1" customWidth="1"/>
    <col min="23" max="25" width="10.109375" bestFit="1" customWidth="1"/>
    <col min="26" max="26" width="12.33203125" bestFit="1" customWidth="1"/>
    <col min="27" max="28" width="8.77734375" bestFit="1" customWidth="1"/>
    <col min="29" max="29" width="12.33203125" bestFit="1" customWidth="1"/>
    <col min="30" max="30" width="11.109375" bestFit="1" customWidth="1"/>
    <col min="31" max="31" width="12.33203125" bestFit="1" customWidth="1"/>
  </cols>
  <sheetData>
    <row r="1" spans="1:65" ht="15" thickBot="1">
      <c r="C1" s="2"/>
      <c r="D1" s="536" t="s">
        <v>313</v>
      </c>
      <c r="E1" s="536"/>
      <c r="F1" s="536"/>
      <c r="G1" s="536"/>
      <c r="H1" s="536"/>
      <c r="I1" s="536"/>
      <c r="J1" s="536"/>
      <c r="K1" s="536"/>
      <c r="L1" s="536"/>
      <c r="M1" s="536"/>
      <c r="N1" s="536"/>
      <c r="O1" s="536"/>
      <c r="P1" s="536"/>
      <c r="Q1" s="537" t="s">
        <v>314</v>
      </c>
      <c r="R1" s="537"/>
      <c r="S1" s="142" t="s">
        <v>315</v>
      </c>
      <c r="T1" s="538" t="s">
        <v>316</v>
      </c>
      <c r="U1" s="538"/>
      <c r="V1" s="538"/>
      <c r="W1" s="537" t="s">
        <v>317</v>
      </c>
      <c r="X1" s="537"/>
      <c r="Y1" s="537"/>
      <c r="Z1" s="536" t="s">
        <v>318</v>
      </c>
      <c r="AA1" s="536"/>
      <c r="AB1" s="536"/>
      <c r="AC1" s="536"/>
      <c r="AD1" s="536"/>
      <c r="AE1" s="536"/>
      <c r="AF1" s="537" t="s">
        <v>319</v>
      </c>
      <c r="AG1" s="537"/>
      <c r="AH1" s="537"/>
      <c r="AI1" s="536" t="s">
        <v>320</v>
      </c>
      <c r="AJ1" s="536"/>
      <c r="AK1" s="536"/>
      <c r="AL1" s="536"/>
      <c r="AM1" s="536"/>
      <c r="AN1" s="536"/>
      <c r="AO1" s="536"/>
      <c r="AP1" s="537" t="s">
        <v>321</v>
      </c>
      <c r="AQ1" s="537"/>
      <c r="AR1" s="537"/>
      <c r="AS1" s="537"/>
      <c r="AT1" s="537"/>
      <c r="AU1" s="537"/>
      <c r="AV1" s="537"/>
      <c r="AW1" s="537"/>
      <c r="AX1" s="537"/>
      <c r="AY1" s="536" t="s">
        <v>322</v>
      </c>
      <c r="AZ1" s="536"/>
      <c r="BA1" s="536"/>
      <c r="BB1" s="536"/>
      <c r="BC1" s="536"/>
      <c r="BD1" s="536"/>
      <c r="BE1" s="536"/>
      <c r="BF1" s="536"/>
      <c r="BG1" s="536"/>
      <c r="BH1" s="213" t="s">
        <v>192</v>
      </c>
      <c r="BI1" s="143" t="s">
        <v>323</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607</v>
      </c>
      <c r="C3" s="97"/>
      <c r="D3" s="97" t="s">
        <v>608</v>
      </c>
      <c r="E3" s="97" t="s">
        <v>302</v>
      </c>
      <c r="F3" s="97" t="s">
        <v>609</v>
      </c>
      <c r="G3" s="97" t="s">
        <v>610</v>
      </c>
      <c r="H3" s="97" t="s">
        <v>611</v>
      </c>
      <c r="I3" s="97" t="s">
        <v>612</v>
      </c>
      <c r="J3" s="97" t="s">
        <v>613</v>
      </c>
      <c r="K3" s="97" t="s">
        <v>614</v>
      </c>
      <c r="L3" s="97" t="s">
        <v>615</v>
      </c>
      <c r="M3" s="97" t="s">
        <v>616</v>
      </c>
      <c r="N3" s="97" t="s">
        <v>617</v>
      </c>
      <c r="O3" s="97" t="s">
        <v>618</v>
      </c>
      <c r="P3" s="97" t="s">
        <v>619</v>
      </c>
      <c r="Q3" s="97" t="s">
        <v>620</v>
      </c>
      <c r="R3" s="97" t="s">
        <v>621</v>
      </c>
      <c r="S3" s="97" t="s">
        <v>622</v>
      </c>
      <c r="T3" s="97" t="s">
        <v>623</v>
      </c>
      <c r="U3" s="97" t="s">
        <v>624</v>
      </c>
      <c r="V3" s="97" t="s">
        <v>625</v>
      </c>
      <c r="W3" s="97" t="s">
        <v>626</v>
      </c>
      <c r="X3" s="97" t="s">
        <v>627</v>
      </c>
      <c r="Y3" s="97" t="s">
        <v>628</v>
      </c>
      <c r="Z3" s="97" t="s">
        <v>629</v>
      </c>
      <c r="AA3" s="97" t="s">
        <v>630</v>
      </c>
      <c r="AB3" s="97" t="s">
        <v>631</v>
      </c>
      <c r="AC3" s="97" t="s">
        <v>632</v>
      </c>
      <c r="AD3" s="97" t="s">
        <v>633</v>
      </c>
      <c r="AE3" s="97" t="s">
        <v>634</v>
      </c>
      <c r="AF3" s="97" t="s">
        <v>635</v>
      </c>
      <c r="AG3" s="97" t="s">
        <v>636</v>
      </c>
      <c r="AH3" s="97" t="s">
        <v>637</v>
      </c>
      <c r="AI3" s="97" t="s">
        <v>638</v>
      </c>
      <c r="AJ3" s="97" t="s">
        <v>639</v>
      </c>
      <c r="AK3" s="97" t="s">
        <v>640</v>
      </c>
      <c r="AL3" s="97" t="s">
        <v>641</v>
      </c>
      <c r="AM3" s="97" t="s">
        <v>642</v>
      </c>
      <c r="AN3" s="97" t="s">
        <v>643</v>
      </c>
      <c r="AO3" s="97" t="s">
        <v>644</v>
      </c>
      <c r="AP3" s="97" t="s">
        <v>645</v>
      </c>
      <c r="AQ3" s="97" t="s">
        <v>646</v>
      </c>
      <c r="AR3" s="97" t="s">
        <v>647</v>
      </c>
      <c r="AS3" s="97" t="s">
        <v>648</v>
      </c>
      <c r="AT3" s="97" t="s">
        <v>649</v>
      </c>
      <c r="AU3" s="97" t="s">
        <v>650</v>
      </c>
      <c r="AV3" s="97" t="s">
        <v>651</v>
      </c>
      <c r="AW3" s="97" t="s">
        <v>652</v>
      </c>
      <c r="AX3" s="97" t="s">
        <v>653</v>
      </c>
      <c r="AY3" s="97" t="s">
        <v>654</v>
      </c>
      <c r="AZ3" s="97" t="s">
        <v>655</v>
      </c>
      <c r="BA3" s="97" t="s">
        <v>656</v>
      </c>
      <c r="BB3" s="97" t="s">
        <v>657</v>
      </c>
      <c r="BC3" s="97" t="s">
        <v>658</v>
      </c>
      <c r="BD3" s="97" t="s">
        <v>659</v>
      </c>
      <c r="BE3" s="97" t="s">
        <v>660</v>
      </c>
      <c r="BF3" s="97" t="s">
        <v>661</v>
      </c>
      <c r="BG3" s="97" t="s">
        <v>662</v>
      </c>
      <c r="BH3" s="97" t="s">
        <v>663</v>
      </c>
      <c r="BI3" s="97" t="s">
        <v>664</v>
      </c>
      <c r="BJ3" s="97" t="s">
        <v>665</v>
      </c>
      <c r="BK3" s="97" t="s">
        <v>666</v>
      </c>
      <c r="BL3" s="94"/>
      <c r="BM3" s="94"/>
    </row>
    <row r="4" spans="1:65">
      <c r="A4" s="427"/>
      <c r="B4" s="96">
        <v>2022</v>
      </c>
      <c r="C4" s="97"/>
      <c r="D4" s="97" t="s">
        <v>667</v>
      </c>
      <c r="E4" s="97" t="s">
        <v>668</v>
      </c>
      <c r="F4" s="97" t="s">
        <v>669</v>
      </c>
      <c r="G4" s="97" t="s">
        <v>670</v>
      </c>
      <c r="H4" s="97" t="s">
        <v>671</v>
      </c>
      <c r="I4" s="97" t="s">
        <v>672</v>
      </c>
      <c r="J4" s="97" t="s">
        <v>673</v>
      </c>
      <c r="K4" s="97" t="s">
        <v>674</v>
      </c>
      <c r="L4" s="97" t="s">
        <v>675</v>
      </c>
      <c r="M4" s="97" t="s">
        <v>676</v>
      </c>
      <c r="N4" s="97" t="s">
        <v>677</v>
      </c>
      <c r="O4" s="97" t="s">
        <v>678</v>
      </c>
      <c r="P4" s="97" t="s">
        <v>679</v>
      </c>
      <c r="Q4" s="97" t="s">
        <v>680</v>
      </c>
      <c r="R4" s="97" t="s">
        <v>681</v>
      </c>
      <c r="S4" s="97" t="s">
        <v>682</v>
      </c>
      <c r="T4" s="97" t="s">
        <v>683</v>
      </c>
      <c r="U4" s="97" t="s">
        <v>684</v>
      </c>
      <c r="V4" s="97" t="s">
        <v>685</v>
      </c>
      <c r="W4" s="97" t="s">
        <v>686</v>
      </c>
      <c r="X4" s="97" t="s">
        <v>687</v>
      </c>
      <c r="Y4" s="97" t="s">
        <v>688</v>
      </c>
      <c r="Z4" s="97" t="s">
        <v>689</v>
      </c>
      <c r="AA4" s="97" t="s">
        <v>690</v>
      </c>
      <c r="AB4" s="97" t="s">
        <v>691</v>
      </c>
      <c r="AC4" s="97" t="s">
        <v>692</v>
      </c>
      <c r="AD4" s="97" t="s">
        <v>693</v>
      </c>
      <c r="AE4" s="97" t="s">
        <v>694</v>
      </c>
      <c r="AF4" s="97" t="s">
        <v>635</v>
      </c>
      <c r="AG4" s="97" t="s">
        <v>636</v>
      </c>
      <c r="AH4" s="97" t="s">
        <v>637</v>
      </c>
      <c r="AI4" s="97" t="s">
        <v>695</v>
      </c>
      <c r="AJ4" s="97" t="s">
        <v>696</v>
      </c>
      <c r="AK4" s="97" t="s">
        <v>697</v>
      </c>
      <c r="AL4" s="97" t="s">
        <v>698</v>
      </c>
      <c r="AM4" s="97" t="s">
        <v>699</v>
      </c>
      <c r="AN4" s="97" t="s">
        <v>700</v>
      </c>
      <c r="AO4" s="97" t="s">
        <v>701</v>
      </c>
      <c r="AP4" s="97" t="s">
        <v>702</v>
      </c>
      <c r="AQ4" s="97" t="s">
        <v>703</v>
      </c>
      <c r="AR4" s="97" t="s">
        <v>704</v>
      </c>
      <c r="AS4" s="97" t="s">
        <v>705</v>
      </c>
      <c r="AT4" s="97" t="s">
        <v>706</v>
      </c>
      <c r="AU4" s="97" t="s">
        <v>707</v>
      </c>
      <c r="AV4" s="97" t="s">
        <v>708</v>
      </c>
      <c r="AW4" s="97" t="s">
        <v>709</v>
      </c>
      <c r="AX4" s="97" t="s">
        <v>710</v>
      </c>
      <c r="AY4" s="97" t="s">
        <v>711</v>
      </c>
      <c r="AZ4" s="97" t="s">
        <v>712</v>
      </c>
      <c r="BA4" s="97" t="s">
        <v>713</v>
      </c>
      <c r="BB4" s="97" t="s">
        <v>714</v>
      </c>
      <c r="BC4" s="97" t="s">
        <v>715</v>
      </c>
      <c r="BD4" s="97" t="s">
        <v>716</v>
      </c>
      <c r="BE4" s="97" t="s">
        <v>717</v>
      </c>
      <c r="BF4" s="97" t="s">
        <v>718</v>
      </c>
      <c r="BG4" s="97" t="s">
        <v>719</v>
      </c>
      <c r="BH4" s="97" t="s">
        <v>720</v>
      </c>
      <c r="BI4" s="97" t="s">
        <v>721</v>
      </c>
      <c r="BJ4" s="97" t="s">
        <v>722</v>
      </c>
      <c r="BK4" s="97" t="s">
        <v>723</v>
      </c>
      <c r="BL4" s="94"/>
      <c r="BM4" s="94"/>
    </row>
    <row r="5" spans="1:65" ht="15" thickBot="1">
      <c r="A5" s="427"/>
      <c r="B5" s="98" t="s">
        <v>724</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725</v>
      </c>
      <c r="C6" s="134" t="s">
        <v>726</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727</v>
      </c>
      <c r="C7" s="134" t="s">
        <v>728</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729</v>
      </c>
      <c r="C8" s="134" t="s">
        <v>730</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731</v>
      </c>
      <c r="C9" s="134" t="s">
        <v>732</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733</v>
      </c>
      <c r="C10" s="134" t="s">
        <v>734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735</v>
      </c>
      <c r="C11" s="134" t="s">
        <v>736</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737</v>
      </c>
      <c r="C12" s="121" t="s">
        <v>738</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739</v>
      </c>
      <c r="C13" s="441" t="s">
        <v>740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741</v>
      </c>
      <c r="C14" s="442" t="s">
        <v>742</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743</v>
      </c>
      <c r="C15" s="121" t="s">
        <v>744</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745</v>
      </c>
      <c r="C16" s="121" t="s">
        <v>746</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747</v>
      </c>
      <c r="C17" s="134" t="s">
        <v>748</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749</v>
      </c>
      <c r="C18" s="134" t="s">
        <v>750</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751</v>
      </c>
      <c r="C19" s="134" t="s">
        <v>752</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753</v>
      </c>
      <c r="C20" s="134" t="s">
        <v>754</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755</v>
      </c>
      <c r="C21" s="134" t="s">
        <v>756</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757</v>
      </c>
      <c r="C22" s="134" t="s">
        <v>758</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759</v>
      </c>
      <c r="C23" s="134" t="s">
        <v>760</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761</v>
      </c>
      <c r="C24" s="134" t="s">
        <v>762</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763</v>
      </c>
      <c r="C25" s="134" t="s">
        <v>764</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765</v>
      </c>
      <c r="C26" s="134" t="s">
        <v>766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767</v>
      </c>
      <c r="C27" s="134" t="s">
        <v>768</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769</v>
      </c>
      <c r="C28" s="134" t="s">
        <v>770</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771</v>
      </c>
      <c r="C29" s="134" t="s">
        <v>772</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773</v>
      </c>
      <c r="C30" s="443" t="s">
        <v>774</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775</v>
      </c>
      <c r="C31" s="134" t="s">
        <v>776</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777</v>
      </c>
      <c r="C32" s="134" t="s">
        <v>778</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779</v>
      </c>
      <c r="C33" s="134" t="s">
        <v>780</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781</v>
      </c>
      <c r="C34" s="134" t="s">
        <v>782</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783</v>
      </c>
      <c r="C35" s="444" t="s">
        <v>784</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785</v>
      </c>
      <c r="C36" s="134" t="s">
        <v>786</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787</v>
      </c>
      <c r="C37" s="134" t="s">
        <v>788</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789</v>
      </c>
      <c r="C38" s="134" t="s">
        <v>790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791</v>
      </c>
      <c r="C39" s="134" t="s">
        <v>792</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793</v>
      </c>
      <c r="C40" s="134" t="s">
        <v>794</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795</v>
      </c>
      <c r="C41" s="134" t="s">
        <v>796</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797</v>
      </c>
      <c r="C42" s="134" t="s">
        <v>798</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799</v>
      </c>
      <c r="C43" s="134" t="s">
        <v>800</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801</v>
      </c>
      <c r="C44" s="134" t="s">
        <v>802</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803</v>
      </c>
      <c r="C45" s="134" t="s">
        <v>804</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805</v>
      </c>
      <c r="C46" s="134" t="s">
        <v>806</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807</v>
      </c>
      <c r="C47" s="121" t="s">
        <v>808</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809</v>
      </c>
      <c r="C48" s="444" t="s">
        <v>810</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811</v>
      </c>
      <c r="C49" s="134" t="s">
        <v>812</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813</v>
      </c>
      <c r="C50" s="134" t="s">
        <v>814</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815</v>
      </c>
      <c r="C51" s="451" t="s">
        <v>816</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817</v>
      </c>
      <c r="C52" s="451" t="s">
        <v>818</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819</v>
      </c>
      <c r="C53" s="451" t="s">
        <v>820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821</v>
      </c>
      <c r="C54" s="134" t="s">
        <v>822</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823</v>
      </c>
      <c r="C55" s="451" t="s">
        <v>824</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825</v>
      </c>
      <c r="C56" s="451" t="s">
        <v>826</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827</v>
      </c>
      <c r="C57" s="451" t="s">
        <v>828</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829</v>
      </c>
      <c r="C58" s="451" t="s">
        <v>830</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831</v>
      </c>
      <c r="C59" s="447" t="s">
        <v>832</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833</v>
      </c>
      <c r="C60" s="451" t="s">
        <v>834</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835</v>
      </c>
      <c r="C61" s="447" t="s">
        <v>836</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837</v>
      </c>
      <c r="C62" s="447" t="s">
        <v>838</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839</v>
      </c>
      <c r="C63" s="447" t="s">
        <v>840</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841</v>
      </c>
      <c r="C64" s="447" t="s">
        <v>842</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843</v>
      </c>
      <c r="C65" s="451" t="s">
        <v>844</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845</v>
      </c>
      <c r="C66" s="451" t="s">
        <v>846</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289</v>
      </c>
      <c r="C67" s="134" t="s">
        <v>847</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848</v>
      </c>
      <c r="C68" s="134" t="s">
        <v>849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850</v>
      </c>
      <c r="C69" s="134" t="s">
        <v>851</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852</v>
      </c>
      <c r="C70" s="134" t="s">
        <v>853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854</v>
      </c>
      <c r="C71" s="134" t="s">
        <v>855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290</v>
      </c>
      <c r="C72" s="134" t="s">
        <v>856</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857</v>
      </c>
      <c r="C73" s="134" t="s">
        <v>858</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859</v>
      </c>
      <c r="C74" s="134" t="s">
        <v>860</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861</v>
      </c>
      <c r="C75" s="445" t="s">
        <v>862</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863</v>
      </c>
      <c r="C76" s="441" t="s">
        <v>864</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865</v>
      </c>
      <c r="C77" s="441" t="s">
        <v>866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867</v>
      </c>
      <c r="C78" s="441" t="s">
        <v>868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869</v>
      </c>
      <c r="C79" s="441" t="s">
        <v>870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871</v>
      </c>
      <c r="C80" s="441" t="s">
        <v>872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873</v>
      </c>
      <c r="C81" s="441" t="s">
        <v>874</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875</v>
      </c>
      <c r="C82" s="132" t="s">
        <v>876</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877</v>
      </c>
      <c r="C83" s="134" t="s">
        <v>878</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879</v>
      </c>
      <c r="C84" s="134" t="s">
        <v>880</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881</v>
      </c>
      <c r="C85" s="134" t="s">
        <v>882</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883</v>
      </c>
      <c r="C86" s="134" t="s">
        <v>884</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885</v>
      </c>
      <c r="C87" s="134" t="s">
        <v>886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887</v>
      </c>
      <c r="C88" s="134" t="s">
        <v>888</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889</v>
      </c>
      <c r="C89" s="134" t="s">
        <v>882</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890</v>
      </c>
      <c r="C90" s="134" t="s">
        <v>884</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891</v>
      </c>
      <c r="C91" s="134" t="s">
        <v>892</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893</v>
      </c>
      <c r="C92" s="134" t="s">
        <v>894</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895</v>
      </c>
      <c r="C93" s="134" t="s">
        <v>896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897</v>
      </c>
      <c r="B1" s="531"/>
      <c r="C1" s="531"/>
      <c r="D1" s="531"/>
      <c r="E1" s="531"/>
      <c r="F1" s="531"/>
      <c r="G1" s="531"/>
      <c r="H1" s="531"/>
      <c r="I1" s="531"/>
      <c r="J1" s="531"/>
      <c r="K1" s="531"/>
      <c r="L1" s="531"/>
    </row>
    <row r="2" spans="1:12">
      <c r="A2" s="532" t="s">
        <v>162</v>
      </c>
      <c r="B2" s="532"/>
      <c r="C2" s="532"/>
      <c r="D2" s="532"/>
      <c r="E2" s="532"/>
      <c r="F2" s="532"/>
      <c r="G2" s="532"/>
      <c r="H2" s="532"/>
      <c r="I2" s="532"/>
      <c r="J2" s="532"/>
      <c r="K2" s="532"/>
      <c r="L2" s="532"/>
    </row>
    <row r="3" spans="1:12" ht="15" customHeight="1">
      <c r="A3" s="31"/>
      <c r="B3" s="32"/>
      <c r="C3" s="32"/>
      <c r="D3" s="32"/>
      <c r="E3" s="32"/>
      <c r="F3" s="32"/>
      <c r="G3" s="32"/>
      <c r="H3" s="522" t="s">
        <v>163</v>
      </c>
      <c r="I3" s="522"/>
      <c r="J3" s="33"/>
      <c r="K3" s="522" t="s">
        <v>164</v>
      </c>
      <c r="L3" s="522"/>
    </row>
    <row r="4" spans="1:12" ht="15" customHeight="1">
      <c r="A4" s="31"/>
      <c r="B4" s="34">
        <v>2000</v>
      </c>
      <c r="C4" s="34">
        <v>2018</v>
      </c>
      <c r="D4" s="34">
        <v>2025</v>
      </c>
      <c r="E4" s="34">
        <v>2030</v>
      </c>
      <c r="F4" s="34">
        <v>2035</v>
      </c>
      <c r="G4" s="34">
        <v>2040</v>
      </c>
      <c r="H4" s="35">
        <v>2018</v>
      </c>
      <c r="I4" s="35">
        <v>2040</v>
      </c>
      <c r="J4" s="33"/>
      <c r="K4" s="35" t="s">
        <v>165</v>
      </c>
      <c r="L4" s="35" t="s">
        <v>166</v>
      </c>
    </row>
    <row r="5" spans="1:12" ht="13.5" customHeight="1">
      <c r="A5" s="37" t="s">
        <v>898</v>
      </c>
      <c r="B5" s="38"/>
      <c r="C5" s="38"/>
      <c r="D5" s="39"/>
      <c r="E5" s="39"/>
      <c r="F5" s="39"/>
      <c r="G5" s="39"/>
      <c r="H5" s="60"/>
      <c r="I5" s="60"/>
      <c r="J5" s="46"/>
      <c r="K5" s="60"/>
      <c r="L5" s="60"/>
    </row>
    <row r="6" spans="1:12" ht="13.5" customHeight="1">
      <c r="A6" s="42" t="s">
        <v>899</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900</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901</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902</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903</v>
      </c>
      <c r="B10" s="61"/>
      <c r="C10" s="61"/>
      <c r="D10" s="62"/>
      <c r="E10" s="62"/>
      <c r="F10" s="62"/>
      <c r="G10" s="62"/>
      <c r="H10" s="63"/>
      <c r="I10" s="63"/>
      <c r="J10" s="64"/>
      <c r="K10" s="65"/>
      <c r="L10" s="65"/>
    </row>
    <row r="11" spans="1:12" ht="13.5" customHeight="1">
      <c r="A11" s="48" t="s">
        <v>345</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350</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904</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905</v>
      </c>
      <c r="B14" s="43">
        <v>0</v>
      </c>
      <c r="C14" s="43">
        <v>0</v>
      </c>
      <c r="D14" s="44">
        <v>1.2E-2</v>
      </c>
      <c r="E14" s="44">
        <v>0.185</v>
      </c>
      <c r="F14" s="44">
        <v>0.52</v>
      </c>
      <c r="G14" s="44">
        <v>0.91800000000000004</v>
      </c>
      <c r="H14" s="45">
        <v>0</v>
      </c>
      <c r="I14" s="45">
        <v>3.31</v>
      </c>
      <c r="J14" s="66"/>
      <c r="K14" s="47" t="s">
        <v>173</v>
      </c>
      <c r="L14" s="47">
        <v>49.25</v>
      </c>
    </row>
    <row r="15" spans="1:12" ht="13.5" customHeight="1">
      <c r="A15" s="48" t="s">
        <v>906</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907</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908</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909</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910</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911</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688</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912</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913</v>
      </c>
      <c r="B24" s="43">
        <v>0</v>
      </c>
      <c r="C24" s="43">
        <v>1.2390000000000001</v>
      </c>
      <c r="D24" s="44">
        <v>1.452</v>
      </c>
      <c r="E24" s="44">
        <v>1.526</v>
      </c>
      <c r="F24" s="44">
        <v>1.4370000000000001</v>
      </c>
      <c r="G24" s="44">
        <v>1.3149999999999999</v>
      </c>
      <c r="H24" s="45">
        <v>2.88</v>
      </c>
      <c r="I24" s="45">
        <v>2.95</v>
      </c>
      <c r="J24" s="66"/>
      <c r="K24" s="47" t="s">
        <v>173</v>
      </c>
      <c r="L24" s="47">
        <v>0.27</v>
      </c>
    </row>
    <row r="25" spans="1:12" ht="13.5" customHeight="1">
      <c r="A25" s="42" t="s">
        <v>192</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914</v>
      </c>
      <c r="B26" s="43">
        <v>0</v>
      </c>
      <c r="C26" s="43">
        <v>0.68400000000000005</v>
      </c>
      <c r="D26" s="44">
        <v>0.64400000000000002</v>
      </c>
      <c r="E26" s="44">
        <v>0.625</v>
      </c>
      <c r="F26" s="44">
        <v>0.59499999999999997</v>
      </c>
      <c r="G26" s="44">
        <v>0.56599999999999995</v>
      </c>
      <c r="H26" s="45">
        <v>1.59</v>
      </c>
      <c r="I26" s="45">
        <v>1.27</v>
      </c>
      <c r="J26" s="66"/>
      <c r="K26" s="47" t="s">
        <v>173</v>
      </c>
      <c r="L26" s="47">
        <v>-0.86</v>
      </c>
    </row>
    <row r="27" spans="1:12" s="55" customFormat="1" ht="3" customHeight="1">
      <c r="A27" s="50"/>
      <c r="B27" s="51"/>
      <c r="C27" s="51"/>
      <c r="D27" s="52"/>
      <c r="E27" s="52"/>
      <c r="F27" s="52"/>
      <c r="G27" s="52"/>
      <c r="H27" s="52"/>
      <c r="I27" s="52"/>
      <c r="J27" s="54"/>
      <c r="K27" s="54"/>
      <c r="L27" s="54"/>
    </row>
    <row r="28" spans="1:12" ht="13.5" customHeight="1">
      <c r="A28" s="37" t="s">
        <v>915</v>
      </c>
      <c r="B28" s="43"/>
      <c r="C28" s="43"/>
      <c r="D28" s="68"/>
      <c r="E28" s="68"/>
      <c r="F28" s="68"/>
      <c r="G28" s="68"/>
      <c r="H28" s="69"/>
      <c r="I28" s="69"/>
      <c r="J28" s="70"/>
      <c r="K28" s="71"/>
      <c r="L28" s="71"/>
    </row>
    <row r="29" spans="1:12" ht="13.5" customHeight="1">
      <c r="A29" s="42" t="s">
        <v>850</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848</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916</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917</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23" t="s">
        <v>918</v>
      </c>
      <c r="B33" s="524"/>
      <c r="C33" s="524"/>
      <c r="D33" s="524"/>
      <c r="E33" s="524"/>
      <c r="F33" s="524"/>
      <c r="G33" s="524"/>
      <c r="H33" s="524"/>
      <c r="I33" s="524"/>
      <c r="J33" s="524"/>
      <c r="K33" s="524"/>
      <c r="L33" s="524"/>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919</v>
      </c>
      <c r="B1" s="531"/>
      <c r="C1" s="531"/>
      <c r="D1" s="531"/>
      <c r="E1" s="531"/>
      <c r="F1" s="531"/>
      <c r="G1" s="531"/>
      <c r="H1" s="531"/>
      <c r="I1" s="531"/>
      <c r="J1" s="531"/>
      <c r="K1" s="531"/>
      <c r="L1" s="531"/>
    </row>
    <row r="2" spans="1:12">
      <c r="A2" s="532" t="s">
        <v>162</v>
      </c>
      <c r="B2" s="532"/>
      <c r="C2" s="532"/>
      <c r="D2" s="532"/>
      <c r="E2" s="532"/>
      <c r="F2" s="532"/>
      <c r="G2" s="532"/>
      <c r="H2" s="532"/>
      <c r="I2" s="532"/>
      <c r="J2" s="532"/>
      <c r="K2" s="532"/>
      <c r="L2" s="532"/>
    </row>
    <row r="3" spans="1:12" ht="15" customHeight="1">
      <c r="A3" s="31"/>
      <c r="B3" s="32"/>
      <c r="C3" s="32"/>
      <c r="D3" s="32"/>
      <c r="E3" s="32"/>
      <c r="F3" s="32"/>
      <c r="G3" s="32"/>
      <c r="H3" s="522" t="s">
        <v>163</v>
      </c>
      <c r="I3" s="522"/>
      <c r="J3" s="33"/>
      <c r="K3" s="522" t="s">
        <v>164</v>
      </c>
      <c r="L3" s="522"/>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37" t="s">
        <v>898</v>
      </c>
      <c r="B5" s="38"/>
      <c r="C5" s="38"/>
      <c r="D5" s="39"/>
      <c r="E5" s="39"/>
      <c r="F5" s="39"/>
      <c r="G5" s="39"/>
      <c r="H5" s="45"/>
      <c r="I5" s="45"/>
      <c r="J5" s="46"/>
      <c r="K5" s="47"/>
      <c r="L5" s="47"/>
    </row>
    <row r="6" spans="1:12" ht="13.5" customHeight="1">
      <c r="A6" s="42" t="s">
        <v>920</v>
      </c>
      <c r="B6" s="72">
        <v>47.008000000000003</v>
      </c>
      <c r="C6" s="72">
        <v>51.606999999999999</v>
      </c>
      <c r="D6" s="73">
        <v>51.905000000000001</v>
      </c>
      <c r="E6" s="73">
        <v>51.927</v>
      </c>
      <c r="F6" s="73">
        <v>51.63</v>
      </c>
      <c r="G6" s="73">
        <v>50.854999999999997</v>
      </c>
      <c r="H6" s="39" t="s">
        <v>173</v>
      </c>
      <c r="I6" s="39" t="s">
        <v>173</v>
      </c>
      <c r="J6" s="74"/>
      <c r="K6" s="75">
        <v>0.52</v>
      </c>
      <c r="L6" s="75">
        <v>-7.0000000000000007E-2</v>
      </c>
    </row>
    <row r="7" spans="1:12" ht="13.5" customHeight="1">
      <c r="A7" s="42" t="s">
        <v>921</v>
      </c>
      <c r="B7" s="72">
        <v>14.507</v>
      </c>
      <c r="C7" s="72">
        <v>19.751999999999999</v>
      </c>
      <c r="D7" s="73">
        <v>21.013999999999999</v>
      </c>
      <c r="E7" s="73">
        <v>21.640999999999998</v>
      </c>
      <c r="F7" s="73">
        <v>22.067</v>
      </c>
      <c r="G7" s="73">
        <v>22.306000000000001</v>
      </c>
      <c r="H7" s="39" t="s">
        <v>173</v>
      </c>
      <c r="I7" s="39" t="s">
        <v>173</v>
      </c>
      <c r="J7" s="74"/>
      <c r="K7" s="75">
        <v>1.73</v>
      </c>
      <c r="L7" s="75">
        <v>0.55000000000000004</v>
      </c>
    </row>
    <row r="8" spans="1:12" ht="13.5" customHeight="1">
      <c r="A8" s="42" t="s">
        <v>922</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923</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924</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925</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926</v>
      </c>
      <c r="B12" s="76">
        <v>85.533000000000001</v>
      </c>
      <c r="C12" s="76">
        <v>76.766999999999996</v>
      </c>
      <c r="D12" s="77">
        <v>75.245999999999995</v>
      </c>
      <c r="E12" s="77">
        <v>74.905000000000001</v>
      </c>
      <c r="F12" s="77">
        <v>74.394000000000005</v>
      </c>
      <c r="G12" s="77">
        <v>73.525000000000006</v>
      </c>
      <c r="H12" s="45" t="s">
        <v>173</v>
      </c>
      <c r="I12" s="45" t="s">
        <v>173</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927</v>
      </c>
      <c r="B14" s="67"/>
      <c r="C14" s="67"/>
      <c r="D14" s="68"/>
      <c r="E14" s="68"/>
      <c r="F14" s="68"/>
      <c r="G14" s="68"/>
      <c r="H14" s="45"/>
      <c r="I14" s="45"/>
      <c r="J14" s="46"/>
      <c r="K14" s="47"/>
      <c r="L14" s="47"/>
    </row>
    <row r="15" spans="1:12" ht="13.5" customHeight="1">
      <c r="A15" s="42" t="s">
        <v>928</v>
      </c>
      <c r="B15" s="78">
        <v>1.931</v>
      </c>
      <c r="C15" s="78">
        <v>1.4319999999999999</v>
      </c>
      <c r="D15" s="60">
        <v>1.24</v>
      </c>
      <c r="E15" s="60">
        <v>1.1839999999999999</v>
      </c>
      <c r="F15" s="60">
        <v>1.1459999999999999</v>
      </c>
      <c r="G15" s="60">
        <v>1.117</v>
      </c>
      <c r="H15" s="45" t="s">
        <v>173</v>
      </c>
      <c r="I15" s="45" t="s">
        <v>173</v>
      </c>
      <c r="J15" s="46"/>
      <c r="K15" s="47">
        <v>-1.648258306376682</v>
      </c>
      <c r="L15" s="47">
        <v>-1.1200000000000001</v>
      </c>
    </row>
    <row r="16" spans="1:12" ht="13.5" customHeight="1">
      <c r="A16" s="42" t="s">
        <v>929</v>
      </c>
      <c r="B16" s="78">
        <v>2.3E-2</v>
      </c>
      <c r="C16" s="78">
        <v>1.9E-2</v>
      </c>
      <c r="D16" s="60">
        <v>1.6E-2</v>
      </c>
      <c r="E16" s="60">
        <v>1.6E-2</v>
      </c>
      <c r="F16" s="60">
        <v>1.4999999999999999E-2</v>
      </c>
      <c r="G16" s="60">
        <v>1.4999999999999999E-2</v>
      </c>
      <c r="H16" s="45" t="s">
        <v>173</v>
      </c>
      <c r="I16" s="45" t="s">
        <v>173</v>
      </c>
      <c r="J16" s="46"/>
      <c r="K16" s="47">
        <v>-1.0556516173888864</v>
      </c>
      <c r="L16" s="47">
        <v>-0.93</v>
      </c>
    </row>
    <row r="17" spans="1:12" ht="13.5" customHeight="1">
      <c r="A17" s="42" t="s">
        <v>930</v>
      </c>
      <c r="B17" s="78">
        <v>1.4590000000000001</v>
      </c>
      <c r="C17" s="78">
        <v>1.1739999999999999</v>
      </c>
      <c r="D17" s="60">
        <v>1.046</v>
      </c>
      <c r="E17" s="60">
        <v>1.0109999999999999</v>
      </c>
      <c r="F17" s="60">
        <v>0.98899999999999999</v>
      </c>
      <c r="G17" s="60">
        <v>0.97199999999999998</v>
      </c>
      <c r="H17" s="45" t="s">
        <v>173</v>
      </c>
      <c r="I17" s="45" t="s">
        <v>173</v>
      </c>
      <c r="J17" s="46"/>
      <c r="K17" s="47">
        <v>-1.198853439235481</v>
      </c>
      <c r="L17" s="47">
        <v>-0.85</v>
      </c>
    </row>
    <row r="18" spans="1:12" ht="13.5" customHeight="1">
      <c r="A18" s="42" t="s">
        <v>931</v>
      </c>
      <c r="B18" s="78">
        <v>0.78900000000000003</v>
      </c>
      <c r="C18" s="78">
        <v>1.37</v>
      </c>
      <c r="D18" s="60">
        <v>1.4690000000000001</v>
      </c>
      <c r="E18" s="60">
        <v>1.526</v>
      </c>
      <c r="F18" s="60">
        <v>1.575</v>
      </c>
      <c r="G18" s="60">
        <v>1.6220000000000001</v>
      </c>
      <c r="H18" s="45" t="s">
        <v>173</v>
      </c>
      <c r="I18" s="45" t="s">
        <v>173</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907</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168</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169</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170</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171</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174</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932</v>
      </c>
      <c r="B28" s="67"/>
      <c r="C28" s="67"/>
      <c r="D28" s="68"/>
      <c r="E28" s="68"/>
      <c r="F28" s="68"/>
      <c r="G28" s="68"/>
      <c r="H28" s="69"/>
      <c r="I28" s="69"/>
      <c r="J28" s="79"/>
      <c r="K28" s="71"/>
      <c r="L28" s="71"/>
    </row>
    <row r="29" spans="1:12" ht="13.5" customHeight="1">
      <c r="A29" s="42" t="s">
        <v>933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934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935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936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937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23" t="s">
        <v>938</v>
      </c>
      <c r="B34" s="524"/>
      <c r="C34" s="524"/>
      <c r="D34" s="524"/>
      <c r="E34" s="524"/>
      <c r="F34" s="524"/>
      <c r="G34" s="524"/>
      <c r="H34" s="524"/>
      <c r="I34" s="524"/>
      <c r="J34" s="524"/>
      <c r="K34" s="524"/>
      <c r="L34" s="524"/>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939</v>
      </c>
      <c r="B1" s="531"/>
      <c r="C1" s="531"/>
      <c r="D1" s="531"/>
      <c r="E1" s="531"/>
      <c r="F1" s="531"/>
      <c r="G1" s="531"/>
      <c r="H1" s="531"/>
      <c r="I1" s="531"/>
      <c r="J1" s="531"/>
      <c r="K1" s="531"/>
      <c r="L1" s="531"/>
    </row>
    <row r="2" spans="1:12">
      <c r="A2" s="532" t="s">
        <v>162</v>
      </c>
      <c r="B2" s="532"/>
      <c r="C2" s="532"/>
      <c r="D2" s="532"/>
      <c r="E2" s="532"/>
      <c r="F2" s="532"/>
      <c r="G2" s="532"/>
      <c r="H2" s="532"/>
      <c r="I2" s="532"/>
      <c r="J2" s="532"/>
      <c r="K2" s="532"/>
      <c r="L2" s="532"/>
    </row>
    <row r="3" spans="1:12" ht="15" customHeight="1">
      <c r="A3" s="31"/>
      <c r="B3" s="32"/>
      <c r="C3" s="32"/>
      <c r="D3" s="32"/>
      <c r="E3" s="32"/>
      <c r="F3" s="32"/>
      <c r="G3" s="32"/>
      <c r="H3" s="522" t="s">
        <v>163</v>
      </c>
      <c r="I3" s="522"/>
      <c r="J3" s="33"/>
      <c r="K3" s="522" t="s">
        <v>164</v>
      </c>
      <c r="L3" s="522"/>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80" t="s">
        <v>940</v>
      </c>
      <c r="B5" s="38"/>
      <c r="C5" s="38"/>
      <c r="D5" s="39"/>
      <c r="E5" s="39"/>
      <c r="F5" s="39"/>
      <c r="G5" s="39"/>
      <c r="H5" s="60"/>
      <c r="I5" s="60"/>
      <c r="J5" s="46"/>
      <c r="K5" s="60"/>
      <c r="L5" s="60"/>
    </row>
    <row r="6" spans="1:12" ht="13.5" customHeight="1">
      <c r="A6" s="42" t="s">
        <v>941</v>
      </c>
      <c r="B6" s="43">
        <v>134.37799999999999</v>
      </c>
      <c r="C6" s="43">
        <v>253.982</v>
      </c>
      <c r="D6" s="44">
        <v>294.09800000000001</v>
      </c>
      <c r="E6" s="44">
        <v>325.851</v>
      </c>
      <c r="F6" s="44">
        <v>355.07</v>
      </c>
      <c r="G6" s="44">
        <v>385.41500000000002</v>
      </c>
      <c r="H6" s="81" t="s">
        <v>173</v>
      </c>
      <c r="I6" s="81" t="s">
        <v>173</v>
      </c>
      <c r="J6" s="46"/>
      <c r="K6" s="47">
        <v>3.6</v>
      </c>
      <c r="L6" s="47">
        <v>1.91</v>
      </c>
    </row>
    <row r="7" spans="1:12" ht="13.5" customHeight="1">
      <c r="A7" s="42" t="s">
        <v>942</v>
      </c>
      <c r="B7" s="43">
        <v>60.713000000000001</v>
      </c>
      <c r="C7" s="43">
        <v>133.59399999999999</v>
      </c>
      <c r="D7" s="44">
        <v>152.941</v>
      </c>
      <c r="E7" s="44">
        <v>167.72399999999999</v>
      </c>
      <c r="F7" s="44">
        <v>180.529</v>
      </c>
      <c r="G7" s="44">
        <v>193.14</v>
      </c>
      <c r="H7" s="81" t="s">
        <v>173</v>
      </c>
      <c r="I7" s="81" t="s">
        <v>173</v>
      </c>
      <c r="J7" s="46"/>
      <c r="K7" s="47">
        <v>4.4800000000000004</v>
      </c>
      <c r="L7" s="47">
        <v>1.69</v>
      </c>
    </row>
    <row r="8" spans="1:12" ht="13.5" customHeight="1">
      <c r="A8" s="42" t="s">
        <v>943</v>
      </c>
      <c r="B8" s="43">
        <v>69.081000000000003</v>
      </c>
      <c r="C8" s="43">
        <v>151.90899999999999</v>
      </c>
      <c r="D8" s="44">
        <v>181.34399999999999</v>
      </c>
      <c r="E8" s="44">
        <v>204.148</v>
      </c>
      <c r="F8" s="44">
        <v>224.75800000000001</v>
      </c>
      <c r="G8" s="44">
        <v>245.01599999999999</v>
      </c>
      <c r="H8" s="81" t="s">
        <v>173</v>
      </c>
      <c r="I8" s="81" t="s">
        <v>173</v>
      </c>
      <c r="J8" s="46"/>
      <c r="K8" s="47">
        <v>4.4800000000000004</v>
      </c>
      <c r="L8" s="47">
        <v>2.2000000000000002</v>
      </c>
    </row>
    <row r="9" spans="1:12" ht="13.5" customHeight="1">
      <c r="A9" s="42" t="s">
        <v>944</v>
      </c>
      <c r="B9" s="43">
        <v>56.167000000000002</v>
      </c>
      <c r="C9" s="43">
        <v>148.08199999999999</v>
      </c>
      <c r="D9" s="44">
        <v>193.99</v>
      </c>
      <c r="E9" s="44">
        <v>227.83699999999999</v>
      </c>
      <c r="F9" s="44">
        <v>256.67099999999999</v>
      </c>
      <c r="G9" s="44">
        <v>282.01299999999998</v>
      </c>
      <c r="H9" s="81" t="s">
        <v>173</v>
      </c>
      <c r="I9" s="81" t="s">
        <v>173</v>
      </c>
      <c r="J9" s="46"/>
      <c r="K9" s="47">
        <v>5.53</v>
      </c>
      <c r="L9" s="47">
        <v>2.97</v>
      </c>
    </row>
    <row r="10" spans="1:12" ht="13.5" customHeight="1">
      <c r="A10" s="42" t="s">
        <v>945</v>
      </c>
      <c r="B10" s="43">
        <v>72.938000000000002</v>
      </c>
      <c r="C10" s="43">
        <v>145.285</v>
      </c>
      <c r="D10" s="44">
        <v>169.85400000000001</v>
      </c>
      <c r="E10" s="44">
        <v>182.83699999999999</v>
      </c>
      <c r="F10" s="44">
        <v>188.202</v>
      </c>
      <c r="G10" s="44">
        <v>189.215</v>
      </c>
      <c r="H10" s="81" t="s">
        <v>173</v>
      </c>
      <c r="I10" s="81" t="s">
        <v>173</v>
      </c>
      <c r="J10" s="46"/>
      <c r="K10" s="47">
        <v>3.9</v>
      </c>
      <c r="L10" s="47">
        <v>1.21</v>
      </c>
    </row>
    <row r="11" spans="1:12" ht="13.5" customHeight="1">
      <c r="A11" s="42" t="s">
        <v>946</v>
      </c>
      <c r="B11" s="43">
        <v>65.349000000000004</v>
      </c>
      <c r="C11" s="43">
        <v>127.735</v>
      </c>
      <c r="D11" s="44">
        <v>142.875</v>
      </c>
      <c r="E11" s="44">
        <v>151.63</v>
      </c>
      <c r="F11" s="44">
        <v>155.69</v>
      </c>
      <c r="G11" s="44">
        <v>157.684</v>
      </c>
      <c r="H11" s="81" t="s">
        <v>173</v>
      </c>
      <c r="I11" s="81" t="s">
        <v>173</v>
      </c>
      <c r="J11" s="46"/>
      <c r="K11" s="47">
        <v>3.79</v>
      </c>
      <c r="L11" s="47">
        <v>0.96</v>
      </c>
    </row>
    <row r="12" spans="1:12" ht="13.5" customHeight="1">
      <c r="A12" s="42" t="s">
        <v>947</v>
      </c>
      <c r="B12" s="43">
        <v>41.045999999999999</v>
      </c>
      <c r="C12" s="43">
        <v>148.143</v>
      </c>
      <c r="D12" s="44">
        <v>209.715</v>
      </c>
      <c r="E12" s="44">
        <v>254.54599999999999</v>
      </c>
      <c r="F12" s="44">
        <v>293.08</v>
      </c>
      <c r="G12" s="44">
        <v>327.08800000000002</v>
      </c>
      <c r="H12" s="81" t="s">
        <v>173</v>
      </c>
      <c r="I12" s="81" t="s">
        <v>173</v>
      </c>
      <c r="J12" s="46"/>
      <c r="K12" s="47">
        <v>7.39</v>
      </c>
      <c r="L12" s="47">
        <v>3.67</v>
      </c>
    </row>
    <row r="13" spans="1:12" ht="13.5" customHeight="1">
      <c r="A13" s="42" t="s">
        <v>948</v>
      </c>
      <c r="B13" s="43">
        <v>15.548</v>
      </c>
      <c r="C13" s="43">
        <v>40.884</v>
      </c>
      <c r="D13" s="44">
        <v>53.927999999999997</v>
      </c>
      <c r="E13" s="44">
        <v>63.49</v>
      </c>
      <c r="F13" s="44">
        <v>71.534000000000006</v>
      </c>
      <c r="G13" s="44">
        <v>78.622</v>
      </c>
      <c r="H13" s="81" t="s">
        <v>173</v>
      </c>
      <c r="I13" s="81" t="s">
        <v>173</v>
      </c>
      <c r="J13" s="46"/>
      <c r="K13" s="47">
        <v>5.52</v>
      </c>
      <c r="L13" s="47">
        <v>3.02</v>
      </c>
    </row>
    <row r="14" spans="1:12" ht="13.5" customHeight="1">
      <c r="A14" s="42" t="s">
        <v>949</v>
      </c>
      <c r="B14" s="43">
        <v>283.90199999999999</v>
      </c>
      <c r="C14" s="43">
        <v>708.05700000000002</v>
      </c>
      <c r="D14" s="44">
        <v>901.47799999999995</v>
      </c>
      <c r="E14" s="44">
        <v>1036.441</v>
      </c>
      <c r="F14" s="44">
        <v>1146.75</v>
      </c>
      <c r="G14" s="44">
        <v>1242.6189999999999</v>
      </c>
      <c r="H14" s="81" t="s">
        <v>173</v>
      </c>
      <c r="I14" s="81" t="s">
        <v>173</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907</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950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621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171</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174</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951</v>
      </c>
      <c r="B23" s="67"/>
      <c r="C23" s="67"/>
      <c r="D23" s="68"/>
      <c r="E23" s="68"/>
      <c r="F23" s="68"/>
      <c r="G23" s="68"/>
      <c r="H23" s="45"/>
      <c r="I23" s="45"/>
      <c r="J23" s="46"/>
      <c r="K23" s="47"/>
      <c r="L23" s="47"/>
    </row>
    <row r="24" spans="1:12" ht="13.5" customHeight="1">
      <c r="A24" s="42" t="s">
        <v>952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953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23"/>
      <c r="B26" s="524"/>
      <c r="C26" s="524"/>
      <c r="D26" s="524"/>
      <c r="E26" s="524"/>
      <c r="F26" s="524"/>
      <c r="G26" s="524"/>
      <c r="H26" s="524"/>
      <c r="I26" s="524"/>
      <c r="J26" s="524"/>
      <c r="K26" s="524"/>
      <c r="L26" s="524"/>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5">
      <c r="B2" s="266" t="s">
        <v>954</v>
      </c>
    </row>
    <row r="4" spans="2:5">
      <c r="B4" s="175" t="s">
        <v>955</v>
      </c>
      <c r="C4" s="267" t="s">
        <v>956</v>
      </c>
      <c r="D4" s="267" t="s">
        <v>957</v>
      </c>
    </row>
    <row r="5" spans="2:5">
      <c r="B5" s="165" t="s">
        <v>109</v>
      </c>
      <c r="C5" s="166">
        <f>SUM('2019 KESIS Energy Balance'!Z61:AE61)</f>
        <v>13.368</v>
      </c>
      <c r="D5" s="167">
        <f>C5/SUM($C$5:$C$7)</f>
        <v>0.17361264432005613</v>
      </c>
    </row>
    <row r="6" spans="2:5">
      <c r="B6" s="165" t="s">
        <v>958</v>
      </c>
      <c r="C6" s="166">
        <f>SUM('2019 KESIS Energy Balance'!AF61:AH61)</f>
        <v>17.835000000000001</v>
      </c>
      <c r="D6" s="167">
        <f t="shared" ref="D6:D7" si="0">C6/SUM($C$5:$C$7)</f>
        <v>0.23162638475824363</v>
      </c>
    </row>
    <row r="7" spans="2:5">
      <c r="B7" s="165" t="s">
        <v>959</v>
      </c>
      <c r="C7" s="166">
        <f>SUM('2019 KESIS Energy Balance'!W61:Y61)</f>
        <v>45.795999999999999</v>
      </c>
      <c r="D7" s="167">
        <f t="shared" si="0"/>
        <v>0.59476097092170033</v>
      </c>
      <c r="E7" s="453"/>
    </row>
    <row r="9" spans="2:5">
      <c r="B9" s="175" t="s">
        <v>960</v>
      </c>
      <c r="C9" s="267" t="s">
        <v>956</v>
      </c>
      <c r="D9" s="267" t="s">
        <v>957</v>
      </c>
      <c r="E9" s="454" t="s">
        <v>961</v>
      </c>
    </row>
    <row r="10" spans="2:5">
      <c r="B10" s="165" t="s">
        <v>109</v>
      </c>
      <c r="C10" s="166">
        <f>SUM('2022 Energy Balance'!Z61:AE61)</f>
        <v>3.7439999999999998</v>
      </c>
      <c r="D10" s="167">
        <f>C10/SUM($C$5:$C$7)</f>
        <v>4.8624008104001352E-2</v>
      </c>
    </row>
    <row r="11" spans="2:5">
      <c r="B11" s="165" t="s">
        <v>958</v>
      </c>
      <c r="C11" s="166">
        <f>SUM('2022 Energy Balance'!AF61:AH61)</f>
        <v>1.8000000000000002E-2</v>
      </c>
      <c r="D11" s="167">
        <f t="shared" ref="D11:D12" si="1">C11/SUM($C$5:$C$7)</f>
        <v>2.3376926973077576E-4</v>
      </c>
    </row>
    <row r="12" spans="2:5">
      <c r="B12" s="165" t="s">
        <v>959</v>
      </c>
      <c r="C12" s="166">
        <f>SUM('2022 Energy Balance'!W61:Y61)</f>
        <v>51.706999999999994</v>
      </c>
      <c r="D12" s="167">
        <f t="shared" si="1"/>
        <v>0.67152820166495664</v>
      </c>
    </row>
    <row r="14" spans="2:5" ht="17.399999999999999">
      <c r="B14" s="139" t="s">
        <v>962</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963</v>
      </c>
    </row>
    <row r="4" spans="2:14">
      <c r="B4" s="175" t="s">
        <v>964</v>
      </c>
      <c r="C4" s="175"/>
    </row>
    <row r="5" spans="2:14" s="280" customFormat="1" ht="28.8">
      <c r="B5" s="277"/>
      <c r="C5" s="277" t="s">
        <v>965</v>
      </c>
      <c r="D5" s="277" t="s">
        <v>966</v>
      </c>
      <c r="E5" s="278" t="s">
        <v>967</v>
      </c>
      <c r="F5" s="279" t="s">
        <v>968</v>
      </c>
      <c r="G5" s="279" t="s">
        <v>969</v>
      </c>
      <c r="H5" s="279" t="s">
        <v>970</v>
      </c>
      <c r="I5" s="279" t="s">
        <v>971</v>
      </c>
      <c r="J5" s="279" t="s">
        <v>972</v>
      </c>
      <c r="K5" s="279" t="s">
        <v>973</v>
      </c>
      <c r="L5" s="279" t="s">
        <v>958</v>
      </c>
      <c r="M5" s="279" t="s">
        <v>959</v>
      </c>
      <c r="N5" s="279" t="s">
        <v>974</v>
      </c>
    </row>
    <row r="6" spans="2:14" s="290" customFormat="1" ht="226.2">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316</v>
      </c>
      <c r="L6" s="288">
        <f t="shared" si="0"/>
        <v>0.97435897435897434</v>
      </c>
      <c r="M6" s="288">
        <f t="shared" si="0"/>
        <v>0.69558576447227738</v>
      </c>
      <c r="N6" s="289" t="s">
        <v>316</v>
      </c>
    </row>
    <row r="7" spans="2:14" s="290" customFormat="1" ht="69.599999999999994">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975</v>
      </c>
      <c r="L7" s="293">
        <f>SUM(E23:E25,L23:M25)/SUM(D23:M25)</f>
        <v>2.5641025641025637E-2</v>
      </c>
      <c r="M7" s="293">
        <f>SUM(E27:E28,L27:M28)/SUM(D27:M28)</f>
        <v>0.30441423552772262</v>
      </c>
      <c r="N7" s="297" t="s">
        <v>975</v>
      </c>
    </row>
    <row r="8" spans="2:14" s="141" customFormat="1">
      <c r="B8" s="268" t="s">
        <v>976</v>
      </c>
      <c r="C8" s="268"/>
      <c r="D8" s="268"/>
      <c r="E8" s="269">
        <f t="shared" ref="E8:M8" si="1">SUM(E6:E7)</f>
        <v>1</v>
      </c>
      <c r="F8" s="269">
        <f t="shared" si="1"/>
        <v>1</v>
      </c>
      <c r="G8" s="269">
        <f t="shared" si="1"/>
        <v>1</v>
      </c>
      <c r="H8" s="269">
        <f t="shared" si="1"/>
        <v>1</v>
      </c>
      <c r="I8" s="269">
        <f t="shared" si="1"/>
        <v>1</v>
      </c>
      <c r="J8" s="269">
        <f t="shared" si="1"/>
        <v>1</v>
      </c>
      <c r="K8" s="270" t="s">
        <v>975</v>
      </c>
      <c r="L8" s="269">
        <f t="shared" si="1"/>
        <v>1</v>
      </c>
      <c r="M8" s="269">
        <f t="shared" si="1"/>
        <v>1</v>
      </c>
      <c r="N8" s="270" t="s">
        <v>975</v>
      </c>
    </row>
    <row r="10" spans="2:14">
      <c r="B10" s="175" t="s">
        <v>977</v>
      </c>
    </row>
    <row r="11" spans="2:14" s="172" customFormat="1">
      <c r="B11" s="2" t="s">
        <v>978</v>
      </c>
      <c r="C11" s="2" t="s">
        <v>979</v>
      </c>
    </row>
    <row r="12" spans="2:14" s="172" customFormat="1">
      <c r="B12" s="2" t="s">
        <v>980</v>
      </c>
      <c r="C12" s="2" t="s">
        <v>981</v>
      </c>
    </row>
    <row r="13" spans="2:14" s="172" customFormat="1">
      <c r="B13" s="2" t="s">
        <v>982</v>
      </c>
      <c r="C13" s="2" t="s">
        <v>983</v>
      </c>
    </row>
    <row r="14" spans="2:14" s="172" customFormat="1">
      <c r="B14" s="2" t="s">
        <v>984</v>
      </c>
      <c r="C14" s="2" t="s">
        <v>985</v>
      </c>
    </row>
    <row r="15" spans="2:14" s="172" customFormat="1" ht="20.100000000000001" customHeight="1">
      <c r="B15" s="539" t="s">
        <v>986</v>
      </c>
      <c r="C15" s="539" t="s">
        <v>987</v>
      </c>
      <c r="D15" s="540" t="s">
        <v>988</v>
      </c>
      <c r="E15" s="540" t="s">
        <v>988</v>
      </c>
      <c r="F15" s="540" t="s">
        <v>988</v>
      </c>
      <c r="G15" s="540" t="s">
        <v>988</v>
      </c>
      <c r="H15" s="540" t="s">
        <v>988</v>
      </c>
      <c r="I15" s="540" t="s">
        <v>988</v>
      </c>
      <c r="J15" s="540" t="s">
        <v>988</v>
      </c>
      <c r="K15" s="540" t="s">
        <v>988</v>
      </c>
      <c r="L15" s="540" t="s">
        <v>988</v>
      </c>
      <c r="M15" s="540" t="s">
        <v>988</v>
      </c>
    </row>
    <row r="16" spans="2:14" s="172" customFormat="1" ht="20.100000000000001" customHeight="1">
      <c r="B16" s="540" t="s">
        <v>986</v>
      </c>
      <c r="C16" s="540" t="s">
        <v>987</v>
      </c>
      <c r="D16" s="273" t="s">
        <v>989</v>
      </c>
      <c r="E16" s="272" t="s">
        <v>990</v>
      </c>
      <c r="F16" s="273" t="s">
        <v>991</v>
      </c>
      <c r="G16" s="273" t="s">
        <v>992</v>
      </c>
      <c r="H16" s="273" t="s">
        <v>993</v>
      </c>
      <c r="I16" s="273" t="s">
        <v>994</v>
      </c>
      <c r="J16" s="273" t="s">
        <v>995</v>
      </c>
      <c r="K16" s="273" t="s">
        <v>996</v>
      </c>
      <c r="L16" s="272" t="s">
        <v>997</v>
      </c>
      <c r="M16" s="272" t="s">
        <v>998</v>
      </c>
    </row>
    <row r="17" spans="2:13" s="172" customFormat="1" ht="20.100000000000001" customHeight="1">
      <c r="B17" s="274" t="s">
        <v>272</v>
      </c>
      <c r="C17" s="274" t="s">
        <v>999</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1000</v>
      </c>
      <c r="C18" s="274" t="s">
        <v>999</v>
      </c>
      <c r="D18" s="173">
        <v>100.8</v>
      </c>
      <c r="E18" s="173">
        <v>206.9</v>
      </c>
      <c r="F18" s="174" t="s">
        <v>173</v>
      </c>
      <c r="G18" s="173">
        <v>1.3</v>
      </c>
      <c r="H18" s="173">
        <v>63.4</v>
      </c>
      <c r="I18" s="174" t="s">
        <v>173</v>
      </c>
      <c r="J18" s="174" t="s">
        <v>173</v>
      </c>
      <c r="K18" s="174" t="s">
        <v>173</v>
      </c>
      <c r="L18" s="174" t="s">
        <v>173</v>
      </c>
      <c r="M18" s="173">
        <v>0</v>
      </c>
    </row>
    <row r="19" spans="2:13" s="172" customFormat="1" ht="20.100000000000001" customHeight="1">
      <c r="B19" s="274" t="s">
        <v>1001</v>
      </c>
      <c r="C19" s="274" t="s">
        <v>999</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1002</v>
      </c>
      <c r="C20" s="274" t="s">
        <v>345</v>
      </c>
      <c r="D20" s="173">
        <v>0</v>
      </c>
      <c r="E20" s="173">
        <v>0</v>
      </c>
      <c r="F20" s="174" t="s">
        <v>173</v>
      </c>
      <c r="G20" s="173">
        <v>0</v>
      </c>
      <c r="H20" s="174" t="s">
        <v>173</v>
      </c>
      <c r="I20" s="174" t="s">
        <v>173</v>
      </c>
      <c r="J20" s="173">
        <v>0</v>
      </c>
      <c r="K20" s="173">
        <v>0</v>
      </c>
      <c r="L20" s="173">
        <v>0</v>
      </c>
      <c r="M20" s="173">
        <v>0</v>
      </c>
    </row>
    <row r="21" spans="2:13" s="172" customFormat="1" ht="20.100000000000001" customHeight="1">
      <c r="B21" s="275" t="s">
        <v>1002</v>
      </c>
      <c r="C21" s="274" t="s">
        <v>1003</v>
      </c>
      <c r="D21" s="173">
        <v>0.9</v>
      </c>
      <c r="E21" s="173">
        <v>0.3</v>
      </c>
      <c r="F21" s="173">
        <v>0.3</v>
      </c>
      <c r="G21" s="173">
        <v>2.5</v>
      </c>
      <c r="H21" s="174" t="s">
        <v>173</v>
      </c>
      <c r="I21" s="173">
        <v>0</v>
      </c>
      <c r="J21" s="173">
        <v>0.2</v>
      </c>
      <c r="K21" s="173">
        <v>0</v>
      </c>
      <c r="L21" s="173">
        <v>0.8</v>
      </c>
      <c r="M21" s="173">
        <v>0.5</v>
      </c>
    </row>
    <row r="22" spans="2:13" s="172" customFormat="1" ht="20.100000000000001" customHeight="1">
      <c r="B22" s="275" t="s">
        <v>1002</v>
      </c>
      <c r="C22" s="274" t="s">
        <v>350</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1002</v>
      </c>
      <c r="C23" s="274" t="s">
        <v>1004</v>
      </c>
      <c r="D23" s="174" t="s">
        <v>173</v>
      </c>
      <c r="E23" s="174" t="s">
        <v>173</v>
      </c>
      <c r="F23" s="174" t="s">
        <v>173</v>
      </c>
      <c r="G23" s="174" t="s">
        <v>173</v>
      </c>
      <c r="H23" s="174" t="s">
        <v>173</v>
      </c>
      <c r="I23" s="174" t="s">
        <v>173</v>
      </c>
      <c r="J23" s="174" t="s">
        <v>173</v>
      </c>
      <c r="K23" s="174" t="s">
        <v>173</v>
      </c>
      <c r="L23" s="173">
        <v>0.2</v>
      </c>
      <c r="M23" s="173">
        <v>0.1</v>
      </c>
    </row>
    <row r="24" spans="2:13" s="172" customFormat="1" ht="20.100000000000001" customHeight="1">
      <c r="B24" s="275" t="s">
        <v>1002</v>
      </c>
      <c r="C24" s="274" t="s">
        <v>1005</v>
      </c>
      <c r="D24" s="174" t="s">
        <v>173</v>
      </c>
      <c r="E24" s="174" t="s">
        <v>173</v>
      </c>
      <c r="F24" s="174" t="s">
        <v>173</v>
      </c>
      <c r="G24" s="173">
        <v>0.2</v>
      </c>
      <c r="H24" s="174" t="s">
        <v>173</v>
      </c>
      <c r="I24" s="174" t="s">
        <v>173</v>
      </c>
      <c r="J24" s="174" t="s">
        <v>173</v>
      </c>
      <c r="K24" s="174" t="s">
        <v>173</v>
      </c>
      <c r="L24" s="174" t="s">
        <v>173</v>
      </c>
      <c r="M24" s="173">
        <v>0.1</v>
      </c>
    </row>
    <row r="25" spans="2:13" s="172" customFormat="1" ht="20.100000000000001" customHeight="1">
      <c r="B25" s="275" t="s">
        <v>1002</v>
      </c>
      <c r="C25" s="274" t="s">
        <v>1006</v>
      </c>
      <c r="D25" s="173">
        <v>340</v>
      </c>
      <c r="E25" s="174" t="s">
        <v>173</v>
      </c>
      <c r="F25" s="173">
        <v>5.3</v>
      </c>
      <c r="G25" s="173">
        <v>3</v>
      </c>
      <c r="H25" s="173">
        <v>8.6999999999999993</v>
      </c>
      <c r="I25" s="174" t="s">
        <v>173</v>
      </c>
      <c r="J25" s="173">
        <v>0</v>
      </c>
      <c r="K25" s="174" t="s">
        <v>173</v>
      </c>
      <c r="L25" s="173">
        <v>0.8</v>
      </c>
      <c r="M25" s="173">
        <v>8.1999999999999993</v>
      </c>
    </row>
    <row r="26" spans="2:13" s="172" customFormat="1" ht="20.100000000000001" customHeight="1">
      <c r="B26" s="275" t="s">
        <v>1002</v>
      </c>
      <c r="C26" s="274" t="s">
        <v>354</v>
      </c>
      <c r="D26" s="173">
        <v>16323.8</v>
      </c>
      <c r="E26" s="173">
        <v>4525.5</v>
      </c>
      <c r="F26" s="174" t="s">
        <v>173</v>
      </c>
      <c r="G26" s="174" t="s">
        <v>173</v>
      </c>
      <c r="H26" s="174" t="s">
        <v>173</v>
      </c>
      <c r="I26" s="174" t="s">
        <v>173</v>
      </c>
      <c r="J26" s="174" t="s">
        <v>173</v>
      </c>
      <c r="K26" s="174" t="s">
        <v>173</v>
      </c>
      <c r="L26" s="174" t="s">
        <v>173</v>
      </c>
      <c r="M26" s="173">
        <v>0.3</v>
      </c>
    </row>
    <row r="27" spans="2:13" s="172" customFormat="1" ht="20.100000000000001" customHeight="1">
      <c r="B27" s="275" t="s">
        <v>1002</v>
      </c>
      <c r="C27" s="274" t="s">
        <v>343</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1002</v>
      </c>
      <c r="C28" s="274" t="s">
        <v>344</v>
      </c>
      <c r="D28" s="173">
        <v>142</v>
      </c>
      <c r="E28" s="173">
        <v>160.4</v>
      </c>
      <c r="F28" s="173">
        <v>0</v>
      </c>
      <c r="G28" s="173">
        <v>0</v>
      </c>
      <c r="H28" s="174" t="s">
        <v>173</v>
      </c>
      <c r="I28" s="174" t="s">
        <v>173</v>
      </c>
      <c r="J28" s="174" t="s">
        <v>173</v>
      </c>
      <c r="K28" s="173">
        <v>0</v>
      </c>
      <c r="L28" s="173">
        <v>0</v>
      </c>
      <c r="M28" s="173">
        <v>0</v>
      </c>
    </row>
    <row r="29" spans="2:13" s="172" customFormat="1" ht="20.100000000000001" customHeight="1">
      <c r="B29" s="275" t="s">
        <v>1002</v>
      </c>
      <c r="C29" s="274" t="s">
        <v>1007</v>
      </c>
      <c r="D29" s="173">
        <v>861</v>
      </c>
      <c r="E29" s="173">
        <v>222</v>
      </c>
      <c r="F29" s="173">
        <v>0.1</v>
      </c>
      <c r="G29" s="173">
        <v>0.9</v>
      </c>
      <c r="H29" s="174" t="s">
        <v>173</v>
      </c>
      <c r="I29" s="173">
        <v>0</v>
      </c>
      <c r="J29" s="173">
        <v>0.9</v>
      </c>
      <c r="K29" s="174" t="s">
        <v>173</v>
      </c>
      <c r="L29" s="173">
        <v>0.3</v>
      </c>
      <c r="M29" s="173">
        <v>1.3</v>
      </c>
    </row>
    <row r="30" spans="2:13" s="172" customFormat="1" ht="20.100000000000001" customHeight="1">
      <c r="B30" s="274" t="s">
        <v>170</v>
      </c>
      <c r="C30" s="274" t="s">
        <v>999</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1008</v>
      </c>
      <c r="C31" s="274" t="s">
        <v>999</v>
      </c>
      <c r="D31" s="173">
        <v>162.6</v>
      </c>
      <c r="E31" s="173">
        <v>3.6</v>
      </c>
      <c r="F31" s="173">
        <v>2</v>
      </c>
      <c r="G31" s="174" t="s">
        <v>173</v>
      </c>
      <c r="H31" s="173">
        <v>0.2</v>
      </c>
      <c r="I31" s="174" t="s">
        <v>173</v>
      </c>
      <c r="J31" s="174" t="s">
        <v>173</v>
      </c>
      <c r="K31" s="174" t="s">
        <v>173</v>
      </c>
      <c r="L31" s="174" t="s">
        <v>173</v>
      </c>
      <c r="M31" s="173">
        <v>1.9</v>
      </c>
    </row>
    <row r="32" spans="2:13" s="172" customFormat="1" ht="20.100000000000001" customHeight="1">
      <c r="B32" s="274" t="s">
        <v>172</v>
      </c>
      <c r="C32" s="274" t="s">
        <v>999</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275</v>
      </c>
      <c r="C33" s="276" t="s">
        <v>999</v>
      </c>
      <c r="D33" s="173">
        <v>2203.4</v>
      </c>
      <c r="E33" s="173">
        <v>1137.7</v>
      </c>
      <c r="F33" s="173">
        <v>67.400000000000006</v>
      </c>
      <c r="G33" s="173">
        <v>311.5</v>
      </c>
      <c r="H33" s="173">
        <v>216.1</v>
      </c>
      <c r="I33" s="173">
        <v>53.7</v>
      </c>
      <c r="J33" s="173">
        <v>117.3</v>
      </c>
      <c r="K33" s="173">
        <v>9.6</v>
      </c>
      <c r="L33" s="173">
        <v>239.3</v>
      </c>
      <c r="M33" s="173">
        <v>1039.8</v>
      </c>
    </row>
    <row r="35" spans="2:13">
      <c r="B35" s="175" t="s">
        <v>955</v>
      </c>
      <c r="C35" s="175"/>
    </row>
    <row r="36" spans="2:13">
      <c r="C36" s="267" t="s">
        <v>956</v>
      </c>
      <c r="D36" s="267" t="s">
        <v>957</v>
      </c>
    </row>
    <row r="37" spans="2:13">
      <c r="B37" s="165" t="s">
        <v>109</v>
      </c>
      <c r="C37" s="166">
        <f>SUM('2019 KESIS Energy Balance'!Z59:AE59)</f>
        <v>50.731999999999999</v>
      </c>
      <c r="D37" s="167">
        <f>C37/SUM($C$37:$C$39)</f>
        <v>4.8876454289358787E-2</v>
      </c>
    </row>
    <row r="38" spans="2:13">
      <c r="B38" s="165" t="s">
        <v>958</v>
      </c>
      <c r="C38" s="166">
        <f>SUM('2019 KESIS Energy Balance'!AF59:AH59)</f>
        <v>174.44899999999998</v>
      </c>
      <c r="D38" s="167">
        <f>C38/SUM($C$37:$C$39)</f>
        <v>0.16806844938745466</v>
      </c>
    </row>
    <row r="39" spans="2:13">
      <c r="B39" s="165" t="s">
        <v>959</v>
      </c>
      <c r="C39" s="166">
        <f>SUM('2019 KESIS Energy Balance'!W59:Z59)</f>
        <v>812.7829999999999</v>
      </c>
      <c r="D39" s="167">
        <f>C39/SUM($C$37:$C$39)</f>
        <v>0.78305509632318648</v>
      </c>
    </row>
    <row r="41" spans="2:13">
      <c r="B41" s="175" t="s">
        <v>960</v>
      </c>
      <c r="C41" s="175"/>
    </row>
    <row r="42" spans="2:13">
      <c r="C42" s="267" t="s">
        <v>956</v>
      </c>
      <c r="D42" s="267" t="s">
        <v>957</v>
      </c>
    </row>
    <row r="43" spans="2:13">
      <c r="B43" s="165" t="s">
        <v>109</v>
      </c>
      <c r="C43" s="166">
        <f>SUM('2022 Energy Balance'!Z59:AE59)</f>
        <v>15.571999999999999</v>
      </c>
      <c r="D43" s="167">
        <f>C43/SUM($C$37:$C$39)</f>
        <v>1.5002447098357938E-2</v>
      </c>
    </row>
    <row r="44" spans="2:13">
      <c r="B44" s="165" t="s">
        <v>958</v>
      </c>
      <c r="C44" s="166">
        <f>SUM('2022 Energy Balance'!AF59:AH59)</f>
        <v>186.02199999999999</v>
      </c>
      <c r="D44" s="167">
        <f>C44/SUM($C$37:$C$39)</f>
        <v>0.17921816170888394</v>
      </c>
    </row>
    <row r="45" spans="2:13">
      <c r="B45" s="165" t="s">
        <v>959</v>
      </c>
      <c r="C45" s="166">
        <f>SUM('2022 Energy Balance'!W59:Z59)</f>
        <v>307.72999999999996</v>
      </c>
      <c r="D45" s="167">
        <f>C45/SUM($C$37:$C$39)</f>
        <v>0.29647463688528697</v>
      </c>
    </row>
    <row r="46" spans="2:13" ht="17.399999999999999">
      <c r="B46" s="139" t="s">
        <v>962</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1009</v>
      </c>
    </row>
    <row r="4" spans="2:14">
      <c r="B4" s="175" t="s">
        <v>964</v>
      </c>
      <c r="C4" s="175"/>
    </row>
    <row r="5" spans="2:14" s="280" customFormat="1" ht="28.8">
      <c r="B5" s="277"/>
      <c r="C5" s="277" t="s">
        <v>965</v>
      </c>
      <c r="D5" s="277" t="s">
        <v>966</v>
      </c>
      <c r="E5" s="277" t="s">
        <v>967</v>
      </c>
      <c r="F5" s="282" t="s">
        <v>968</v>
      </c>
      <c r="G5" s="282" t="s">
        <v>969</v>
      </c>
      <c r="H5" s="282" t="s">
        <v>970</v>
      </c>
      <c r="I5" s="282" t="s">
        <v>971</v>
      </c>
      <c r="J5" s="282" t="s">
        <v>972</v>
      </c>
      <c r="K5" s="282" t="s">
        <v>973</v>
      </c>
      <c r="L5" s="282" t="s">
        <v>958</v>
      </c>
      <c r="M5" s="282" t="s">
        <v>959</v>
      </c>
      <c r="N5" s="282" t="s">
        <v>974</v>
      </c>
    </row>
    <row r="6" spans="2:14" s="285" customFormat="1" ht="28.8">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316</v>
      </c>
      <c r="L6" s="300">
        <f>SUM(D30:D32)/SUM(D30:H32)</f>
        <v>0.93931398416886547</v>
      </c>
      <c r="M6" s="300">
        <f>SUM(D34:D35)/SUM(D34:H35)</f>
        <v>0.38990825688073388</v>
      </c>
      <c r="N6" s="298" t="s">
        <v>316</v>
      </c>
    </row>
    <row r="7" spans="2:14" s="285" customFormat="1" ht="100.8">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975</v>
      </c>
      <c r="L7" s="304">
        <f t="shared" si="0"/>
        <v>6.0686015831134532E-2</v>
      </c>
      <c r="M7" s="304">
        <f t="shared" si="0"/>
        <v>0.61009174311926606</v>
      </c>
      <c r="N7" s="302" t="s">
        <v>975</v>
      </c>
    </row>
    <row r="8" spans="2:14" s="141" customFormat="1">
      <c r="B8" s="141" t="s">
        <v>1010</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977</v>
      </c>
      <c r="C10" s="2"/>
    </row>
    <row r="11" spans="2:14" s="172" customFormat="1">
      <c r="B11" s="2" t="s">
        <v>978</v>
      </c>
      <c r="C11" s="2" t="s">
        <v>979</v>
      </c>
    </row>
    <row r="12" spans="2:14" s="172" customFormat="1">
      <c r="B12" s="2" t="s">
        <v>980</v>
      </c>
      <c r="C12" s="2" t="s">
        <v>1011</v>
      </c>
    </row>
    <row r="13" spans="2:14" s="172" customFormat="1">
      <c r="B13" s="2" t="s">
        <v>982</v>
      </c>
      <c r="C13" s="2" t="s">
        <v>983</v>
      </c>
    </row>
    <row r="14" spans="2:14" s="172" customFormat="1">
      <c r="B14" s="2" t="s">
        <v>984</v>
      </c>
      <c r="C14" s="2" t="s">
        <v>985</v>
      </c>
    </row>
    <row r="15" spans="2:14" s="172" customFormat="1" ht="20.100000000000001" customHeight="1">
      <c r="B15" s="539" t="s">
        <v>986</v>
      </c>
      <c r="C15" s="539" t="s">
        <v>987</v>
      </c>
      <c r="D15" s="541" t="s">
        <v>988</v>
      </c>
      <c r="E15" s="541" t="s">
        <v>988</v>
      </c>
      <c r="F15" s="541" t="s">
        <v>988</v>
      </c>
      <c r="G15" s="541" t="s">
        <v>988</v>
      </c>
      <c r="H15" s="541" t="s">
        <v>988</v>
      </c>
    </row>
    <row r="16" spans="2:14" s="172" customFormat="1" ht="20.100000000000001" customHeight="1">
      <c r="B16" s="540" t="s">
        <v>986</v>
      </c>
      <c r="C16" s="540" t="s">
        <v>987</v>
      </c>
      <c r="D16" s="273" t="s">
        <v>1012</v>
      </c>
      <c r="E16" s="272" t="s">
        <v>1013</v>
      </c>
      <c r="F16" s="272" t="s">
        <v>1014</v>
      </c>
      <c r="G16" s="272" t="s">
        <v>1015</v>
      </c>
      <c r="H16" s="272" t="s">
        <v>1016</v>
      </c>
    </row>
    <row r="17" spans="2:8" s="172" customFormat="1" ht="20.100000000000001" customHeight="1">
      <c r="B17" s="274" t="s">
        <v>272</v>
      </c>
      <c r="C17" s="274" t="s">
        <v>999</v>
      </c>
      <c r="D17" s="173">
        <v>1798.8</v>
      </c>
      <c r="E17" s="173">
        <v>307.2</v>
      </c>
      <c r="F17" s="173">
        <v>335.9</v>
      </c>
      <c r="G17" s="173">
        <v>47.5</v>
      </c>
      <c r="H17" s="173">
        <v>1404.5</v>
      </c>
    </row>
    <row r="18" spans="2:8" s="172" customFormat="1" ht="20.100000000000001" customHeight="1">
      <c r="B18" s="274" t="s">
        <v>1000</v>
      </c>
      <c r="C18" s="274" t="s">
        <v>999</v>
      </c>
      <c r="D18" s="173">
        <v>284.2</v>
      </c>
      <c r="E18" s="173">
        <v>6.1</v>
      </c>
      <c r="F18" s="174" t="s">
        <v>173</v>
      </c>
      <c r="G18" s="174" t="s">
        <v>173</v>
      </c>
      <c r="H18" s="173">
        <v>2.6</v>
      </c>
    </row>
    <row r="19" spans="2:8" s="172" customFormat="1" ht="20.100000000000001" customHeight="1">
      <c r="B19" s="275" t="s">
        <v>1002</v>
      </c>
      <c r="C19" s="274" t="s">
        <v>1017</v>
      </c>
      <c r="D19" s="174" t="s">
        <v>173</v>
      </c>
      <c r="E19" s="173">
        <v>0.1</v>
      </c>
      <c r="F19" s="174" t="s">
        <v>173</v>
      </c>
      <c r="G19" s="174" t="s">
        <v>173</v>
      </c>
      <c r="H19" s="173">
        <v>0</v>
      </c>
    </row>
    <row r="20" spans="2:8" s="172" customFormat="1" ht="20.100000000000001" customHeight="1">
      <c r="B20" s="275" t="s">
        <v>1002</v>
      </c>
      <c r="C20" s="274" t="s">
        <v>325</v>
      </c>
      <c r="D20" s="174" t="s">
        <v>173</v>
      </c>
      <c r="E20" s="174" t="s">
        <v>173</v>
      </c>
      <c r="F20" s="174" t="s">
        <v>173</v>
      </c>
      <c r="G20" s="174" t="s">
        <v>173</v>
      </c>
      <c r="H20" s="173">
        <v>0</v>
      </c>
    </row>
    <row r="21" spans="2:8" s="172" customFormat="1" ht="20.100000000000001" customHeight="1">
      <c r="B21" s="275" t="s">
        <v>1002</v>
      </c>
      <c r="C21" s="274" t="s">
        <v>326</v>
      </c>
      <c r="D21" s="173">
        <v>131.6</v>
      </c>
      <c r="E21" s="173">
        <v>4.5</v>
      </c>
      <c r="F21" s="174" t="s">
        <v>173</v>
      </c>
      <c r="G21" s="174" t="s">
        <v>173</v>
      </c>
      <c r="H21" s="174" t="s">
        <v>173</v>
      </c>
    </row>
    <row r="22" spans="2:8" s="172" customFormat="1" ht="20.100000000000001" customHeight="1">
      <c r="B22" s="275" t="s">
        <v>1002</v>
      </c>
      <c r="C22" s="274" t="s">
        <v>1018</v>
      </c>
      <c r="D22" s="173">
        <v>131.1</v>
      </c>
      <c r="E22" s="174" t="s">
        <v>173</v>
      </c>
      <c r="F22" s="174" t="s">
        <v>173</v>
      </c>
      <c r="G22" s="174" t="s">
        <v>173</v>
      </c>
      <c r="H22" s="174" t="s">
        <v>173</v>
      </c>
    </row>
    <row r="23" spans="2:8" s="172" customFormat="1" ht="20.100000000000001" customHeight="1">
      <c r="B23" s="275" t="s">
        <v>1002</v>
      </c>
      <c r="C23" s="274" t="s">
        <v>1019</v>
      </c>
      <c r="D23" s="174" t="s">
        <v>173</v>
      </c>
      <c r="E23" s="174" t="s">
        <v>173</v>
      </c>
      <c r="F23" s="174" t="s">
        <v>173</v>
      </c>
      <c r="G23" s="174" t="s">
        <v>173</v>
      </c>
      <c r="H23" s="174" t="s">
        <v>173</v>
      </c>
    </row>
    <row r="24" spans="2:8" s="172" customFormat="1" ht="20.100000000000001" customHeight="1">
      <c r="B24" s="275" t="s">
        <v>1002</v>
      </c>
      <c r="C24" s="274" t="s">
        <v>1020</v>
      </c>
      <c r="D24" s="173">
        <v>21.4</v>
      </c>
      <c r="E24" s="173">
        <v>1.5</v>
      </c>
      <c r="F24" s="174" t="s">
        <v>173</v>
      </c>
      <c r="G24" s="174" t="s">
        <v>173</v>
      </c>
      <c r="H24" s="173">
        <v>2.6</v>
      </c>
    </row>
    <row r="25" spans="2:8" s="172" customFormat="1" ht="20.100000000000001" customHeight="1">
      <c r="B25" s="275" t="s">
        <v>1002</v>
      </c>
      <c r="C25" s="274" t="s">
        <v>1021</v>
      </c>
      <c r="D25" s="174" t="s">
        <v>173</v>
      </c>
      <c r="E25" s="174" t="s">
        <v>173</v>
      </c>
      <c r="F25" s="174" t="s">
        <v>173</v>
      </c>
      <c r="G25" s="174" t="s">
        <v>173</v>
      </c>
      <c r="H25" s="173">
        <v>0</v>
      </c>
    </row>
    <row r="26" spans="2:8" s="172" customFormat="1" ht="20.100000000000001" customHeight="1">
      <c r="B26" s="274" t="s">
        <v>1001</v>
      </c>
      <c r="C26" s="274" t="s">
        <v>999</v>
      </c>
      <c r="D26" s="173">
        <v>335.5</v>
      </c>
      <c r="E26" s="173">
        <v>17.600000000000001</v>
      </c>
      <c r="F26" s="173">
        <v>13.5</v>
      </c>
      <c r="G26" s="173">
        <v>5.4</v>
      </c>
      <c r="H26" s="173">
        <v>26.6</v>
      </c>
    </row>
    <row r="27" spans="2:8" s="172" customFormat="1" ht="20.100000000000001" customHeight="1">
      <c r="B27" s="275" t="s">
        <v>1002</v>
      </c>
      <c r="C27" s="274" t="s">
        <v>345</v>
      </c>
      <c r="D27" s="173">
        <v>0</v>
      </c>
      <c r="E27" s="173">
        <v>0</v>
      </c>
      <c r="F27" s="173">
        <v>0</v>
      </c>
      <c r="G27" s="174" t="s">
        <v>173</v>
      </c>
      <c r="H27" s="173">
        <v>0.1</v>
      </c>
    </row>
    <row r="28" spans="2:8" s="172" customFormat="1" ht="20.100000000000001" customHeight="1">
      <c r="B28" s="275" t="s">
        <v>1002</v>
      </c>
      <c r="C28" s="274" t="s">
        <v>1003</v>
      </c>
      <c r="D28" s="173">
        <v>0.1</v>
      </c>
      <c r="E28" s="173">
        <v>0.4</v>
      </c>
      <c r="F28" s="173">
        <v>0</v>
      </c>
      <c r="G28" s="173">
        <v>0</v>
      </c>
      <c r="H28" s="173">
        <v>0.9</v>
      </c>
    </row>
    <row r="29" spans="2:8" s="172" customFormat="1" ht="20.100000000000001" customHeight="1">
      <c r="B29" s="275" t="s">
        <v>1002</v>
      </c>
      <c r="C29" s="274" t="s">
        <v>350</v>
      </c>
      <c r="D29" s="173">
        <v>0.3</v>
      </c>
      <c r="E29" s="173">
        <v>0.5</v>
      </c>
      <c r="F29" s="173">
        <v>0.4</v>
      </c>
      <c r="G29" s="173">
        <v>0.1</v>
      </c>
      <c r="H29" s="173">
        <v>1</v>
      </c>
    </row>
    <row r="30" spans="2:8" s="172" customFormat="1" ht="20.100000000000001" customHeight="1">
      <c r="B30" s="275" t="s">
        <v>1002</v>
      </c>
      <c r="C30" s="274" t="s">
        <v>1004</v>
      </c>
      <c r="D30" s="173">
        <v>0</v>
      </c>
      <c r="E30" s="173">
        <v>0.2</v>
      </c>
      <c r="F30" s="173">
        <v>0.4</v>
      </c>
      <c r="G30" s="174" t="s">
        <v>173</v>
      </c>
      <c r="H30" s="173">
        <v>0</v>
      </c>
    </row>
    <row r="31" spans="2:8" s="172" customFormat="1" ht="20.100000000000001" customHeight="1">
      <c r="B31" s="275" t="s">
        <v>1002</v>
      </c>
      <c r="C31" s="274" t="s">
        <v>1005</v>
      </c>
      <c r="D31" s="174" t="s">
        <v>173</v>
      </c>
      <c r="E31" s="173">
        <v>0.3</v>
      </c>
      <c r="F31" s="174" t="s">
        <v>173</v>
      </c>
      <c r="G31" s="174" t="s">
        <v>173</v>
      </c>
      <c r="H31" s="174" t="s">
        <v>173</v>
      </c>
    </row>
    <row r="32" spans="2:8" s="172" customFormat="1" ht="20.100000000000001" customHeight="1">
      <c r="B32" s="275" t="s">
        <v>1002</v>
      </c>
      <c r="C32" s="274" t="s">
        <v>1006</v>
      </c>
      <c r="D32" s="173">
        <v>35.6</v>
      </c>
      <c r="E32" s="173">
        <v>0.1</v>
      </c>
      <c r="F32" s="173">
        <v>0.4</v>
      </c>
      <c r="G32" s="174" t="s">
        <v>173</v>
      </c>
      <c r="H32" s="173">
        <v>0.9</v>
      </c>
    </row>
    <row r="33" spans="2:8" s="172" customFormat="1" ht="20.100000000000001" customHeight="1">
      <c r="B33" s="275" t="s">
        <v>1002</v>
      </c>
      <c r="C33" s="274" t="s">
        <v>354</v>
      </c>
      <c r="D33" s="174" t="s">
        <v>173</v>
      </c>
      <c r="E33" s="174" t="s">
        <v>173</v>
      </c>
      <c r="F33" s="174" t="s">
        <v>173</v>
      </c>
      <c r="G33" s="174" t="s">
        <v>173</v>
      </c>
      <c r="H33" s="174" t="s">
        <v>173</v>
      </c>
    </row>
    <row r="34" spans="2:8" s="172" customFormat="1" ht="20.100000000000001" customHeight="1">
      <c r="B34" s="275" t="s">
        <v>1002</v>
      </c>
      <c r="C34" s="274" t="s">
        <v>343</v>
      </c>
      <c r="D34" s="173">
        <v>24.3</v>
      </c>
      <c r="E34" s="173">
        <v>11.1</v>
      </c>
      <c r="F34" s="173">
        <v>4.4000000000000004</v>
      </c>
      <c r="G34" s="173">
        <v>0.4</v>
      </c>
      <c r="H34" s="173">
        <v>23.3</v>
      </c>
    </row>
    <row r="35" spans="2:8" s="172" customFormat="1" ht="20.100000000000001" customHeight="1">
      <c r="B35" s="275" t="s">
        <v>1002</v>
      </c>
      <c r="C35" s="274" t="s">
        <v>344</v>
      </c>
      <c r="D35" s="173">
        <v>1.2</v>
      </c>
      <c r="E35" s="173">
        <v>0</v>
      </c>
      <c r="F35" s="173">
        <v>0.4</v>
      </c>
      <c r="G35" s="173">
        <v>0</v>
      </c>
      <c r="H35" s="173">
        <v>0.3</v>
      </c>
    </row>
    <row r="36" spans="2:8" s="172" customFormat="1" ht="20.100000000000001" customHeight="1">
      <c r="B36" s="275" t="s">
        <v>1002</v>
      </c>
      <c r="C36" s="274" t="s">
        <v>1007</v>
      </c>
      <c r="D36" s="173">
        <v>274.2</v>
      </c>
      <c r="E36" s="173">
        <v>5</v>
      </c>
      <c r="F36" s="173">
        <v>7.4</v>
      </c>
      <c r="G36" s="173">
        <v>4.8</v>
      </c>
      <c r="H36" s="173">
        <v>0.1</v>
      </c>
    </row>
    <row r="37" spans="2:8" s="172" customFormat="1" ht="20.100000000000001" customHeight="1">
      <c r="B37" s="274" t="s">
        <v>170</v>
      </c>
      <c r="C37" s="274" t="s">
        <v>999</v>
      </c>
      <c r="D37" s="173">
        <v>257.2</v>
      </c>
      <c r="E37" s="173">
        <v>22.8</v>
      </c>
      <c r="F37" s="173">
        <v>62.4</v>
      </c>
      <c r="G37" s="173">
        <v>13</v>
      </c>
      <c r="H37" s="173">
        <v>273</v>
      </c>
    </row>
    <row r="38" spans="2:8" s="172" customFormat="1" ht="20.100000000000001" customHeight="1">
      <c r="B38" s="274" t="s">
        <v>1008</v>
      </c>
      <c r="C38" s="274" t="s">
        <v>999</v>
      </c>
      <c r="D38" s="173">
        <v>84.7</v>
      </c>
      <c r="E38" s="173">
        <v>0.1</v>
      </c>
      <c r="F38" s="173">
        <v>9.1999999999999993</v>
      </c>
      <c r="G38" s="174" t="s">
        <v>173</v>
      </c>
      <c r="H38" s="173">
        <v>16.600000000000001</v>
      </c>
    </row>
    <row r="39" spans="2:8" s="172" customFormat="1" ht="20.100000000000001" customHeight="1">
      <c r="B39" s="274" t="s">
        <v>172</v>
      </c>
      <c r="C39" s="274" t="s">
        <v>999</v>
      </c>
      <c r="D39" s="173">
        <v>8.5</v>
      </c>
      <c r="E39" s="173">
        <v>0</v>
      </c>
      <c r="F39" s="174" t="s">
        <v>173</v>
      </c>
      <c r="G39" s="173">
        <v>1.8</v>
      </c>
      <c r="H39" s="173">
        <v>4.0999999999999996</v>
      </c>
    </row>
    <row r="40" spans="2:8" s="172" customFormat="1" ht="20.100000000000001" customHeight="1">
      <c r="B40" s="276" t="s">
        <v>275</v>
      </c>
      <c r="C40" s="276" t="s">
        <v>999</v>
      </c>
      <c r="D40" s="173">
        <v>828.7</v>
      </c>
      <c r="E40" s="173">
        <v>260.7</v>
      </c>
      <c r="F40" s="173">
        <v>250.8</v>
      </c>
      <c r="G40" s="173">
        <v>27.3</v>
      </c>
      <c r="H40" s="173">
        <v>1081.5</v>
      </c>
    </row>
    <row r="42" spans="2:8">
      <c r="B42" s="175" t="s">
        <v>955</v>
      </c>
      <c r="C42" s="175"/>
    </row>
    <row r="43" spans="2:8">
      <c r="C43" s="139" t="s">
        <v>956</v>
      </c>
      <c r="D43" s="139" t="s">
        <v>957</v>
      </c>
    </row>
    <row r="44" spans="2:8">
      <c r="B44" s="165" t="s">
        <v>109</v>
      </c>
      <c r="C44" s="166">
        <f>SUM('2019 KESIS Energy Balance'!Z62:AE62)</f>
        <v>3.2590000000000003</v>
      </c>
      <c r="D44" s="167">
        <f>C44/SUM($C$44:$C$46)</f>
        <v>0.1176789196215787</v>
      </c>
    </row>
    <row r="45" spans="2:8">
      <c r="B45" s="165" t="s">
        <v>958</v>
      </c>
      <c r="C45" s="166">
        <f>SUM('2019 KESIS Energy Balance'!AF62:AH62)</f>
        <v>12.266999999999999</v>
      </c>
      <c r="D45" s="167">
        <f>C45/SUM($C$44:$C$46)</f>
        <v>0.44294793095977469</v>
      </c>
    </row>
    <row r="46" spans="2:8">
      <c r="B46" s="165" t="s">
        <v>959</v>
      </c>
      <c r="C46" s="166">
        <f>SUM('2019 KESIS Energy Balance'!W62:Y62)</f>
        <v>12.167999999999999</v>
      </c>
      <c r="D46" s="167">
        <f>C46/SUM($C$44:$C$46)</f>
        <v>0.43937314941864664</v>
      </c>
    </row>
    <row r="48" spans="2:8">
      <c r="B48" s="175" t="s">
        <v>960</v>
      </c>
      <c r="C48" s="175"/>
    </row>
    <row r="49" spans="2:4">
      <c r="C49" s="139" t="s">
        <v>956</v>
      </c>
      <c r="D49" s="139" t="s">
        <v>957</v>
      </c>
    </row>
    <row r="50" spans="2:4">
      <c r="B50" s="165" t="s">
        <v>109</v>
      </c>
      <c r="C50" s="166">
        <f>SUM('2022 Energy Balance'!Z62:AE62)</f>
        <v>3.1829999999999998</v>
      </c>
      <c r="D50" s="167">
        <f>C50/SUM($C$44:$C$46)</f>
        <v>0.11493464288293492</v>
      </c>
    </row>
    <row r="51" spans="2:4">
      <c r="B51" s="165" t="s">
        <v>958</v>
      </c>
      <c r="C51" s="166">
        <f>SUM('2022 Energy Balance'!AF62:AH62)</f>
        <v>23.244</v>
      </c>
      <c r="D51" s="167">
        <f>C51/SUM($C$44:$C$46)</f>
        <v>0.83931537517151733</v>
      </c>
    </row>
    <row r="52" spans="2:4">
      <c r="B52" s="165" t="s">
        <v>959</v>
      </c>
      <c r="C52" s="166">
        <f>SUM('2022 Energy Balance'!W62:Y62)</f>
        <v>17.863</v>
      </c>
      <c r="D52" s="167">
        <f>C52/SUM($C$44:$C$46)</f>
        <v>0.64501336029464862</v>
      </c>
    </row>
    <row r="53" spans="2:4" ht="17.399999999999999">
      <c r="B53" s="139" t="s">
        <v>962</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1022</v>
      </c>
    </row>
    <row r="4" spans="2:14">
      <c r="B4" s="175" t="s">
        <v>964</v>
      </c>
    </row>
    <row r="5" spans="2:14" s="280" customFormat="1" ht="28.8">
      <c r="B5" s="277"/>
      <c r="C5" s="277" t="s">
        <v>965</v>
      </c>
      <c r="D5" s="277" t="s">
        <v>966</v>
      </c>
      <c r="E5" s="277" t="s">
        <v>967</v>
      </c>
      <c r="F5" s="328" t="s">
        <v>968</v>
      </c>
      <c r="G5" s="328" t="s">
        <v>969</v>
      </c>
      <c r="H5" s="328" t="s">
        <v>970</v>
      </c>
      <c r="I5" s="328" t="s">
        <v>971</v>
      </c>
      <c r="J5" s="328"/>
      <c r="K5" s="328" t="s">
        <v>973</v>
      </c>
      <c r="L5" s="328" t="s">
        <v>958</v>
      </c>
      <c r="M5" s="328" t="s">
        <v>959</v>
      </c>
      <c r="N5" s="328" t="s">
        <v>974</v>
      </c>
    </row>
    <row r="6" spans="2:14" s="280" customFormat="1" ht="28.8">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316</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316</v>
      </c>
    </row>
    <row r="7" spans="2:14" s="280" customFormat="1" ht="28.8">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975</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975</v>
      </c>
    </row>
    <row r="8" spans="2:14" s="280" customFormat="1" ht="28.8">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975</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975</v>
      </c>
    </row>
    <row r="9" spans="2:14" s="280" customFormat="1" ht="28.8">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975</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975</v>
      </c>
    </row>
    <row r="10" spans="2:14" s="280" customFormat="1" ht="28.8">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975</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975</v>
      </c>
    </row>
    <row r="11" spans="2:14" s="280" customFormat="1" ht="28.8">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975</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975</v>
      </c>
    </row>
    <row r="12" spans="2:14" s="280" customFormat="1" ht="28.8">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316</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316</v>
      </c>
    </row>
    <row r="13" spans="2:14" s="280" customFormat="1" ht="115.2">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316</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316</v>
      </c>
    </row>
    <row r="14" spans="2:14" s="280" customFormat="1" ht="28.8">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316</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316</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316</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316</v>
      </c>
    </row>
    <row r="16" spans="2:14" s="141" customFormat="1">
      <c r="B16" s="141" t="s">
        <v>1023</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977</v>
      </c>
      <c r="C19" s="2" t="s">
        <v>1024</v>
      </c>
    </row>
    <row r="20" spans="2:10">
      <c r="B20" s="548" t="s">
        <v>1215</v>
      </c>
      <c r="C20" s="2" t="s">
        <v>979</v>
      </c>
      <c r="D20" s="548" t="s">
        <v>1235</v>
      </c>
      <c r="I20"/>
      <c r="J20" s="548"/>
    </row>
    <row r="21" spans="2:10">
      <c r="B21" s="548" t="s">
        <v>1216</v>
      </c>
      <c r="C21" s="2" t="s">
        <v>1025</v>
      </c>
      <c r="J21" s="548"/>
    </row>
    <row r="22" spans="2:10">
      <c r="B22" s="548" t="s">
        <v>1217</v>
      </c>
      <c r="C22" s="2" t="s">
        <v>983</v>
      </c>
      <c r="J22" s="548"/>
    </row>
    <row r="23" spans="2:10">
      <c r="B23" s="548" t="s">
        <v>1218</v>
      </c>
      <c r="C23" s="2" t="s">
        <v>985</v>
      </c>
      <c r="J23" s="548"/>
    </row>
    <row r="24" spans="2:10" s="172" customFormat="1" ht="20.100000000000001" customHeight="1">
      <c r="B24" s="545" t="s">
        <v>1219</v>
      </c>
      <c r="C24" s="545" t="s">
        <v>1229</v>
      </c>
      <c r="D24" s="542" t="s">
        <v>988</v>
      </c>
      <c r="E24" s="543"/>
      <c r="F24" s="543"/>
      <c r="G24" s="543"/>
      <c r="H24" s="544"/>
      <c r="J24" s="548"/>
    </row>
    <row r="25" spans="2:10" s="172" customFormat="1" ht="20.100000000000001" customHeight="1">
      <c r="B25" s="546"/>
      <c r="C25" s="546"/>
      <c r="D25" s="565" t="s">
        <v>1230</v>
      </c>
      <c r="E25" s="327" t="s">
        <v>1231</v>
      </c>
      <c r="F25" s="327" t="s">
        <v>1232</v>
      </c>
      <c r="G25" s="327" t="s">
        <v>1234</v>
      </c>
      <c r="H25" s="566" t="s">
        <v>1233</v>
      </c>
      <c r="J25" s="549"/>
    </row>
    <row r="26" spans="2:10" s="172" customFormat="1" ht="20.100000000000001" customHeight="1">
      <c r="B26" s="562" t="s">
        <v>1220</v>
      </c>
      <c r="C26" s="274" t="s">
        <v>1223</v>
      </c>
      <c r="D26" s="173">
        <v>840.2</v>
      </c>
      <c r="E26" s="173">
        <v>241.3</v>
      </c>
      <c r="F26" s="173">
        <v>630.70000000000005</v>
      </c>
      <c r="G26" s="173">
        <v>4400.2</v>
      </c>
      <c r="H26" s="173">
        <v>265.39999999999998</v>
      </c>
      <c r="J26" s="548"/>
    </row>
    <row r="27" spans="2:10" s="172" customFormat="1" ht="20.100000000000001" customHeight="1">
      <c r="B27" s="562" t="s">
        <v>1093</v>
      </c>
      <c r="C27" s="274" t="s">
        <v>1223</v>
      </c>
      <c r="D27" s="173">
        <v>0</v>
      </c>
      <c r="E27" s="173">
        <v>1.1000000000000001</v>
      </c>
      <c r="F27" s="173">
        <v>154.69999999999999</v>
      </c>
      <c r="G27" s="173">
        <v>2192</v>
      </c>
      <c r="H27" s="173">
        <v>2.6</v>
      </c>
      <c r="J27" s="548"/>
    </row>
    <row r="28" spans="2:10" s="172" customFormat="1" ht="20.100000000000001" customHeight="1">
      <c r="B28" s="562" t="s">
        <v>1133</v>
      </c>
      <c r="C28" s="274" t="s">
        <v>1223</v>
      </c>
      <c r="D28" s="173">
        <v>251</v>
      </c>
      <c r="E28" s="173">
        <v>45</v>
      </c>
      <c r="F28" s="173">
        <v>101.9</v>
      </c>
      <c r="G28" s="173">
        <v>1070.7</v>
      </c>
      <c r="H28" s="173">
        <v>80</v>
      </c>
      <c r="J28" s="548"/>
    </row>
    <row r="29" spans="2:10" s="172" customFormat="1" ht="20.100000000000001" customHeight="1">
      <c r="B29" s="275" t="s">
        <v>1002</v>
      </c>
      <c r="C29" s="548" t="s">
        <v>1185</v>
      </c>
      <c r="D29" s="173">
        <v>0</v>
      </c>
      <c r="E29" s="173">
        <v>0</v>
      </c>
      <c r="F29" s="173">
        <v>0</v>
      </c>
      <c r="G29" s="174" t="s">
        <v>173</v>
      </c>
      <c r="H29" s="173">
        <v>0</v>
      </c>
      <c r="J29" s="549"/>
    </row>
    <row r="30" spans="2:10" s="172" customFormat="1" ht="20.100000000000001" customHeight="1">
      <c r="B30" s="275" t="s">
        <v>1002</v>
      </c>
      <c r="C30" s="548" t="s">
        <v>408</v>
      </c>
      <c r="D30" s="173">
        <v>0.1</v>
      </c>
      <c r="E30" s="173">
        <v>0</v>
      </c>
      <c r="F30" s="173">
        <v>0.9</v>
      </c>
      <c r="G30" s="173">
        <v>0.2</v>
      </c>
      <c r="H30" s="173">
        <v>0.1</v>
      </c>
      <c r="J30" s="548"/>
    </row>
    <row r="31" spans="2:10" s="172" customFormat="1" ht="20.100000000000001" customHeight="1">
      <c r="B31" s="275" t="s">
        <v>1002</v>
      </c>
      <c r="C31" s="548" t="s">
        <v>1228</v>
      </c>
      <c r="D31" s="173">
        <v>0.2</v>
      </c>
      <c r="E31" s="173">
        <v>0.3</v>
      </c>
      <c r="F31" s="173">
        <v>4.0999999999999996</v>
      </c>
      <c r="G31" s="173">
        <v>0.1</v>
      </c>
      <c r="H31" s="173">
        <v>29</v>
      </c>
      <c r="J31" s="548"/>
    </row>
    <row r="32" spans="2:10" s="172" customFormat="1" ht="20.100000000000001" customHeight="1">
      <c r="B32" s="275" t="s">
        <v>1002</v>
      </c>
      <c r="C32" s="548" t="s">
        <v>1224</v>
      </c>
      <c r="D32" s="174" t="s">
        <v>173</v>
      </c>
      <c r="E32" s="174" t="s">
        <v>173</v>
      </c>
      <c r="F32" s="173">
        <v>0</v>
      </c>
      <c r="G32" s="173">
        <v>1.6</v>
      </c>
      <c r="H32" s="174" t="s">
        <v>173</v>
      </c>
      <c r="J32" s="548"/>
    </row>
    <row r="33" spans="2:10" s="172" customFormat="1" ht="20.100000000000001" customHeight="1">
      <c r="B33" s="275" t="s">
        <v>1002</v>
      </c>
      <c r="C33" s="548" t="s">
        <v>1225</v>
      </c>
      <c r="D33" s="174" t="s">
        <v>173</v>
      </c>
      <c r="E33" s="174" t="s">
        <v>173</v>
      </c>
      <c r="F33" s="174" t="s">
        <v>173</v>
      </c>
      <c r="G33" s="174" t="s">
        <v>173</v>
      </c>
      <c r="H33" s="174" t="s">
        <v>173</v>
      </c>
      <c r="J33" s="550"/>
    </row>
    <row r="34" spans="2:10" s="172" customFormat="1" ht="20.100000000000001" customHeight="1">
      <c r="B34" s="275" t="s">
        <v>1002</v>
      </c>
      <c r="C34" s="548" t="s">
        <v>1226</v>
      </c>
      <c r="D34" s="173">
        <v>235.1</v>
      </c>
      <c r="E34" s="173">
        <v>13.1</v>
      </c>
      <c r="F34" s="173">
        <v>11.2</v>
      </c>
      <c r="G34" s="173">
        <v>2.9</v>
      </c>
      <c r="H34" s="173">
        <v>8.8000000000000007</v>
      </c>
    </row>
    <row r="35" spans="2:10" s="172" customFormat="1" ht="20.100000000000001" customHeight="1">
      <c r="B35" s="275" t="s">
        <v>1002</v>
      </c>
      <c r="C35" s="548" t="s">
        <v>410</v>
      </c>
      <c r="D35" s="174" t="s">
        <v>173</v>
      </c>
      <c r="E35" s="174" t="s">
        <v>173</v>
      </c>
      <c r="F35" s="174" t="s">
        <v>173</v>
      </c>
      <c r="G35" s="174" t="s">
        <v>173</v>
      </c>
      <c r="H35" s="174" t="s">
        <v>173</v>
      </c>
    </row>
    <row r="36" spans="2:10" s="172" customFormat="1" ht="20.100000000000001" customHeight="1">
      <c r="B36" s="275" t="s">
        <v>1002</v>
      </c>
      <c r="C36" s="548" t="s">
        <v>402</v>
      </c>
      <c r="D36" s="173">
        <v>1.2</v>
      </c>
      <c r="E36" s="173">
        <v>14.4</v>
      </c>
      <c r="F36" s="173">
        <v>15.3</v>
      </c>
      <c r="G36" s="173">
        <v>2.2000000000000002</v>
      </c>
      <c r="H36" s="173">
        <v>0.5</v>
      </c>
    </row>
    <row r="37" spans="2:10" s="172" customFormat="1" ht="20.100000000000001" customHeight="1">
      <c r="B37" s="275" t="s">
        <v>1002</v>
      </c>
      <c r="C37" s="548" t="s">
        <v>403</v>
      </c>
      <c r="D37" s="173">
        <v>0</v>
      </c>
      <c r="E37" s="173">
        <v>0</v>
      </c>
      <c r="F37" s="173">
        <v>0.8</v>
      </c>
      <c r="G37" s="174" t="s">
        <v>173</v>
      </c>
      <c r="H37" s="173">
        <v>0</v>
      </c>
    </row>
    <row r="38" spans="2:10" s="172" customFormat="1" ht="20.100000000000001" customHeight="1">
      <c r="B38" s="275" t="s">
        <v>1002</v>
      </c>
      <c r="C38" s="550" t="s">
        <v>1227</v>
      </c>
      <c r="D38" s="173">
        <v>14.5</v>
      </c>
      <c r="E38" s="173">
        <v>17.100000000000001</v>
      </c>
      <c r="F38" s="173">
        <v>69.599999999999994</v>
      </c>
      <c r="G38" s="173">
        <v>1063.7</v>
      </c>
      <c r="H38" s="173">
        <v>41.5</v>
      </c>
    </row>
    <row r="39" spans="2:10" s="172" customFormat="1" ht="20.100000000000001" customHeight="1">
      <c r="B39" s="562" t="s">
        <v>1145</v>
      </c>
      <c r="C39" s="564" t="s">
        <v>1223</v>
      </c>
      <c r="D39" s="173">
        <v>248.1</v>
      </c>
      <c r="E39" s="173">
        <v>129.69999999999999</v>
      </c>
      <c r="F39" s="173">
        <v>162.5</v>
      </c>
      <c r="G39" s="173">
        <v>24.6</v>
      </c>
      <c r="H39" s="173">
        <v>68.599999999999994</v>
      </c>
    </row>
    <row r="40" spans="2:10" s="172" customFormat="1" ht="20.100000000000001" customHeight="1">
      <c r="B40" s="562" t="s">
        <v>1221</v>
      </c>
      <c r="C40" s="274" t="s">
        <v>1223</v>
      </c>
      <c r="D40" s="174" t="s">
        <v>173</v>
      </c>
      <c r="E40" s="173">
        <v>0.1</v>
      </c>
      <c r="F40" s="173">
        <v>4.5</v>
      </c>
      <c r="G40" s="173">
        <v>612.6</v>
      </c>
      <c r="H40" s="173">
        <v>0.1</v>
      </c>
    </row>
    <row r="41" spans="2:10" s="172" customFormat="1" ht="20.100000000000001" customHeight="1">
      <c r="B41" s="562" t="s">
        <v>1222</v>
      </c>
      <c r="C41" s="274" t="s">
        <v>1223</v>
      </c>
      <c r="D41" s="173">
        <v>1.5</v>
      </c>
      <c r="E41" s="173">
        <v>2</v>
      </c>
      <c r="F41" s="173">
        <v>3.1</v>
      </c>
      <c r="G41" s="173">
        <v>26.3</v>
      </c>
      <c r="H41" s="174" t="s">
        <v>173</v>
      </c>
    </row>
    <row r="42" spans="2:10" s="172" customFormat="1" ht="20.100000000000001" customHeight="1">
      <c r="B42" s="563" t="s">
        <v>435</v>
      </c>
      <c r="C42" s="274" t="s">
        <v>1223</v>
      </c>
      <c r="D42" s="173">
        <v>339.5</v>
      </c>
      <c r="E42" s="173">
        <v>63.5</v>
      </c>
      <c r="F42" s="173">
        <v>203.9</v>
      </c>
      <c r="G42" s="173">
        <v>474</v>
      </c>
      <c r="H42" s="173">
        <v>114.2</v>
      </c>
    </row>
    <row r="44" spans="2:10">
      <c r="B44" s="175" t="s">
        <v>955</v>
      </c>
      <c r="C44" s="326"/>
      <c r="D44" s="267"/>
    </row>
    <row r="45" spans="2:10">
      <c r="C45" s="267" t="s">
        <v>956</v>
      </c>
      <c r="D45" s="267" t="s">
        <v>957</v>
      </c>
    </row>
    <row r="46" spans="2:10">
      <c r="B46" s="165" t="s">
        <v>109</v>
      </c>
      <c r="C46" s="166">
        <f>SUM('2019 KESIS Energy Balance'!Z51:AE53,'2019 KESIS Energy Balance'!Z55:AE58,'2019 KESIS Energy Balance'!Z60:AE60,'2019 KESIS Energy Balance'!Z65:AE66)</f>
        <v>2420.297</v>
      </c>
      <c r="D46" s="167">
        <f>C46/SUM($C$46:$C$48)</f>
        <v>0.62041144123886605</v>
      </c>
    </row>
    <row r="47" spans="2:10">
      <c r="B47" s="165" t="s">
        <v>958</v>
      </c>
      <c r="C47" s="166">
        <f>SUM('2019 KESIS Energy Balance'!AF51:AH53,'2019 KESIS Energy Balance'!AF55:AH58,'2019 KESIS Energy Balance'!AF60:AH60,'2019 KESIS Energy Balance'!AF65:AH66)</f>
        <v>542.42100000000005</v>
      </c>
      <c r="D47" s="167">
        <f>C47/SUM($C$46:$C$48)</f>
        <v>0.13904252014039062</v>
      </c>
    </row>
    <row r="48" spans="2:10">
      <c r="B48" s="165" t="s">
        <v>959</v>
      </c>
      <c r="C48" s="166">
        <f>SUM('2019 KESIS Energy Balance'!W51:Y53,'2019 KESIS Energy Balance'!W55:Y58,'2019 KESIS Energy Balance'!W60:Y60,'2019 KESIS Energy Balance'!W65:Y66)</f>
        <v>938.39800000000002</v>
      </c>
      <c r="D48" s="167">
        <f>C48/SUM($C$46:$C$48)</f>
        <v>0.24054603862074339</v>
      </c>
    </row>
    <row r="50" spans="2:5">
      <c r="B50" s="175" t="s">
        <v>960</v>
      </c>
      <c r="C50" s="326"/>
      <c r="D50" s="267"/>
    </row>
    <row r="51" spans="2:5">
      <c r="C51" s="267" t="s">
        <v>956</v>
      </c>
      <c r="D51" s="267" t="s">
        <v>957</v>
      </c>
    </row>
    <row r="52" spans="2:5">
      <c r="B52" s="165" t="s">
        <v>109</v>
      </c>
      <c r="C52" s="166">
        <f>SUM('2022 Energy Balance'!Z51:AE53,'2022 Energy Balance'!Z55:AE58,'2022 Energy Balance'!Z60:AE60,'2022 Energy Balance'!Z65:AE66)</f>
        <v>2200.857</v>
      </c>
      <c r="D52" s="167">
        <f>C52/SUM($C$46:$C$48)</f>
        <v>0.56416087088925326</v>
      </c>
    </row>
    <row r="53" spans="2:5">
      <c r="B53" s="165" t="s">
        <v>958</v>
      </c>
      <c r="C53" s="166">
        <f>SUM('2022 Energy Balance'!AF51:AH53,'2022 Energy Balance'!AF55:AH58,'2022 Energy Balance'!AF60:AH60,'2022 Energy Balance'!AF65:AH66)</f>
        <v>352.24999999999994</v>
      </c>
      <c r="D53" s="167">
        <f>C53/SUM($C$46:$C$48)</f>
        <v>9.02946746520739E-2</v>
      </c>
    </row>
    <row r="54" spans="2:5">
      <c r="B54" s="165" t="s">
        <v>959</v>
      </c>
      <c r="C54" s="166">
        <f>SUM('2022 Energy Balance'!W51:Y53,'2022 Energy Balance'!W55:Y58,'2022 Energy Balance'!W60:Y60,'2022 Energy Balance'!W65:Y66)</f>
        <v>831.9860000000001</v>
      </c>
      <c r="D54" s="167">
        <f>C54/SUM($C$46:$C$48)</f>
        <v>0.21326871592641697</v>
      </c>
    </row>
    <row r="55" spans="2:5" ht="17.399999999999999">
      <c r="B55" s="139" t="s">
        <v>962</v>
      </c>
    </row>
    <row r="56" spans="2:5">
      <c r="B56" s="548" t="s">
        <v>1236</v>
      </c>
      <c r="E56" s="548"/>
    </row>
    <row r="57" spans="2:5">
      <c r="E57" s="548"/>
    </row>
    <row r="59" spans="2:5" ht="17.399999999999999">
      <c r="B59" s="452" t="s">
        <v>1026</v>
      </c>
    </row>
    <row r="60" spans="2:5">
      <c r="B60" s="548" t="s">
        <v>1237</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C48"/>
  <sheetViews>
    <sheetView workbookViewId="0"/>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1027</v>
      </c>
    </row>
    <row r="4" spans="2:14">
      <c r="B4" s="175" t="s">
        <v>964</v>
      </c>
    </row>
    <row r="5" spans="2:14" s="280" customFormat="1" ht="28.8">
      <c r="B5" s="277"/>
      <c r="C5" s="277" t="s">
        <v>965</v>
      </c>
      <c r="D5" s="277" t="s">
        <v>966</v>
      </c>
      <c r="E5" s="278" t="s">
        <v>967</v>
      </c>
      <c r="F5" s="279" t="s">
        <v>968</v>
      </c>
      <c r="G5" s="279" t="s">
        <v>969</v>
      </c>
      <c r="H5" s="279" t="s">
        <v>970</v>
      </c>
      <c r="I5" s="279" t="s">
        <v>971</v>
      </c>
      <c r="J5" s="279" t="s">
        <v>972</v>
      </c>
      <c r="K5" s="279" t="s">
        <v>973</v>
      </c>
      <c r="L5" s="279" t="s">
        <v>958</v>
      </c>
      <c r="M5" s="279" t="s">
        <v>959</v>
      </c>
      <c r="N5" s="279" t="s">
        <v>974</v>
      </c>
    </row>
    <row r="6" spans="2:14" ht="129.6">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SUM(D36:H36)/SUM($D$36:$AC$36)</f>
        <v>0.55477986857442951</v>
      </c>
      <c r="F6" s="309">
        <f>SUM(D21:H21)/SUM($D$21:$AC$21)</f>
        <v>0</v>
      </c>
      <c r="G6" s="309">
        <f>SUM(D33:H33)/SUM($D$33:$AC$33)</f>
        <v>0.5136790714812085</v>
      </c>
      <c r="H6" s="309">
        <f>SUM(D34:H34)/SUM($D$34:$AC$34)</f>
        <v>0.9375</v>
      </c>
      <c r="I6" s="309">
        <f>SUM(D23:H25)/SUM($D$23:$AC$25)</f>
        <v>1.0554089709762534E-2</v>
      </c>
      <c r="J6" s="309">
        <f>SUM(D35:H35)/SUM($D$35:$AC$35)</f>
        <v>0.80044101433296577</v>
      </c>
      <c r="K6" s="181" t="s">
        <v>316</v>
      </c>
      <c r="L6" s="309">
        <f>SUM(D26:H28)/SUM($D$26:$AC$28)</f>
        <v>0</v>
      </c>
      <c r="M6" s="309">
        <f>SUM(D30:H31)/SUM($D$30:$AC$31)</f>
        <v>4.0089086859688192E-2</v>
      </c>
      <c r="N6" s="181" t="s">
        <v>316</v>
      </c>
    </row>
    <row r="7" spans="2:14" ht="144">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SUM(N36:S36)/SUM($D$36:$AC$36)</f>
        <v>9.660932276121792E-2</v>
      </c>
      <c r="F7" s="312">
        <f>SUM(N21:S21)/SUM($D$21:$AC$21)</f>
        <v>0</v>
      </c>
      <c r="G7" s="312">
        <f>SUM(N33:S33)/SUM($D$33:$AC$33)</f>
        <v>7.5580324244657326E-2</v>
      </c>
      <c r="H7" s="312">
        <f>SUM(N34:S34)/SUM($D$34:$AC$34)</f>
        <v>0</v>
      </c>
      <c r="I7" s="312">
        <f>SUM(N23:S25)/SUM($D$23:$AC$25)</f>
        <v>1.3192612137203167E-2</v>
      </c>
      <c r="J7" s="312">
        <f>SUM(N35:S35)/SUM($D$35:$AC$35)</f>
        <v>0.16317530319735396</v>
      </c>
      <c r="K7" s="313" t="s">
        <v>975</v>
      </c>
      <c r="L7" s="312">
        <f>SUM(N26:S28)/SUM($D$26:$AC$28)</f>
        <v>1.515151515151515E-2</v>
      </c>
      <c r="M7" s="312">
        <f>SUM(N30:S31)/SUM($D$30:$AC$31)</f>
        <v>5.1224944320712694E-2</v>
      </c>
      <c r="N7" s="313" t="s">
        <v>975</v>
      </c>
    </row>
    <row r="8" spans="2:14" ht="187.2">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SUM(I36:M36,T36:U36)/SUM($D$36:$AC$36)</f>
        <v>0.15081916815043489</v>
      </c>
      <c r="F8" s="316">
        <f>SUM(I21:M21,T21:U21)/SUM($D$21:$AC$21)</f>
        <v>1</v>
      </c>
      <c r="G8" s="316">
        <f>SUM(I33:M33,T33:U33)/SUM($D$33:$AC$33)</f>
        <v>6.0058953574060409E-2</v>
      </c>
      <c r="H8" s="316">
        <f>SUM(I34:M34,T34:U34)/SUM($D$34:$AC$34)</f>
        <v>6.25E-2</v>
      </c>
      <c r="I8" s="316">
        <f>SUM(I23:M25,T23:U25)/SUM($D$23:$AC$25)</f>
        <v>5.4089709762532981E-2</v>
      </c>
      <c r="J8" s="316">
        <f>SUM(I35:M35,T35:U35)/SUM($D$35:$AC$35)</f>
        <v>7.1664829106945997E-3</v>
      </c>
      <c r="K8" s="317" t="s">
        <v>975</v>
      </c>
      <c r="L8" s="316">
        <f>SUM(I26:M28,,T26:U28)/SUM($D$26:$AC$28)</f>
        <v>0.33333333333333337</v>
      </c>
      <c r="M8" s="316">
        <f>SUM(I30:M31,T30:U31)/SUM($D$30:$AC$31)</f>
        <v>0.19376391982182625</v>
      </c>
      <c r="N8" s="317" t="s">
        <v>975</v>
      </c>
    </row>
    <row r="9" spans="2:14" ht="115.2">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SUM(I37:M37,V36:Y36)/SUM($D$36:$AC$36)</f>
        <v>0.15746730372628637</v>
      </c>
      <c r="F9" s="320">
        <f>SUM(V21:Y21)/SUM($D$21:$AC$21)</f>
        <v>0</v>
      </c>
      <c r="G9" s="320">
        <f>SUM(V33:Y33)/SUM($D$33:$AC$33)</f>
        <v>0.31553979366249074</v>
      </c>
      <c r="H9" s="320">
        <f>SUM(V34:Y34)/SUM($D$34:$AC$34)</f>
        <v>0</v>
      </c>
      <c r="I9" s="320">
        <f>SUM(V23:Y25)/SUM($D$23:$AC$25)</f>
        <v>0.46569920844327173</v>
      </c>
      <c r="J9" s="320">
        <f>SUM(V35:Y35)/SUM($D$35:$AC$35)</f>
        <v>2.9217199558985673E-2</v>
      </c>
      <c r="K9" s="321" t="s">
        <v>975</v>
      </c>
      <c r="L9" s="320">
        <f>SUM(V26:Y28)/SUM($D$26:$AC$28)</f>
        <v>0.10101010101010101</v>
      </c>
      <c r="M9" s="320">
        <f>SUM(V30:Y31)/SUM($D$30:$AC$31)</f>
        <v>0.47216035634743875</v>
      </c>
      <c r="N9" s="321" t="s">
        <v>975</v>
      </c>
    </row>
    <row r="10" spans="2:14" ht="86.4">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SUM(Z36:AD36)/SUM($D$36:$AC$36)</f>
        <v>4.0324336787631136E-2</v>
      </c>
      <c r="F10" s="324">
        <f>SUM(Z21:AC21)/SUM($D$21:$AC$21)</f>
        <v>0</v>
      </c>
      <c r="G10" s="324">
        <f>SUM(Z33:AC33)/SUM($D$33:$AC$33)</f>
        <v>3.5141857037582908E-2</v>
      </c>
      <c r="H10" s="324">
        <f>SUM(Z34:AC34)/SUM($D$34:$AC$34)</f>
        <v>0</v>
      </c>
      <c r="I10" s="324">
        <f>SUM(Z23:AC25)/SUM($D$23:$AC$25)</f>
        <v>0.45646437994722949</v>
      </c>
      <c r="J10" s="324">
        <f>SUM(Z35:AC35)/SUM($D$35:$AC$35)</f>
        <v>0</v>
      </c>
      <c r="K10" s="325" t="s">
        <v>975</v>
      </c>
      <c r="L10" s="324">
        <f>SUM(Z26:AC28)/SUM($D$26:$AC$28)</f>
        <v>0.5505050505050505</v>
      </c>
      <c r="M10" s="324">
        <f>SUM(Z30:AC31)/SUM($D$30:$AC$31)</f>
        <v>0.24276169265033407</v>
      </c>
      <c r="N10" s="325" t="s">
        <v>975</v>
      </c>
    </row>
    <row r="11" spans="2:14" s="141" customFormat="1">
      <c r="B11" s="306" t="s">
        <v>1028</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975</v>
      </c>
      <c r="L11" s="269">
        <f t="shared" si="0"/>
        <v>1</v>
      </c>
      <c r="M11" s="269">
        <f t="shared" si="0"/>
        <v>0.99999999999999989</v>
      </c>
      <c r="N11" s="140" t="s">
        <v>975</v>
      </c>
    </row>
    <row r="13" spans="2:14" s="172" customFormat="1">
      <c r="B13" s="175" t="s">
        <v>977</v>
      </c>
      <c r="C13" s="2"/>
    </row>
    <row r="14" spans="2:14" s="172" customFormat="1">
      <c r="B14" s="2" t="s">
        <v>978</v>
      </c>
      <c r="C14" s="2" t="s">
        <v>979</v>
      </c>
    </row>
    <row r="15" spans="2:14" s="172" customFormat="1">
      <c r="B15" s="2" t="s">
        <v>980</v>
      </c>
      <c r="C15" s="2" t="s">
        <v>1029</v>
      </c>
    </row>
    <row r="16" spans="2:14" s="172" customFormat="1">
      <c r="B16" s="2" t="s">
        <v>982</v>
      </c>
      <c r="C16" s="2" t="s">
        <v>983</v>
      </c>
    </row>
    <row r="17" spans="2:29" s="172" customFormat="1">
      <c r="B17" s="2" t="s">
        <v>984</v>
      </c>
      <c r="C17" s="2" t="s">
        <v>985</v>
      </c>
    </row>
    <row r="18" spans="2:29" s="172" customFormat="1" ht="20.100000000000001" customHeight="1">
      <c r="B18" s="539" t="s">
        <v>986</v>
      </c>
      <c r="C18" s="539" t="s">
        <v>987</v>
      </c>
      <c r="D18" s="541" t="s">
        <v>988</v>
      </c>
      <c r="E18" s="541" t="s">
        <v>988</v>
      </c>
      <c r="F18" s="541" t="s">
        <v>988</v>
      </c>
      <c r="G18" s="541" t="s">
        <v>988</v>
      </c>
      <c r="H18" s="541" t="s">
        <v>988</v>
      </c>
      <c r="I18" s="541" t="s">
        <v>988</v>
      </c>
      <c r="J18" s="541" t="s">
        <v>988</v>
      </c>
      <c r="K18" s="541" t="s">
        <v>988</v>
      </c>
      <c r="L18" s="541" t="s">
        <v>988</v>
      </c>
      <c r="M18" s="541" t="s">
        <v>988</v>
      </c>
      <c r="N18" s="541" t="s">
        <v>988</v>
      </c>
      <c r="O18" s="541" t="s">
        <v>988</v>
      </c>
      <c r="P18" s="541" t="s">
        <v>988</v>
      </c>
      <c r="Q18" s="541" t="s">
        <v>988</v>
      </c>
      <c r="R18" s="541" t="s">
        <v>988</v>
      </c>
      <c r="S18" s="541" t="s">
        <v>988</v>
      </c>
      <c r="T18" s="541" t="s">
        <v>988</v>
      </c>
      <c r="U18" s="541" t="s">
        <v>988</v>
      </c>
      <c r="V18" s="541" t="s">
        <v>988</v>
      </c>
      <c r="W18" s="541" t="s">
        <v>988</v>
      </c>
      <c r="X18" s="541" t="s">
        <v>988</v>
      </c>
      <c r="Y18" s="541" t="s">
        <v>988</v>
      </c>
      <c r="Z18" s="541" t="s">
        <v>988</v>
      </c>
      <c r="AA18" s="541" t="s">
        <v>988</v>
      </c>
      <c r="AB18" s="541" t="s">
        <v>988</v>
      </c>
      <c r="AC18" s="541" t="s">
        <v>988</v>
      </c>
    </row>
    <row r="19" spans="2:29" s="172" customFormat="1" ht="20.100000000000001" customHeight="1">
      <c r="B19" s="540" t="s">
        <v>986</v>
      </c>
      <c r="C19" s="540" t="s">
        <v>987</v>
      </c>
      <c r="D19" s="197" t="s">
        <v>1030</v>
      </c>
      <c r="E19" s="197" t="s">
        <v>1031</v>
      </c>
      <c r="F19" s="197" t="s">
        <v>1032</v>
      </c>
      <c r="G19" s="197" t="s">
        <v>1033</v>
      </c>
      <c r="H19" s="197" t="s">
        <v>1034</v>
      </c>
      <c r="I19" s="199" t="s">
        <v>1035</v>
      </c>
      <c r="J19" s="199" t="s">
        <v>1036</v>
      </c>
      <c r="K19" s="199" t="s">
        <v>1037</v>
      </c>
      <c r="L19" s="199" t="s">
        <v>1038</v>
      </c>
      <c r="M19" s="199" t="s">
        <v>1039</v>
      </c>
      <c r="N19" s="198" t="s">
        <v>1040</v>
      </c>
      <c r="O19" s="198" t="s">
        <v>1041</v>
      </c>
      <c r="P19" s="198" t="s">
        <v>1042</v>
      </c>
      <c r="Q19" s="198" t="s">
        <v>1043</v>
      </c>
      <c r="R19" s="198" t="s">
        <v>1044</v>
      </c>
      <c r="S19" s="198" t="s">
        <v>1045</v>
      </c>
      <c r="T19" s="199" t="s">
        <v>1046</v>
      </c>
      <c r="U19" s="199" t="s">
        <v>1047</v>
      </c>
      <c r="V19" s="200" t="s">
        <v>1048</v>
      </c>
      <c r="W19" s="200" t="s">
        <v>1049</v>
      </c>
      <c r="X19" s="200" t="s">
        <v>1050</v>
      </c>
      <c r="Y19" s="200" t="s">
        <v>1051</v>
      </c>
      <c r="Z19" s="201" t="s">
        <v>1052</v>
      </c>
      <c r="AA19" s="201" t="s">
        <v>1053</v>
      </c>
      <c r="AB19" s="201" t="s">
        <v>1054</v>
      </c>
      <c r="AC19" s="201" t="s">
        <v>1055</v>
      </c>
    </row>
    <row r="20" spans="2:29" s="172" customFormat="1" ht="20.100000000000001" customHeight="1">
      <c r="B20" s="274" t="s">
        <v>272</v>
      </c>
      <c r="C20" s="274" t="s">
        <v>999</v>
      </c>
      <c r="D20" s="173">
        <v>2812.4</v>
      </c>
      <c r="E20" s="173">
        <v>2583.3000000000002</v>
      </c>
      <c r="F20" s="173">
        <v>9.6999999999999993</v>
      </c>
      <c r="G20" s="173">
        <v>105.1</v>
      </c>
      <c r="H20" s="173">
        <v>87</v>
      </c>
      <c r="I20" s="173">
        <v>2.8</v>
      </c>
      <c r="J20" s="173">
        <v>74.2</v>
      </c>
      <c r="K20" s="173">
        <v>114.9</v>
      </c>
      <c r="L20" s="173">
        <v>40.6</v>
      </c>
      <c r="M20" s="173">
        <v>0.8</v>
      </c>
      <c r="N20" s="173">
        <v>264.5</v>
      </c>
      <c r="O20" s="173">
        <v>409.6</v>
      </c>
      <c r="P20" s="173">
        <v>83</v>
      </c>
      <c r="Q20" s="173">
        <v>71.900000000000006</v>
      </c>
      <c r="R20" s="173">
        <v>99.2</v>
      </c>
      <c r="S20" s="173">
        <v>23.7</v>
      </c>
      <c r="T20" s="173">
        <v>499.3</v>
      </c>
      <c r="U20" s="173">
        <v>596.79999999999995</v>
      </c>
      <c r="V20" s="173">
        <v>699</v>
      </c>
      <c r="W20" s="173">
        <v>24</v>
      </c>
      <c r="X20" s="173">
        <v>1253.9000000000001</v>
      </c>
      <c r="Y20" s="173">
        <v>2.2000000000000002</v>
      </c>
      <c r="Z20" s="173">
        <v>392.9</v>
      </c>
      <c r="AA20" s="173">
        <v>14.3</v>
      </c>
      <c r="AB20" s="173">
        <v>47.2</v>
      </c>
      <c r="AC20" s="173">
        <v>6</v>
      </c>
    </row>
    <row r="21" spans="2:29" s="172" customFormat="1" ht="20.100000000000001" customHeight="1">
      <c r="B21" s="274" t="s">
        <v>1000</v>
      </c>
      <c r="C21" s="274" t="s">
        <v>999</v>
      </c>
      <c r="D21" s="174" t="s">
        <v>173</v>
      </c>
      <c r="E21" s="174" t="s">
        <v>173</v>
      </c>
      <c r="F21" s="174" t="s">
        <v>173</v>
      </c>
      <c r="G21" s="174" t="s">
        <v>173</v>
      </c>
      <c r="H21" s="174" t="s">
        <v>173</v>
      </c>
      <c r="I21" s="174" t="s">
        <v>173</v>
      </c>
      <c r="J21" s="173">
        <v>0.1</v>
      </c>
      <c r="K21" s="173">
        <v>0</v>
      </c>
      <c r="L21" s="174" t="s">
        <v>173</v>
      </c>
      <c r="M21" s="174" t="s">
        <v>173</v>
      </c>
      <c r="N21" s="173">
        <v>0</v>
      </c>
      <c r="O21" s="174" t="s">
        <v>173</v>
      </c>
      <c r="P21" s="174" t="s">
        <v>173</v>
      </c>
      <c r="Q21" s="173">
        <v>0</v>
      </c>
      <c r="R21" s="173">
        <v>0</v>
      </c>
      <c r="S21" s="174" t="s">
        <v>173</v>
      </c>
      <c r="T21" s="173">
        <v>0</v>
      </c>
      <c r="U21" s="173">
        <v>0</v>
      </c>
      <c r="V21" s="174" t="s">
        <v>173</v>
      </c>
      <c r="W21" s="174" t="s">
        <v>173</v>
      </c>
      <c r="X21" s="174" t="s">
        <v>173</v>
      </c>
      <c r="Y21" s="174" t="s">
        <v>173</v>
      </c>
      <c r="Z21" s="174" t="s">
        <v>173</v>
      </c>
      <c r="AA21" s="174" t="s">
        <v>173</v>
      </c>
      <c r="AB21" s="174" t="s">
        <v>173</v>
      </c>
      <c r="AC21" s="174" t="s">
        <v>173</v>
      </c>
    </row>
    <row r="22" spans="2:29" s="172" customFormat="1" ht="20.100000000000001" customHeight="1">
      <c r="B22" s="274" t="s">
        <v>1001</v>
      </c>
      <c r="C22" s="274" t="s">
        <v>999</v>
      </c>
      <c r="D22" s="173">
        <v>1.7</v>
      </c>
      <c r="E22" s="173">
        <v>0.8</v>
      </c>
      <c r="F22" s="173">
        <v>0</v>
      </c>
      <c r="G22" s="173">
        <v>0.3</v>
      </c>
      <c r="H22" s="173">
        <v>0.1</v>
      </c>
      <c r="I22" s="174" t="s">
        <v>173</v>
      </c>
      <c r="J22" s="173">
        <v>1.4</v>
      </c>
      <c r="K22" s="173">
        <v>0.3</v>
      </c>
      <c r="L22" s="173">
        <v>0</v>
      </c>
      <c r="M22" s="174" t="s">
        <v>173</v>
      </c>
      <c r="N22" s="173">
        <v>0.5</v>
      </c>
      <c r="O22" s="173">
        <v>0</v>
      </c>
      <c r="P22" s="173">
        <v>1.7</v>
      </c>
      <c r="Q22" s="173">
        <v>0.5</v>
      </c>
      <c r="R22" s="173">
        <v>1.2</v>
      </c>
      <c r="S22" s="173">
        <v>0.1</v>
      </c>
      <c r="T22" s="173">
        <v>13.8</v>
      </c>
      <c r="U22" s="173">
        <v>4.4000000000000004</v>
      </c>
      <c r="V22" s="173">
        <v>4.4000000000000004</v>
      </c>
      <c r="W22" s="173">
        <v>0.1</v>
      </c>
      <c r="X22" s="173">
        <v>54.6</v>
      </c>
      <c r="Y22" s="173">
        <v>0.2</v>
      </c>
      <c r="Z22" s="173">
        <v>62</v>
      </c>
      <c r="AA22" s="173">
        <v>0</v>
      </c>
      <c r="AB22" s="173">
        <v>7.3</v>
      </c>
      <c r="AC22" s="173">
        <v>0</v>
      </c>
    </row>
    <row r="23" spans="2:29" s="172" customFormat="1" ht="20.100000000000001" customHeight="1">
      <c r="B23" s="275" t="s">
        <v>1002</v>
      </c>
      <c r="C23" s="274" t="s">
        <v>345</v>
      </c>
      <c r="D23" s="173">
        <v>0</v>
      </c>
      <c r="E23" s="173">
        <v>0</v>
      </c>
      <c r="F23" s="173">
        <v>0</v>
      </c>
      <c r="G23" s="173">
        <v>0</v>
      </c>
      <c r="H23" s="173">
        <v>0</v>
      </c>
      <c r="I23" s="174" t="s">
        <v>173</v>
      </c>
      <c r="J23" s="173">
        <v>0</v>
      </c>
      <c r="K23" s="173">
        <v>0</v>
      </c>
      <c r="L23" s="174" t="s">
        <v>173</v>
      </c>
      <c r="M23" s="174" t="s">
        <v>173</v>
      </c>
      <c r="N23" s="173">
        <v>0</v>
      </c>
      <c r="O23" s="174" t="s">
        <v>173</v>
      </c>
      <c r="P23" s="173">
        <v>0</v>
      </c>
      <c r="Q23" s="173">
        <v>0</v>
      </c>
      <c r="R23" s="173">
        <v>0</v>
      </c>
      <c r="S23" s="173">
        <v>0</v>
      </c>
      <c r="T23" s="173">
        <v>0.6</v>
      </c>
      <c r="U23" s="173">
        <v>0.1</v>
      </c>
      <c r="V23" s="173">
        <v>0.6</v>
      </c>
      <c r="W23" s="173">
        <v>0</v>
      </c>
      <c r="X23" s="173">
        <v>0.1</v>
      </c>
      <c r="Y23" s="173">
        <v>0</v>
      </c>
      <c r="Z23" s="174" t="s">
        <v>173</v>
      </c>
      <c r="AA23" s="174" t="s">
        <v>173</v>
      </c>
      <c r="AB23" s="174" t="s">
        <v>173</v>
      </c>
      <c r="AC23" s="174" t="s">
        <v>173</v>
      </c>
    </row>
    <row r="24" spans="2:29" s="172" customFormat="1" ht="20.100000000000001" customHeight="1">
      <c r="B24" s="275" t="s">
        <v>1002</v>
      </c>
      <c r="C24" s="274" t="s">
        <v>1003</v>
      </c>
      <c r="D24" s="173">
        <v>0</v>
      </c>
      <c r="E24" s="173">
        <v>0.2</v>
      </c>
      <c r="F24" s="173">
        <v>0</v>
      </c>
      <c r="G24" s="173">
        <v>0</v>
      </c>
      <c r="H24" s="173">
        <v>0</v>
      </c>
      <c r="I24" s="174" t="s">
        <v>173</v>
      </c>
      <c r="J24" s="173">
        <v>0.1</v>
      </c>
      <c r="K24" s="173">
        <v>0</v>
      </c>
      <c r="L24" s="174" t="s">
        <v>173</v>
      </c>
      <c r="M24" s="174" t="s">
        <v>173</v>
      </c>
      <c r="N24" s="173">
        <v>0</v>
      </c>
      <c r="O24" s="173">
        <v>0</v>
      </c>
      <c r="P24" s="173">
        <v>0.2</v>
      </c>
      <c r="Q24" s="173">
        <v>0</v>
      </c>
      <c r="R24" s="173">
        <v>0.2</v>
      </c>
      <c r="S24" s="173">
        <v>0</v>
      </c>
      <c r="T24" s="173">
        <v>0.2</v>
      </c>
      <c r="U24" s="173">
        <v>0.2</v>
      </c>
      <c r="V24" s="173">
        <v>0.6</v>
      </c>
      <c r="W24" s="173">
        <v>0</v>
      </c>
      <c r="X24" s="173">
        <v>1.4</v>
      </c>
      <c r="Y24" s="173">
        <v>0</v>
      </c>
      <c r="Z24" s="173">
        <v>0.7</v>
      </c>
      <c r="AA24" s="173">
        <v>0</v>
      </c>
      <c r="AB24" s="173">
        <v>0.1</v>
      </c>
      <c r="AC24" s="173">
        <v>0</v>
      </c>
    </row>
    <row r="25" spans="2:29" s="172" customFormat="1" ht="20.100000000000001" customHeight="1">
      <c r="B25" s="275" t="s">
        <v>1002</v>
      </c>
      <c r="C25" s="274" t="s">
        <v>350</v>
      </c>
      <c r="D25" s="173">
        <v>0.2</v>
      </c>
      <c r="E25" s="173">
        <v>0.2</v>
      </c>
      <c r="F25" s="173">
        <v>0</v>
      </c>
      <c r="G25" s="173">
        <v>0.1</v>
      </c>
      <c r="H25" s="173">
        <v>0.1</v>
      </c>
      <c r="I25" s="174" t="s">
        <v>173</v>
      </c>
      <c r="J25" s="173">
        <v>0.1</v>
      </c>
      <c r="K25" s="173">
        <v>0.1</v>
      </c>
      <c r="L25" s="173">
        <v>0</v>
      </c>
      <c r="M25" s="174" t="s">
        <v>173</v>
      </c>
      <c r="N25" s="173">
        <v>0.2</v>
      </c>
      <c r="O25" s="173">
        <v>0</v>
      </c>
      <c r="P25" s="173">
        <v>0.1</v>
      </c>
      <c r="Q25" s="173">
        <v>0.1</v>
      </c>
      <c r="R25" s="173">
        <v>0.1</v>
      </c>
      <c r="S25" s="173">
        <v>0.1</v>
      </c>
      <c r="T25" s="173">
        <v>1.7</v>
      </c>
      <c r="U25" s="173">
        <v>1</v>
      </c>
      <c r="V25" s="173">
        <v>3</v>
      </c>
      <c r="W25" s="173">
        <v>0</v>
      </c>
      <c r="X25" s="173">
        <v>29.6</v>
      </c>
      <c r="Y25" s="173">
        <v>0</v>
      </c>
      <c r="Z25" s="173">
        <v>33.799999999999997</v>
      </c>
      <c r="AA25" s="173">
        <v>0</v>
      </c>
      <c r="AB25" s="173">
        <v>0</v>
      </c>
      <c r="AC25" s="173">
        <v>0</v>
      </c>
    </row>
    <row r="26" spans="2:29" s="172" customFormat="1" ht="20.100000000000001" customHeight="1">
      <c r="B26" s="275" t="s">
        <v>1002</v>
      </c>
      <c r="C26" s="274" t="s">
        <v>1004</v>
      </c>
      <c r="D26" s="174" t="s">
        <v>173</v>
      </c>
      <c r="E26" s="174" t="s">
        <v>173</v>
      </c>
      <c r="F26" s="174" t="s">
        <v>173</v>
      </c>
      <c r="G26" s="174" t="s">
        <v>173</v>
      </c>
      <c r="H26" s="174" t="s">
        <v>173</v>
      </c>
      <c r="I26" s="174" t="s">
        <v>173</v>
      </c>
      <c r="J26" s="174" t="s">
        <v>173</v>
      </c>
      <c r="K26" s="174" t="s">
        <v>173</v>
      </c>
      <c r="L26" s="174" t="s">
        <v>173</v>
      </c>
      <c r="M26" s="174" t="s">
        <v>173</v>
      </c>
      <c r="N26" s="174" t="s">
        <v>173</v>
      </c>
      <c r="O26" s="174" t="s">
        <v>173</v>
      </c>
      <c r="P26" s="173">
        <v>0.3</v>
      </c>
      <c r="Q26" s="174" t="s">
        <v>173</v>
      </c>
      <c r="R26" s="173">
        <v>0</v>
      </c>
      <c r="S26" s="174" t="s">
        <v>173</v>
      </c>
      <c r="T26" s="173">
        <v>5.4</v>
      </c>
      <c r="U26" s="173">
        <v>0</v>
      </c>
      <c r="V26" s="174" t="s">
        <v>173</v>
      </c>
      <c r="W26" s="174" t="s">
        <v>173</v>
      </c>
      <c r="X26" s="174" t="s">
        <v>173</v>
      </c>
      <c r="Y26" s="174" t="s">
        <v>173</v>
      </c>
      <c r="Z26" s="173">
        <v>10.9</v>
      </c>
      <c r="AA26" s="174" t="s">
        <v>173</v>
      </c>
      <c r="AB26" s="174" t="s">
        <v>173</v>
      </c>
      <c r="AC26" s="174" t="s">
        <v>173</v>
      </c>
    </row>
    <row r="27" spans="2:29" s="172" customFormat="1" ht="20.100000000000001" customHeight="1">
      <c r="B27" s="275" t="s">
        <v>1002</v>
      </c>
      <c r="C27" s="274" t="s">
        <v>1005</v>
      </c>
      <c r="D27" s="174" t="s">
        <v>173</v>
      </c>
      <c r="E27" s="174" t="s">
        <v>173</v>
      </c>
      <c r="F27" s="174" t="s">
        <v>173</v>
      </c>
      <c r="G27" s="174" t="s">
        <v>173</v>
      </c>
      <c r="H27" s="174" t="s">
        <v>173</v>
      </c>
      <c r="I27" s="174" t="s">
        <v>173</v>
      </c>
      <c r="J27" s="174" t="s">
        <v>173</v>
      </c>
      <c r="K27" s="174" t="s">
        <v>173</v>
      </c>
      <c r="L27" s="174" t="s">
        <v>173</v>
      </c>
      <c r="M27" s="174" t="s">
        <v>173</v>
      </c>
      <c r="N27" s="174" t="s">
        <v>173</v>
      </c>
      <c r="O27" s="174" t="s">
        <v>173</v>
      </c>
      <c r="P27" s="174" t="s">
        <v>173</v>
      </c>
      <c r="Q27" s="174" t="s">
        <v>173</v>
      </c>
      <c r="R27" s="173">
        <v>0</v>
      </c>
      <c r="S27" s="174" t="s">
        <v>173</v>
      </c>
      <c r="T27" s="174" t="s">
        <v>173</v>
      </c>
      <c r="U27" s="174" t="s">
        <v>173</v>
      </c>
      <c r="V27" s="174" t="s">
        <v>173</v>
      </c>
      <c r="W27" s="174" t="s">
        <v>173</v>
      </c>
      <c r="X27" s="173">
        <v>0</v>
      </c>
      <c r="Y27" s="174" t="s">
        <v>173</v>
      </c>
      <c r="Z27" s="174" t="s">
        <v>173</v>
      </c>
      <c r="AA27" s="174" t="s">
        <v>173</v>
      </c>
      <c r="AB27" s="174" t="s">
        <v>173</v>
      </c>
      <c r="AC27" s="174" t="s">
        <v>173</v>
      </c>
    </row>
    <row r="28" spans="2:29" s="172" customFormat="1" ht="20.100000000000001" customHeight="1">
      <c r="B28" s="275" t="s">
        <v>1002</v>
      </c>
      <c r="C28" s="274" t="s">
        <v>1006</v>
      </c>
      <c r="D28" s="174" t="s">
        <v>173</v>
      </c>
      <c r="E28" s="173">
        <v>0</v>
      </c>
      <c r="F28" s="174" t="s">
        <v>173</v>
      </c>
      <c r="G28" s="173">
        <v>0</v>
      </c>
      <c r="H28" s="174" t="s">
        <v>173</v>
      </c>
      <c r="I28" s="174" t="s">
        <v>173</v>
      </c>
      <c r="J28" s="174" t="s">
        <v>173</v>
      </c>
      <c r="K28" s="173">
        <v>0</v>
      </c>
      <c r="L28" s="173">
        <v>0</v>
      </c>
      <c r="M28" s="174" t="s">
        <v>173</v>
      </c>
      <c r="N28" s="173">
        <v>0</v>
      </c>
      <c r="O28" s="174" t="s">
        <v>173</v>
      </c>
      <c r="P28" s="174" t="s">
        <v>173</v>
      </c>
      <c r="Q28" s="173">
        <v>0</v>
      </c>
      <c r="R28" s="174" t="s">
        <v>173</v>
      </c>
      <c r="S28" s="173">
        <v>0</v>
      </c>
      <c r="T28" s="173">
        <v>0.9</v>
      </c>
      <c r="U28" s="173">
        <v>0.3</v>
      </c>
      <c r="V28" s="174" t="s">
        <v>173</v>
      </c>
      <c r="W28" s="174" t="s">
        <v>173</v>
      </c>
      <c r="X28" s="173">
        <v>2</v>
      </c>
      <c r="Y28" s="174" t="s">
        <v>173</v>
      </c>
      <c r="Z28" s="174" t="s">
        <v>173</v>
      </c>
      <c r="AA28" s="173">
        <v>0</v>
      </c>
      <c r="AB28" s="174" t="s">
        <v>173</v>
      </c>
      <c r="AC28" s="174" t="s">
        <v>173</v>
      </c>
    </row>
    <row r="29" spans="2:29" s="172" customFormat="1" ht="20.100000000000001" customHeight="1">
      <c r="B29" s="275" t="s">
        <v>1002</v>
      </c>
      <c r="C29" s="274" t="s">
        <v>354</v>
      </c>
      <c r="D29" s="174" t="s">
        <v>173</v>
      </c>
      <c r="E29" s="174" t="s">
        <v>173</v>
      </c>
      <c r="F29" s="174" t="s">
        <v>173</v>
      </c>
      <c r="G29" s="174" t="s">
        <v>173</v>
      </c>
      <c r="H29" s="174" t="s">
        <v>173</v>
      </c>
      <c r="I29" s="174" t="s">
        <v>173</v>
      </c>
      <c r="J29" s="174" t="s">
        <v>173</v>
      </c>
      <c r="K29" s="174" t="s">
        <v>173</v>
      </c>
      <c r="L29" s="174" t="s">
        <v>173</v>
      </c>
      <c r="M29" s="174" t="s">
        <v>173</v>
      </c>
      <c r="N29" s="174" t="s">
        <v>173</v>
      </c>
      <c r="O29" s="174" t="s">
        <v>173</v>
      </c>
      <c r="P29" s="174" t="s">
        <v>173</v>
      </c>
      <c r="Q29" s="174" t="s">
        <v>173</v>
      </c>
      <c r="R29" s="174" t="s">
        <v>173</v>
      </c>
      <c r="S29" s="174" t="s">
        <v>173</v>
      </c>
      <c r="T29" s="174" t="s">
        <v>173</v>
      </c>
      <c r="U29" s="174" t="s">
        <v>173</v>
      </c>
      <c r="V29" s="174" t="s">
        <v>173</v>
      </c>
      <c r="W29" s="174" t="s">
        <v>173</v>
      </c>
      <c r="X29" s="173">
        <v>0.2</v>
      </c>
      <c r="Y29" s="174" t="s">
        <v>173</v>
      </c>
      <c r="Z29" s="174" t="s">
        <v>173</v>
      </c>
      <c r="AA29" s="174" t="s">
        <v>173</v>
      </c>
      <c r="AB29" s="174" t="s">
        <v>173</v>
      </c>
      <c r="AC29" s="174" t="s">
        <v>173</v>
      </c>
    </row>
    <row r="30" spans="2:29" s="172" customFormat="1" ht="20.100000000000001" customHeight="1">
      <c r="B30" s="275" t="s">
        <v>1002</v>
      </c>
      <c r="C30" s="274" t="s">
        <v>343</v>
      </c>
      <c r="D30" s="173">
        <v>1.5</v>
      </c>
      <c r="E30" s="173">
        <v>0.1</v>
      </c>
      <c r="F30" s="173">
        <v>0</v>
      </c>
      <c r="G30" s="173">
        <v>0</v>
      </c>
      <c r="H30" s="174" t="s">
        <v>173</v>
      </c>
      <c r="I30" s="174" t="s">
        <v>173</v>
      </c>
      <c r="J30" s="173">
        <v>1.2</v>
      </c>
      <c r="K30" s="173">
        <v>0.1</v>
      </c>
      <c r="L30" s="173">
        <v>0</v>
      </c>
      <c r="M30" s="174" t="s">
        <v>173</v>
      </c>
      <c r="N30" s="173">
        <v>0.1</v>
      </c>
      <c r="O30" s="174" t="s">
        <v>173</v>
      </c>
      <c r="P30" s="173">
        <v>1.1000000000000001</v>
      </c>
      <c r="Q30" s="173">
        <v>0.3</v>
      </c>
      <c r="R30" s="173">
        <v>0.6</v>
      </c>
      <c r="S30" s="173">
        <v>0</v>
      </c>
      <c r="T30" s="173">
        <v>4.2</v>
      </c>
      <c r="U30" s="173">
        <v>2.6</v>
      </c>
      <c r="V30" s="173">
        <v>0.2</v>
      </c>
      <c r="W30" s="173">
        <v>0.1</v>
      </c>
      <c r="X30" s="173">
        <v>20</v>
      </c>
      <c r="Y30" s="173">
        <v>0.2</v>
      </c>
      <c r="Z30" s="173">
        <v>8.4</v>
      </c>
      <c r="AA30" s="173">
        <v>0</v>
      </c>
      <c r="AB30" s="173">
        <v>0</v>
      </c>
      <c r="AC30" s="173">
        <v>0</v>
      </c>
    </row>
    <row r="31" spans="2:29" s="172" customFormat="1" ht="20.100000000000001" customHeight="1">
      <c r="B31" s="275" t="s">
        <v>1002</v>
      </c>
      <c r="C31" s="274" t="s">
        <v>344</v>
      </c>
      <c r="D31" s="174" t="s">
        <v>173</v>
      </c>
      <c r="E31" s="174" t="s">
        <v>173</v>
      </c>
      <c r="F31" s="174" t="s">
        <v>173</v>
      </c>
      <c r="G31" s="173">
        <v>0.2</v>
      </c>
      <c r="H31" s="173">
        <v>0</v>
      </c>
      <c r="I31" s="174" t="s">
        <v>173</v>
      </c>
      <c r="J31" s="173">
        <v>0</v>
      </c>
      <c r="K31" s="173">
        <v>0</v>
      </c>
      <c r="L31" s="173">
        <v>0</v>
      </c>
      <c r="M31" s="174" t="s">
        <v>173</v>
      </c>
      <c r="N31" s="173">
        <v>0.2</v>
      </c>
      <c r="O31" s="174" t="s">
        <v>173</v>
      </c>
      <c r="P31" s="173">
        <v>0</v>
      </c>
      <c r="Q31" s="173">
        <v>0</v>
      </c>
      <c r="R31" s="173">
        <v>0</v>
      </c>
      <c r="S31" s="173">
        <v>0</v>
      </c>
      <c r="T31" s="173">
        <v>0.6</v>
      </c>
      <c r="U31" s="173">
        <v>0</v>
      </c>
      <c r="V31" s="173">
        <v>0.1</v>
      </c>
      <c r="W31" s="173">
        <v>0</v>
      </c>
      <c r="X31" s="173">
        <v>0.6</v>
      </c>
      <c r="Y31" s="173">
        <v>0</v>
      </c>
      <c r="Z31" s="173">
        <v>2.5</v>
      </c>
      <c r="AA31" s="173">
        <v>0</v>
      </c>
      <c r="AB31" s="173">
        <v>0</v>
      </c>
      <c r="AC31" s="174" t="s">
        <v>173</v>
      </c>
    </row>
    <row r="32" spans="2:29" s="172" customFormat="1" ht="20.100000000000001" customHeight="1">
      <c r="B32" s="275" t="s">
        <v>1002</v>
      </c>
      <c r="C32" s="274" t="s">
        <v>1007</v>
      </c>
      <c r="D32" s="174" t="s">
        <v>173</v>
      </c>
      <c r="E32" s="173">
        <v>0.3</v>
      </c>
      <c r="F32" s="174" t="s">
        <v>173</v>
      </c>
      <c r="G32" s="174" t="s">
        <v>173</v>
      </c>
      <c r="H32" s="174" t="s">
        <v>173</v>
      </c>
      <c r="I32" s="174" t="s">
        <v>173</v>
      </c>
      <c r="J32" s="174" t="s">
        <v>173</v>
      </c>
      <c r="K32" s="174" t="s">
        <v>173</v>
      </c>
      <c r="L32" s="174" t="s">
        <v>173</v>
      </c>
      <c r="M32" s="174" t="s">
        <v>173</v>
      </c>
      <c r="N32" s="173">
        <v>0</v>
      </c>
      <c r="O32" s="174" t="s">
        <v>173</v>
      </c>
      <c r="P32" s="173">
        <v>0</v>
      </c>
      <c r="Q32" s="173">
        <v>0.1</v>
      </c>
      <c r="R32" s="173">
        <v>0.3</v>
      </c>
      <c r="S32" s="174" t="s">
        <v>173</v>
      </c>
      <c r="T32" s="173">
        <v>0.1</v>
      </c>
      <c r="U32" s="173">
        <v>0.2</v>
      </c>
      <c r="V32" s="174" t="s">
        <v>173</v>
      </c>
      <c r="W32" s="174" t="s">
        <v>173</v>
      </c>
      <c r="X32" s="173">
        <v>1</v>
      </c>
      <c r="Y32" s="174" t="s">
        <v>173</v>
      </c>
      <c r="Z32" s="173">
        <v>5.7</v>
      </c>
      <c r="AA32" s="174" t="s">
        <v>173</v>
      </c>
      <c r="AB32" s="173">
        <v>7.1</v>
      </c>
      <c r="AC32" s="174" t="s">
        <v>173</v>
      </c>
    </row>
    <row r="33" spans="2:29" s="172" customFormat="1" ht="20.100000000000001" customHeight="1">
      <c r="B33" s="274" t="s">
        <v>170</v>
      </c>
      <c r="C33" s="274" t="s">
        <v>999</v>
      </c>
      <c r="D33" s="173">
        <v>366.4</v>
      </c>
      <c r="E33" s="173">
        <v>719.4</v>
      </c>
      <c r="F33" s="173">
        <v>0.1</v>
      </c>
      <c r="G33" s="173">
        <v>8.9</v>
      </c>
      <c r="H33" s="173">
        <v>20.5</v>
      </c>
      <c r="I33" s="173">
        <v>0</v>
      </c>
      <c r="J33" s="173">
        <v>0.4</v>
      </c>
      <c r="K33" s="173">
        <v>41.9</v>
      </c>
      <c r="L33" s="173">
        <v>7.1</v>
      </c>
      <c r="M33" s="173">
        <v>0</v>
      </c>
      <c r="N33" s="173">
        <v>28</v>
      </c>
      <c r="O33" s="173">
        <v>112.4</v>
      </c>
      <c r="P33" s="173">
        <v>5.9</v>
      </c>
      <c r="Q33" s="173">
        <v>0.6</v>
      </c>
      <c r="R33" s="173">
        <v>16.2</v>
      </c>
      <c r="S33" s="173">
        <v>1</v>
      </c>
      <c r="T33" s="173">
        <v>46.8</v>
      </c>
      <c r="U33" s="173">
        <v>34.200000000000003</v>
      </c>
      <c r="V33" s="173">
        <v>384.2</v>
      </c>
      <c r="W33" s="173">
        <v>0.3</v>
      </c>
      <c r="X33" s="173">
        <v>300.39999999999998</v>
      </c>
      <c r="Y33" s="173">
        <v>0.2</v>
      </c>
      <c r="Z33" s="173">
        <v>62.7</v>
      </c>
      <c r="AA33" s="173">
        <v>3.4</v>
      </c>
      <c r="AB33" s="173">
        <v>9.3000000000000007</v>
      </c>
      <c r="AC33" s="173">
        <v>0.9</v>
      </c>
    </row>
    <row r="34" spans="2:29" s="172" customFormat="1" ht="20.100000000000001" customHeight="1">
      <c r="B34" s="274" t="s">
        <v>1008</v>
      </c>
      <c r="C34" s="274" t="s">
        <v>999</v>
      </c>
      <c r="D34" s="173">
        <v>3</v>
      </c>
      <c r="E34" s="174" t="s">
        <v>173</v>
      </c>
      <c r="F34" s="174" t="s">
        <v>173</v>
      </c>
      <c r="G34" s="174" t="s">
        <v>173</v>
      </c>
      <c r="H34" s="174" t="s">
        <v>173</v>
      </c>
      <c r="I34" s="174" t="s">
        <v>173</v>
      </c>
      <c r="J34" s="173">
        <v>0</v>
      </c>
      <c r="K34" s="173">
        <v>0.2</v>
      </c>
      <c r="L34" s="174" t="s">
        <v>173</v>
      </c>
      <c r="M34" s="174" t="s">
        <v>173</v>
      </c>
      <c r="N34" s="173">
        <v>0</v>
      </c>
      <c r="O34" s="174" t="s">
        <v>173</v>
      </c>
      <c r="P34" s="174" t="s">
        <v>173</v>
      </c>
      <c r="Q34" s="174" t="s">
        <v>173</v>
      </c>
      <c r="R34" s="173">
        <v>0</v>
      </c>
      <c r="S34" s="174" t="s">
        <v>173</v>
      </c>
      <c r="T34" s="174" t="s">
        <v>173</v>
      </c>
      <c r="U34" s="173">
        <v>0</v>
      </c>
      <c r="V34" s="174" t="s">
        <v>173</v>
      </c>
      <c r="W34" s="174" t="s">
        <v>173</v>
      </c>
      <c r="X34" s="174" t="s">
        <v>173</v>
      </c>
      <c r="Y34" s="174" t="s">
        <v>173</v>
      </c>
      <c r="Z34" s="174" t="s">
        <v>173</v>
      </c>
      <c r="AA34" s="174" t="s">
        <v>173</v>
      </c>
      <c r="AB34" s="174" t="s">
        <v>173</v>
      </c>
      <c r="AC34" s="174" t="s">
        <v>173</v>
      </c>
    </row>
    <row r="35" spans="2:29" s="172" customFormat="1" ht="20.100000000000001" customHeight="1">
      <c r="B35" s="274" t="s">
        <v>172</v>
      </c>
      <c r="C35" s="274" t="s">
        <v>999</v>
      </c>
      <c r="D35" s="173">
        <v>80.599999999999994</v>
      </c>
      <c r="E35" s="173">
        <v>59.3</v>
      </c>
      <c r="F35" s="174" t="s">
        <v>173</v>
      </c>
      <c r="G35" s="173">
        <v>4.2</v>
      </c>
      <c r="H35" s="173">
        <v>1.1000000000000001</v>
      </c>
      <c r="I35" s="174" t="s">
        <v>173</v>
      </c>
      <c r="J35" s="174" t="s">
        <v>173</v>
      </c>
      <c r="K35" s="174" t="s">
        <v>173</v>
      </c>
      <c r="L35" s="174" t="s">
        <v>173</v>
      </c>
      <c r="M35" s="174" t="s">
        <v>173</v>
      </c>
      <c r="N35" s="173">
        <v>2</v>
      </c>
      <c r="O35" s="173">
        <v>24.7</v>
      </c>
      <c r="P35" s="173">
        <v>0.3</v>
      </c>
      <c r="Q35" s="173">
        <v>0</v>
      </c>
      <c r="R35" s="173">
        <v>2.6</v>
      </c>
      <c r="S35" s="174" t="s">
        <v>173</v>
      </c>
      <c r="T35" s="173">
        <v>0.8</v>
      </c>
      <c r="U35" s="173">
        <v>0.5</v>
      </c>
      <c r="V35" s="173">
        <v>4.5999999999999996</v>
      </c>
      <c r="W35" s="174" t="s">
        <v>173</v>
      </c>
      <c r="X35" s="173">
        <v>0.7</v>
      </c>
      <c r="Y35" s="174" t="s">
        <v>173</v>
      </c>
      <c r="Z35" s="174" t="s">
        <v>173</v>
      </c>
      <c r="AA35" s="173">
        <v>0</v>
      </c>
      <c r="AB35" s="174" t="s">
        <v>173</v>
      </c>
      <c r="AC35" s="174" t="s">
        <v>173</v>
      </c>
    </row>
    <row r="36" spans="2:29" s="172" customFormat="1" ht="20.100000000000001" customHeight="1">
      <c r="B36" s="276" t="s">
        <v>275</v>
      </c>
      <c r="C36" s="276" t="s">
        <v>999</v>
      </c>
      <c r="D36" s="173">
        <v>2360.6999999999998</v>
      </c>
      <c r="E36" s="173">
        <v>1803.7</v>
      </c>
      <c r="F36" s="173">
        <v>9.5</v>
      </c>
      <c r="G36" s="173">
        <v>91.7</v>
      </c>
      <c r="H36" s="173">
        <v>65.400000000000006</v>
      </c>
      <c r="I36" s="173">
        <v>2.8</v>
      </c>
      <c r="J36" s="173">
        <v>72.3</v>
      </c>
      <c r="K36" s="173">
        <v>72.5</v>
      </c>
      <c r="L36" s="173">
        <v>33.5</v>
      </c>
      <c r="M36" s="173">
        <v>0.8</v>
      </c>
      <c r="N36" s="173">
        <v>234</v>
      </c>
      <c r="O36" s="173">
        <v>272.5</v>
      </c>
      <c r="P36" s="173">
        <v>75.099999999999994</v>
      </c>
      <c r="Q36" s="173">
        <v>70.900000000000006</v>
      </c>
      <c r="R36" s="173">
        <v>79.099999999999994</v>
      </c>
      <c r="S36" s="173">
        <v>22.6</v>
      </c>
      <c r="T36" s="173">
        <v>437.9</v>
      </c>
      <c r="U36" s="173">
        <v>557.6</v>
      </c>
      <c r="V36" s="173">
        <v>305.8</v>
      </c>
      <c r="W36" s="173">
        <v>23.5</v>
      </c>
      <c r="X36" s="173">
        <v>898.2</v>
      </c>
      <c r="Y36" s="173">
        <v>1.8</v>
      </c>
      <c r="Z36" s="173">
        <v>268.3</v>
      </c>
      <c r="AA36" s="173">
        <v>10.9</v>
      </c>
      <c r="AB36" s="173">
        <v>30.6</v>
      </c>
      <c r="AC36" s="173">
        <v>5</v>
      </c>
    </row>
    <row r="38" spans="2:29">
      <c r="B38" s="175" t="s">
        <v>955</v>
      </c>
      <c r="C38" s="326"/>
      <c r="D38" s="267"/>
    </row>
    <row r="39" spans="2:29">
      <c r="C39" s="267" t="s">
        <v>956</v>
      </c>
      <c r="D39" s="267" t="s">
        <v>957</v>
      </c>
    </row>
    <row r="40" spans="2:29">
      <c r="B40" s="165" t="s">
        <v>109</v>
      </c>
      <c r="C40" s="166">
        <f>SUM('2019 KESIS Energy Balance'!Z63:AE64)</f>
        <v>162.25</v>
      </c>
      <c r="D40" s="167">
        <f>C40/SUM($C$40:$C$42)</f>
        <v>0.53352756257645306</v>
      </c>
    </row>
    <row r="41" spans="2:29">
      <c r="B41" s="165" t="s">
        <v>958</v>
      </c>
      <c r="C41" s="166">
        <f>SUM('2019 KESIS Energy Balance'!AF63:AH64)</f>
        <v>84.221000000000004</v>
      </c>
      <c r="D41" s="167">
        <f>C41/SUM($C$40:$C$42)</f>
        <v>0.27694437502466229</v>
      </c>
    </row>
    <row r="42" spans="2:29">
      <c r="B42" s="165" t="s">
        <v>959</v>
      </c>
      <c r="C42" s="166">
        <f>SUM('2019 KESIS Energy Balance'!W63:Y64)</f>
        <v>57.636999999999993</v>
      </c>
      <c r="D42" s="167">
        <f>C42/SUM($C$40:$C$42)</f>
        <v>0.18952806239888459</v>
      </c>
    </row>
    <row r="44" spans="2:29">
      <c r="B44" s="175" t="s">
        <v>960</v>
      </c>
      <c r="C44" s="326"/>
      <c r="D44" s="267"/>
    </row>
    <row r="45" spans="2:29">
      <c r="C45" s="267" t="s">
        <v>956</v>
      </c>
      <c r="D45" s="267" t="s">
        <v>957</v>
      </c>
    </row>
    <row r="46" spans="2:29">
      <c r="B46" s="165" t="s">
        <v>109</v>
      </c>
      <c r="C46" s="166">
        <f>SUM('2022 Energy Balance'!Z63:AE64)</f>
        <v>169.16900000000001</v>
      </c>
      <c r="D46" s="167">
        <f>C46/SUM($C$40:$C$42)</f>
        <v>0.55627934812632363</v>
      </c>
    </row>
    <row r="47" spans="2:29">
      <c r="B47" s="165" t="s">
        <v>958</v>
      </c>
      <c r="C47" s="166">
        <f>SUM('2022 Energy Balance'!AF63:AH64)</f>
        <v>103.83099999999999</v>
      </c>
      <c r="D47" s="167">
        <f>C47/SUM($C$40:$C$42)</f>
        <v>0.34142804529969611</v>
      </c>
    </row>
    <row r="48" spans="2:29">
      <c r="B48" s="165" t="s">
        <v>959</v>
      </c>
      <c r="C48" s="166">
        <f>SUM('2022 Energy Balance'!W63:Y64)</f>
        <v>52.103000000000002</v>
      </c>
      <c r="D48" s="167">
        <f>C48/SUM($C$40:$C$42)</f>
        <v>0.17133057992555276</v>
      </c>
    </row>
  </sheetData>
  <mergeCells count="3">
    <mergeCell ref="B18:B19"/>
    <mergeCell ref="C18:C19"/>
    <mergeCell ref="D18:AC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77734375" customWidth="1"/>
    <col min="3" max="3" width="23.21875" bestFit="1" customWidth="1"/>
    <col min="4" max="4" width="18.33203125" bestFit="1" customWidth="1"/>
    <col min="5" max="6" width="12.33203125" customWidth="1"/>
    <col min="7" max="10" width="11.33203125" customWidth="1"/>
    <col min="11" max="35" width="18.33203125" bestFit="1" customWidth="1"/>
  </cols>
  <sheetData>
    <row r="1" spans="1:12" ht="21">
      <c r="B1" s="547" t="s">
        <v>1209</v>
      </c>
    </row>
    <row r="2" spans="1:12" s="352" customFormat="1" ht="17.399999999999999">
      <c r="B2" s="366" t="s">
        <v>1208</v>
      </c>
    </row>
    <row r="3" spans="1:12">
      <c r="C3" s="553" t="s">
        <v>1180</v>
      </c>
      <c r="D3" s="551" t="s">
        <v>1181</v>
      </c>
      <c r="E3" s="551" t="s">
        <v>1182</v>
      </c>
      <c r="F3" s="551" t="s">
        <v>1183</v>
      </c>
      <c r="G3" s="551" t="s">
        <v>1184</v>
      </c>
      <c r="H3" s="551" t="s">
        <v>1185</v>
      </c>
      <c r="I3" s="551" t="s">
        <v>1186</v>
      </c>
      <c r="J3" s="551" t="s">
        <v>1187</v>
      </c>
      <c r="K3" s="551"/>
    </row>
    <row r="4" spans="1:12">
      <c r="B4" s="276"/>
      <c r="C4" s="354" t="s">
        <v>1056</v>
      </c>
      <c r="D4" s="354" t="s">
        <v>1057</v>
      </c>
      <c r="E4" s="354" t="s">
        <v>1058</v>
      </c>
      <c r="F4" s="354" t="s">
        <v>1059</v>
      </c>
      <c r="G4" s="354" t="s">
        <v>1060</v>
      </c>
      <c r="H4" s="354" t="s">
        <v>1061</v>
      </c>
      <c r="I4" s="354" t="s">
        <v>1062</v>
      </c>
      <c r="J4" s="355" t="s">
        <v>207</v>
      </c>
      <c r="K4" s="357"/>
    </row>
    <row r="5" spans="1:12">
      <c r="A5" s="548" t="s">
        <v>1191</v>
      </c>
      <c r="B5" s="273" t="s">
        <v>1063</v>
      </c>
      <c r="C5" s="273">
        <v>20.6</v>
      </c>
      <c r="D5" s="368">
        <v>4569</v>
      </c>
      <c r="E5" s="358">
        <f>D5/$D$24</f>
        <v>0.27649016641452345</v>
      </c>
      <c r="F5" s="369">
        <f>C5*D5</f>
        <v>94121.400000000009</v>
      </c>
      <c r="G5" s="376">
        <v>0</v>
      </c>
      <c r="H5" s="376">
        <v>0</v>
      </c>
      <c r="I5" s="377">
        <v>1</v>
      </c>
      <c r="J5" s="378">
        <v>0</v>
      </c>
      <c r="K5" t="s">
        <v>1064</v>
      </c>
    </row>
    <row r="6" spans="1:12">
      <c r="A6" s="548" t="s">
        <v>1192</v>
      </c>
      <c r="B6" s="276" t="s">
        <v>1065</v>
      </c>
      <c r="C6" s="276">
        <v>19.399999999999999</v>
      </c>
      <c r="D6" s="371"/>
      <c r="E6" s="372"/>
      <c r="F6" s="371"/>
      <c r="G6" s="372"/>
      <c r="H6" s="372"/>
      <c r="I6" s="372"/>
      <c r="J6" s="373"/>
    </row>
    <row r="7" spans="1:12">
      <c r="A7" s="548" t="s">
        <v>1193</v>
      </c>
      <c r="B7" s="276" t="s">
        <v>1066</v>
      </c>
      <c r="C7" s="276">
        <v>35</v>
      </c>
      <c r="D7" s="371"/>
      <c r="E7" s="372"/>
      <c r="F7" s="371"/>
      <c r="G7" s="372"/>
      <c r="H7" s="372"/>
      <c r="I7" s="372"/>
      <c r="J7" s="373"/>
    </row>
    <row r="8" spans="1:12">
      <c r="A8" s="548" t="s">
        <v>1194</v>
      </c>
      <c r="B8" s="276" t="s">
        <v>1067</v>
      </c>
      <c r="C8" s="276">
        <v>62.6</v>
      </c>
      <c r="D8" s="371"/>
      <c r="E8" s="372"/>
      <c r="F8" s="371"/>
      <c r="G8" s="372"/>
      <c r="H8" s="372"/>
      <c r="I8" s="372"/>
      <c r="J8" s="374"/>
    </row>
    <row r="9" spans="1:12">
      <c r="A9" s="548" t="s">
        <v>1195</v>
      </c>
      <c r="B9" s="273" t="s">
        <v>1068</v>
      </c>
      <c r="C9" s="273">
        <v>1.9</v>
      </c>
      <c r="D9" s="368">
        <v>6742</v>
      </c>
      <c r="E9" s="358">
        <f>D9/$D$24</f>
        <v>0.40798789712556732</v>
      </c>
      <c r="F9" s="369">
        <f>C9*D9</f>
        <v>12809.8</v>
      </c>
      <c r="G9" s="378">
        <v>0.75</v>
      </c>
      <c r="H9" s="378">
        <v>0.25</v>
      </c>
      <c r="I9" s="378">
        <v>0</v>
      </c>
      <c r="J9" s="378">
        <v>0</v>
      </c>
    </row>
    <row r="10" spans="1:12">
      <c r="A10" s="548" t="s">
        <v>1196</v>
      </c>
      <c r="B10" s="276" t="s">
        <v>1069</v>
      </c>
      <c r="C10" s="276">
        <v>1.7</v>
      </c>
      <c r="D10" s="371"/>
      <c r="E10" s="372"/>
      <c r="F10" s="371">
        <f>C10*E10</f>
        <v>0</v>
      </c>
      <c r="G10" s="379">
        <v>0.75</v>
      </c>
      <c r="H10" s="379">
        <v>0.25</v>
      </c>
      <c r="I10" s="276">
        <v>0</v>
      </c>
      <c r="J10" s="276">
        <v>0</v>
      </c>
    </row>
    <row r="11" spans="1:12">
      <c r="A11" s="548" t="s">
        <v>1197</v>
      </c>
      <c r="B11" s="276" t="s">
        <v>1070</v>
      </c>
      <c r="C11" s="276">
        <v>9.6</v>
      </c>
      <c r="D11" s="371"/>
      <c r="E11" s="372"/>
      <c r="F11" s="371">
        <f>C11*E11</f>
        <v>0</v>
      </c>
      <c r="G11" s="379">
        <v>0.75</v>
      </c>
      <c r="H11" s="379">
        <v>0.25</v>
      </c>
      <c r="I11" s="276">
        <v>0</v>
      </c>
      <c r="J11" s="276">
        <v>0</v>
      </c>
    </row>
    <row r="12" spans="1:12">
      <c r="A12" s="548" t="s">
        <v>1198</v>
      </c>
      <c r="B12" s="273" t="s">
        <v>1071</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48" t="s">
        <v>1199</v>
      </c>
      <c r="B13" s="276" t="s">
        <v>1072</v>
      </c>
      <c r="C13" s="276">
        <v>8.6</v>
      </c>
      <c r="D13" s="371"/>
      <c r="E13" s="372"/>
      <c r="F13" s="371">
        <f>C13*E13</f>
        <v>0</v>
      </c>
      <c r="G13" s="379">
        <v>0.76</v>
      </c>
      <c r="H13" s="379">
        <v>0.22</v>
      </c>
      <c r="I13" s="379">
        <v>0.01</v>
      </c>
      <c r="J13" s="379">
        <v>0.01</v>
      </c>
    </row>
    <row r="14" spans="1:12">
      <c r="A14" s="548" t="s">
        <v>1200</v>
      </c>
      <c r="B14" s="276" t="s">
        <v>1073</v>
      </c>
      <c r="C14" s="276">
        <v>13.4</v>
      </c>
      <c r="D14" s="371"/>
      <c r="E14" s="372"/>
      <c r="F14" s="371">
        <f>C14*E14</f>
        <v>0</v>
      </c>
      <c r="G14" s="379">
        <v>0.86</v>
      </c>
      <c r="H14" s="379">
        <v>0.12</v>
      </c>
      <c r="I14" s="379">
        <v>0</v>
      </c>
      <c r="J14" s="379">
        <v>0.02</v>
      </c>
      <c r="L14" s="551"/>
    </row>
    <row r="15" spans="1:12">
      <c r="A15" s="548" t="s">
        <v>1201</v>
      </c>
      <c r="B15" s="273" t="s">
        <v>1074</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1064</v>
      </c>
      <c r="L15" s="548" t="s">
        <v>1188</v>
      </c>
    </row>
    <row r="16" spans="1:12">
      <c r="A16" s="548" t="s">
        <v>1202</v>
      </c>
      <c r="B16" s="276" t="s">
        <v>1075</v>
      </c>
      <c r="C16" s="276">
        <v>24.4</v>
      </c>
      <c r="D16" s="371"/>
      <c r="E16" s="372"/>
      <c r="F16" s="371">
        <f>C16*E16</f>
        <v>0</v>
      </c>
      <c r="G16" s="379">
        <f>1-I16</f>
        <v>0.43000000000000005</v>
      </c>
      <c r="H16" s="276">
        <v>0</v>
      </c>
      <c r="I16" s="379">
        <v>0.56999999999999995</v>
      </c>
      <c r="J16" s="276">
        <v>0</v>
      </c>
      <c r="L16" s="549"/>
    </row>
    <row r="17" spans="1:12">
      <c r="A17" s="548" t="s">
        <v>1203</v>
      </c>
      <c r="B17" s="276" t="s">
        <v>1076</v>
      </c>
      <c r="C17" s="276">
        <v>20</v>
      </c>
      <c r="D17" s="371"/>
      <c r="E17" s="372"/>
      <c r="F17" s="371">
        <f>C17*E17</f>
        <v>0</v>
      </c>
      <c r="G17" s="379">
        <v>0.77</v>
      </c>
      <c r="H17" s="276">
        <v>0</v>
      </c>
      <c r="I17" s="379">
        <f>1-G17</f>
        <v>0.22999999999999998</v>
      </c>
      <c r="J17" s="276">
        <v>0</v>
      </c>
      <c r="L17" s="551"/>
    </row>
    <row r="18" spans="1:12">
      <c r="A18" s="548" t="s">
        <v>1204</v>
      </c>
      <c r="B18" s="273" t="s">
        <v>1077</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1078</v>
      </c>
      <c r="L18" s="548" t="s">
        <v>1189</v>
      </c>
    </row>
    <row r="19" spans="1:12">
      <c r="A19" s="548" t="s">
        <v>1205</v>
      </c>
      <c r="B19" s="276" t="s">
        <v>1079</v>
      </c>
      <c r="C19" s="276">
        <v>21.6</v>
      </c>
      <c r="D19" s="371"/>
      <c r="E19" s="372"/>
      <c r="F19" s="371">
        <f>C19*E19</f>
        <v>0</v>
      </c>
      <c r="G19" s="372"/>
      <c r="H19" s="372"/>
      <c r="I19" s="372"/>
      <c r="J19" s="372"/>
      <c r="L19" s="551"/>
    </row>
    <row r="20" spans="1:12">
      <c r="A20" s="548" t="s">
        <v>1206</v>
      </c>
      <c r="B20" s="276" t="s">
        <v>1080</v>
      </c>
      <c r="C20" s="276">
        <v>58.3</v>
      </c>
      <c r="D20" s="371"/>
      <c r="E20" s="372"/>
      <c r="F20" s="371">
        <f>C20*E20</f>
        <v>0</v>
      </c>
      <c r="G20" s="372"/>
      <c r="H20" s="372"/>
      <c r="I20" s="372"/>
      <c r="J20" s="372"/>
      <c r="L20" s="554"/>
    </row>
    <row r="21" spans="1:12">
      <c r="A21" s="548" t="s">
        <v>1207</v>
      </c>
      <c r="B21" s="273" t="s">
        <v>1081</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1082</v>
      </c>
      <c r="L21" s="550" t="s">
        <v>1190</v>
      </c>
    </row>
    <row r="22" spans="1:12">
      <c r="A22" s="548" t="s">
        <v>1205</v>
      </c>
      <c r="B22" s="276" t="s">
        <v>1079</v>
      </c>
      <c r="C22" s="276">
        <v>10.6</v>
      </c>
      <c r="D22" s="371"/>
      <c r="E22" s="372"/>
      <c r="F22" s="371">
        <f>C22*E22</f>
        <v>0</v>
      </c>
      <c r="G22" s="372"/>
      <c r="H22" s="372"/>
      <c r="I22" s="372"/>
      <c r="J22" s="372"/>
      <c r="L22" s="551"/>
    </row>
    <row r="23" spans="1:12">
      <c r="A23" s="548" t="s">
        <v>1206</v>
      </c>
      <c r="B23" s="276" t="s">
        <v>1080</v>
      </c>
      <c r="C23" s="276">
        <v>16</v>
      </c>
      <c r="D23" s="371"/>
      <c r="E23" s="372"/>
      <c r="F23" s="371">
        <f>C23*E23</f>
        <v>0</v>
      </c>
      <c r="G23" s="372"/>
      <c r="H23" s="372"/>
      <c r="I23" s="372"/>
      <c r="J23" s="372"/>
    </row>
    <row r="24" spans="1:12" s="353" customFormat="1">
      <c r="B24" s="356" t="s">
        <v>1083</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s="558" customFormat="1">
      <c r="B25" s="559"/>
      <c r="C25" s="559"/>
      <c r="D25" s="560"/>
      <c r="E25" s="559"/>
      <c r="F25" s="559"/>
      <c r="G25" s="561"/>
      <c r="H25" s="561"/>
      <c r="I25" s="561"/>
      <c r="J25" s="561"/>
    </row>
    <row r="26" spans="1:12" s="558" customFormat="1">
      <c r="B26" s="559"/>
      <c r="C26" s="559"/>
      <c r="D26" s="560"/>
      <c r="E26" s="559"/>
      <c r="F26" s="559"/>
      <c r="G26" s="561"/>
      <c r="H26" s="561"/>
      <c r="I26" s="561"/>
      <c r="J26" s="561"/>
    </row>
    <row r="27" spans="1:12" ht="21">
      <c r="B27" s="552" t="s">
        <v>1213</v>
      </c>
    </row>
    <row r="28" spans="1:12" s="352" customFormat="1">
      <c r="B28" s="366" t="s">
        <v>1084</v>
      </c>
    </row>
    <row r="30" spans="1:12">
      <c r="B30" s="276" t="s">
        <v>1085</v>
      </c>
      <c r="C30" s="351">
        <v>250.2</v>
      </c>
    </row>
    <row r="31" spans="1:12">
      <c r="B31" s="276" t="s">
        <v>115</v>
      </c>
      <c r="C31" s="389">
        <f>C30*About!$C$89/1000</f>
        <v>9922098411162</v>
      </c>
    </row>
    <row r="32" spans="1:12">
      <c r="B32" s="555"/>
      <c r="C32" s="556"/>
    </row>
    <row r="33" spans="1:35">
      <c r="B33" s="555"/>
      <c r="C33" s="556"/>
    </row>
    <row r="34" spans="1:35">
      <c r="B34" s="555"/>
      <c r="C34" s="556"/>
    </row>
    <row r="35" spans="1:35" ht="21">
      <c r="B35" s="552" t="s">
        <v>1210</v>
      </c>
    </row>
    <row r="36" spans="1:35" s="352" customFormat="1" ht="17.399999999999999">
      <c r="B36" s="366" t="s">
        <v>1086</v>
      </c>
    </row>
    <row r="37" spans="1:35" s="383" customFormat="1">
      <c r="B37" s="382"/>
      <c r="C37" s="551" t="s">
        <v>1184</v>
      </c>
      <c r="D37" s="551" t="s">
        <v>1185</v>
      </c>
      <c r="E37" s="551" t="s">
        <v>1186</v>
      </c>
      <c r="F37" s="551" t="s">
        <v>1187</v>
      </c>
    </row>
    <row r="38" spans="1:35">
      <c r="C38" s="354" t="s">
        <v>1060</v>
      </c>
      <c r="D38" s="354" t="s">
        <v>1061</v>
      </c>
      <c r="E38" s="354" t="s">
        <v>1062</v>
      </c>
      <c r="F38" s="355" t="s">
        <v>207</v>
      </c>
    </row>
    <row r="39" spans="1:35">
      <c r="C39" s="370">
        <f>$C$31*G24</f>
        <v>4045876208827.2358</v>
      </c>
      <c r="D39" s="370">
        <f>$C$31*H24</f>
        <v>355104243554.70099</v>
      </c>
      <c r="E39" s="370">
        <f>$C$31*I24</f>
        <v>5495556628960.9014</v>
      </c>
      <c r="F39" s="370">
        <f>$C$31*J24</f>
        <v>25561329819.162663</v>
      </c>
    </row>
    <row r="40" spans="1:35">
      <c r="C40" s="557"/>
      <c r="D40" s="557"/>
      <c r="E40" s="557"/>
      <c r="F40" s="557"/>
    </row>
    <row r="41" spans="1:35" ht="21">
      <c r="B41" s="547" t="s">
        <v>1211</v>
      </c>
    </row>
    <row r="42" spans="1:35" s="352" customFormat="1" ht="17.399999999999999">
      <c r="B42" s="366" t="s">
        <v>1087</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48" t="s">
        <v>1212</v>
      </c>
      <c r="B45" s="363" t="s">
        <v>1088</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1089</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1062</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4.4"/>
  <cols>
    <col min="1" max="1" width="29.77734375" customWidth="1"/>
    <col min="2" max="2" width="11.77734375" bestFit="1" customWidth="1"/>
    <col min="6" max="6" width="8.77734375"/>
  </cols>
  <sheetData>
    <row r="1" spans="1:33">
      <c r="A1" t="s">
        <v>1090</v>
      </c>
      <c r="B1" t="s">
        <v>1091</v>
      </c>
      <c r="C1" t="s">
        <v>1092</v>
      </c>
      <c r="D1">
        <v>2019</v>
      </c>
    </row>
    <row r="3" spans="1:33" ht="43.2">
      <c r="B3" s="403" t="s">
        <v>1093</v>
      </c>
      <c r="C3" s="403" t="s">
        <v>1094</v>
      </c>
      <c r="D3" s="403" t="s">
        <v>1095</v>
      </c>
      <c r="E3" s="403" t="s">
        <v>1096</v>
      </c>
      <c r="F3" s="403"/>
      <c r="G3" s="403" t="s">
        <v>1097</v>
      </c>
    </row>
    <row r="4" spans="1:33">
      <c r="A4" t="s">
        <v>1098</v>
      </c>
      <c r="B4">
        <v>229305</v>
      </c>
      <c r="C4">
        <v>57226</v>
      </c>
      <c r="D4">
        <v>381380</v>
      </c>
      <c r="E4">
        <v>20813</v>
      </c>
      <c r="G4">
        <v>242421</v>
      </c>
    </row>
    <row r="5" spans="1:33">
      <c r="A5" t="s">
        <v>1099</v>
      </c>
      <c r="B5">
        <f>B4*$B$7</f>
        <v>217339177185000</v>
      </c>
      <c r="C5">
        <f t="shared" ref="C5:G5" si="0">C4*$B$7</f>
        <v>54239775642000</v>
      </c>
      <c r="D5">
        <f t="shared" si="0"/>
        <v>361478447460000</v>
      </c>
      <c r="E5">
        <f t="shared" si="0"/>
        <v>19726915221000</v>
      </c>
      <c r="G5">
        <f t="shared" si="0"/>
        <v>229770744957000</v>
      </c>
    </row>
    <row r="7" spans="1:33">
      <c r="A7" t="s">
        <v>1100</v>
      </c>
      <c r="B7">
        <f>947817000</f>
        <v>947817000</v>
      </c>
    </row>
    <row r="9" spans="1:33">
      <c r="A9" s="1" t="s">
        <v>1101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1102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1103</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1104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1102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1103</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1105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1102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1103</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1106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1102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1103</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1107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1102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1103</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511">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511">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77734375" customWidth="1"/>
    <col min="2" max="2" width="13.21875" customWidth="1"/>
    <col min="3" max="33" width="10.554687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85</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88</v>
      </c>
      <c r="B25" s="516">
        <f>'Water and Waste'!E48</f>
        <v>5506553237775.4502</v>
      </c>
      <c r="C25" s="516">
        <f>'Water and Waste'!F48</f>
        <v>5512059791013.2246</v>
      </c>
      <c r="D25" s="516">
        <f>'Water and Waste'!G48</f>
        <v>5517571850804.2373</v>
      </c>
      <c r="E25" s="516">
        <f>'Water and Waste'!H48</f>
        <v>5523089422655.041</v>
      </c>
      <c r="F25" s="516">
        <f>'Water and Waste'!I48</f>
        <v>5528612512077.6953</v>
      </c>
      <c r="G25" s="516">
        <f>'Water and Waste'!J48</f>
        <v>5534141124589.7725</v>
      </c>
      <c r="H25" s="516">
        <f>'Water and Waste'!K48</f>
        <v>5539675265714.3613</v>
      </c>
      <c r="I25" s="516">
        <f>'Water and Waste'!L48</f>
        <v>5545214940980.0752</v>
      </c>
      <c r="J25" s="516">
        <f>'Water and Waste'!M48</f>
        <v>5550760155921.0547</v>
      </c>
      <c r="K25" s="516">
        <f>'Water and Waste'!N48</f>
        <v>5556310916076.9756</v>
      </c>
      <c r="L25" s="516">
        <f>'Water and Waste'!O48</f>
        <v>5561867226993.0518</v>
      </c>
      <c r="M25" s="516">
        <f>'Water and Waste'!P48</f>
        <v>5567429094220.0439</v>
      </c>
      <c r="N25" s="516">
        <f>'Water and Waste'!Q48</f>
        <v>5572996523314.2637</v>
      </c>
      <c r="O25" s="516">
        <f>'Water and Waste'!R48</f>
        <v>5578569519837.5771</v>
      </c>
      <c r="P25" s="516">
        <f>'Water and Waste'!S48</f>
        <v>5584148089357.4141</v>
      </c>
      <c r="Q25" s="516">
        <f>'Water and Waste'!T48</f>
        <v>5589732237446.7705</v>
      </c>
      <c r="R25" s="516">
        <f>'Water and Waste'!U48</f>
        <v>5595321969684.2168</v>
      </c>
      <c r="S25" s="516">
        <f>'Water and Waste'!V48</f>
        <v>5600917291653.9004</v>
      </c>
      <c r="T25" s="516">
        <f>'Water and Waste'!W48</f>
        <v>5606518208945.5537</v>
      </c>
      <c r="U25" s="516">
        <f>'Water and Waste'!X48</f>
        <v>5612124727154.499</v>
      </c>
      <c r="V25" s="516">
        <f>'Water and Waste'!Y48</f>
        <v>5617736851881.6533</v>
      </c>
      <c r="W25" s="516">
        <f>'Water and Waste'!Z48</f>
        <v>5589648167622.2451</v>
      </c>
      <c r="X25" s="516">
        <f>'Water and Waste'!AA48</f>
        <v>5561699926784.1338</v>
      </c>
      <c r="Y25" s="516">
        <f>'Water and Waste'!AB48</f>
        <v>5533891427150.2129</v>
      </c>
      <c r="Z25" s="516">
        <f>'Water and Waste'!AC48</f>
        <v>5506221970014.4619</v>
      </c>
      <c r="AA25" s="516">
        <f>'Water and Waste'!AD48</f>
        <v>5478690860164.3896</v>
      </c>
      <c r="AB25" s="516">
        <f>'Water and Waste'!AE48</f>
        <v>5451297405863.5674</v>
      </c>
      <c r="AC25" s="516">
        <f>'Water and Waste'!AF48</f>
        <v>5424040918834.25</v>
      </c>
      <c r="AD25" s="516">
        <f>'Water and Waste'!AG48</f>
        <v>5396920714240.0791</v>
      </c>
      <c r="AE25" s="516">
        <f>'Water and Waste'!AH48</f>
        <v>5369936110668.8789</v>
      </c>
      <c r="AF25" s="516">
        <f>'Water and Waste'!AI48</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77734375" customWidth="1"/>
    <col min="2" max="16" width="11.44140625" customWidth="1"/>
    <col min="17" max="17" width="13.33203125" customWidth="1"/>
    <col min="18" max="33" width="11.4414062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77734375" customWidth="1"/>
    <col min="2" max="33" width="11.7773437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50</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54</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Split'!$D$40</f>
        <v>0</v>
      </c>
      <c r="C18" s="16">
        <f>'KEEI BAU - Industry'!S$35*'Machinery Split'!$I6*'Machinery Split'!$D$40</f>
        <v>0</v>
      </c>
      <c r="D18" s="16">
        <f>'KEEI BAU - Industry'!T$35*'Machinery Split'!$I6*'Machinery Split'!$D$40</f>
        <v>0</v>
      </c>
      <c r="E18" s="16">
        <f>'KEEI BAU - Industry'!U$35*'Machinery Split'!$I6*'Machinery Split'!$D$40</f>
        <v>0</v>
      </c>
      <c r="F18" s="16">
        <f>'KEEI BAU - Industry'!V$35*'Machinery Split'!$I6*'Machinery Split'!$D$40</f>
        <v>0</v>
      </c>
      <c r="G18" s="16">
        <f>'KEEI BAU - Industry'!W$35*'Machinery Split'!$I6*'Machinery Split'!$D$40</f>
        <v>0</v>
      </c>
      <c r="H18" s="16">
        <f>'KEEI BAU - Industry'!X$35*'Machinery Split'!$I6*'Machinery Split'!$D$40</f>
        <v>0</v>
      </c>
      <c r="I18" s="16">
        <f>'KEEI BAU - Industry'!Y$35*'Machinery Split'!$I6*'Machinery Split'!$D$40</f>
        <v>0</v>
      </c>
      <c r="J18" s="16">
        <f>'KEEI BAU - Industry'!Z$35*'Machinery Split'!$I6*'Machinery Split'!$D$40</f>
        <v>0</v>
      </c>
      <c r="K18" s="16">
        <f>'KEEI BAU - Industry'!AA$35*'Machinery Split'!$I6*'Machinery Split'!$D$40</f>
        <v>0</v>
      </c>
      <c r="L18" s="16">
        <f>'KEEI BAU - Industry'!AB$35*'Machinery Split'!$I6*'Machinery Split'!$D$40</f>
        <v>0</v>
      </c>
      <c r="M18" s="16">
        <f>'KEEI BAU - Industry'!AC$35*'Machinery Split'!$I6*'Machinery Split'!$D$40</f>
        <v>0</v>
      </c>
      <c r="N18" s="16">
        <f>'KEEI BAU - Industry'!AD$35*'Machinery Split'!$I6*'Machinery Split'!$D$40</f>
        <v>0</v>
      </c>
      <c r="O18" s="16">
        <f>'KEEI BAU - Industry'!AE$35*'Machinery Split'!$I6*'Machinery Split'!$D$40</f>
        <v>0</v>
      </c>
      <c r="P18" s="16">
        <f>'KEEI BAU - Industry'!AF$35*'Machinery Split'!$I6*'Machinery Split'!$D$40</f>
        <v>0</v>
      </c>
      <c r="Q18" s="16">
        <f>'KEEI BAU - Industry'!AG$35*'Machinery Split'!$I6*'Machinery Split'!$D$40</f>
        <v>0</v>
      </c>
      <c r="R18" s="16">
        <f>'KEEI BAU - Industry'!AH$35*'Machinery Split'!$I6*'Machinery Split'!$D$40</f>
        <v>0</v>
      </c>
      <c r="S18" s="16">
        <f>'KEEI BAU - Industry'!AI$35*'Machinery Split'!$I6*'Machinery Split'!$D$40</f>
        <v>0</v>
      </c>
      <c r="T18" s="16">
        <f>'KEEI BAU - Industry'!AJ$35*'Machinery Split'!$I6*'Machinery Split'!$D$40</f>
        <v>0</v>
      </c>
      <c r="U18" s="16">
        <f>'KEEI BAU - Industry'!AK$35*'Machinery Split'!$I6*'Machinery Split'!$D$40</f>
        <v>0</v>
      </c>
      <c r="V18" s="16">
        <f>'KEEI BAU - Industry'!AL$35*'Machinery Split'!$I6*'Machinery Split'!$D$40</f>
        <v>0</v>
      </c>
      <c r="W18" s="16">
        <f>'KEEI BAU - Industry'!AM$35*'Machinery Split'!$I6*'Machinery Split'!$D$40</f>
        <v>0</v>
      </c>
      <c r="X18" s="16">
        <f>'KEEI BAU - Industry'!AN$35*'Machinery Split'!$I6*'Machinery Split'!$D$40</f>
        <v>0</v>
      </c>
      <c r="Y18" s="16">
        <f>'KEEI BAU - Industry'!AO$35*'Machinery Split'!$I6*'Machinery Split'!$D$40</f>
        <v>0</v>
      </c>
      <c r="Z18" s="16">
        <f>'KEEI BAU - Industry'!AP$35*'Machinery Split'!$I6*'Machinery Split'!$D$40</f>
        <v>0</v>
      </c>
      <c r="AA18" s="16">
        <f>'KEEI BAU - Industry'!AQ$35*'Machinery Split'!$I6*'Machinery Split'!$D$40</f>
        <v>0</v>
      </c>
      <c r="AB18" s="16">
        <f>'KEEI BAU - Industry'!AR$35*'Machinery Split'!$I6*'Machinery Split'!$D$40</f>
        <v>0</v>
      </c>
      <c r="AC18" s="16">
        <f>'KEEI BAU - Industry'!AS$35*'Machinery Split'!$I6*'Machinery Split'!$D$40</f>
        <v>0</v>
      </c>
      <c r="AD18" s="16">
        <f>'KEEI BAU - Industry'!AT$35*'Machinery Split'!$I6*'Machinery Split'!$D$40</f>
        <v>0</v>
      </c>
      <c r="AE18" s="16">
        <f>'KEEI BAU - Industry'!AU$35*'Machinery Split'!$I6*'Machinery Split'!$D$40</f>
        <v>0</v>
      </c>
      <c r="AF18" s="16">
        <f>'KEEI BAU - Industry'!AV$35*'Machinery Split'!$I6*'Machinery Split'!$D$40</f>
        <v>0</v>
      </c>
    </row>
    <row r="19" spans="1:33">
      <c r="A19" t="s">
        <v>74</v>
      </c>
      <c r="B19" s="16">
        <f>'KEEI BAU - Industry'!R$35*'Machinery Split'!$I7*'Machinery Split'!$D$40</f>
        <v>0</v>
      </c>
      <c r="C19" s="16">
        <f>'KEEI BAU - Industry'!S$35*'Machinery Split'!$I7*'Machinery Split'!$D$40</f>
        <v>0</v>
      </c>
      <c r="D19" s="16">
        <f>'KEEI BAU - Industry'!T$35*'Machinery Split'!$I7*'Machinery Split'!$D$40</f>
        <v>0</v>
      </c>
      <c r="E19" s="16">
        <f>'KEEI BAU - Industry'!U$35*'Machinery Split'!$I7*'Machinery Split'!$D$40</f>
        <v>0</v>
      </c>
      <c r="F19" s="16">
        <f>'KEEI BAU - Industry'!V$35*'Machinery Split'!$I7*'Machinery Split'!$D$40</f>
        <v>0</v>
      </c>
      <c r="G19" s="16">
        <f>'KEEI BAU - Industry'!W$35*'Machinery Split'!$I7*'Machinery Split'!$D$40</f>
        <v>0</v>
      </c>
      <c r="H19" s="16">
        <f>'KEEI BAU - Industry'!X$35*'Machinery Split'!$I7*'Machinery Split'!$D$40</f>
        <v>0</v>
      </c>
      <c r="I19" s="16">
        <f>'KEEI BAU - Industry'!Y$35*'Machinery Split'!$I7*'Machinery Split'!$D$40</f>
        <v>0</v>
      </c>
      <c r="J19" s="16">
        <f>'KEEI BAU - Industry'!Z$35*'Machinery Split'!$I7*'Machinery Split'!$D$40</f>
        <v>0</v>
      </c>
      <c r="K19" s="16">
        <f>'KEEI BAU - Industry'!AA$35*'Machinery Split'!$I7*'Machinery Split'!$D$40</f>
        <v>0</v>
      </c>
      <c r="L19" s="16">
        <f>'KEEI BAU - Industry'!AB$35*'Machinery Split'!$I7*'Machinery Split'!$D$40</f>
        <v>0</v>
      </c>
      <c r="M19" s="16">
        <f>'KEEI BAU - Industry'!AC$35*'Machinery Split'!$I7*'Machinery Split'!$D$40</f>
        <v>0</v>
      </c>
      <c r="N19" s="16">
        <f>'KEEI BAU - Industry'!AD$35*'Machinery Split'!$I7*'Machinery Split'!$D$40</f>
        <v>0</v>
      </c>
      <c r="O19" s="16">
        <f>'KEEI BAU - Industry'!AE$35*'Machinery Split'!$I7*'Machinery Split'!$D$40</f>
        <v>0</v>
      </c>
      <c r="P19" s="16">
        <f>'KEEI BAU - Industry'!AF$35*'Machinery Split'!$I7*'Machinery Split'!$D$40</f>
        <v>0</v>
      </c>
      <c r="Q19" s="16">
        <f>'KEEI BAU - Industry'!AG$35*'Machinery Split'!$I7*'Machinery Split'!$D$40</f>
        <v>0</v>
      </c>
      <c r="R19" s="16">
        <f>'KEEI BAU - Industry'!AH$35*'Machinery Split'!$I7*'Machinery Split'!$D$40</f>
        <v>0</v>
      </c>
      <c r="S19" s="16">
        <f>'KEEI BAU - Industry'!AI$35*'Machinery Split'!$I7*'Machinery Split'!$D$40</f>
        <v>0</v>
      </c>
      <c r="T19" s="16">
        <f>'KEEI BAU - Industry'!AJ$35*'Machinery Split'!$I7*'Machinery Split'!$D$40</f>
        <v>0</v>
      </c>
      <c r="U19" s="16">
        <f>'KEEI BAU - Industry'!AK$35*'Machinery Split'!$I7*'Machinery Split'!$D$40</f>
        <v>0</v>
      </c>
      <c r="V19" s="16">
        <f>'KEEI BAU - Industry'!AL$35*'Machinery Split'!$I7*'Machinery Split'!$D$40</f>
        <v>0</v>
      </c>
      <c r="W19" s="16">
        <f>'KEEI BAU - Industry'!AM$35*'Machinery Split'!$I7*'Machinery Split'!$D$40</f>
        <v>0</v>
      </c>
      <c r="X19" s="16">
        <f>'KEEI BAU - Industry'!AN$35*'Machinery Split'!$I7*'Machinery Split'!$D$40</f>
        <v>0</v>
      </c>
      <c r="Y19" s="16">
        <f>'KEEI BAU - Industry'!AO$35*'Machinery Split'!$I7*'Machinery Split'!$D$40</f>
        <v>0</v>
      </c>
      <c r="Z19" s="16">
        <f>'KEEI BAU - Industry'!AP$35*'Machinery Split'!$I7*'Machinery Split'!$D$40</f>
        <v>0</v>
      </c>
      <c r="AA19" s="16">
        <f>'KEEI BAU - Industry'!AQ$35*'Machinery Split'!$I7*'Machinery Split'!$D$40</f>
        <v>0</v>
      </c>
      <c r="AB19" s="16">
        <f>'KEEI BAU - Industry'!AR$35*'Machinery Split'!$I7*'Machinery Split'!$D$40</f>
        <v>0</v>
      </c>
      <c r="AC19" s="16">
        <f>'KEEI BAU - Industry'!AS$35*'Machinery Split'!$I7*'Machinery Split'!$D$40</f>
        <v>0</v>
      </c>
      <c r="AD19" s="16">
        <f>'KEEI BAU - Industry'!AT$35*'Machinery Split'!$I7*'Machinery Split'!$D$40</f>
        <v>0</v>
      </c>
      <c r="AE19" s="16">
        <f>'KEEI BAU - Industry'!AU$35*'Machinery Split'!$I7*'Machinery Split'!$D$40</f>
        <v>0</v>
      </c>
      <c r="AF19" s="16">
        <f>'KEEI BAU - Industry'!AV$35*'Machinery Split'!$I7*'Machinery Split'!$D$40</f>
        <v>0</v>
      </c>
    </row>
    <row r="20" spans="1:33">
      <c r="A20" t="s">
        <v>76</v>
      </c>
      <c r="B20" s="16">
        <f>'KEEI BAU - Industry'!R$35*'Machinery Split'!$I8*'Machinery Split'!$D$40</f>
        <v>0</v>
      </c>
      <c r="C20" s="16">
        <f>'KEEI BAU - Industry'!S$35*'Machinery Split'!$I8*'Machinery Split'!$D$40</f>
        <v>0</v>
      </c>
      <c r="D20" s="16">
        <f>'KEEI BAU - Industry'!T$35*'Machinery Split'!$I8*'Machinery Split'!$D$40</f>
        <v>0</v>
      </c>
      <c r="E20" s="16">
        <f>'KEEI BAU - Industry'!U$35*'Machinery Split'!$I8*'Machinery Split'!$D$40</f>
        <v>0</v>
      </c>
      <c r="F20" s="16">
        <f>'KEEI BAU - Industry'!V$35*'Machinery Split'!$I8*'Machinery Split'!$D$40</f>
        <v>0</v>
      </c>
      <c r="G20" s="16">
        <f>'KEEI BAU - Industry'!W$35*'Machinery Split'!$I8*'Machinery Split'!$D$40</f>
        <v>0</v>
      </c>
      <c r="H20" s="16">
        <f>'KEEI BAU - Industry'!X$35*'Machinery Split'!$I8*'Machinery Split'!$D$40</f>
        <v>0</v>
      </c>
      <c r="I20" s="16">
        <f>'KEEI BAU - Industry'!Y$35*'Machinery Split'!$I8*'Machinery Split'!$D$40</f>
        <v>0</v>
      </c>
      <c r="J20" s="16">
        <f>'KEEI BAU - Industry'!Z$35*'Machinery Split'!$I8*'Machinery Split'!$D$40</f>
        <v>0</v>
      </c>
      <c r="K20" s="16">
        <f>'KEEI BAU - Industry'!AA$35*'Machinery Split'!$I8*'Machinery Split'!$D$40</f>
        <v>0</v>
      </c>
      <c r="L20" s="16">
        <f>'KEEI BAU - Industry'!AB$35*'Machinery Split'!$I8*'Machinery Split'!$D$40</f>
        <v>0</v>
      </c>
      <c r="M20" s="16">
        <f>'KEEI BAU - Industry'!AC$35*'Machinery Split'!$I8*'Machinery Split'!$D$40</f>
        <v>0</v>
      </c>
      <c r="N20" s="16">
        <f>'KEEI BAU - Industry'!AD$35*'Machinery Split'!$I8*'Machinery Split'!$D$40</f>
        <v>0</v>
      </c>
      <c r="O20" s="16">
        <f>'KEEI BAU - Industry'!AE$35*'Machinery Split'!$I8*'Machinery Split'!$D$40</f>
        <v>0</v>
      </c>
      <c r="P20" s="16">
        <f>'KEEI BAU - Industry'!AF$35*'Machinery Split'!$I8*'Machinery Split'!$D$40</f>
        <v>0</v>
      </c>
      <c r="Q20" s="16">
        <f>'KEEI BAU - Industry'!AG$35*'Machinery Split'!$I8*'Machinery Split'!$D$40</f>
        <v>0</v>
      </c>
      <c r="R20" s="16">
        <f>'KEEI BAU - Industry'!AH$35*'Machinery Split'!$I8*'Machinery Split'!$D$40</f>
        <v>0</v>
      </c>
      <c r="S20" s="16">
        <f>'KEEI BAU - Industry'!AI$35*'Machinery Split'!$I8*'Machinery Split'!$D$40</f>
        <v>0</v>
      </c>
      <c r="T20" s="16">
        <f>'KEEI BAU - Industry'!AJ$35*'Machinery Split'!$I8*'Machinery Split'!$D$40</f>
        <v>0</v>
      </c>
      <c r="U20" s="16">
        <f>'KEEI BAU - Industry'!AK$35*'Machinery Split'!$I8*'Machinery Split'!$D$40</f>
        <v>0</v>
      </c>
      <c r="V20" s="16">
        <f>'KEEI BAU - Industry'!AL$35*'Machinery Split'!$I8*'Machinery Split'!$D$40</f>
        <v>0</v>
      </c>
      <c r="W20" s="16">
        <f>'KEEI BAU - Industry'!AM$35*'Machinery Split'!$I8*'Machinery Split'!$D$40</f>
        <v>0</v>
      </c>
      <c r="X20" s="16">
        <f>'KEEI BAU - Industry'!AN$35*'Machinery Split'!$I8*'Machinery Split'!$D$40</f>
        <v>0</v>
      </c>
      <c r="Y20" s="16">
        <f>'KEEI BAU - Industry'!AO$35*'Machinery Split'!$I8*'Machinery Split'!$D$40</f>
        <v>0</v>
      </c>
      <c r="Z20" s="16">
        <f>'KEEI BAU - Industry'!AP$35*'Machinery Split'!$I8*'Machinery Split'!$D$40</f>
        <v>0</v>
      </c>
      <c r="AA20" s="16">
        <f>'KEEI BAU - Industry'!AQ$35*'Machinery Split'!$I8*'Machinery Split'!$D$40</f>
        <v>0</v>
      </c>
      <c r="AB20" s="16">
        <f>'KEEI BAU - Industry'!AR$35*'Machinery Split'!$I8*'Machinery Split'!$D$40</f>
        <v>0</v>
      </c>
      <c r="AC20" s="16">
        <f>'KEEI BAU - Industry'!AS$35*'Machinery Split'!$I8*'Machinery Split'!$D$40</f>
        <v>0</v>
      </c>
      <c r="AD20" s="16">
        <f>'KEEI BAU - Industry'!AT$35*'Machinery Split'!$I8*'Machinery Split'!$D$40</f>
        <v>0</v>
      </c>
      <c r="AE20" s="16">
        <f>'KEEI BAU - Industry'!AU$35*'Machinery Split'!$I8*'Machinery Split'!$D$40</f>
        <v>0</v>
      </c>
      <c r="AF20" s="16">
        <f>'KEEI BAU - Industry'!AV$35*'Machinery Split'!$I8*'Machinery Split'!$D$40</f>
        <v>0</v>
      </c>
    </row>
    <row r="21" spans="1:33">
      <c r="A21" t="s">
        <v>78</v>
      </c>
      <c r="B21" s="16">
        <f>'KEEI BAU - Industry'!R$35*'Machinery Split'!$I9*'Machinery Split'!$D$40</f>
        <v>0</v>
      </c>
      <c r="C21" s="16">
        <f>'KEEI BAU - Industry'!S$35*'Machinery Split'!$I9*'Machinery Split'!$D$40</f>
        <v>0</v>
      </c>
      <c r="D21" s="16">
        <f>'KEEI BAU - Industry'!T$35*'Machinery Split'!$I9*'Machinery Split'!$D$40</f>
        <v>0</v>
      </c>
      <c r="E21" s="16">
        <f>'KEEI BAU - Industry'!U$35*'Machinery Split'!$I9*'Machinery Split'!$D$40</f>
        <v>0</v>
      </c>
      <c r="F21" s="16">
        <f>'KEEI BAU - Industry'!V$35*'Machinery Split'!$I9*'Machinery Split'!$D$40</f>
        <v>0</v>
      </c>
      <c r="G21" s="16">
        <f>'KEEI BAU - Industry'!W$35*'Machinery Split'!$I9*'Machinery Split'!$D$40</f>
        <v>0</v>
      </c>
      <c r="H21" s="16">
        <f>'KEEI BAU - Industry'!X$35*'Machinery Split'!$I9*'Machinery Split'!$D$40</f>
        <v>0</v>
      </c>
      <c r="I21" s="16">
        <f>'KEEI BAU - Industry'!Y$35*'Machinery Split'!$I9*'Machinery Split'!$D$40</f>
        <v>0</v>
      </c>
      <c r="J21" s="16">
        <f>'KEEI BAU - Industry'!Z$35*'Machinery Split'!$I9*'Machinery Split'!$D$40</f>
        <v>0</v>
      </c>
      <c r="K21" s="16">
        <f>'KEEI BAU - Industry'!AA$35*'Machinery Split'!$I9*'Machinery Split'!$D$40</f>
        <v>0</v>
      </c>
      <c r="L21" s="16">
        <f>'KEEI BAU - Industry'!AB$35*'Machinery Split'!$I9*'Machinery Split'!$D$40</f>
        <v>0</v>
      </c>
      <c r="M21" s="16">
        <f>'KEEI BAU - Industry'!AC$35*'Machinery Split'!$I9*'Machinery Split'!$D$40</f>
        <v>0</v>
      </c>
      <c r="N21" s="16">
        <f>'KEEI BAU - Industry'!AD$35*'Machinery Split'!$I9*'Machinery Split'!$D$40</f>
        <v>0</v>
      </c>
      <c r="O21" s="16">
        <f>'KEEI BAU - Industry'!AE$35*'Machinery Split'!$I9*'Machinery Split'!$D$40</f>
        <v>0</v>
      </c>
      <c r="P21" s="16">
        <f>'KEEI BAU - Industry'!AF$35*'Machinery Split'!$I9*'Machinery Split'!$D$40</f>
        <v>0</v>
      </c>
      <c r="Q21" s="16">
        <f>'KEEI BAU - Industry'!AG$35*'Machinery Split'!$I9*'Machinery Split'!$D$40</f>
        <v>0</v>
      </c>
      <c r="R21" s="16">
        <f>'KEEI BAU - Industry'!AH$35*'Machinery Split'!$I9*'Machinery Split'!$D$40</f>
        <v>0</v>
      </c>
      <c r="S21" s="16">
        <f>'KEEI BAU - Industry'!AI$35*'Machinery Split'!$I9*'Machinery Split'!$D$40</f>
        <v>0</v>
      </c>
      <c r="T21" s="16">
        <f>'KEEI BAU - Industry'!AJ$35*'Machinery Split'!$I9*'Machinery Split'!$D$40</f>
        <v>0</v>
      </c>
      <c r="U21" s="16">
        <f>'KEEI BAU - Industry'!AK$35*'Machinery Split'!$I9*'Machinery Split'!$D$40</f>
        <v>0</v>
      </c>
      <c r="V21" s="16">
        <f>'KEEI BAU - Industry'!AL$35*'Machinery Split'!$I9*'Machinery Split'!$D$40</f>
        <v>0</v>
      </c>
      <c r="W21" s="16">
        <f>'KEEI BAU - Industry'!AM$35*'Machinery Split'!$I9*'Machinery Split'!$D$40</f>
        <v>0</v>
      </c>
      <c r="X21" s="16">
        <f>'KEEI BAU - Industry'!AN$35*'Machinery Split'!$I9*'Machinery Split'!$D$40</f>
        <v>0</v>
      </c>
      <c r="Y21" s="16">
        <f>'KEEI BAU - Industry'!AO$35*'Machinery Split'!$I9*'Machinery Split'!$D$40</f>
        <v>0</v>
      </c>
      <c r="Z21" s="16">
        <f>'KEEI BAU - Industry'!AP$35*'Machinery Split'!$I9*'Machinery Split'!$D$40</f>
        <v>0</v>
      </c>
      <c r="AA21" s="16">
        <f>'KEEI BAU - Industry'!AQ$35*'Machinery Split'!$I9*'Machinery Split'!$D$40</f>
        <v>0</v>
      </c>
      <c r="AB21" s="16">
        <f>'KEEI BAU - Industry'!AR$35*'Machinery Split'!$I9*'Machinery Split'!$D$40</f>
        <v>0</v>
      </c>
      <c r="AC21" s="16">
        <f>'KEEI BAU - Industry'!AS$35*'Machinery Split'!$I9*'Machinery Split'!$D$40</f>
        <v>0</v>
      </c>
      <c r="AD21" s="16">
        <f>'KEEI BAU - Industry'!AT$35*'Machinery Split'!$I9*'Machinery Split'!$D$40</f>
        <v>0</v>
      </c>
      <c r="AE21" s="16">
        <f>'KEEI BAU - Industry'!AU$35*'Machinery Split'!$I9*'Machinery Split'!$D$40</f>
        <v>0</v>
      </c>
      <c r="AF21" s="16">
        <f>'KEEI BAU - Industry'!AV$35*'Machinery Split'!$I9*'Machinery Split'!$D$40</f>
        <v>0</v>
      </c>
    </row>
    <row r="22" spans="1:33">
      <c r="A22" t="s">
        <v>81</v>
      </c>
      <c r="B22" s="16">
        <f>'KEEI BAU - Industry'!R$35*'Machinery Split'!$I10*'Machinery Split'!$D$40</f>
        <v>0</v>
      </c>
      <c r="C22" s="16">
        <f>'KEEI BAU - Industry'!S$35*'Machinery Split'!$I10*'Machinery Split'!$D$40</f>
        <v>0</v>
      </c>
      <c r="D22" s="16">
        <f>'KEEI BAU - Industry'!T$35*'Machinery Split'!$I10*'Machinery Split'!$D$40</f>
        <v>0</v>
      </c>
      <c r="E22" s="16">
        <f>'KEEI BAU - Industry'!U$35*'Machinery Split'!$I10*'Machinery Split'!$D$40</f>
        <v>0</v>
      </c>
      <c r="F22" s="16">
        <f>'KEEI BAU - Industry'!V$35*'Machinery Split'!$I10*'Machinery Split'!$D$40</f>
        <v>0</v>
      </c>
      <c r="G22" s="16">
        <f>'KEEI BAU - Industry'!W$35*'Machinery Split'!$I10*'Machinery Split'!$D$40</f>
        <v>0</v>
      </c>
      <c r="H22" s="16">
        <f>'KEEI BAU - Industry'!X$35*'Machinery Split'!$I10*'Machinery Split'!$D$40</f>
        <v>0</v>
      </c>
      <c r="I22" s="16">
        <f>'KEEI BAU - Industry'!Y$35*'Machinery Split'!$I10*'Machinery Split'!$D$40</f>
        <v>0</v>
      </c>
      <c r="J22" s="16">
        <f>'KEEI BAU - Industry'!Z$35*'Machinery Split'!$I10*'Machinery Split'!$D$40</f>
        <v>0</v>
      </c>
      <c r="K22" s="16">
        <f>'KEEI BAU - Industry'!AA$35*'Machinery Split'!$I10*'Machinery Split'!$D$40</f>
        <v>0</v>
      </c>
      <c r="L22" s="16">
        <f>'KEEI BAU - Industry'!AB$35*'Machinery Split'!$I10*'Machinery Split'!$D$40</f>
        <v>0</v>
      </c>
      <c r="M22" s="16">
        <f>'KEEI BAU - Industry'!AC$35*'Machinery Split'!$I10*'Machinery Split'!$D$40</f>
        <v>0</v>
      </c>
      <c r="N22" s="16">
        <f>'KEEI BAU - Industry'!AD$35*'Machinery Split'!$I10*'Machinery Split'!$D$40</f>
        <v>0</v>
      </c>
      <c r="O22" s="16">
        <f>'KEEI BAU - Industry'!AE$35*'Machinery Split'!$I10*'Machinery Split'!$D$40</f>
        <v>0</v>
      </c>
      <c r="P22" s="16">
        <f>'KEEI BAU - Industry'!AF$35*'Machinery Split'!$I10*'Machinery Split'!$D$40</f>
        <v>0</v>
      </c>
      <c r="Q22" s="16">
        <f>'KEEI BAU - Industry'!AG$35*'Machinery Split'!$I10*'Machinery Split'!$D$40</f>
        <v>0</v>
      </c>
      <c r="R22" s="16">
        <f>'KEEI BAU - Industry'!AH$35*'Machinery Split'!$I10*'Machinery Split'!$D$40</f>
        <v>0</v>
      </c>
      <c r="S22" s="16">
        <f>'KEEI BAU - Industry'!AI$35*'Machinery Split'!$I10*'Machinery Split'!$D$40</f>
        <v>0</v>
      </c>
      <c r="T22" s="16">
        <f>'KEEI BAU - Industry'!AJ$35*'Machinery Split'!$I10*'Machinery Split'!$D$40</f>
        <v>0</v>
      </c>
      <c r="U22" s="16">
        <f>'KEEI BAU - Industry'!AK$35*'Machinery Split'!$I10*'Machinery Split'!$D$40</f>
        <v>0</v>
      </c>
      <c r="V22" s="16">
        <f>'KEEI BAU - Industry'!AL$35*'Machinery Split'!$I10*'Machinery Split'!$D$40</f>
        <v>0</v>
      </c>
      <c r="W22" s="16">
        <f>'KEEI BAU - Industry'!AM$35*'Machinery Split'!$I10*'Machinery Split'!$D$40</f>
        <v>0</v>
      </c>
      <c r="X22" s="16">
        <f>'KEEI BAU - Industry'!AN$35*'Machinery Split'!$I10*'Machinery Split'!$D$40</f>
        <v>0</v>
      </c>
      <c r="Y22" s="16">
        <f>'KEEI BAU - Industry'!AO$35*'Machinery Split'!$I10*'Machinery Split'!$D$40</f>
        <v>0</v>
      </c>
      <c r="Z22" s="16">
        <f>'KEEI BAU - Industry'!AP$35*'Machinery Split'!$I10*'Machinery Split'!$D$40</f>
        <v>0</v>
      </c>
      <c r="AA22" s="16">
        <f>'KEEI BAU - Industry'!AQ$35*'Machinery Split'!$I10*'Machinery Split'!$D$40</f>
        <v>0</v>
      </c>
      <c r="AB22" s="16">
        <f>'KEEI BAU - Industry'!AR$35*'Machinery Split'!$I10*'Machinery Split'!$D$40</f>
        <v>0</v>
      </c>
      <c r="AC22" s="16">
        <f>'KEEI BAU - Industry'!AS$35*'Machinery Split'!$I10*'Machinery Split'!$D$40</f>
        <v>0</v>
      </c>
      <c r="AD22" s="16">
        <f>'KEEI BAU - Industry'!AT$35*'Machinery Split'!$I10*'Machinery Split'!$D$40</f>
        <v>0</v>
      </c>
      <c r="AE22" s="16">
        <f>'KEEI BAU - Industry'!AU$35*'Machinery Split'!$I10*'Machinery Split'!$D$40</f>
        <v>0</v>
      </c>
      <c r="AF22" s="16">
        <f>'KEEI BAU - Industry'!AV$35*'Machinery Split'!$I10*'Machinery Split'!$D$40</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1109</v>
      </c>
    </row>
    <row r="2" spans="1:32">
      <c r="A2" s="24" t="s">
        <v>1108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1102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1103</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88</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1110</v>
      </c>
    </row>
    <row r="30" spans="1:32">
      <c r="A30" t="s">
        <v>1108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1111</v>
      </c>
      <c r="B57" s="402"/>
      <c r="C57" s="402"/>
      <c r="D57" s="402"/>
      <c r="E57" s="402"/>
      <c r="F57" s="402"/>
      <c r="G57" s="402"/>
      <c r="H57" s="402"/>
      <c r="I57" s="402"/>
      <c r="J57" s="402"/>
      <c r="K57" s="402"/>
      <c r="L57" s="402"/>
    </row>
    <row r="58" spans="1:32">
      <c r="A58" t="s">
        <v>1108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0.10538138154998979</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0.36740493441083244</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0.70030056430792675</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0.71879274158442563</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0.77317085522977125</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0.58596923209188456</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0.70720324372002141</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88</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77734375" customWidth="1"/>
    <col min="2" max="33" width="11"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23" sqref="B23"/>
    </sheetView>
  </sheetViews>
  <sheetFormatPr defaultColWidth="9.109375" defaultRowHeight="14.4"/>
  <cols>
    <col min="1" max="1" width="39.7773437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70</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88</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77734375" customWidth="1"/>
    <col min="2" max="33" width="11.4414062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50</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77734375" customWidth="1"/>
    <col min="2" max="33" width="11.7773437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50</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54</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abSelected="1" topLeftCell="A3" zoomScale="109" zoomScaleNormal="70" workbookViewId="0">
      <selection activeCell="B26" sqref="B26"/>
    </sheetView>
  </sheetViews>
  <sheetFormatPr defaultRowHeight="14.4"/>
  <cols>
    <col min="1" max="1" width="39.77734375" customWidth="1"/>
    <col min="2" max="2" width="17.7773437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1102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1103</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s="402" customFormat="1">
      <c r="A15" s="402" t="s">
        <v>61</v>
      </c>
      <c r="B15" s="568">
        <f>'KEEI BAU - Industry'!R27</f>
        <v>88624821284395.469</v>
      </c>
      <c r="C15" s="568">
        <f>'KEEI BAU - Industry'!S27</f>
        <v>93499452277686.141</v>
      </c>
      <c r="D15" s="568">
        <f>'KEEI BAU - Industry'!T27</f>
        <v>86230379765960.953</v>
      </c>
      <c r="E15" s="568">
        <f>'KEEI BAU - Industry'!U27</f>
        <v>83536917246291.469</v>
      </c>
      <c r="F15" s="568">
        <f>'KEEI BAU - Industry'!V27</f>
        <v>85804140384330.297</v>
      </c>
      <c r="G15" s="568">
        <f>'KEEI BAU - Industry'!W27</f>
        <v>85804140384330.297</v>
      </c>
      <c r="H15" s="568">
        <f>'KEEI BAU - Industry'!X27</f>
        <v>85804140384330.297</v>
      </c>
      <c r="I15" s="568">
        <f>'KEEI BAU - Industry'!Y27</f>
        <v>80768432170590.281</v>
      </c>
      <c r="J15" s="568">
        <f>'KEEI BAU - Industry'!Z27</f>
        <v>85689253223923.563</v>
      </c>
      <c r="K15" s="568">
        <f>'KEEI BAU - Industry'!AA27</f>
        <v>86514758799814.859</v>
      </c>
      <c r="L15" s="568">
        <f>'KEEI BAU - Industry'!AB27</f>
        <v>95290843171234.266</v>
      </c>
      <c r="M15" s="568">
        <f>'KEEI BAU - Industry'!AC27</f>
        <v>99784859077502.953</v>
      </c>
      <c r="N15" s="568">
        <f>'KEEI BAU - Industry'!AD27</f>
        <v>104166420286619.14</v>
      </c>
      <c r="O15" s="568">
        <f>'KEEI BAU - Industry'!AE27</f>
        <v>113703827739162.86</v>
      </c>
      <c r="P15" s="568">
        <f>'KEEI BAU - Industry'!AF27</f>
        <v>109041134948662.86</v>
      </c>
      <c r="Q15" s="568">
        <f>'KEEI BAU - Industry'!AG27</f>
        <v>148721889221808.34</v>
      </c>
      <c r="R15" s="568">
        <f>'KEEI BAU - Industry'!AH27</f>
        <v>148721889221808.34</v>
      </c>
      <c r="S15" s="568">
        <f>'KEEI BAU - Industry'!AI27</f>
        <v>148721889221808.34</v>
      </c>
      <c r="T15" s="568">
        <f>'KEEI BAU - Industry'!AJ27</f>
        <v>148588958197494.66</v>
      </c>
      <c r="U15" s="568">
        <f>'KEEI BAU - Industry'!AK27</f>
        <v>140260616535631.56</v>
      </c>
      <c r="V15" s="568">
        <f>'KEEI BAU - Industry'!AL27</f>
        <v>156156295623204.44</v>
      </c>
      <c r="W15" s="568">
        <f>'KEEI BAU - Industry'!AM27</f>
        <v>164848746990692.16</v>
      </c>
      <c r="X15" s="568">
        <f>'KEEI BAU - Industry'!AN27</f>
        <v>158353595751459.47</v>
      </c>
      <c r="Y15" s="568">
        <f>'KEEI BAU - Industry'!AO27</f>
        <v>159298746012963.53</v>
      </c>
      <c r="Z15" s="568">
        <f>'KEEI BAU - Industry'!AP27</f>
        <v>159298746012963.53</v>
      </c>
      <c r="AA15" s="568">
        <f>'KEEI BAU - Industry'!AQ27</f>
        <v>165657017647992.75</v>
      </c>
      <c r="AB15" s="568">
        <f>'KEEI BAU - Industry'!AR27</f>
        <v>165657017647992.75</v>
      </c>
      <c r="AC15" s="568">
        <f>'KEEI BAU - Industry'!AS27</f>
        <v>175194425100536.5</v>
      </c>
      <c r="AD15" s="568">
        <f>'KEEI BAU - Industry'!AT27</f>
        <v>175194425100536.5</v>
      </c>
      <c r="AE15" s="568">
        <f>'KEEI BAU - Industry'!AU27</f>
        <v>175194425100536.5</v>
      </c>
      <c r="AF15" s="568">
        <f>'KEEI BAU - Industry'!AV27</f>
        <v>175194425100536.5</v>
      </c>
      <c r="AG15" s="569"/>
    </row>
    <row r="16" spans="1:35">
      <c r="A16" t="s">
        <v>64</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s="567" t="s">
        <v>70</v>
      </c>
      <c r="B18" s="16">
        <f>'KEEI BAU - Industry'!R$34*'Machinery Split'!$E6</f>
        <v>192637186829205.59</v>
      </c>
      <c r="C18" s="16">
        <f>'KEEI BAU - Industry'!S$34*'Machinery Split'!$E6</f>
        <v>201398099681835.91</v>
      </c>
      <c r="D18" s="16">
        <f>'KEEI BAU - Industry'!T$34*'Machinery Split'!$E6</f>
        <v>236441751092357.22</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74</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77734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59</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33" t="s">
        <v>1112</v>
      </c>
      <c r="B1" s="534"/>
      <c r="C1" s="534"/>
      <c r="D1" s="534"/>
      <c r="E1" s="534"/>
      <c r="F1" s="534"/>
      <c r="G1" s="534"/>
      <c r="H1" s="534"/>
      <c r="I1" s="534"/>
      <c r="J1" s="534"/>
      <c r="K1" s="534"/>
      <c r="L1" s="534"/>
      <c r="M1" s="159">
        <v>1</v>
      </c>
      <c r="N1" s="160" t="s">
        <v>279</v>
      </c>
      <c r="O1" s="161" t="s">
        <v>280</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35" t="s">
        <v>162</v>
      </c>
      <c r="B2" s="535"/>
      <c r="C2" s="535"/>
      <c r="D2" s="535"/>
      <c r="E2" s="535"/>
      <c r="F2" s="535"/>
      <c r="G2" s="535"/>
      <c r="H2" s="535"/>
      <c r="I2" s="535"/>
      <c r="J2" s="535"/>
      <c r="K2" s="535"/>
      <c r="L2" s="535"/>
      <c r="N2" s="153" t="s">
        <v>185</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22" t="s">
        <v>163</v>
      </c>
      <c r="I3" s="522"/>
      <c r="J3" s="33"/>
      <c r="K3" s="522" t="s">
        <v>164</v>
      </c>
      <c r="L3" s="52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165</v>
      </c>
      <c r="L4" s="35" t="s">
        <v>166</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186</v>
      </c>
    </row>
    <row r="5" spans="1:49" ht="13.5" customHeight="1">
      <c r="A5" s="80" t="s">
        <v>1113</v>
      </c>
      <c r="B5" s="225">
        <v>130.33099999999999</v>
      </c>
      <c r="C5" s="225">
        <v>163.71100000000001</v>
      </c>
      <c r="D5" s="226">
        <v>192.869</v>
      </c>
      <c r="E5" s="226">
        <v>199.166</v>
      </c>
      <c r="F5" s="226">
        <v>200.482</v>
      </c>
      <c r="G5" s="226">
        <v>198.499</v>
      </c>
      <c r="H5" s="236" t="s">
        <v>173</v>
      </c>
      <c r="I5" s="236" t="s">
        <v>173</v>
      </c>
      <c r="J5" s="41"/>
      <c r="K5" s="227">
        <v>1.27</v>
      </c>
      <c r="L5" s="227">
        <v>0.88</v>
      </c>
      <c r="N5" s="37" t="s">
        <v>281</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1114</v>
      </c>
      <c r="B6" s="225">
        <v>7.1630000000000003</v>
      </c>
      <c r="C6" s="225">
        <v>8.8350000000000009</v>
      </c>
      <c r="D6" s="226">
        <v>9.9939999999999998</v>
      </c>
      <c r="E6" s="226">
        <v>10.558</v>
      </c>
      <c r="F6" s="226">
        <v>11.04</v>
      </c>
      <c r="G6" s="226">
        <v>11.282999999999999</v>
      </c>
      <c r="H6" s="236" t="s">
        <v>173</v>
      </c>
      <c r="I6" s="236" t="s">
        <v>173</v>
      </c>
      <c r="J6" s="41"/>
      <c r="K6" s="227">
        <v>1.17</v>
      </c>
      <c r="L6" s="227">
        <v>1.1200000000000001</v>
      </c>
      <c r="N6" s="42" t="s">
        <v>282</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297</v>
      </c>
      <c r="B7" s="67">
        <v>100.61799999999999</v>
      </c>
      <c r="C7" s="67">
        <v>118.521</v>
      </c>
      <c r="D7" s="68">
        <v>125.675</v>
      </c>
      <c r="E7" s="68">
        <v>127.51</v>
      </c>
      <c r="F7" s="68">
        <v>127.178</v>
      </c>
      <c r="G7" s="68">
        <v>125.77200000000001</v>
      </c>
      <c r="H7" s="39">
        <v>100</v>
      </c>
      <c r="I7" s="39">
        <v>99.990000000000009</v>
      </c>
      <c r="J7" s="74"/>
      <c r="K7" s="75">
        <v>0.91</v>
      </c>
      <c r="L7" s="75">
        <v>0.27</v>
      </c>
      <c r="N7" s="42" t="s">
        <v>809</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1115</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809</v>
      </c>
      <c r="B9" s="225">
        <v>93.838999999999999</v>
      </c>
      <c r="C9" s="225">
        <v>116.83</v>
      </c>
      <c r="D9" s="226">
        <v>124.858</v>
      </c>
      <c r="E9" s="226">
        <v>126.675</v>
      </c>
      <c r="F9" s="226">
        <v>126.33199999999999</v>
      </c>
      <c r="G9" s="226">
        <v>124.985</v>
      </c>
      <c r="H9" s="45">
        <v>98.57</v>
      </c>
      <c r="I9" s="45">
        <v>99.37</v>
      </c>
      <c r="J9" s="41"/>
      <c r="K9" s="227">
        <v>1.22</v>
      </c>
      <c r="L9" s="227">
        <v>0.31</v>
      </c>
      <c r="N9" s="37" t="s">
        <v>285</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1116</v>
      </c>
      <c r="B11" s="237"/>
      <c r="C11" s="237"/>
      <c r="D11" s="238"/>
      <c r="E11" s="238"/>
      <c r="F11" s="238"/>
      <c r="G11" s="238"/>
      <c r="H11" s="236"/>
      <c r="I11" s="236"/>
      <c r="J11" s="41"/>
      <c r="K11" s="227"/>
      <c r="L11" s="227"/>
      <c r="N11" s="424" t="s">
        <v>1117</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629</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633</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634</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1118</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1119</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627</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628</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638</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1120</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1121</v>
      </c>
      <c r="B22" s="237"/>
      <c r="C22" s="237"/>
      <c r="D22" s="238"/>
      <c r="E22" s="238"/>
      <c r="F22" s="238"/>
      <c r="G22" s="238"/>
      <c r="H22" s="236"/>
      <c r="I22" s="236"/>
      <c r="J22" s="41"/>
      <c r="K22" s="227"/>
      <c r="L22" s="227"/>
      <c r="N22" s="31" t="s">
        <v>224</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813</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281</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1122</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282</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1123</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809</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289</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290</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291</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1124</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23" t="s">
        <v>1125</v>
      </c>
      <c r="B30" s="524"/>
      <c r="C30" s="524"/>
      <c r="D30" s="524"/>
      <c r="E30" s="524"/>
      <c r="F30" s="524"/>
      <c r="G30" s="524"/>
      <c r="H30" s="524"/>
      <c r="I30" s="524"/>
      <c r="J30" s="524"/>
      <c r="K30" s="524"/>
      <c r="L30" s="524"/>
      <c r="N30" s="31" t="s">
        <v>311</v>
      </c>
      <c r="O30" s="144">
        <v>2000</v>
      </c>
      <c r="P30" s="144">
        <v>2022</v>
      </c>
      <c r="Q30" s="156">
        <v>2030</v>
      </c>
      <c r="R30" s="156">
        <v>2040</v>
      </c>
      <c r="S30" s="156">
        <v>2050</v>
      </c>
      <c r="AV30" s="30"/>
      <c r="AW30" s="207"/>
    </row>
    <row r="31" spans="1:49">
      <c r="H31" s="211"/>
      <c r="I31" s="211"/>
      <c r="J31" s="212"/>
      <c r="K31" s="211"/>
      <c r="L31" s="211"/>
      <c r="N31" s="37" t="s">
        <v>281</v>
      </c>
      <c r="O31" s="147">
        <f>O5</f>
        <v>3853676399692560</v>
      </c>
      <c r="P31" s="147">
        <f>T5</f>
        <v>4381308371557110</v>
      </c>
      <c r="Q31" s="148">
        <f>AB5</f>
        <v>4336099769683710</v>
      </c>
      <c r="R31" s="148">
        <f>AL5</f>
        <v>4112079250400519.5</v>
      </c>
      <c r="S31" s="148">
        <f>AV5</f>
        <v>3752274298823890</v>
      </c>
      <c r="AV31" s="30"/>
      <c r="AW31" s="207"/>
    </row>
    <row r="32" spans="1:49">
      <c r="A32" s="254" t="s">
        <v>114</v>
      </c>
      <c r="B32" s="30"/>
      <c r="H32" s="211"/>
      <c r="I32" s="211"/>
      <c r="J32" s="212"/>
      <c r="K32" s="211"/>
      <c r="L32" s="211"/>
      <c r="N32" s="42" t="s">
        <v>282</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115</v>
      </c>
      <c r="H33" s="211"/>
      <c r="I33" s="211"/>
      <c r="J33" s="212"/>
      <c r="K33" s="211"/>
      <c r="L33" s="211"/>
      <c r="N33" s="42" t="s">
        <v>809</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20" t="s">
        <v>1126</v>
      </c>
      <c r="B36" s="521"/>
      <c r="C36" s="521"/>
      <c r="D36" s="521"/>
      <c r="E36" s="521"/>
      <c r="F36" s="521"/>
      <c r="G36" s="521"/>
      <c r="H36" s="521"/>
      <c r="I36" s="521"/>
      <c r="J36" s="521"/>
      <c r="K36" s="211"/>
      <c r="L36" s="211"/>
    </row>
    <row r="37" spans="1:49">
      <c r="A37" s="527" t="s">
        <v>162</v>
      </c>
      <c r="B37" s="527"/>
      <c r="C37" s="527"/>
      <c r="D37" s="527"/>
      <c r="E37" s="527"/>
      <c r="F37" s="527"/>
      <c r="G37" s="527"/>
      <c r="H37" s="527"/>
      <c r="I37" s="527"/>
      <c r="J37" s="527"/>
      <c r="K37" s="211"/>
      <c r="L37" s="211"/>
    </row>
    <row r="38" spans="1:49">
      <c r="A38" s="31"/>
      <c r="B38" s="32"/>
      <c r="C38" s="32"/>
      <c r="D38" s="32"/>
      <c r="E38" s="32"/>
      <c r="F38" s="32"/>
      <c r="G38" s="522" t="s">
        <v>163</v>
      </c>
      <c r="H38" s="522"/>
      <c r="I38" s="522" t="s">
        <v>164</v>
      </c>
      <c r="J38" s="522"/>
      <c r="K38" s="211"/>
      <c r="L38" s="211"/>
    </row>
    <row r="39" spans="1:49" ht="51">
      <c r="A39" s="31"/>
      <c r="B39" s="34">
        <v>2000</v>
      </c>
      <c r="C39" s="34">
        <v>2022</v>
      </c>
      <c r="D39" s="34">
        <v>2030</v>
      </c>
      <c r="E39" s="34">
        <v>2040</v>
      </c>
      <c r="F39" s="34">
        <v>2050</v>
      </c>
      <c r="G39" s="35">
        <v>2022</v>
      </c>
      <c r="H39" s="35">
        <v>2050</v>
      </c>
      <c r="I39" s="35" t="s">
        <v>178</v>
      </c>
      <c r="J39" s="35" t="s">
        <v>179</v>
      </c>
      <c r="K39" s="211"/>
      <c r="L39" s="211"/>
    </row>
    <row r="40" spans="1:49">
      <c r="A40" s="80" t="s">
        <v>1113</v>
      </c>
      <c r="B40" s="225">
        <v>121.72199999999999</v>
      </c>
      <c r="C40" s="225">
        <v>152.86500000000001</v>
      </c>
      <c r="D40" s="226">
        <v>151.131</v>
      </c>
      <c r="E40" s="226">
        <v>136.42599999999999</v>
      </c>
      <c r="F40" s="226">
        <v>108.063</v>
      </c>
      <c r="G40" s="236" t="s">
        <v>173</v>
      </c>
      <c r="H40" s="236" t="s">
        <v>173</v>
      </c>
      <c r="I40" s="227">
        <v>1.04</v>
      </c>
      <c r="J40" s="227">
        <v>-1.23</v>
      </c>
      <c r="K40" s="211"/>
      <c r="L40" s="211"/>
    </row>
    <row r="41" spans="1:49">
      <c r="A41" s="80" t="s">
        <v>1114</v>
      </c>
      <c r="B41" s="225">
        <v>13.098000000000001</v>
      </c>
      <c r="C41" s="225">
        <v>15.504</v>
      </c>
      <c r="D41" s="226">
        <v>17.596</v>
      </c>
      <c r="E41" s="226">
        <v>18.521999999999998</v>
      </c>
      <c r="F41" s="226">
        <v>18.088000000000001</v>
      </c>
      <c r="G41" s="236" t="s">
        <v>173</v>
      </c>
      <c r="H41" s="236" t="s">
        <v>173</v>
      </c>
      <c r="I41" s="227">
        <v>0.77</v>
      </c>
      <c r="J41" s="227">
        <v>0.55000000000000004</v>
      </c>
      <c r="K41" s="211"/>
      <c r="L41" s="211"/>
    </row>
    <row r="42" spans="1:49">
      <c r="A42" s="80" t="s">
        <v>297</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1115</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497</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809</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1127</v>
      </c>
      <c r="B47" s="237"/>
      <c r="C47" s="237"/>
      <c r="D47" s="238"/>
      <c r="E47" s="238"/>
      <c r="F47" s="238"/>
      <c r="G47" s="236"/>
      <c r="H47" s="236"/>
      <c r="I47" s="227"/>
      <c r="J47" s="227"/>
      <c r="K47" s="211"/>
      <c r="L47" s="211"/>
    </row>
    <row r="48" spans="1:49">
      <c r="A48" s="42" t="s">
        <v>342</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629</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633</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634</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1118</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1119</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627</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628</v>
      </c>
      <c r="B55" s="225">
        <v>4.056</v>
      </c>
      <c r="C55" s="225">
        <v>4.0259999999999998</v>
      </c>
      <c r="D55" s="226">
        <v>3.319</v>
      </c>
      <c r="E55" s="226">
        <v>2.9260000000000002</v>
      </c>
      <c r="F55" s="226">
        <v>2.66</v>
      </c>
      <c r="G55" s="45">
        <v>3.64</v>
      </c>
      <c r="H55" s="45">
        <v>2.81</v>
      </c>
      <c r="I55" s="227">
        <v>-0.03</v>
      </c>
      <c r="J55" s="227">
        <v>-1.47</v>
      </c>
      <c r="K55" s="211"/>
      <c r="L55" s="211"/>
    </row>
    <row r="56" spans="1:12">
      <c r="A56" s="42" t="s">
        <v>638</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1120</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1121</v>
      </c>
      <c r="B59" s="237"/>
      <c r="C59" s="237"/>
      <c r="D59" s="238"/>
      <c r="E59" s="238"/>
      <c r="F59" s="238"/>
      <c r="G59" s="236"/>
      <c r="H59" s="236"/>
      <c r="I59" s="227"/>
      <c r="J59" s="227"/>
      <c r="K59" s="211"/>
      <c r="L59" s="211"/>
    </row>
    <row r="60" spans="1:12">
      <c r="A60" s="42" t="s">
        <v>295</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813</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1122</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1128</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289</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290</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291</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1124</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23" t="s">
        <v>1129</v>
      </c>
      <c r="B68" s="524"/>
      <c r="C68" s="524"/>
      <c r="D68" s="524"/>
      <c r="E68" s="524"/>
      <c r="F68" s="524"/>
      <c r="G68" s="524"/>
      <c r="H68" s="524"/>
      <c r="I68" s="524"/>
      <c r="J68" s="524"/>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1:L1"/>
    <mergeCell ref="A2:L2"/>
    <mergeCell ref="H3:I3"/>
    <mergeCell ref="K3:L3"/>
    <mergeCell ref="A30:L30"/>
    <mergeCell ref="A36:J36"/>
    <mergeCell ref="A37:J37"/>
    <mergeCell ref="G38:H38"/>
    <mergeCell ref="I38:J38"/>
    <mergeCell ref="A68:J68"/>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77734375" customWidth="1"/>
    <col min="2" max="33" width="11.109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47</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77734375" customWidth="1"/>
    <col min="2" max="33" width="1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54</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Split'!$D$41</f>
        <v>0</v>
      </c>
      <c r="C18" s="16">
        <f>'KEEI BAU - Industry'!S$35*'Machinery Split'!$L6*'Machinery Split'!$D$41</f>
        <v>0</v>
      </c>
      <c r="D18" s="16">
        <f>'KEEI BAU - Industry'!T$35*'Machinery Split'!$L6*'Machinery Split'!$D$41</f>
        <v>0</v>
      </c>
      <c r="E18" s="16">
        <f>'KEEI BAU - Industry'!U$35*'Machinery Split'!$L6*'Machinery Split'!$D$41</f>
        <v>0</v>
      </c>
      <c r="F18" s="16">
        <f>'KEEI BAU - Industry'!V$35*'Machinery Split'!$L6*'Machinery Split'!$D$41</f>
        <v>0</v>
      </c>
      <c r="G18" s="16">
        <f>'KEEI BAU - Industry'!W$35*'Machinery Split'!$L6*'Machinery Split'!$D$41</f>
        <v>0</v>
      </c>
      <c r="H18" s="16">
        <f>'KEEI BAU - Industry'!X$35*'Machinery Split'!$L6*'Machinery Split'!$D$41</f>
        <v>0</v>
      </c>
      <c r="I18" s="16">
        <f>'KEEI BAU - Industry'!Y$35*'Machinery Split'!$L6*'Machinery Split'!$D$41</f>
        <v>0</v>
      </c>
      <c r="J18" s="16">
        <f>'KEEI BAU - Industry'!Z$35*'Machinery Split'!$L6*'Machinery Split'!$D$41</f>
        <v>0</v>
      </c>
      <c r="K18" s="16">
        <f>'KEEI BAU - Industry'!AA$35*'Machinery Split'!$L6*'Machinery Split'!$D$41</f>
        <v>0</v>
      </c>
      <c r="L18" s="16">
        <f>'KEEI BAU - Industry'!AB$35*'Machinery Split'!$L6*'Machinery Split'!$D$41</f>
        <v>0</v>
      </c>
      <c r="M18" s="16">
        <f>'KEEI BAU - Industry'!AC$35*'Machinery Split'!$L6*'Machinery Split'!$D$41</f>
        <v>0</v>
      </c>
      <c r="N18" s="16">
        <f>'KEEI BAU - Industry'!AD$35*'Machinery Split'!$L6*'Machinery Split'!$D$41</f>
        <v>0</v>
      </c>
      <c r="O18" s="16">
        <f>'KEEI BAU - Industry'!AE$35*'Machinery Split'!$L6*'Machinery Split'!$D$41</f>
        <v>0</v>
      </c>
      <c r="P18" s="16">
        <f>'KEEI BAU - Industry'!AF$35*'Machinery Split'!$L6*'Machinery Split'!$D$41</f>
        <v>0</v>
      </c>
      <c r="Q18" s="16">
        <f>'KEEI BAU - Industry'!AG$35*'Machinery Split'!$L6*'Machinery Split'!$D$41</f>
        <v>0</v>
      </c>
      <c r="R18" s="16">
        <f>'KEEI BAU - Industry'!AH$35*'Machinery Split'!$L6*'Machinery Split'!$D$41</f>
        <v>0</v>
      </c>
      <c r="S18" s="16">
        <f>'KEEI BAU - Industry'!AI$35*'Machinery Split'!$L6*'Machinery Split'!$D$41</f>
        <v>0</v>
      </c>
      <c r="T18" s="16">
        <f>'KEEI BAU - Industry'!AJ$35*'Machinery Split'!$L6*'Machinery Split'!$D$41</f>
        <v>0</v>
      </c>
      <c r="U18" s="16">
        <f>'KEEI BAU - Industry'!AK$35*'Machinery Split'!$L6*'Machinery Split'!$D$41</f>
        <v>0</v>
      </c>
      <c r="V18" s="16">
        <f>'KEEI BAU - Industry'!AL$35*'Machinery Split'!$L6*'Machinery Split'!$D$41</f>
        <v>0</v>
      </c>
      <c r="W18" s="16">
        <f>'KEEI BAU - Industry'!AM$35*'Machinery Split'!$L6*'Machinery Split'!$D$41</f>
        <v>0</v>
      </c>
      <c r="X18" s="16">
        <f>'KEEI BAU - Industry'!AN$35*'Machinery Split'!$L6*'Machinery Split'!$D$41</f>
        <v>0</v>
      </c>
      <c r="Y18" s="16">
        <f>'KEEI BAU - Industry'!AO$35*'Machinery Split'!$L6*'Machinery Split'!$D$41</f>
        <v>0</v>
      </c>
      <c r="Z18" s="16">
        <f>'KEEI BAU - Industry'!AP$35*'Machinery Split'!$L6*'Machinery Split'!$D$41</f>
        <v>0</v>
      </c>
      <c r="AA18" s="16">
        <f>'KEEI BAU - Industry'!AQ$35*'Machinery Split'!$L6*'Machinery Split'!$D$41</f>
        <v>0</v>
      </c>
      <c r="AB18" s="16">
        <f>'KEEI BAU - Industry'!AR$35*'Machinery Split'!$L6*'Machinery Split'!$D$41</f>
        <v>0</v>
      </c>
      <c r="AC18" s="16">
        <f>'KEEI BAU - Industry'!AS$35*'Machinery Split'!$L6*'Machinery Split'!$D$41</f>
        <v>0</v>
      </c>
      <c r="AD18" s="16">
        <f>'KEEI BAU - Industry'!AT$35*'Machinery Split'!$L6*'Machinery Split'!$D$41</f>
        <v>0</v>
      </c>
      <c r="AE18" s="16">
        <f>'KEEI BAU - Industry'!AU$35*'Machinery Split'!$L6*'Machinery Split'!$D$41</f>
        <v>0</v>
      </c>
      <c r="AF18" s="16">
        <f>'KEEI BAU - Industry'!AV$35*'Machinery Split'!$L6*'Machinery Split'!$D$41</f>
        <v>0</v>
      </c>
    </row>
    <row r="19" spans="1:33">
      <c r="A19" t="s">
        <v>74</v>
      </c>
      <c r="B19" s="16">
        <f>'KEEI BAU - Industry'!R$35*'Machinery Split'!$L7*'Machinery Split'!$D$41</f>
        <v>0</v>
      </c>
      <c r="C19" s="16">
        <f>'KEEI BAU - Industry'!S$35*'Machinery Split'!$L7*'Machinery Split'!$D$41</f>
        <v>0</v>
      </c>
      <c r="D19" s="16">
        <f>'KEEI BAU - Industry'!T$35*'Machinery Split'!$L7*'Machinery Split'!$D$41</f>
        <v>0</v>
      </c>
      <c r="E19" s="16">
        <f>'KEEI BAU - Industry'!U$35*'Machinery Split'!$L7*'Machinery Split'!$D$41</f>
        <v>0</v>
      </c>
      <c r="F19" s="16">
        <f>'KEEI BAU - Industry'!V$35*'Machinery Split'!$L7*'Machinery Split'!$D$41</f>
        <v>0</v>
      </c>
      <c r="G19" s="16">
        <f>'KEEI BAU - Industry'!W$35*'Machinery Split'!$L7*'Machinery Split'!$D$41</f>
        <v>0</v>
      </c>
      <c r="H19" s="16">
        <f>'KEEI BAU - Industry'!X$35*'Machinery Split'!$L7*'Machinery Split'!$D$41</f>
        <v>0</v>
      </c>
      <c r="I19" s="16">
        <f>'KEEI BAU - Industry'!Y$35*'Machinery Split'!$L7*'Machinery Split'!$D$41</f>
        <v>0</v>
      </c>
      <c r="J19" s="16">
        <f>'KEEI BAU - Industry'!Z$35*'Machinery Split'!$L7*'Machinery Split'!$D$41</f>
        <v>0</v>
      </c>
      <c r="K19" s="16">
        <f>'KEEI BAU - Industry'!AA$35*'Machinery Split'!$L7*'Machinery Split'!$D$41</f>
        <v>0</v>
      </c>
      <c r="L19" s="16">
        <f>'KEEI BAU - Industry'!AB$35*'Machinery Split'!$L7*'Machinery Split'!$D$41</f>
        <v>0</v>
      </c>
      <c r="M19" s="16">
        <f>'KEEI BAU - Industry'!AC$35*'Machinery Split'!$L7*'Machinery Split'!$D$41</f>
        <v>0</v>
      </c>
      <c r="N19" s="16">
        <f>'KEEI BAU - Industry'!AD$35*'Machinery Split'!$L7*'Machinery Split'!$D$41</f>
        <v>0</v>
      </c>
      <c r="O19" s="16">
        <f>'KEEI BAU - Industry'!AE$35*'Machinery Split'!$L7*'Machinery Split'!$D$41</f>
        <v>0</v>
      </c>
      <c r="P19" s="16">
        <f>'KEEI BAU - Industry'!AF$35*'Machinery Split'!$L7*'Machinery Split'!$D$41</f>
        <v>0</v>
      </c>
      <c r="Q19" s="16">
        <f>'KEEI BAU - Industry'!AG$35*'Machinery Split'!$L7*'Machinery Split'!$D$41</f>
        <v>0</v>
      </c>
      <c r="R19" s="16">
        <f>'KEEI BAU - Industry'!AH$35*'Machinery Split'!$L7*'Machinery Split'!$D$41</f>
        <v>0</v>
      </c>
      <c r="S19" s="16">
        <f>'KEEI BAU - Industry'!AI$35*'Machinery Split'!$L7*'Machinery Split'!$D$41</f>
        <v>0</v>
      </c>
      <c r="T19" s="16">
        <f>'KEEI BAU - Industry'!AJ$35*'Machinery Split'!$L7*'Machinery Split'!$D$41</f>
        <v>0</v>
      </c>
      <c r="U19" s="16">
        <f>'KEEI BAU - Industry'!AK$35*'Machinery Split'!$L7*'Machinery Split'!$D$41</f>
        <v>0</v>
      </c>
      <c r="V19" s="16">
        <f>'KEEI BAU - Industry'!AL$35*'Machinery Split'!$L7*'Machinery Split'!$D$41</f>
        <v>0</v>
      </c>
      <c r="W19" s="16">
        <f>'KEEI BAU - Industry'!AM$35*'Machinery Split'!$L7*'Machinery Split'!$D$41</f>
        <v>0</v>
      </c>
      <c r="X19" s="16">
        <f>'KEEI BAU - Industry'!AN$35*'Machinery Split'!$L7*'Machinery Split'!$D$41</f>
        <v>0</v>
      </c>
      <c r="Y19" s="16">
        <f>'KEEI BAU - Industry'!AO$35*'Machinery Split'!$L7*'Machinery Split'!$D$41</f>
        <v>0</v>
      </c>
      <c r="Z19" s="16">
        <f>'KEEI BAU - Industry'!AP$35*'Machinery Split'!$L7*'Machinery Split'!$D$41</f>
        <v>0</v>
      </c>
      <c r="AA19" s="16">
        <f>'KEEI BAU - Industry'!AQ$35*'Machinery Split'!$L7*'Machinery Split'!$D$41</f>
        <v>0</v>
      </c>
      <c r="AB19" s="16">
        <f>'KEEI BAU - Industry'!AR$35*'Machinery Split'!$L7*'Machinery Split'!$D$41</f>
        <v>0</v>
      </c>
      <c r="AC19" s="16">
        <f>'KEEI BAU - Industry'!AS$35*'Machinery Split'!$L7*'Machinery Split'!$D$41</f>
        <v>0</v>
      </c>
      <c r="AD19" s="16">
        <f>'KEEI BAU - Industry'!AT$35*'Machinery Split'!$L7*'Machinery Split'!$D$41</f>
        <v>0</v>
      </c>
      <c r="AE19" s="16">
        <f>'KEEI BAU - Industry'!AU$35*'Machinery Split'!$L7*'Machinery Split'!$D$41</f>
        <v>0</v>
      </c>
      <c r="AF19" s="16">
        <f>'KEEI BAU - Industry'!AV$35*'Machinery Split'!$L7*'Machinery Split'!$D$41</f>
        <v>0</v>
      </c>
    </row>
    <row r="20" spans="1:33">
      <c r="A20" t="s">
        <v>76</v>
      </c>
      <c r="B20" s="16">
        <f>'KEEI BAU - Industry'!R$35*'Machinery Split'!$L8*'Machinery Split'!$D$41</f>
        <v>0</v>
      </c>
      <c r="C20" s="16">
        <f>'KEEI BAU - Industry'!S$35*'Machinery Split'!$L8*'Machinery Split'!$D$41</f>
        <v>0</v>
      </c>
      <c r="D20" s="16">
        <f>'KEEI BAU - Industry'!T$35*'Machinery Split'!$L8*'Machinery Split'!$D$41</f>
        <v>0</v>
      </c>
      <c r="E20" s="16">
        <f>'KEEI BAU - Industry'!U$35*'Machinery Split'!$L8*'Machinery Split'!$D$41</f>
        <v>0</v>
      </c>
      <c r="F20" s="16">
        <f>'KEEI BAU - Industry'!V$35*'Machinery Split'!$L8*'Machinery Split'!$D$41</f>
        <v>0</v>
      </c>
      <c r="G20" s="16">
        <f>'KEEI BAU - Industry'!W$35*'Machinery Split'!$L8*'Machinery Split'!$D$41</f>
        <v>0</v>
      </c>
      <c r="H20" s="16">
        <f>'KEEI BAU - Industry'!X$35*'Machinery Split'!$L8*'Machinery Split'!$D$41</f>
        <v>0</v>
      </c>
      <c r="I20" s="16">
        <f>'KEEI BAU - Industry'!Y$35*'Machinery Split'!$L8*'Machinery Split'!$D$41</f>
        <v>0</v>
      </c>
      <c r="J20" s="16">
        <f>'KEEI BAU - Industry'!Z$35*'Machinery Split'!$L8*'Machinery Split'!$D$41</f>
        <v>0</v>
      </c>
      <c r="K20" s="16">
        <f>'KEEI BAU - Industry'!AA$35*'Machinery Split'!$L8*'Machinery Split'!$D$41</f>
        <v>0</v>
      </c>
      <c r="L20" s="16">
        <f>'KEEI BAU - Industry'!AB$35*'Machinery Split'!$L8*'Machinery Split'!$D$41</f>
        <v>0</v>
      </c>
      <c r="M20" s="16">
        <f>'KEEI BAU - Industry'!AC$35*'Machinery Split'!$L8*'Machinery Split'!$D$41</f>
        <v>0</v>
      </c>
      <c r="N20" s="16">
        <f>'KEEI BAU - Industry'!AD$35*'Machinery Split'!$L8*'Machinery Split'!$D$41</f>
        <v>0</v>
      </c>
      <c r="O20" s="16">
        <f>'KEEI BAU - Industry'!AE$35*'Machinery Split'!$L8*'Machinery Split'!$D$41</f>
        <v>0</v>
      </c>
      <c r="P20" s="16">
        <f>'KEEI BAU - Industry'!AF$35*'Machinery Split'!$L8*'Machinery Split'!$D$41</f>
        <v>0</v>
      </c>
      <c r="Q20" s="16">
        <f>'KEEI BAU - Industry'!AG$35*'Machinery Split'!$L8*'Machinery Split'!$D$41</f>
        <v>0</v>
      </c>
      <c r="R20" s="16">
        <f>'KEEI BAU - Industry'!AH$35*'Machinery Split'!$L8*'Machinery Split'!$D$41</f>
        <v>0</v>
      </c>
      <c r="S20" s="16">
        <f>'KEEI BAU - Industry'!AI$35*'Machinery Split'!$L8*'Machinery Split'!$D$41</f>
        <v>0</v>
      </c>
      <c r="T20" s="16">
        <f>'KEEI BAU - Industry'!AJ$35*'Machinery Split'!$L8*'Machinery Split'!$D$41</f>
        <v>0</v>
      </c>
      <c r="U20" s="16">
        <f>'KEEI BAU - Industry'!AK$35*'Machinery Split'!$L8*'Machinery Split'!$D$41</f>
        <v>0</v>
      </c>
      <c r="V20" s="16">
        <f>'KEEI BAU - Industry'!AL$35*'Machinery Split'!$L8*'Machinery Split'!$D$41</f>
        <v>0</v>
      </c>
      <c r="W20" s="16">
        <f>'KEEI BAU - Industry'!AM$35*'Machinery Split'!$L8*'Machinery Split'!$D$41</f>
        <v>0</v>
      </c>
      <c r="X20" s="16">
        <f>'KEEI BAU - Industry'!AN$35*'Machinery Split'!$L8*'Machinery Split'!$D$41</f>
        <v>0</v>
      </c>
      <c r="Y20" s="16">
        <f>'KEEI BAU - Industry'!AO$35*'Machinery Split'!$L8*'Machinery Split'!$D$41</f>
        <v>0</v>
      </c>
      <c r="Z20" s="16">
        <f>'KEEI BAU - Industry'!AP$35*'Machinery Split'!$L8*'Machinery Split'!$D$41</f>
        <v>0</v>
      </c>
      <c r="AA20" s="16">
        <f>'KEEI BAU - Industry'!AQ$35*'Machinery Split'!$L8*'Machinery Split'!$D$41</f>
        <v>0</v>
      </c>
      <c r="AB20" s="16">
        <f>'KEEI BAU - Industry'!AR$35*'Machinery Split'!$L8*'Machinery Split'!$D$41</f>
        <v>0</v>
      </c>
      <c r="AC20" s="16">
        <f>'KEEI BAU - Industry'!AS$35*'Machinery Split'!$L8*'Machinery Split'!$D$41</f>
        <v>0</v>
      </c>
      <c r="AD20" s="16">
        <f>'KEEI BAU - Industry'!AT$35*'Machinery Split'!$L8*'Machinery Split'!$D$41</f>
        <v>0</v>
      </c>
      <c r="AE20" s="16">
        <f>'KEEI BAU - Industry'!AU$35*'Machinery Split'!$L8*'Machinery Split'!$D$41</f>
        <v>0</v>
      </c>
      <c r="AF20" s="16">
        <f>'KEEI BAU - Industry'!AV$35*'Machinery Split'!$L8*'Machinery Split'!$D$41</f>
        <v>0</v>
      </c>
    </row>
    <row r="21" spans="1:33">
      <c r="A21" t="s">
        <v>78</v>
      </c>
      <c r="B21" s="16">
        <f>'KEEI BAU - Industry'!R$35*'Machinery Split'!$L9*'Machinery Split'!$D$41</f>
        <v>0</v>
      </c>
      <c r="C21" s="16">
        <f>'KEEI BAU - Industry'!S$35*'Machinery Split'!$L9*'Machinery Split'!$D$41</f>
        <v>0</v>
      </c>
      <c r="D21" s="16">
        <f>'KEEI BAU - Industry'!T$35*'Machinery Split'!$L9*'Machinery Split'!$D$41</f>
        <v>0</v>
      </c>
      <c r="E21" s="16">
        <f>'KEEI BAU - Industry'!U$35*'Machinery Split'!$L9*'Machinery Split'!$D$41</f>
        <v>0</v>
      </c>
      <c r="F21" s="16">
        <f>'KEEI BAU - Industry'!V$35*'Machinery Split'!$L9*'Machinery Split'!$D$41</f>
        <v>0</v>
      </c>
      <c r="G21" s="16">
        <f>'KEEI BAU - Industry'!W$35*'Machinery Split'!$L9*'Machinery Split'!$D$41</f>
        <v>0</v>
      </c>
      <c r="H21" s="16">
        <f>'KEEI BAU - Industry'!X$35*'Machinery Split'!$L9*'Machinery Split'!$D$41</f>
        <v>0</v>
      </c>
      <c r="I21" s="16">
        <f>'KEEI BAU - Industry'!Y$35*'Machinery Split'!$L9*'Machinery Split'!$D$41</f>
        <v>0</v>
      </c>
      <c r="J21" s="16">
        <f>'KEEI BAU - Industry'!Z$35*'Machinery Split'!$L9*'Machinery Split'!$D$41</f>
        <v>0</v>
      </c>
      <c r="K21" s="16">
        <f>'KEEI BAU - Industry'!AA$35*'Machinery Split'!$L9*'Machinery Split'!$D$41</f>
        <v>0</v>
      </c>
      <c r="L21" s="16">
        <f>'KEEI BAU - Industry'!AB$35*'Machinery Split'!$L9*'Machinery Split'!$D$41</f>
        <v>0</v>
      </c>
      <c r="M21" s="16">
        <f>'KEEI BAU - Industry'!AC$35*'Machinery Split'!$L9*'Machinery Split'!$D$41</f>
        <v>0</v>
      </c>
      <c r="N21" s="16">
        <f>'KEEI BAU - Industry'!AD$35*'Machinery Split'!$L9*'Machinery Split'!$D$41</f>
        <v>0</v>
      </c>
      <c r="O21" s="16">
        <f>'KEEI BAU - Industry'!AE$35*'Machinery Split'!$L9*'Machinery Split'!$D$41</f>
        <v>0</v>
      </c>
      <c r="P21" s="16">
        <f>'KEEI BAU - Industry'!AF$35*'Machinery Split'!$L9*'Machinery Split'!$D$41</f>
        <v>0</v>
      </c>
      <c r="Q21" s="16">
        <f>'KEEI BAU - Industry'!AG$35*'Machinery Split'!$L9*'Machinery Split'!$D$41</f>
        <v>0</v>
      </c>
      <c r="R21" s="16">
        <f>'KEEI BAU - Industry'!AH$35*'Machinery Split'!$L9*'Machinery Split'!$D$41</f>
        <v>0</v>
      </c>
      <c r="S21" s="16">
        <f>'KEEI BAU - Industry'!AI$35*'Machinery Split'!$L9*'Machinery Split'!$D$41</f>
        <v>0</v>
      </c>
      <c r="T21" s="16">
        <f>'KEEI BAU - Industry'!AJ$35*'Machinery Split'!$L9*'Machinery Split'!$D$41</f>
        <v>0</v>
      </c>
      <c r="U21" s="16">
        <f>'KEEI BAU - Industry'!AK$35*'Machinery Split'!$L9*'Machinery Split'!$D$41</f>
        <v>0</v>
      </c>
      <c r="V21" s="16">
        <f>'KEEI BAU - Industry'!AL$35*'Machinery Split'!$L9*'Machinery Split'!$D$41</f>
        <v>0</v>
      </c>
      <c r="W21" s="16">
        <f>'KEEI BAU - Industry'!AM$35*'Machinery Split'!$L9*'Machinery Split'!$D$41</f>
        <v>0</v>
      </c>
      <c r="X21" s="16">
        <f>'KEEI BAU - Industry'!AN$35*'Machinery Split'!$L9*'Machinery Split'!$D$41</f>
        <v>0</v>
      </c>
      <c r="Y21" s="16">
        <f>'KEEI BAU - Industry'!AO$35*'Machinery Split'!$L9*'Machinery Split'!$D$41</f>
        <v>0</v>
      </c>
      <c r="Z21" s="16">
        <f>'KEEI BAU - Industry'!AP$35*'Machinery Split'!$L9*'Machinery Split'!$D$41</f>
        <v>0</v>
      </c>
      <c r="AA21" s="16">
        <f>'KEEI BAU - Industry'!AQ$35*'Machinery Split'!$L9*'Machinery Split'!$D$41</f>
        <v>0</v>
      </c>
      <c r="AB21" s="16">
        <f>'KEEI BAU - Industry'!AR$35*'Machinery Split'!$L9*'Machinery Split'!$D$41</f>
        <v>0</v>
      </c>
      <c r="AC21" s="16">
        <f>'KEEI BAU - Industry'!AS$35*'Machinery Split'!$L9*'Machinery Split'!$D$41</f>
        <v>0</v>
      </c>
      <c r="AD21" s="16">
        <f>'KEEI BAU - Industry'!AT$35*'Machinery Split'!$L9*'Machinery Split'!$D$41</f>
        <v>0</v>
      </c>
      <c r="AE21" s="16">
        <f>'KEEI BAU - Industry'!AU$35*'Machinery Split'!$L9*'Machinery Split'!$D$41</f>
        <v>0</v>
      </c>
      <c r="AF21" s="16">
        <f>'KEEI BAU - Industry'!AV$35*'Machinery Split'!$L9*'Machinery Split'!$D$41</f>
        <v>0</v>
      </c>
    </row>
    <row r="22" spans="1:33">
      <c r="A22" t="s">
        <v>81</v>
      </c>
      <c r="B22" s="16">
        <f>'KEEI BAU - Industry'!R$35*'Machinery Split'!$L10*'Machinery Split'!$D$41</f>
        <v>0</v>
      </c>
      <c r="C22" s="16">
        <f>'KEEI BAU - Industry'!S$35*'Machinery Split'!$L10*'Machinery Split'!$D$41</f>
        <v>0</v>
      </c>
      <c r="D22" s="16">
        <f>'KEEI BAU - Industry'!T$35*'Machinery Split'!$L10*'Machinery Split'!$D$41</f>
        <v>0</v>
      </c>
      <c r="E22" s="16">
        <f>'KEEI BAU - Industry'!U$35*'Machinery Split'!$L10*'Machinery Split'!$D$41</f>
        <v>0</v>
      </c>
      <c r="F22" s="16">
        <f>'KEEI BAU - Industry'!V$35*'Machinery Split'!$L10*'Machinery Split'!$D$41</f>
        <v>0</v>
      </c>
      <c r="G22" s="16">
        <f>'KEEI BAU - Industry'!W$35*'Machinery Split'!$L10*'Machinery Split'!$D$41</f>
        <v>0</v>
      </c>
      <c r="H22" s="16">
        <f>'KEEI BAU - Industry'!X$35*'Machinery Split'!$L10*'Machinery Split'!$D$41</f>
        <v>0</v>
      </c>
      <c r="I22" s="16">
        <f>'KEEI BAU - Industry'!Y$35*'Machinery Split'!$L10*'Machinery Split'!$D$41</f>
        <v>0</v>
      </c>
      <c r="J22" s="16">
        <f>'KEEI BAU - Industry'!Z$35*'Machinery Split'!$L10*'Machinery Split'!$D$41</f>
        <v>0</v>
      </c>
      <c r="K22" s="16">
        <f>'KEEI BAU - Industry'!AA$35*'Machinery Split'!$L10*'Machinery Split'!$D$41</f>
        <v>0</v>
      </c>
      <c r="L22" s="16">
        <f>'KEEI BAU - Industry'!AB$35*'Machinery Split'!$L10*'Machinery Split'!$D$41</f>
        <v>0</v>
      </c>
      <c r="M22" s="16">
        <f>'KEEI BAU - Industry'!AC$35*'Machinery Split'!$L10*'Machinery Split'!$D$41</f>
        <v>0</v>
      </c>
      <c r="N22" s="16">
        <f>'KEEI BAU - Industry'!AD$35*'Machinery Split'!$L10*'Machinery Split'!$D$41</f>
        <v>0</v>
      </c>
      <c r="O22" s="16">
        <f>'KEEI BAU - Industry'!AE$35*'Machinery Split'!$L10*'Machinery Split'!$D$41</f>
        <v>0</v>
      </c>
      <c r="P22" s="16">
        <f>'KEEI BAU - Industry'!AF$35*'Machinery Split'!$L10*'Machinery Split'!$D$41</f>
        <v>0</v>
      </c>
      <c r="Q22" s="16">
        <f>'KEEI BAU - Industry'!AG$35*'Machinery Split'!$L10*'Machinery Split'!$D$41</f>
        <v>0</v>
      </c>
      <c r="R22" s="16">
        <f>'KEEI BAU - Industry'!AH$35*'Machinery Split'!$L10*'Machinery Split'!$D$41</f>
        <v>0</v>
      </c>
      <c r="S22" s="16">
        <f>'KEEI BAU - Industry'!AI$35*'Machinery Split'!$L10*'Machinery Split'!$D$41</f>
        <v>0</v>
      </c>
      <c r="T22" s="16">
        <f>'KEEI BAU - Industry'!AJ$35*'Machinery Split'!$L10*'Machinery Split'!$D$41</f>
        <v>0</v>
      </c>
      <c r="U22" s="16">
        <f>'KEEI BAU - Industry'!AK$35*'Machinery Split'!$L10*'Machinery Split'!$D$41</f>
        <v>0</v>
      </c>
      <c r="V22" s="16">
        <f>'KEEI BAU - Industry'!AL$35*'Machinery Split'!$L10*'Machinery Split'!$D$41</f>
        <v>0</v>
      </c>
      <c r="W22" s="16">
        <f>'KEEI BAU - Industry'!AM$35*'Machinery Split'!$L10*'Machinery Split'!$D$41</f>
        <v>0</v>
      </c>
      <c r="X22" s="16">
        <f>'KEEI BAU - Industry'!AN$35*'Machinery Split'!$L10*'Machinery Split'!$D$41</f>
        <v>0</v>
      </c>
      <c r="Y22" s="16">
        <f>'KEEI BAU - Industry'!AO$35*'Machinery Split'!$L10*'Machinery Split'!$D$41</f>
        <v>0</v>
      </c>
      <c r="Z22" s="16">
        <f>'KEEI BAU - Industry'!AP$35*'Machinery Split'!$L10*'Machinery Split'!$D$41</f>
        <v>0</v>
      </c>
      <c r="AA22" s="16">
        <f>'KEEI BAU - Industry'!AQ$35*'Machinery Split'!$L10*'Machinery Split'!$D$41</f>
        <v>0</v>
      </c>
      <c r="AB22" s="16">
        <f>'KEEI BAU - Industry'!AR$35*'Machinery Split'!$L10*'Machinery Split'!$D$41</f>
        <v>0</v>
      </c>
      <c r="AC22" s="16">
        <f>'KEEI BAU - Industry'!AS$35*'Machinery Split'!$L10*'Machinery Split'!$D$41</f>
        <v>0</v>
      </c>
      <c r="AD22" s="16">
        <f>'KEEI BAU - Industry'!AT$35*'Machinery Split'!$L10*'Machinery Split'!$D$41</f>
        <v>0</v>
      </c>
      <c r="AE22" s="16">
        <f>'KEEI BAU - Industry'!AU$35*'Machinery Split'!$L10*'Machinery Split'!$D$41</f>
        <v>0</v>
      </c>
      <c r="AF22" s="16">
        <f>'KEEI BAU - Industry'!AV$35*'Machinery Split'!$L10*'Machinery Split'!$D$41</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77734375" customWidth="1"/>
    <col min="2" max="2" width="22" bestFit="1" customWidth="1"/>
    <col min="3" max="33" width="12.4414062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54</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Split'!$D$42</f>
        <v>0</v>
      </c>
      <c r="C18" s="16">
        <f>'KEEI BAU - Industry'!S$35*'Machinery Split'!$M6*'Machinery Split'!$D$42</f>
        <v>0</v>
      </c>
      <c r="D18" s="16">
        <f>'KEEI BAU - Industry'!T$35*'Machinery Split'!$M6*'Machinery Split'!$D$42</f>
        <v>0</v>
      </c>
      <c r="E18" s="16">
        <f>'KEEI BAU - Industry'!U$35*'Machinery Split'!$M6*'Machinery Split'!$D$42</f>
        <v>0</v>
      </c>
      <c r="F18" s="16">
        <f>'KEEI BAU - Industry'!V$35*'Machinery Split'!$M6*'Machinery Split'!$D$42</f>
        <v>0</v>
      </c>
      <c r="G18" s="16">
        <f>'KEEI BAU - Industry'!W$35*'Machinery Split'!$M6*'Machinery Split'!$D$42</f>
        <v>0</v>
      </c>
      <c r="H18" s="16">
        <f>'KEEI BAU - Industry'!X$35*'Machinery Split'!$M6*'Machinery Split'!$D$42</f>
        <v>0</v>
      </c>
      <c r="I18" s="16">
        <f>'KEEI BAU - Industry'!Y$35*'Machinery Split'!$M6*'Machinery Split'!$D$42</f>
        <v>0</v>
      </c>
      <c r="J18" s="16">
        <f>'KEEI BAU - Industry'!Z$35*'Machinery Split'!$M6*'Machinery Split'!$D$42</f>
        <v>0</v>
      </c>
      <c r="K18" s="16">
        <f>'KEEI BAU - Industry'!AA$35*'Machinery Split'!$M6*'Machinery Split'!$D$42</f>
        <v>0</v>
      </c>
      <c r="L18" s="16">
        <f>'KEEI BAU - Industry'!AB$35*'Machinery Split'!$M6*'Machinery Split'!$D$42</f>
        <v>0</v>
      </c>
      <c r="M18" s="16">
        <f>'KEEI BAU - Industry'!AC$35*'Machinery Split'!$M6*'Machinery Split'!$D$42</f>
        <v>0</v>
      </c>
      <c r="N18" s="16">
        <f>'KEEI BAU - Industry'!AD$35*'Machinery Split'!$M6*'Machinery Split'!$D$42</f>
        <v>0</v>
      </c>
      <c r="O18" s="16">
        <f>'KEEI BAU - Industry'!AE$35*'Machinery Split'!$M6*'Machinery Split'!$D$42</f>
        <v>0</v>
      </c>
      <c r="P18" s="16">
        <f>'KEEI BAU - Industry'!AF$35*'Machinery Split'!$M6*'Machinery Split'!$D$42</f>
        <v>0</v>
      </c>
      <c r="Q18" s="16">
        <f>'KEEI BAU - Industry'!AG$35*'Machinery Split'!$M6*'Machinery Split'!$D$42</f>
        <v>0</v>
      </c>
      <c r="R18" s="16">
        <f>'KEEI BAU - Industry'!AH$35*'Machinery Split'!$M6*'Machinery Split'!$D$42</f>
        <v>0</v>
      </c>
      <c r="S18" s="16">
        <f>'KEEI BAU - Industry'!AI$35*'Machinery Split'!$M6*'Machinery Split'!$D$42</f>
        <v>0</v>
      </c>
      <c r="T18" s="16">
        <f>'KEEI BAU - Industry'!AJ$35*'Machinery Split'!$M6*'Machinery Split'!$D$42</f>
        <v>0</v>
      </c>
      <c r="U18" s="16">
        <f>'KEEI BAU - Industry'!AK$35*'Machinery Split'!$M6*'Machinery Split'!$D$42</f>
        <v>0</v>
      </c>
      <c r="V18" s="16">
        <f>'KEEI BAU - Industry'!AL$35*'Machinery Split'!$M6*'Machinery Split'!$D$42</f>
        <v>0</v>
      </c>
      <c r="W18" s="16">
        <f>'KEEI BAU - Industry'!AM$35*'Machinery Split'!$M6*'Machinery Split'!$D$42</f>
        <v>0</v>
      </c>
      <c r="X18" s="16">
        <f>'KEEI BAU - Industry'!AN$35*'Machinery Split'!$M6*'Machinery Split'!$D$42</f>
        <v>0</v>
      </c>
      <c r="Y18" s="16">
        <f>'KEEI BAU - Industry'!AO$35*'Machinery Split'!$M6*'Machinery Split'!$D$42</f>
        <v>0</v>
      </c>
      <c r="Z18" s="16">
        <f>'KEEI BAU - Industry'!AP$35*'Machinery Split'!$M6*'Machinery Split'!$D$42</f>
        <v>0</v>
      </c>
      <c r="AA18" s="16">
        <f>'KEEI BAU - Industry'!AQ$35*'Machinery Split'!$M6*'Machinery Split'!$D$42</f>
        <v>0</v>
      </c>
      <c r="AB18" s="16">
        <f>'KEEI BAU - Industry'!AR$35*'Machinery Split'!$M6*'Machinery Split'!$D$42</f>
        <v>0</v>
      </c>
      <c r="AC18" s="16">
        <f>'KEEI BAU - Industry'!AS$35*'Machinery Split'!$M6*'Machinery Split'!$D$42</f>
        <v>0</v>
      </c>
      <c r="AD18" s="16">
        <f>'KEEI BAU - Industry'!AT$35*'Machinery Split'!$M6*'Machinery Split'!$D$42</f>
        <v>0</v>
      </c>
      <c r="AE18" s="16">
        <f>'KEEI BAU - Industry'!AU$35*'Machinery Split'!$M6*'Machinery Split'!$D$42</f>
        <v>0</v>
      </c>
      <c r="AF18" s="16">
        <f>'KEEI BAU - Industry'!AV$35*'Machinery Split'!$M6*'Machinery Split'!$D$42</f>
        <v>0</v>
      </c>
    </row>
    <row r="19" spans="1:33">
      <c r="A19" t="s">
        <v>74</v>
      </c>
      <c r="B19" s="16">
        <f>'KEEI BAU - Industry'!R$35*'Machinery Split'!$M7*'Machinery Split'!$D$42</f>
        <v>0</v>
      </c>
      <c r="C19" s="16">
        <f>'KEEI BAU - Industry'!S$35*'Machinery Split'!$M7*'Machinery Split'!$D$42</f>
        <v>0</v>
      </c>
      <c r="D19" s="16">
        <f>'KEEI BAU - Industry'!T$35*'Machinery Split'!$M7*'Machinery Split'!$D$42</f>
        <v>0</v>
      </c>
      <c r="E19" s="16">
        <f>'KEEI BAU - Industry'!U$35*'Machinery Split'!$M7*'Machinery Split'!$D$42</f>
        <v>0</v>
      </c>
      <c r="F19" s="16">
        <f>'KEEI BAU - Industry'!V$35*'Machinery Split'!$M7*'Machinery Split'!$D$42</f>
        <v>0</v>
      </c>
      <c r="G19" s="16">
        <f>'KEEI BAU - Industry'!W$35*'Machinery Split'!$M7*'Machinery Split'!$D$42</f>
        <v>0</v>
      </c>
      <c r="H19" s="16">
        <f>'KEEI BAU - Industry'!X$35*'Machinery Split'!$M7*'Machinery Split'!$D$42</f>
        <v>0</v>
      </c>
      <c r="I19" s="16">
        <f>'KEEI BAU - Industry'!Y$35*'Machinery Split'!$M7*'Machinery Split'!$D$42</f>
        <v>0</v>
      </c>
      <c r="J19" s="16">
        <f>'KEEI BAU - Industry'!Z$35*'Machinery Split'!$M7*'Machinery Split'!$D$42</f>
        <v>0</v>
      </c>
      <c r="K19" s="16">
        <f>'KEEI BAU - Industry'!AA$35*'Machinery Split'!$M7*'Machinery Split'!$D$42</f>
        <v>0</v>
      </c>
      <c r="L19" s="16">
        <f>'KEEI BAU - Industry'!AB$35*'Machinery Split'!$M7*'Machinery Split'!$D$42</f>
        <v>0</v>
      </c>
      <c r="M19" s="16">
        <f>'KEEI BAU - Industry'!AC$35*'Machinery Split'!$M7*'Machinery Split'!$D$42</f>
        <v>0</v>
      </c>
      <c r="N19" s="16">
        <f>'KEEI BAU - Industry'!AD$35*'Machinery Split'!$M7*'Machinery Split'!$D$42</f>
        <v>0</v>
      </c>
      <c r="O19" s="16">
        <f>'KEEI BAU - Industry'!AE$35*'Machinery Split'!$M7*'Machinery Split'!$D$42</f>
        <v>0</v>
      </c>
      <c r="P19" s="16">
        <f>'KEEI BAU - Industry'!AF$35*'Machinery Split'!$M7*'Machinery Split'!$D$42</f>
        <v>0</v>
      </c>
      <c r="Q19" s="16">
        <f>'KEEI BAU - Industry'!AG$35*'Machinery Split'!$M7*'Machinery Split'!$D$42</f>
        <v>0</v>
      </c>
      <c r="R19" s="16">
        <f>'KEEI BAU - Industry'!AH$35*'Machinery Split'!$M7*'Machinery Split'!$D$42</f>
        <v>0</v>
      </c>
      <c r="S19" s="16">
        <f>'KEEI BAU - Industry'!AI$35*'Machinery Split'!$M7*'Machinery Split'!$D$42</f>
        <v>0</v>
      </c>
      <c r="T19" s="16">
        <f>'KEEI BAU - Industry'!AJ$35*'Machinery Split'!$M7*'Machinery Split'!$D$42</f>
        <v>0</v>
      </c>
      <c r="U19" s="16">
        <f>'KEEI BAU - Industry'!AK$35*'Machinery Split'!$M7*'Machinery Split'!$D$42</f>
        <v>0</v>
      </c>
      <c r="V19" s="16">
        <f>'KEEI BAU - Industry'!AL$35*'Machinery Split'!$M7*'Machinery Split'!$D$42</f>
        <v>0</v>
      </c>
      <c r="W19" s="16">
        <f>'KEEI BAU - Industry'!AM$35*'Machinery Split'!$M7*'Machinery Split'!$D$42</f>
        <v>0</v>
      </c>
      <c r="X19" s="16">
        <f>'KEEI BAU - Industry'!AN$35*'Machinery Split'!$M7*'Machinery Split'!$D$42</f>
        <v>0</v>
      </c>
      <c r="Y19" s="16">
        <f>'KEEI BAU - Industry'!AO$35*'Machinery Split'!$M7*'Machinery Split'!$D$42</f>
        <v>0</v>
      </c>
      <c r="Z19" s="16">
        <f>'KEEI BAU - Industry'!AP$35*'Machinery Split'!$M7*'Machinery Split'!$D$42</f>
        <v>0</v>
      </c>
      <c r="AA19" s="16">
        <f>'KEEI BAU - Industry'!AQ$35*'Machinery Split'!$M7*'Machinery Split'!$D$42</f>
        <v>0</v>
      </c>
      <c r="AB19" s="16">
        <f>'KEEI BAU - Industry'!AR$35*'Machinery Split'!$M7*'Machinery Split'!$D$42</f>
        <v>0</v>
      </c>
      <c r="AC19" s="16">
        <f>'KEEI BAU - Industry'!AS$35*'Machinery Split'!$M7*'Machinery Split'!$D$42</f>
        <v>0</v>
      </c>
      <c r="AD19" s="16">
        <f>'KEEI BAU - Industry'!AT$35*'Machinery Split'!$M7*'Machinery Split'!$D$42</f>
        <v>0</v>
      </c>
      <c r="AE19" s="16">
        <f>'KEEI BAU - Industry'!AU$35*'Machinery Split'!$M7*'Machinery Split'!$D$42</f>
        <v>0</v>
      </c>
      <c r="AF19" s="16">
        <f>'KEEI BAU - Industry'!AV$35*'Machinery Split'!$M7*'Machinery Split'!$D$42</f>
        <v>0</v>
      </c>
    </row>
    <row r="20" spans="1:33">
      <c r="A20" t="s">
        <v>76</v>
      </c>
      <c r="B20" s="16">
        <f>'KEEI BAU - Industry'!R$35*'Machinery Split'!$M8*'Machinery Split'!$D$42</f>
        <v>0</v>
      </c>
      <c r="C20" s="16">
        <f>'KEEI BAU - Industry'!S$35*'Machinery Split'!$M8*'Machinery Split'!$D$42</f>
        <v>0</v>
      </c>
      <c r="D20" s="16">
        <f>'KEEI BAU - Industry'!T$35*'Machinery Split'!$M8*'Machinery Split'!$D$42</f>
        <v>0</v>
      </c>
      <c r="E20" s="16">
        <f>'KEEI BAU - Industry'!U$35*'Machinery Split'!$M8*'Machinery Split'!$D$42</f>
        <v>0</v>
      </c>
      <c r="F20" s="16">
        <f>'KEEI BAU - Industry'!V$35*'Machinery Split'!$M8*'Machinery Split'!$D$42</f>
        <v>0</v>
      </c>
      <c r="G20" s="16">
        <f>'KEEI BAU - Industry'!W$35*'Machinery Split'!$M8*'Machinery Split'!$D$42</f>
        <v>0</v>
      </c>
      <c r="H20" s="16">
        <f>'KEEI BAU - Industry'!X$35*'Machinery Split'!$M8*'Machinery Split'!$D$42</f>
        <v>0</v>
      </c>
      <c r="I20" s="16">
        <f>'KEEI BAU - Industry'!Y$35*'Machinery Split'!$M8*'Machinery Split'!$D$42</f>
        <v>0</v>
      </c>
      <c r="J20" s="16">
        <f>'KEEI BAU - Industry'!Z$35*'Machinery Split'!$M8*'Machinery Split'!$D$42</f>
        <v>0</v>
      </c>
      <c r="K20" s="16">
        <f>'KEEI BAU - Industry'!AA$35*'Machinery Split'!$M8*'Machinery Split'!$D$42</f>
        <v>0</v>
      </c>
      <c r="L20" s="16">
        <f>'KEEI BAU - Industry'!AB$35*'Machinery Split'!$M8*'Machinery Split'!$D$42</f>
        <v>0</v>
      </c>
      <c r="M20" s="16">
        <f>'KEEI BAU - Industry'!AC$35*'Machinery Split'!$M8*'Machinery Split'!$D$42</f>
        <v>0</v>
      </c>
      <c r="N20" s="16">
        <f>'KEEI BAU - Industry'!AD$35*'Machinery Split'!$M8*'Machinery Split'!$D$42</f>
        <v>0</v>
      </c>
      <c r="O20" s="16">
        <f>'KEEI BAU - Industry'!AE$35*'Machinery Split'!$M8*'Machinery Split'!$D$42</f>
        <v>0</v>
      </c>
      <c r="P20" s="16">
        <f>'KEEI BAU - Industry'!AF$35*'Machinery Split'!$M8*'Machinery Split'!$D$42</f>
        <v>0</v>
      </c>
      <c r="Q20" s="16">
        <f>'KEEI BAU - Industry'!AG$35*'Machinery Split'!$M8*'Machinery Split'!$D$42</f>
        <v>0</v>
      </c>
      <c r="R20" s="16">
        <f>'KEEI BAU - Industry'!AH$35*'Machinery Split'!$M8*'Machinery Split'!$D$42</f>
        <v>0</v>
      </c>
      <c r="S20" s="16">
        <f>'KEEI BAU - Industry'!AI$35*'Machinery Split'!$M8*'Machinery Split'!$D$42</f>
        <v>0</v>
      </c>
      <c r="T20" s="16">
        <f>'KEEI BAU - Industry'!AJ$35*'Machinery Split'!$M8*'Machinery Split'!$D$42</f>
        <v>0</v>
      </c>
      <c r="U20" s="16">
        <f>'KEEI BAU - Industry'!AK$35*'Machinery Split'!$M8*'Machinery Split'!$D$42</f>
        <v>0</v>
      </c>
      <c r="V20" s="16">
        <f>'KEEI BAU - Industry'!AL$35*'Machinery Split'!$M8*'Machinery Split'!$D$42</f>
        <v>0</v>
      </c>
      <c r="W20" s="16">
        <f>'KEEI BAU - Industry'!AM$35*'Machinery Split'!$M8*'Machinery Split'!$D$42</f>
        <v>0</v>
      </c>
      <c r="X20" s="16">
        <f>'KEEI BAU - Industry'!AN$35*'Machinery Split'!$M8*'Machinery Split'!$D$42</f>
        <v>0</v>
      </c>
      <c r="Y20" s="16">
        <f>'KEEI BAU - Industry'!AO$35*'Machinery Split'!$M8*'Machinery Split'!$D$42</f>
        <v>0</v>
      </c>
      <c r="Z20" s="16">
        <f>'KEEI BAU - Industry'!AP$35*'Machinery Split'!$M8*'Machinery Split'!$D$42</f>
        <v>0</v>
      </c>
      <c r="AA20" s="16">
        <f>'KEEI BAU - Industry'!AQ$35*'Machinery Split'!$M8*'Machinery Split'!$D$42</f>
        <v>0</v>
      </c>
      <c r="AB20" s="16">
        <f>'KEEI BAU - Industry'!AR$35*'Machinery Split'!$M8*'Machinery Split'!$D$42</f>
        <v>0</v>
      </c>
      <c r="AC20" s="16">
        <f>'KEEI BAU - Industry'!AS$35*'Machinery Split'!$M8*'Machinery Split'!$D$42</f>
        <v>0</v>
      </c>
      <c r="AD20" s="16">
        <f>'KEEI BAU - Industry'!AT$35*'Machinery Split'!$M8*'Machinery Split'!$D$42</f>
        <v>0</v>
      </c>
      <c r="AE20" s="16">
        <f>'KEEI BAU - Industry'!AU$35*'Machinery Split'!$M8*'Machinery Split'!$D$42</f>
        <v>0</v>
      </c>
      <c r="AF20" s="16">
        <f>'KEEI BAU - Industry'!AV$35*'Machinery Split'!$M8*'Machinery Split'!$D$42</f>
        <v>0</v>
      </c>
    </row>
    <row r="21" spans="1:33">
      <c r="A21" t="s">
        <v>78</v>
      </c>
      <c r="B21" s="16">
        <f>'KEEI BAU - Industry'!R$35*'Machinery Split'!$M9*'Machinery Split'!$D$42</f>
        <v>0</v>
      </c>
      <c r="C21" s="16">
        <f>'KEEI BAU - Industry'!S$35*'Machinery Split'!$M9*'Machinery Split'!$D$42</f>
        <v>0</v>
      </c>
      <c r="D21" s="16">
        <f>'KEEI BAU - Industry'!T$35*'Machinery Split'!$M9*'Machinery Split'!$D$42</f>
        <v>0</v>
      </c>
      <c r="E21" s="16">
        <f>'KEEI BAU - Industry'!U$35*'Machinery Split'!$M9*'Machinery Split'!$D$42</f>
        <v>0</v>
      </c>
      <c r="F21" s="16">
        <f>'KEEI BAU - Industry'!V$35*'Machinery Split'!$M9*'Machinery Split'!$D$42</f>
        <v>0</v>
      </c>
      <c r="G21" s="16">
        <f>'KEEI BAU - Industry'!W$35*'Machinery Split'!$M9*'Machinery Split'!$D$42</f>
        <v>0</v>
      </c>
      <c r="H21" s="16">
        <f>'KEEI BAU - Industry'!X$35*'Machinery Split'!$M9*'Machinery Split'!$D$42</f>
        <v>0</v>
      </c>
      <c r="I21" s="16">
        <f>'KEEI BAU - Industry'!Y$35*'Machinery Split'!$M9*'Machinery Split'!$D$42</f>
        <v>0</v>
      </c>
      <c r="J21" s="16">
        <f>'KEEI BAU - Industry'!Z$35*'Machinery Split'!$M9*'Machinery Split'!$D$42</f>
        <v>0</v>
      </c>
      <c r="K21" s="16">
        <f>'KEEI BAU - Industry'!AA$35*'Machinery Split'!$M9*'Machinery Split'!$D$42</f>
        <v>0</v>
      </c>
      <c r="L21" s="16">
        <f>'KEEI BAU - Industry'!AB$35*'Machinery Split'!$M9*'Machinery Split'!$D$42</f>
        <v>0</v>
      </c>
      <c r="M21" s="16">
        <f>'KEEI BAU - Industry'!AC$35*'Machinery Split'!$M9*'Machinery Split'!$D$42</f>
        <v>0</v>
      </c>
      <c r="N21" s="16">
        <f>'KEEI BAU - Industry'!AD$35*'Machinery Split'!$M9*'Machinery Split'!$D$42</f>
        <v>0</v>
      </c>
      <c r="O21" s="16">
        <f>'KEEI BAU - Industry'!AE$35*'Machinery Split'!$M9*'Machinery Split'!$D$42</f>
        <v>0</v>
      </c>
      <c r="P21" s="16">
        <f>'KEEI BAU - Industry'!AF$35*'Machinery Split'!$M9*'Machinery Split'!$D$42</f>
        <v>0</v>
      </c>
      <c r="Q21" s="16">
        <f>'KEEI BAU - Industry'!AG$35*'Machinery Split'!$M9*'Machinery Split'!$D$42</f>
        <v>0</v>
      </c>
      <c r="R21" s="16">
        <f>'KEEI BAU - Industry'!AH$35*'Machinery Split'!$M9*'Machinery Split'!$D$42</f>
        <v>0</v>
      </c>
      <c r="S21" s="16">
        <f>'KEEI BAU - Industry'!AI$35*'Machinery Split'!$M9*'Machinery Split'!$D$42</f>
        <v>0</v>
      </c>
      <c r="T21" s="16">
        <f>'KEEI BAU - Industry'!AJ$35*'Machinery Split'!$M9*'Machinery Split'!$D$42</f>
        <v>0</v>
      </c>
      <c r="U21" s="16">
        <f>'KEEI BAU - Industry'!AK$35*'Machinery Split'!$M9*'Machinery Split'!$D$42</f>
        <v>0</v>
      </c>
      <c r="V21" s="16">
        <f>'KEEI BAU - Industry'!AL$35*'Machinery Split'!$M9*'Machinery Split'!$D$42</f>
        <v>0</v>
      </c>
      <c r="W21" s="16">
        <f>'KEEI BAU - Industry'!AM$35*'Machinery Split'!$M9*'Machinery Split'!$D$42</f>
        <v>0</v>
      </c>
      <c r="X21" s="16">
        <f>'KEEI BAU - Industry'!AN$35*'Machinery Split'!$M9*'Machinery Split'!$D$42</f>
        <v>0</v>
      </c>
      <c r="Y21" s="16">
        <f>'KEEI BAU - Industry'!AO$35*'Machinery Split'!$M9*'Machinery Split'!$D$42</f>
        <v>0</v>
      </c>
      <c r="Z21" s="16">
        <f>'KEEI BAU - Industry'!AP$35*'Machinery Split'!$M9*'Machinery Split'!$D$42</f>
        <v>0</v>
      </c>
      <c r="AA21" s="16">
        <f>'KEEI BAU - Industry'!AQ$35*'Machinery Split'!$M9*'Machinery Split'!$D$42</f>
        <v>0</v>
      </c>
      <c r="AB21" s="16">
        <f>'KEEI BAU - Industry'!AR$35*'Machinery Split'!$M9*'Machinery Split'!$D$42</f>
        <v>0</v>
      </c>
      <c r="AC21" s="16">
        <f>'KEEI BAU - Industry'!AS$35*'Machinery Split'!$M9*'Machinery Split'!$D$42</f>
        <v>0</v>
      </c>
      <c r="AD21" s="16">
        <f>'KEEI BAU - Industry'!AT$35*'Machinery Split'!$M9*'Machinery Split'!$D$42</f>
        <v>0</v>
      </c>
      <c r="AE21" s="16">
        <f>'KEEI BAU - Industry'!AU$35*'Machinery Split'!$M9*'Machinery Split'!$D$42</f>
        <v>0</v>
      </c>
      <c r="AF21" s="16">
        <f>'KEEI BAU - Industry'!AV$35*'Machinery Split'!$M9*'Machinery Split'!$D$42</f>
        <v>0</v>
      </c>
    </row>
    <row r="22" spans="1:33">
      <c r="A22" t="s">
        <v>81</v>
      </c>
      <c r="B22" s="16">
        <f>'KEEI BAU - Industry'!R$35*'Machinery Split'!$M10*'Machinery Split'!$D$42</f>
        <v>0</v>
      </c>
      <c r="C22" s="16">
        <f>'KEEI BAU - Industry'!S$35*'Machinery Split'!$M10*'Machinery Split'!$D$42</f>
        <v>0</v>
      </c>
      <c r="D22" s="16">
        <f>'KEEI BAU - Industry'!T$35*'Machinery Split'!$M10*'Machinery Split'!$D$42</f>
        <v>0</v>
      </c>
      <c r="E22" s="16">
        <f>'KEEI BAU - Industry'!U$35*'Machinery Split'!$M10*'Machinery Split'!$D$42</f>
        <v>0</v>
      </c>
      <c r="F22" s="16">
        <f>'KEEI BAU - Industry'!V$35*'Machinery Split'!$M10*'Machinery Split'!$D$42</f>
        <v>0</v>
      </c>
      <c r="G22" s="16">
        <f>'KEEI BAU - Industry'!W$35*'Machinery Split'!$M10*'Machinery Split'!$D$42</f>
        <v>0</v>
      </c>
      <c r="H22" s="16">
        <f>'KEEI BAU - Industry'!X$35*'Machinery Split'!$M10*'Machinery Split'!$D$42</f>
        <v>0</v>
      </c>
      <c r="I22" s="16">
        <f>'KEEI BAU - Industry'!Y$35*'Machinery Split'!$M10*'Machinery Split'!$D$42</f>
        <v>0</v>
      </c>
      <c r="J22" s="16">
        <f>'KEEI BAU - Industry'!Z$35*'Machinery Split'!$M10*'Machinery Split'!$D$42</f>
        <v>0</v>
      </c>
      <c r="K22" s="16">
        <f>'KEEI BAU - Industry'!AA$35*'Machinery Split'!$M10*'Machinery Split'!$D$42</f>
        <v>0</v>
      </c>
      <c r="L22" s="16">
        <f>'KEEI BAU - Industry'!AB$35*'Machinery Split'!$M10*'Machinery Split'!$D$42</f>
        <v>0</v>
      </c>
      <c r="M22" s="16">
        <f>'KEEI BAU - Industry'!AC$35*'Machinery Split'!$M10*'Machinery Split'!$D$42</f>
        <v>0</v>
      </c>
      <c r="N22" s="16">
        <f>'KEEI BAU - Industry'!AD$35*'Machinery Split'!$M10*'Machinery Split'!$D$42</f>
        <v>0</v>
      </c>
      <c r="O22" s="16">
        <f>'KEEI BAU - Industry'!AE$35*'Machinery Split'!$M10*'Machinery Split'!$D$42</f>
        <v>0</v>
      </c>
      <c r="P22" s="16">
        <f>'KEEI BAU - Industry'!AF$35*'Machinery Split'!$M10*'Machinery Split'!$D$42</f>
        <v>0</v>
      </c>
      <c r="Q22" s="16">
        <f>'KEEI BAU - Industry'!AG$35*'Machinery Split'!$M10*'Machinery Split'!$D$42</f>
        <v>0</v>
      </c>
      <c r="R22" s="16">
        <f>'KEEI BAU - Industry'!AH$35*'Machinery Split'!$M10*'Machinery Split'!$D$42</f>
        <v>0</v>
      </c>
      <c r="S22" s="16">
        <f>'KEEI BAU - Industry'!AI$35*'Machinery Split'!$M10*'Machinery Split'!$D$42</f>
        <v>0</v>
      </c>
      <c r="T22" s="16">
        <f>'KEEI BAU - Industry'!AJ$35*'Machinery Split'!$M10*'Machinery Split'!$D$42</f>
        <v>0</v>
      </c>
      <c r="U22" s="16">
        <f>'KEEI BAU - Industry'!AK$35*'Machinery Split'!$M10*'Machinery Split'!$D$42</f>
        <v>0</v>
      </c>
      <c r="V22" s="16">
        <f>'KEEI BAU - Industry'!AL$35*'Machinery Split'!$M10*'Machinery Split'!$D$42</f>
        <v>0</v>
      </c>
      <c r="W22" s="16">
        <f>'KEEI BAU - Industry'!AM$35*'Machinery Split'!$M10*'Machinery Split'!$D$42</f>
        <v>0</v>
      </c>
      <c r="X22" s="16">
        <f>'KEEI BAU - Industry'!AN$35*'Machinery Split'!$M10*'Machinery Split'!$D$42</f>
        <v>0</v>
      </c>
      <c r="Y22" s="16">
        <f>'KEEI BAU - Industry'!AO$35*'Machinery Split'!$M10*'Machinery Split'!$D$42</f>
        <v>0</v>
      </c>
      <c r="Z22" s="16">
        <f>'KEEI BAU - Industry'!AP$35*'Machinery Split'!$M10*'Machinery Split'!$D$42</f>
        <v>0</v>
      </c>
      <c r="AA22" s="16">
        <f>'KEEI BAU - Industry'!AQ$35*'Machinery Split'!$M10*'Machinery Split'!$D$42</f>
        <v>0</v>
      </c>
      <c r="AB22" s="16">
        <f>'KEEI BAU - Industry'!AR$35*'Machinery Split'!$M10*'Machinery Split'!$D$42</f>
        <v>0</v>
      </c>
      <c r="AC22" s="16">
        <f>'KEEI BAU - Industry'!AS$35*'Machinery Split'!$M10*'Machinery Split'!$D$42</f>
        <v>0</v>
      </c>
      <c r="AD22" s="16">
        <f>'KEEI BAU - Industry'!AT$35*'Machinery Split'!$M10*'Machinery Split'!$D$42</f>
        <v>0</v>
      </c>
      <c r="AE22" s="16">
        <f>'KEEI BAU - Industry'!AU$35*'Machinery Split'!$M10*'Machinery Split'!$D$42</f>
        <v>0</v>
      </c>
      <c r="AF22" s="16">
        <f>'KEEI BAU - Industry'!AV$35*'Machinery Split'!$M10*'Machinery Split'!$D$42</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77734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E003242-8B03-47C8-BCD4-9040A060FD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2025-07-16T14:56:55Z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