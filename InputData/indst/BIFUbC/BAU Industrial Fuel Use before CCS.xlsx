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765A8DBB-B994-4B2C-8ACB-FECFEDCAA69E}" xr6:coauthVersionLast="47" xr6:coauthVersionMax="47" xr10:uidLastSave="{00000000-0000-0000-0000-000000000000}"/>
  <bookViews>
    <workbookView xWindow="45405" yWindow="1695" windowWidth="21135" windowHeight="13245" tabRatio="903"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7" i="74" l="1"/>
  <c r="T18" i="74"/>
  <c r="T19" i="74"/>
  <c r="T20" i="74"/>
  <c r="T21" i="74"/>
  <c r="T16" i="74"/>
  <c r="T31" i="74"/>
  <c r="T32" i="74"/>
  <c r="T33" i="74"/>
  <c r="T34" i="74"/>
  <c r="T35" i="74"/>
  <c r="T30" i="74"/>
  <c r="E6" i="86"/>
  <c r="U14" i="87"/>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<sst xmlns="http://schemas.openxmlformats.org/spreadsheetml/2006/main" count="3154" uniqueCount="1281">
  <si>
    <t>BIFUbC BAU Industrial Fuel Use before CCS</t>
  </si>
  <si>
    <t>Sources:</t>
  </si>
  <si>
    <t>BAU Industrial Fuel Use</t>
    <phoneticPr fontId="34" type="noConversion"/>
  </si>
  <si>
    <t>Korea Energy Statistics Information System</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</si>
  <si>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</si>
  <si>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</si>
  <si>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</si>
  <si>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</si>
  <si>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</si>
  <si>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</si>
  <si>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</si>
  <si>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</si>
  <si>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</si>
  <si>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</si>
  <si>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</si>
  <si>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</si>
  <si>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</si>
  <si>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</si>
  <si>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</si>
  <si>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</si>
  <si>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</si>
  <si>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</si>
  <si>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</si>
  <si>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</si>
  <si>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</si>
  <si>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</si>
  <si>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</si>
  <si>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</si>
  <si>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</si>
  <si>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</si>
  <si>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</si>
  <si>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</si>
  <si>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</si>
  <si>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</si>
  <si>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</si>
  <si>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</si>
  <si>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</si>
  <si>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</si>
  <si>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</si>
  <si>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</si>
  <si>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</si>
  <si>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</si>
  <si>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</si>
  <si>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</si>
  <si>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</si>
  <si>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</si>
  <si>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</si>
  <si>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</si>
  <si>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</si>
  <si>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</si>
  <si>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</si>
  <si>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</si>
  <si>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</si>
  <si>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</si>
  <si>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</si>
  <si>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</si>
  <si>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</si>
  <si>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</si>
  <si>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</si>
  <si>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</si>
  <si>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</si>
  <si>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</si>
  <si>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</si>
  <si>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</si>
  <si>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</si>
  <si>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</si>
  <si>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</si>
  <si>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</si>
  <si>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</si>
  <si>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</si>
  <si>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</si>
  <si>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</si>
  <si>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</si>
  <si>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</si>
  <si>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</si>
  <si>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</si>
  <si>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</si>
  <si>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</si>
  <si>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</si>
  <si>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</si>
  <si>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</si>
  <si>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</si>
  <si>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</si>
  <si>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</si>
  <si>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</si>
  <si>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</si>
  <si>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</si>
  <si>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</si>
  <si>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</si>
  <si>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</si>
  <si>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</si>
  <si>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</si>
  <si>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</si>
  <si>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</si>
  <si>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</si>
  <si>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</si>
  <si>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</si>
  <si>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</si>
  <si>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</si>
  <si>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</si>
  <si>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</si>
  <si>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</si>
  <si>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</si>
  <si>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</si>
  <si>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</si>
  <si>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</si>
  <si>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</si>
  <si>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</si>
  <si>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</si>
  <si>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</si>
  <si>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</si>
  <si>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</si>
  <si>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</si>
  <si>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</si>
  <si>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</si>
  <si>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</si>
  <si>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</si>
  <si>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</si>
  <si>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</si>
  <si>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</si>
  <si>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</si>
  <si>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</si>
  <si>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</si>
  <si>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</si>
  <si>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</si>
  <si>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</si>
  <si>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</si>
  <si>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</si>
  <si>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</si>
  <si>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</si>
  <si>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</si>
  <si>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</si>
  <si>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</si>
  <si>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</si>
  <si>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</si>
  <si>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</si>
  <si>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</si>
  <si>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</si>
  <si>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</si>
  <si>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</si>
  <si>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</si>
  <si>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</si>
  <si>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</si>
  <si>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</si>
  <si>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</si>
  <si>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</si>
  <si>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</si>
  <si>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</si>
  <si>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</si>
  <si>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</si>
  <si>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</si>
  <si>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</si>
  <si>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</si>
  <si>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</si>
  <si>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</si>
  <si>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</si>
  <si>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</si>
  <si>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</si>
  <si>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</si>
  <si>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</si>
  <si>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</si>
  <si>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</si>
  <si>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</si>
  <si>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</si>
  <si>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</si>
  <si>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</si>
  <si>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</si>
  <si>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</si>
  <si>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</si>
  <si>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</si>
  <si>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</si>
  <si>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</si>
  <si>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</si>
  <si>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</si>
  <si>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</si>
  <si>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</si>
  <si>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</si>
  <si>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</si>
  <si>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</si>
  <si>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</si>
  <si>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</si>
  <si>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</si>
  <si>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</si>
  <si>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</si>
  <si>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</si>
  <si>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</si>
  <si>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</si>
  <si>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</si>
  <si>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</si>
  <si>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</si>
  <si>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</si>
  <si>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</si>
  <si>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</si>
  <si>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</si>
  <si>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</si>
  <si>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</si>
  <si>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</si>
  <si>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</si>
  <si>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</si>
  <si>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</si>
  <si>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</si>
  <si>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</si>
  <si>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</si>
  <si>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</si>
  <si>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</si>
  <si>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</si>
  <si>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</si>
  <si>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</si>
  <si>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</si>
  <si>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</si>
  <si>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</si>
  <si>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</si>
  <si>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</si>
  <si>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</si>
  <si>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</si>
  <si>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</si>
  <si>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</si>
  <si>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</si>
  <si>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</si>
  <si>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</si>
  <si>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</si>
  <si>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</si>
  <si>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</si>
  <si>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</si>
  <si>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</si>
  <si>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</si>
  <si>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</si>
  <si>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</si>
  <si>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</si>
  <si>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</si>
  <si>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</si>
  <si>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</si>
  <si>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</si>
  <si>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</si>
  <si>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</si>
  <si>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</si>
  <si>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</si>
  <si>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</si>
  <si>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</si>
  <si>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</si>
  <si>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</si>
  <si>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</si>
  <si>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</si>
  <si>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</si>
  <si>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</si>
  <si>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</si>
  <si>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</si>
  <si>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</si>
  <si>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</si>
  <si>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</si>
  <si>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</si>
  <si>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</si>
  <si>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</si>
  <si>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</si>
  <si>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</si>
  <si>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</si>
  <si>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</si>
  <si>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</si>
  <si>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</si>
  <si>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</si>
  <si>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</si>
  <si>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</si>
  <si>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</si>
  <si>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</si>
  <si>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</si>
  <si>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</si>
  <si>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</si>
  <si>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</si>
  <si>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</si>
  <si>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</si>
  <si>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</si>
  <si>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</si>
  <si>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</si>
  <si>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</si>
  <si>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</si>
  <si>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</si>
  <si>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</si>
  <si>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</si>
  <si>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</si>
  <si>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</si>
  <si>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</si>
  <si>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</si>
  <si>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</si>
  <si>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</si>
  <si>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</si>
  <si>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</si>
  <si>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</si>
  <si>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</si>
  <si>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</si>
  <si>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</si>
  <si>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</si>
  <si>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</si>
  <si>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</si>
  <si>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</si>
  <si>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</si>
  <si>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</si>
  <si>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</si>
  <si>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</si>
  <si>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</si>
  <si>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</si>
  <si>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</si>
  <si>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</si>
  <si>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</si>
  <si>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</si>
  <si>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</si>
  <si>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</si>
  <si>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</si>
  <si>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</si>
  <si>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</si>
  <si>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</si>
  <si>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</si>
  <si>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</si>
  <si>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</si>
  <si>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</si>
  <si>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</si>
  <si>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</si>
  <si>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</si>
  <si>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</si>
  <si>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</si>
  <si>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</si>
  <si>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</si>
  <si>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</si>
  <si>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</si>
  <si>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</si>
  <si>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</si>
  <si>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</si>
  <si>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</si>
  <si>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</si>
  <si>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</si>
  <si>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</si>
  <si>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</si>
  <si>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</si>
  <si>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</si>
  <si>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</si>
  <si>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</si>
  <si>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</si>
  <si>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</si>
  <si>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</si>
  <si>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</si>
  <si>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</si>
  <si>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</si>
  <si>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</si>
  <si>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</si>
  <si>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</si>
  <si>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</si>
  <si>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</si>
  <si>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</si>
  <si>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</si>
  <si>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</si>
  <si>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</si>
  <si>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</si>
  <si>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</si>
  <si>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</si>
  <si>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</si>
  <si>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</si>
  <si>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</si>
  <si>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</si>
  <si>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</si>
  <si>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</si>
  <si>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</si>
  <si>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</si>
  <si>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</si>
  <si>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</si>
  <si>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</si>
  <si>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</si>
  <si>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</si>
  <si>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</si>
  <si>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</si>
  <si>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</si>
  <si>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</si>
  <si>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</si>
  <si>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</si>
  <si>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</si>
  <si>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</si>
  <si>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</si>
  <si>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</si>
  <si>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</si>
  <si>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</si>
  <si>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</si>
  <si>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</si>
  <si>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</si>
  <si>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</si>
  <si>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</si>
  <si>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</si>
  <si>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</si>
  <si>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</si>
  <si>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</si>
  <si>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</si>
  <si>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</si>
  <si>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</si>
  <si>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</si>
  <si>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</si>
  <si>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</si>
  <si>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</si>
  <si>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</si>
  <si>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</si>
  <si>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</si>
  <si>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</si>
  <si>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</si>
  <si>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</si>
  <si>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</si>
  <si>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</si>
  <si>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</si>
  <si>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</si>
  <si>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</si>
  <si>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</si>
  <si>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</si>
  <si>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</si>
  <si>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</si>
  <si>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</si>
  <si>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</si>
  <si>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</si>
  <si>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</si>
  <si>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</si>
  <si>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</si>
  <si>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</si>
  <si>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</si>
  <si>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</si>
  <si>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</si>
  <si>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</si>
  <si>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</si>
  <si>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</si>
  <si>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</si>
  <si>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</si>
  <si>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</si>
  <si>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</si>
  <si>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</si>
  <si>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</si>
  <si>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</si>
  <si>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</si>
  <si>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</si>
  <si>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</si>
  <si>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</si>
  <si>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</si>
  <si>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</si>
  <si>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</si>
  <si>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</si>
  <si>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</si>
  <si>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</si>
  <si>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</si>
  <si>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</si>
  <si>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</si>
  <si>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</si>
  <si>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</si>
  <si>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</si>
  <si>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</si>
  <si>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</si>
  <si>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</si>
  <si>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</si>
  <si>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</si>
  <si>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</si>
  <si>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</si>
  <si>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</si>
  <si>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</si>
  <si>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</si>
  <si>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</si>
  <si>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</si>
  <si>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</si>
  <si>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</si>
  <si>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</si>
  <si>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</si>
  <si>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</si>
  <si>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</si>
  <si>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</si>
  <si>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</si>
  <si>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</si>
  <si>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</si>
  <si>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</si>
  <si>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</si>
  <si>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</si>
  <si>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</si>
  <si>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</si>
  <si>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</si>
  <si>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</si>
  <si>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</si>
  <si>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</si>
  <si>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</si>
  <si>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</si>
  <si>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</si>
  <si>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</si>
  <si>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</si>
  <si>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</si>
  <si>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</si>
  <si>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</si>
  <si>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</si>
  <si>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</si>
  <si>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</si>
  <si>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</si>
  <si>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</si>
  <si>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</si>
  <si>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</si>
  <si>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</si>
  <si>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</si>
  <si>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</si>
  <si>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</si>
  <si>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</si>
  <si>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</si>
  <si>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</si>
  <si>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</si>
  <si>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</si>
  <si>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</si>
  <si>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</si>
  <si>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</si>
  <si>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</si>
  <si>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</si>
  <si>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</si>
  <si>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</si>
  <si>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</si>
  <si>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</si>
  <si>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</si>
  <si>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</si>
  <si>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</si>
  <si>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</si>
  <si>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</si>
  <si>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</si>
  <si>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</si>
  <si>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</si>
  <si>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</si>
  <si>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</si>
  <si>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</si>
  <si>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</si>
  <si>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</si>
  <si>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</si>
  <si>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</si>
  <si>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</si>
  <si>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</si>
  <si>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</si>
  <si>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</si>
  <si>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</si>
  <si>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</si>
  <si>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</si>
  <si>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</si>
  <si>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</si>
  <si>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</si>
  <si>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</si>
  <si>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</si>
  <si>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</si>
  <si>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</si>
  <si>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</si>
  <si>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</si>
  <si>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</si>
  <si>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</si>
  <si>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</si>
  <si>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</si>
  <si>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</si>
  <si>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</si>
  <si>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</si>
  <si>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</si>
  <si>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</si>
  <si>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</si>
  <si>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</si>
  <si>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</si>
  <si>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</si>
  <si>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</si>
  <si>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</si>
  <si>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</si>
  <si>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</si>
  <si>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</si>
  <si>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</si>
  <si>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</si>
  <si>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</si>
  <si>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</si>
  <si>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</si>
  <si>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</si>
  <si>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</si>
  <si>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</si>
  <si>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</si>
  <si>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</si>
  <si>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</si>
  <si>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</si>
  <si>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</si>
  <si>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</si>
  <si>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</si>
  <si>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</si>
  <si>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</si>
  <si>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</si>
  <si>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</si>
  <si>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</si>
  <si>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</si>
  <si>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</si>
  <si>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</si>
  <si>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</si>
  <si>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</si>
  <si>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</si>
  <si>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</si>
  <si>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</si>
  <si>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</si>
  <si>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</si>
  <si>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</si>
  <si>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</si>
  <si>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</si>
  <si>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</si>
  <si>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</si>
  <si>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</si>
  <si>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</si>
  <si>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</si>
  <si>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</si>
  <si>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</si>
  <si>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</si>
  <si>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</si>
  <si>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</si>
  <si>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</si>
  <si>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</si>
  <si>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</si>
  <si>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</si>
  <si>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</si>
  <si>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</si>
  <si>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</si>
  <si>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</si>
  <si>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</si>
  <si>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</si>
  <si>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</si>
  <si>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</si>
  <si>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</si>
  <si>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</si>
  <si>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</si>
  <si>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</si>
  <si>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</si>
  <si>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</si>
  <si>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</si>
  <si>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</si>
  <si>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</si>
  <si>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</si>
  <si>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</si>
  <si>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</si>
  <si>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</si>
  <si>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</si>
  <si>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</si>
  <si>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</si>
  <si>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</si>
  <si>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</si>
  <si>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</si>
  <si>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</si>
  <si>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</si>
  <si>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</si>
  <si>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</si>
  <si>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</si>
  <si>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</si>
  <si>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</si>
  <si>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</si>
  <si>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</si>
  <si>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</si>
  <si>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</si>
  <si>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</si>
  <si>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</si>
  <si>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</si>
  <si>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</si>
  <si>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</si>
  <si>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</si>
  <si>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</si>
  <si>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</si>
  <si>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</si>
  <si>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</si>
  <si>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</si>
  <si>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</si>
  <si>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</si>
  <si>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</si>
  <si>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</si>
  <si>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</si>
  <si>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</si>
  <si>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</si>
  <si>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</si>
  <si>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</si>
  <si>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</si>
  <si>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</si>
  <si>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</si>
  <si>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</si>
  <si>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</si>
  <si>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</si>
  <si>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</si>
  <si>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</si>
  <si>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</si>
  <si>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</si>
  <si>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</si>
  <si>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</si>
  <si>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</si>
  <si>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</si>
  <si>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</si>
  <si>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</si>
  <si>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</si>
  <si>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</si>
  <si>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</si>
  <si>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</si>
  <si>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</si>
  <si>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</si>
  <si>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</si>
  <si>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</si>
  <si>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</si>
  <si>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</si>
  <si>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</si>
  <si>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</si>
  <si>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</si>
  <si>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</si>
  <si>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</si>
  <si>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</si>
  <si>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</si>
  <si>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</si>
  <si>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</si>
  <si>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</si>
  <si>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</si>
  <si>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</si>
  <si>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</si>
  <si>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</si>
  <si>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</si>
  <si>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</si>
  <si>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</si>
  <si>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</si>
  <si>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</si>
  <si>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</si>
  <si>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</si>
  <si>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</si>
  <si>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</si>
  <si>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</si>
  <si>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</si>
  <si>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</si>
  <si>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</si>
  <si>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</si>
  <si>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</si>
  <si>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</si>
  <si>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</si>
  <si>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</si>
  <si>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</si>
  <si>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</si>
  <si>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</si>
  <si>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</si>
  <si>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</si>
  <si>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</si>
  <si>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</si>
  <si>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</si>
  <si>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</si>
  <si>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</si>
  <si>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</si>
  <si>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</si>
  <si>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</si>
  <si>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</si>
  <si>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</si>
  <si>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</si>
  <si>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</si>
  <si>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</si>
  <si>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</si>
  <si>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</si>
  <si>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</si>
  <si>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</si>
  <si>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</si>
  <si>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</si>
  <si>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</si>
  <si>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</si>
  <si>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</si>
  <si>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</si>
  <si>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</si>
  <si>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</si>
  <si>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</si>
  <si>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</si>
  <si>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</si>
  <si>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</si>
  <si>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</si>
  <si>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</si>
  <si>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</si>
  <si>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</si>
  <si>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</si>
  <si>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</si>
  <si>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</si>
  <si>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</si>
  <si>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</si>
  <si>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</si>
  <si>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</si>
  <si>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</si>
  <si>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</si>
  <si>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</si>
  <si>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</si>
  <si>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</si>
  <si>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</si>
  <si>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</si>
  <si>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</si>
  <si>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</si>
  <si>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</si>
  <si>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</si>
  <si>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</si>
  <si>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</si>
  <si>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</si>
  <si>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</si>
  <si>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</si>
  <si>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</si>
  <si>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</si>
  <si>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</si>
  <si>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</si>
  <si>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</si>
  <si>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</si>
  <si>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</si>
  <si>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</si>
  <si>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</si>
  <si>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</si>
  <si>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</si>
  <si>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</si>
  <si>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</si>
  <si>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</si>
  <si>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</si>
  <si>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</si>
  <si>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</si>
  <si>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</si>
  <si>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</si>
  <si>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</si>
  <si>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</si>
  <si>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</si>
  <si>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</si>
  <si>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</si>
  <si>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</si>
  <si>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</si>
  <si>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</si>
  <si>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</si>
  <si>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</si>
  <si>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</si>
  <si>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</si>
  <si>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</si>
  <si>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</si>
  <si>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</si>
  <si>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</si>
  <si>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</si>
  <si>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</si>
  <si>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</si>
  <si>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</si>
  <si>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</si>
  <si>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</si>
  <si>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</si>
  <si>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</si>
  <si>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</si>
  <si>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</si>
  <si>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</si>
  <si>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</si>
  <si>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</si>
  <si>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</si>
  <si>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</si>
  <si>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</si>
  <si>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</si>
  <si>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</si>
  <si>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</si>
  <si>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</si>
  <si>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</si>
  <si>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</si>
  <si>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</si>
  <si>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</si>
  <si>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</si>
  <si>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</si>
  <si>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</si>
  <si>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</si>
  <si>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</si>
  <si>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</si>
  <si>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</si>
  <si>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</si>
  <si>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</si>
  <si>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</si>
  <si>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</si>
  <si>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</si>
  <si>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</si>
  <si>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</si>
  <si>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</si>
  <si>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</si>
  <si>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</si>
  <si>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</si>
  <si>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</si>
  <si>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</si>
  <si>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</si>
  <si>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</si>
  <si>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</si>
  <si>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</si>
  <si>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</si>
  <si>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</si>
  <si>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</si>
  <si>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</si>
  <si>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</si>
  <si>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</si>
  <si>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</si>
  <si>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</si>
  <si>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</si>
  <si>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</si>
  <si>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</si>
  <si>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</si>
  <si>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</si>
  <si>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</si>
  <si>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</si>
  <si>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</si>
  <si>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</si>
  <si>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</si>
  <si>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</si>
  <si>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</si>
  <si>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</si>
  <si>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</si>
  <si>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</si>
  <si>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</si>
  <si>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</si>
  <si>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</si>
  <si>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</si>
  <si>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</si>
  <si>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</si>
  <si>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</si>
  <si>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</si>
  <si>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</si>
  <si>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</si>
  <si>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</si>
  <si>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</si>
  <si>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</si>
  <si>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</si>
  <si>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</si>
  <si>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</si>
  <si>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</si>
  <si>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</si>
  <si>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</si>
  <si>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</si>
  <si>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</si>
  <si>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</si>
  <si>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</si>
  <si>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</si>
  <si>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</si>
  <si>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</si>
  <si>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</si>
  <si>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</si>
  <si>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</si>
  <si>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</si>
  <si>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</si>
  <si>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</si>
  <si>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</si>
  <si>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</si>
  <si>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</si>
  <si>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</si>
  <si>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</si>
  <si>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</si>
  <si>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</si>
  <si>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</si>
  <si>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</si>
  <si>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</si>
  <si>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</si>
  <si>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</si>
  <si>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</si>
  <si>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</si>
  <si>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</si>
  <si>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</si>
  <si>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</si>
  <si>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</si>
  <si>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</si>
  <si>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</si>
  <si>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</si>
  <si>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</si>
  <si>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</si>
  <si>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</si>
  <si>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</si>
  <si>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</si>
  <si>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</si>
  <si>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</si>
  <si>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</si>
  <si>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</si>
  <si>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</si>
  <si>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</si>
  <si>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</si>
  <si>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</si>
  <si>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</si>
  <si>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</si>
  <si>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</si>
  <si>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</si>
  <si>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</si>
  <si>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</si>
  <si>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</si>
  <si>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</si>
  <si>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</si>
  <si>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</si>
  <si>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</si>
  <si>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</si>
  <si>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</si>
  <si>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</si>
  <si>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</si>
  <si>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</si>
  <si>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</si>
  <si>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</si>
  <si>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</si>
  <si>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</si>
  <si>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</si>
  <si>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</si>
  <si>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</si>
  <si>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</si>
  <si>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</si>
  <si>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</si>
  <si>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</si>
  <si>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</si>
  <si>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</si>
  <si>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</si>
  <si>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</si>
  <si>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</si>
  <si>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</si>
  <si>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</si>
  <si>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</si>
  <si>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</si>
  <si>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</si>
  <si>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</si>
  <si>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</si>
  <si>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</si>
  <si>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</si>
  <si>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</si>
  <si>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</si>
  <si>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</si>
  <si>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</si>
  <si>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</si>
  <si>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</si>
  <si>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</si>
  <si>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</si>
  <si>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</si>
  <si>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</si>
  <si>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</si>
  <si>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</si>
  <si>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</si>
  <si>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</si>
  <si>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</si>
  <si>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</si>
  <si>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</si>
  <si>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</si>
  <si>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</si>
  <si>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</si>
  <si>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</si>
  <si>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</si>
  <si>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</si>
  <si>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</si>
  <si>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</si>
  <si>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</si>
  <si>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</si>
  <si>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</si>
  <si>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</si>
  <si>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</si>
  <si>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</si>
  <si>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</si>
  <si>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</si>
  <si>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</si>
  <si>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</si>
  <si>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</si>
  <si>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</si>
  <si>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</si>
  <si>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</si>
  <si>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</si>
  <si>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</si>
  <si>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</si>
  <si>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</si>
  <si>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</si>
  <si>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</si>
  <si>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</si>
  <si>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</si>
  <si>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</si>
  <si>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</si>
  <si>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</si>
  <si>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</si>
  <si>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</si>
  <si>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</si>
  <si>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</si>
  <si>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</si>
  <si>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</si>
  <si>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</si>
  <si>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</si>
  <si>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</si>
  <si>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</si>
  <si>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</si>
  <si>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</si>
  <si>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</si>
  <si>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</si>
  <si>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</si>
  <si>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</si>
  <si>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</si>
  <si>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</si>
  <si>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</si>
  <si>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</si>
  <si>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</si>
  <si>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</si>
  <si>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</si>
  <si>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</si>
  <si>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</si>
  <si>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</si>
  <si>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</si>
  <si>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</si>
  <si>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</si>
  <si>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</si>
  <si>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</si>
  <si>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</si>
  <si>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</si>
  <si>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</si>
  <si>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</si>
  <si>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</si>
  <si>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</si>
  <si>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</si>
  <si>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</si>
  <si>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</si>
  <si>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</si>
  <si>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</si>
  <si>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</si>
  <si>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</si>
  <si>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</si>
  <si>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</si>
  <si>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</si>
  <si>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</si>
  <si>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</si>
  <si>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</si>
  <si>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</si>
  <si>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</si>
  <si>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</si>
  <si>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</si>
  <si>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</si>
  <si>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</si>
  <si>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</si>
  <si>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</si>
  <si>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</si>
  <si>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</si>
  <si>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</si>
  <si>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</si>
  <si>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</si>
  <si>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</si>
  <si>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</si>
  <si>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</si>
  <si>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</si>
  <si>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</si>
  <si>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</si>
  <si>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</si>
  <si>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</si>
  <si>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</si>
  <si>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</si>
  <si>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</si>
  <si>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</si>
  <si>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</si>
  <si>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</si>
  <si>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</si>
  <si>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</si>
  <si>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</si>
  <si>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</si>
  <si>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</si>
  <si>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</si>
  <si>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</si>
  <si>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</si>
  <si>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</si>
  <si>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</si>
  <si>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</si>
  <si>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</si>
  <si>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</si>
  <si>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</si>
  <si>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</si>
  <si>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</si>
  <si>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</si>
  <si>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</si>
  <si>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</si>
  <si>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</si>
  <si>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</si>
  <si>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</si>
  <si>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</si>
  <si>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</si>
  <si>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</si>
  <si>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</si>
  <si>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</si>
  <si>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</si>
  <si>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</si>
  <si>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</si>
  <si>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</si>
  <si>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</si>
  <si>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</si>
  <si>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</si>
  <si>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</si>
  <si>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</si>
  <si>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</si>
  <si>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</si>
  <si>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</si>
  <si>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</si>
  <si>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</si>
  <si>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</si>
  <si>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</si>
  <si>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</si>
  <si>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</si>
  <si>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</si>
  <si>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</si>
  <si>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</si>
  <si>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</si>
  <si>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</si>
  <si>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</si>
  <si>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</si>
  <si>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</si>
  <si>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</si>
  <si>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</si>
  <si>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</si>
  <si>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</si>
  <si>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</si>
  <si>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</si>
  <si>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</si>
  <si>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</si>
  <si>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</si>
  <si>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</si>
  <si>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</si>
  <si>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</si>
  <si>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</si>
  <si>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</si>
  <si>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</si>
  <si>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</si>
  <si>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</si>
  <si>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</si>
  <si>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</si>
  <si>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</si>
  <si>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</si>
  <si>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</si>
  <si>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</si>
  <si>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</si>
  <si>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</si>
  <si>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</si>
  <si>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</si>
  <si>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</si>
  <si>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</si>
  <si>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</si>
  <si>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</si>
  <si>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</si>
  <si>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</si>
  <si>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</si>
  <si>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</si>
  <si>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</si>
  <si>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</si>
  <si>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</si>
  <si>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</si>
  <si>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</si>
  <si>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</si>
  <si>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</si>
  <si>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</si>
  <si>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</si>
  <si>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</si>
  <si>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</si>
  <si>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</si>
  <si>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</si>
  <si>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</si>
  <si>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</si>
  <si>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</si>
  <si>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</si>
  <si>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</si>
  <si>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</si>
  <si>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</si>
  <si>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</si>
  <si>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</si>
  <si>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</si>
  <si>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</si>
  <si>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</si>
  <si>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</si>
  <si>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</si>
  <si>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</si>
  <si>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</si>
  <si>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</si>
  <si>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</si>
  <si>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</si>
  <si>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</si>
  <si>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</si>
  <si>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</si>
  <si>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</si>
  <si>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</si>
  <si>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</si>
  <si>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</si>
  <si>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</si>
  <si>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</si>
  <si>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</si>
  <si>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</si>
  <si>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</si>
  <si>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</si>
  <si>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</si>
  <si>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</si>
  <si>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</si>
  <si>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</si>
  <si>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</si>
  <si>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</si>
  <si>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</si>
  <si>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</si>
  <si>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</si>
  <si>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</si>
  <si>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</si>
  <si>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</si>
  <si>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</si>
  <si>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</si>
  <si>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</si>
  <si>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</si>
  <si>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</si>
  <si>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</si>
  <si>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</si>
  <si>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</si>
  <si>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</si>
  <si>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</si>
  <si>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</si>
  <si>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</si>
  <si>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</si>
  <si>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KEEI Long-term energy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</si>
</sst>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02">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s>
  <fills count="6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86">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FileDownloadAction.do?file=/admin/admin_RegList.jsp/20241231/290581735604309791_01.xlsx&amp;oldFile=BAL_EXTEND_(1990-2022).xlsx"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www.kesis.net/crosseditor/binary/files/000005/2023_%EC%9E%A5%EA%B8%B0%EC%97%90%EB%84%88%EC%A7%80%EC%A0%84%EB%A7%9D_%EA%B8%B0%EC%A4%80_%EC%8B%9C%EB%82%98%EB%A6%AC%EC%98%A4_(REF).&#54000;&#4568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abSelected="1" workbookViewId="0">
      <selection activeCell="B10" sqref="B10"/>
    </sheetView>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1280</v>
      </c>
    </row>
    <row r="7" spans="1:4">
      <c r="B7" s="92" t="s">
        <v>4</v>
      </c>
    </row>
    <row r="8" spans="1:4">
      <c r="B8" s="2">
        <v>2023</v>
      </c>
    </row>
    <row r="9" spans="1:4">
      <c r="B9" t="s">
        <v>1280</v>
      </c>
    </row>
    <row r="10" spans="1:4">
      <c r="B10" s="92" t="s">
        <v>5</v>
      </c>
      <c r="C10" s="92" t="s">
        <v>6</v>
      </c>
    </row>
    <row r="12" spans="1:4">
      <c r="B12" s="3" t="s">
        <v>7</v>
      </c>
    </row>
    <row r="13" spans="1:4">
      <c r="B13" t="s">
        <v>3</v>
      </c>
      <c r="D13" s="23"/>
    </row>
    <row r="14" spans="1:4">
      <c r="B14" s="2">
        <v>2021</v>
      </c>
      <c r="D14" s="23"/>
    </row>
    <row r="15" spans="1:4">
      <c r="B15" t="s">
        <v>8</v>
      </c>
      <c r="D15" s="22"/>
    </row>
    <row r="16" spans="1:4">
      <c r="B16" s="92" t="s">
        <v>9</v>
      </c>
      <c r="D16" s="23"/>
    </row>
    <row r="17" spans="2:4">
      <c r="B17" s="2">
        <v>2023</v>
      </c>
      <c r="D17" s="23"/>
    </row>
    <row r="18" spans="2:4">
      <c r="B18" t="s">
        <v>8</v>
      </c>
      <c r="D18" s="23"/>
    </row>
    <row r="19" spans="2:4">
      <c r="B19" s="92" t="s">
        <v>10</v>
      </c>
      <c r="D19" s="22"/>
    </row>
    <row r="20" spans="2:4">
      <c r="B20" s="92"/>
      <c r="D20" s="22"/>
    </row>
    <row r="21" spans="2:4">
      <c r="B21" t="s">
        <v>11</v>
      </c>
      <c r="D21" s="23"/>
    </row>
    <row r="22" spans="2:4">
      <c r="B22" s="2">
        <v>2021</v>
      </c>
      <c r="D22" s="23"/>
    </row>
    <row r="23" spans="2:4">
      <c r="B23" t="s">
        <v>12</v>
      </c>
      <c r="D23" s="22"/>
    </row>
    <row r="24" spans="2:4">
      <c r="B24" s="92" t="s">
        <v>13</v>
      </c>
      <c r="D24" s="23"/>
    </row>
    <row r="25" spans="2:4">
      <c r="B25" s="2">
        <v>2022</v>
      </c>
      <c r="D25" s="23"/>
    </row>
    <row r="26" spans="2:4">
      <c r="B26" t="s">
        <v>12</v>
      </c>
      <c r="D26" s="23"/>
    </row>
    <row r="27" spans="2:4">
      <c r="B27" s="92" t="s">
        <v>13</v>
      </c>
      <c r="D27" s="23"/>
    </row>
    <row r="28" spans="2:4">
      <c r="D28" s="22"/>
    </row>
    <row r="29" spans="2:4">
      <c r="B29" t="s">
        <v>11</v>
      </c>
    </row>
    <row r="30" spans="2:4">
      <c r="B30" s="2">
        <v>2021</v>
      </c>
    </row>
    <row r="31" spans="2:4">
      <c r="B31" t="s">
        <v>14</v>
      </c>
    </row>
    <row r="32" spans="2:4">
      <c r="B32" s="92" t="s">
        <v>15</v>
      </c>
    </row>
    <row r="33" spans="2:2">
      <c r="B33" s="2">
        <v>2024</v>
      </c>
    </row>
    <row r="34" spans="2:2">
      <c r="B34" t="s">
        <v>14</v>
      </c>
    </row>
    <row r="35" spans="2:2">
      <c r="B35" s="92" t="s">
        <v>16</v>
      </c>
    </row>
    <row r="36" spans="2:2">
      <c r="B36" s="92"/>
    </row>
    <row r="37" spans="2:2">
      <c r="B37" s="92"/>
    </row>
    <row r="39" spans="2:2">
      <c r="B39" s="3" t="s">
        <v>17</v>
      </c>
    </row>
    <row r="40" spans="2:2">
      <c r="B40" t="s">
        <v>18</v>
      </c>
    </row>
    <row r="41" spans="2:2">
      <c r="B41" s="2">
        <v>2022</v>
      </c>
    </row>
    <row r="42" spans="2:2">
      <c r="B42" t="s">
        <v>19</v>
      </c>
    </row>
    <row r="43" spans="2:2">
      <c r="B43" s="92" t="s">
        <v>20</v>
      </c>
    </row>
    <row r="44" spans="2:2">
      <c r="B44" s="92"/>
    </row>
    <row r="45" spans="2:2">
      <c r="B45" s="92"/>
    </row>
    <row r="46" spans="2:2">
      <c r="B46" s="92"/>
    </row>
    <row r="48" spans="2:2">
      <c r="B48" s="1" t="s">
        <v>21</v>
      </c>
    </row>
    <row r="49" spans="2:21">
      <c r="B49" s="246" t="s">
        <v>22</v>
      </c>
      <c r="C49" s="246" t="s">
        <v>23</v>
      </c>
      <c r="D49" s="246" t="s">
        <v>24</v>
      </c>
      <c r="E49" s="246" t="s">
        <v>25</v>
      </c>
      <c r="F49" s="246" t="s">
        <v>26</v>
      </c>
    </row>
    <row r="50" spans="2:21" ht="17.399999999999999">
      <c r="B50" s="247" t="s">
        <v>27</v>
      </c>
      <c r="C50" s="248" t="s">
        <v>28</v>
      </c>
      <c r="D50" s="249" t="s">
        <v>29</v>
      </c>
      <c r="E50" s="252"/>
      <c r="F50" s="250"/>
    </row>
    <row r="51" spans="2:21" ht="17.399999999999999">
      <c r="B51" s="247" t="s">
        <v>30</v>
      </c>
      <c r="C51" s="249" t="s">
        <v>31</v>
      </c>
      <c r="D51" s="248" t="s">
        <v>32</v>
      </c>
      <c r="E51" s="305"/>
      <c r="F51" s="249" t="s">
        <v>33</v>
      </c>
    </row>
    <row r="52" spans="2:21" ht="17.399999999999999">
      <c r="B52" s="247" t="s">
        <v>34</v>
      </c>
      <c r="C52" s="249" t="s">
        <v>31</v>
      </c>
      <c r="D52" s="249" t="s">
        <v>35</v>
      </c>
      <c r="E52" s="252"/>
      <c r="F52" s="256"/>
      <c r="T52" s="199"/>
      <c r="U52" s="199"/>
    </row>
    <row r="53" spans="2:21" ht="17.399999999999999">
      <c r="B53" s="247" t="s">
        <v>36</v>
      </c>
      <c r="C53" s="248" t="s">
        <v>28</v>
      </c>
      <c r="D53" s="249" t="s">
        <v>37</v>
      </c>
      <c r="E53" s="252"/>
      <c r="F53" s="250"/>
    </row>
    <row r="54" spans="2:21" ht="17.399999999999999">
      <c r="B54" s="247" t="s">
        <v>38</v>
      </c>
      <c r="C54" s="248" t="s">
        <v>28</v>
      </c>
      <c r="D54" s="249" t="s">
        <v>39</v>
      </c>
      <c r="E54" s="252"/>
      <c r="F54" s="250"/>
    </row>
    <row r="55" spans="2:21" ht="17.399999999999999">
      <c r="B55" s="247" t="s">
        <v>40</v>
      </c>
      <c r="C55" s="248" t="s">
        <v>28</v>
      </c>
      <c r="D55" s="249" t="s">
        <v>41</v>
      </c>
      <c r="E55" s="252"/>
      <c r="F55" s="251"/>
    </row>
    <row r="56" spans="2:21" ht="17.399999999999999">
      <c r="B56" s="247" t="s">
        <v>42</v>
      </c>
      <c r="C56" s="248" t="s">
        <v>28</v>
      </c>
      <c r="D56" s="249" t="s">
        <v>43</v>
      </c>
      <c r="E56" s="252"/>
      <c r="F56" s="251"/>
    </row>
    <row r="57" spans="2:21" ht="17.399999999999999">
      <c r="B57" s="247" t="s">
        <v>44</v>
      </c>
      <c r="C57" s="248" t="s">
        <v>28</v>
      </c>
      <c r="D57" s="249" t="s">
        <v>45</v>
      </c>
      <c r="E57" s="252"/>
      <c r="F57" s="251"/>
    </row>
    <row r="58" spans="2:21" ht="52.2">
      <c r="B58" s="247" t="s">
        <v>46</v>
      </c>
      <c r="C58" s="249" t="s">
        <v>31</v>
      </c>
      <c r="D58" s="252" t="s">
        <v>47</v>
      </c>
      <c r="E58" s="252"/>
      <c r="F58" s="249" t="s">
        <v>48</v>
      </c>
    </row>
    <row r="59" spans="2:21" ht="104.4">
      <c r="B59" s="247" t="s">
        <v>49</v>
      </c>
      <c r="C59" s="249" t="s">
        <v>50</v>
      </c>
      <c r="D59" s="249" t="s">
        <v>51</v>
      </c>
      <c r="E59" s="252" t="s">
        <v>52</v>
      </c>
      <c r="F59" s="251"/>
    </row>
    <row r="60" spans="2:21" ht="34.799999999999997">
      <c r="B60" s="247" t="s">
        <v>53</v>
      </c>
      <c r="C60" s="249" t="s">
        <v>50</v>
      </c>
      <c r="D60" s="249" t="s">
        <v>51</v>
      </c>
      <c r="E60" s="252" t="s">
        <v>54</v>
      </c>
      <c r="F60" s="251"/>
    </row>
    <row r="61" spans="2:21" ht="17.399999999999999">
      <c r="B61" s="247" t="s">
        <v>55</v>
      </c>
      <c r="C61" s="248" t="s">
        <v>28</v>
      </c>
      <c r="D61" s="249" t="s">
        <v>56</v>
      </c>
      <c r="E61" s="252" t="s">
        <v>57</v>
      </c>
      <c r="F61" s="251"/>
    </row>
    <row r="62" spans="2:21" ht="69.599999999999994">
      <c r="B62" s="247" t="s">
        <v>58</v>
      </c>
      <c r="C62" s="248" t="s">
        <v>28</v>
      </c>
      <c r="D62" s="249" t="s">
        <v>56</v>
      </c>
      <c r="E62" s="252" t="s">
        <v>59</v>
      </c>
      <c r="F62" s="251"/>
    </row>
    <row r="63" spans="2:21" ht="17.399999999999999">
      <c r="B63" s="247" t="s">
        <v>60</v>
      </c>
      <c r="C63" s="249" t="s">
        <v>61</v>
      </c>
      <c r="D63" s="249" t="s">
        <v>62</v>
      </c>
      <c r="E63" s="252"/>
      <c r="F63" s="251"/>
    </row>
    <row r="64" spans="2:21" ht="17.399999999999999">
      <c r="B64" s="247" t="s">
        <v>63</v>
      </c>
      <c r="C64" s="249" t="s">
        <v>64</v>
      </c>
      <c r="D64" s="249" t="s">
        <v>65</v>
      </c>
      <c r="E64" s="252" t="s">
        <v>66</v>
      </c>
      <c r="F64" s="251"/>
    </row>
    <row r="65" spans="2:6" ht="52.2">
      <c r="B65" s="247" t="s">
        <v>67</v>
      </c>
      <c r="C65" s="249" t="s">
        <v>64</v>
      </c>
      <c r="D65" s="249" t="s">
        <v>65</v>
      </c>
      <c r="E65" s="252" t="s">
        <v>68</v>
      </c>
      <c r="F65" s="251"/>
    </row>
    <row r="66" spans="2:6" ht="87">
      <c r="B66" s="247" t="s">
        <v>69</v>
      </c>
      <c r="C66" s="249" t="s">
        <v>70</v>
      </c>
      <c r="D66" s="249" t="s">
        <v>71</v>
      </c>
      <c r="E66" s="252" t="s">
        <v>72</v>
      </c>
      <c r="F66" s="251"/>
    </row>
    <row r="67" spans="2:6" ht="87">
      <c r="B67" s="247" t="s">
        <v>73</v>
      </c>
      <c r="C67" s="249" t="s">
        <v>70</v>
      </c>
      <c r="D67" s="249" t="s">
        <v>71</v>
      </c>
      <c r="E67" s="252" t="s">
        <v>74</v>
      </c>
      <c r="F67" s="250"/>
    </row>
    <row r="68" spans="2:6" ht="121.8">
      <c r="B68" s="247" t="s">
        <v>75</v>
      </c>
      <c r="C68" s="249" t="s">
        <v>70</v>
      </c>
      <c r="D68" s="249" t="s">
        <v>71</v>
      </c>
      <c r="E68" s="252" t="s">
        <v>76</v>
      </c>
      <c r="F68" s="250"/>
    </row>
    <row r="69" spans="2:6" ht="69.599999999999994">
      <c r="B69" s="247" t="s">
        <v>77</v>
      </c>
      <c r="C69" s="249" t="s">
        <v>70</v>
      </c>
      <c r="D69" s="249" t="s">
        <v>78</v>
      </c>
      <c r="E69" s="271" t="s">
        <v>79</v>
      </c>
      <c r="F69" s="250"/>
    </row>
    <row r="70" spans="2:6" ht="69.599999999999994">
      <c r="B70" s="247" t="s">
        <v>80</v>
      </c>
      <c r="C70" s="249" t="s">
        <v>70</v>
      </c>
      <c r="D70" s="249" t="s">
        <v>78</v>
      </c>
      <c r="E70" s="252" t="s">
        <v>81</v>
      </c>
      <c r="F70" s="250"/>
    </row>
    <row r="71" spans="2:6" ht="17.399999999999999">
      <c r="B71" s="247" t="s">
        <v>82</v>
      </c>
      <c r="C71" s="248" t="s">
        <v>28</v>
      </c>
      <c r="D71" s="249" t="s">
        <v>83</v>
      </c>
      <c r="E71" s="252"/>
      <c r="F71" s="250"/>
    </row>
    <row r="72" spans="2:6" ht="52.2">
      <c r="B72" s="247" t="s">
        <v>84</v>
      </c>
      <c r="C72" s="249" t="s">
        <v>31</v>
      </c>
      <c r="D72" s="252" t="s">
        <v>85</v>
      </c>
      <c r="E72" s="252"/>
      <c r="F72" s="249" t="s">
        <v>86</v>
      </c>
    </row>
    <row r="73" spans="2:6" ht="17.399999999999999">
      <c r="B73" s="247" t="s">
        <v>87</v>
      </c>
      <c r="C73" s="249" t="s">
        <v>88</v>
      </c>
      <c r="D73" s="249" t="s">
        <v>89</v>
      </c>
      <c r="E73" s="252"/>
      <c r="F73" s="249" t="s">
        <v>90</v>
      </c>
    </row>
    <row r="74" spans="2:6" ht="17.399999999999999">
      <c r="B74" s="247" t="s">
        <v>91</v>
      </c>
      <c r="C74" s="248" t="s">
        <v>28</v>
      </c>
      <c r="D74" s="249" t="s">
        <v>92</v>
      </c>
      <c r="E74" s="252"/>
      <c r="F74" s="250"/>
    </row>
    <row r="76" spans="2:6">
      <c r="B76" s="1" t="s">
        <v>93</v>
      </c>
    </row>
    <row r="77" spans="2:6">
      <c r="B77" s="246" t="s">
        <v>94</v>
      </c>
      <c r="C77" s="246" t="s">
        <v>95</v>
      </c>
      <c r="D77" s="246" t="s">
        <v>26</v>
      </c>
      <c r="E77" s="246" t="s">
        <v>96</v>
      </c>
    </row>
    <row r="78" spans="2:6" ht="17.399999999999999">
      <c r="B78" s="247" t="s">
        <v>97</v>
      </c>
      <c r="C78" s="247" t="s">
        <v>97</v>
      </c>
      <c r="D78" s="249"/>
      <c r="E78" s="249"/>
    </row>
    <row r="79" spans="2:6" ht="17.399999999999999">
      <c r="B79" s="247" t="s">
        <v>98</v>
      </c>
      <c r="C79" s="247" t="s">
        <v>98</v>
      </c>
      <c r="D79" s="249"/>
      <c r="E79" s="249"/>
    </row>
    <row r="80" spans="2:6" ht="17.399999999999999">
      <c r="B80" s="247" t="s">
        <v>99</v>
      </c>
      <c r="C80" s="247" t="s">
        <v>99</v>
      </c>
      <c r="D80" s="249"/>
      <c r="E80" s="249"/>
    </row>
    <row r="81" spans="2:6" ht="17.399999999999999">
      <c r="B81" s="247" t="s">
        <v>100</v>
      </c>
      <c r="C81" s="248" t="s">
        <v>101</v>
      </c>
      <c r="D81" s="249"/>
      <c r="E81" s="249" t="s">
        <v>102</v>
      </c>
    </row>
    <row r="82" spans="2:6" ht="17.399999999999999">
      <c r="B82" s="247" t="s">
        <v>103</v>
      </c>
      <c r="C82" s="248" t="s">
        <v>31</v>
      </c>
      <c r="D82" s="249"/>
      <c r="E82" s="249" t="s">
        <v>104</v>
      </c>
    </row>
    <row r="83" spans="2:6" ht="17.399999999999999">
      <c r="B83" s="247" t="s">
        <v>105</v>
      </c>
      <c r="C83" s="248" t="s">
        <v>106</v>
      </c>
      <c r="D83" s="249" t="s">
        <v>107</v>
      </c>
      <c r="E83" s="249"/>
    </row>
    <row r="84" spans="2:6" ht="17.399999999999999">
      <c r="B84" s="247" t="s">
        <v>108</v>
      </c>
      <c r="C84" s="248" t="s">
        <v>106</v>
      </c>
      <c r="D84" s="554" t="s">
        <v>109</v>
      </c>
      <c r="E84" s="249"/>
    </row>
    <row r="85" spans="2:6" ht="17.399999999999999">
      <c r="B85" s="247" t="s">
        <v>110</v>
      </c>
      <c r="C85" s="248" t="s">
        <v>106</v>
      </c>
      <c r="D85" s="555"/>
      <c r="E85" s="249"/>
    </row>
    <row r="86" spans="2:6" ht="17.399999999999999">
      <c r="B86" s="247" t="s">
        <v>111</v>
      </c>
      <c r="C86" s="248" t="s">
        <v>106</v>
      </c>
      <c r="D86" s="556"/>
      <c r="E86" s="249"/>
    </row>
    <row r="87" spans="2:6" ht="17.399999999999999">
      <c r="B87" s="247" t="s">
        <v>112</v>
      </c>
      <c r="C87" s="248" t="s">
        <v>31</v>
      </c>
      <c r="D87" s="249"/>
      <c r="E87" s="249"/>
    </row>
    <row r="88" spans="2:6">
      <c r="D88" s="23"/>
    </row>
    <row r="89" spans="2:6">
      <c r="B89" s="254" t="s">
        <v>113</v>
      </c>
      <c r="C89" s="255">
        <f>39656668.31*(10^6)</f>
        <v>39656668310000</v>
      </c>
      <c r="D89" s="253" t="s">
        <v>114</v>
      </c>
    </row>
    <row r="90" spans="2:6">
      <c r="B90" s="350"/>
      <c r="C90" s="168"/>
    </row>
    <row r="92" spans="2:6">
      <c r="B92" s="1" t="s">
        <v>115</v>
      </c>
    </row>
    <row r="93" spans="2:6">
      <c r="B93" s="246" t="s">
        <v>22</v>
      </c>
      <c r="C93" s="246" t="s">
        <v>95</v>
      </c>
      <c r="D93" s="246" t="s">
        <v>24</v>
      </c>
      <c r="E93" s="246" t="s">
        <v>25</v>
      </c>
      <c r="F93" s="246" t="s">
        <v>26</v>
      </c>
    </row>
    <row r="94" spans="2:6" ht="17.399999999999999" hidden="1">
      <c r="B94" s="247" t="s">
        <v>27</v>
      </c>
      <c r="C94" s="248" t="s">
        <v>116</v>
      </c>
      <c r="D94" s="249" t="s">
        <v>117</v>
      </c>
      <c r="E94" s="252"/>
      <c r="F94" s="250"/>
    </row>
    <row r="95" spans="2:6" ht="17.399999999999999">
      <c r="B95" s="247" t="s">
        <v>30</v>
      </c>
      <c r="C95" s="511" t="s">
        <v>118</v>
      </c>
      <c r="D95" s="248" t="s">
        <v>119</v>
      </c>
      <c r="E95" s="305"/>
      <c r="F95" s="249" t="s">
        <v>120</v>
      </c>
    </row>
    <row r="96" spans="2:6" ht="17.399999999999999">
      <c r="B96" s="247" t="s">
        <v>34</v>
      </c>
      <c r="C96" s="511" t="s">
        <v>118</v>
      </c>
      <c r="D96" s="249" t="s">
        <v>121</v>
      </c>
      <c r="E96" s="252"/>
      <c r="F96" s="256"/>
    </row>
    <row r="97" spans="2:6" ht="17.399999999999999" hidden="1">
      <c r="B97" s="247" t="s">
        <v>36</v>
      </c>
      <c r="C97" s="248" t="s">
        <v>116</v>
      </c>
      <c r="D97" s="249" t="s">
        <v>122</v>
      </c>
      <c r="E97" s="252"/>
      <c r="F97" s="250"/>
    </row>
    <row r="98" spans="2:6" ht="17.399999999999999" hidden="1">
      <c r="B98" s="247" t="s">
        <v>38</v>
      </c>
      <c r="C98" s="248" t="s">
        <v>116</v>
      </c>
      <c r="D98" s="249" t="s">
        <v>123</v>
      </c>
      <c r="E98" s="252"/>
      <c r="F98" s="250"/>
    </row>
    <row r="99" spans="2:6" ht="17.399999999999999" hidden="1">
      <c r="B99" s="247" t="s">
        <v>40</v>
      </c>
      <c r="C99" s="248" t="s">
        <v>116</v>
      </c>
      <c r="D99" s="249" t="s">
        <v>124</v>
      </c>
      <c r="E99" s="252"/>
      <c r="F99" s="251"/>
    </row>
    <row r="100" spans="2:6" ht="17.399999999999999" hidden="1">
      <c r="B100" s="247" t="s">
        <v>42</v>
      </c>
      <c r="C100" s="248" t="s">
        <v>116</v>
      </c>
      <c r="D100" s="249" t="s">
        <v>125</v>
      </c>
      <c r="E100" s="252"/>
      <c r="F100" s="251"/>
    </row>
    <row r="101" spans="2:6" ht="17.399999999999999" hidden="1">
      <c r="B101" s="247" t="s">
        <v>44</v>
      </c>
      <c r="C101" s="248" t="s">
        <v>116</v>
      </c>
      <c r="D101" s="249" t="s">
        <v>126</v>
      </c>
      <c r="E101" s="252"/>
      <c r="F101" s="251"/>
    </row>
    <row r="102" spans="2:6" ht="34.799999999999997">
      <c r="B102" s="247" t="s">
        <v>46</v>
      </c>
      <c r="C102" s="511" t="s">
        <v>118</v>
      </c>
      <c r="D102" s="252" t="s">
        <v>127</v>
      </c>
      <c r="E102" s="252"/>
      <c r="F102" s="249" t="s">
        <v>128</v>
      </c>
    </row>
    <row r="103" spans="2:6" ht="52.2" hidden="1">
      <c r="B103" s="247" t="s">
        <v>49</v>
      </c>
      <c r="C103" s="249" t="s">
        <v>129</v>
      </c>
      <c r="D103" s="249" t="s">
        <v>130</v>
      </c>
      <c r="E103" s="252" t="s">
        <v>131</v>
      </c>
      <c r="F103" s="251"/>
    </row>
    <row r="104" spans="2:6" ht="34.799999999999997" hidden="1">
      <c r="B104" s="247" t="s">
        <v>53</v>
      </c>
      <c r="C104" s="249" t="s">
        <v>129</v>
      </c>
      <c r="D104" s="249" t="s">
        <v>130</v>
      </c>
      <c r="E104" s="252" t="s">
        <v>132</v>
      </c>
      <c r="F104" s="251"/>
    </row>
    <row r="105" spans="2:6" ht="17.399999999999999" hidden="1">
      <c r="B105" s="247" t="s">
        <v>55</v>
      </c>
      <c r="C105" s="248" t="s">
        <v>116</v>
      </c>
      <c r="D105" s="249" t="s">
        <v>133</v>
      </c>
      <c r="E105" s="252" t="s">
        <v>134</v>
      </c>
      <c r="F105" s="251"/>
    </row>
    <row r="106" spans="2:6" ht="34.799999999999997" hidden="1">
      <c r="B106" s="247" t="s">
        <v>58</v>
      </c>
      <c r="C106" s="248" t="s">
        <v>116</v>
      </c>
      <c r="D106" s="249" t="s">
        <v>133</v>
      </c>
      <c r="E106" s="252" t="s">
        <v>135</v>
      </c>
      <c r="F106" s="251"/>
    </row>
    <row r="107" spans="2:6" ht="17.399999999999999" hidden="1">
      <c r="B107" s="247" t="s">
        <v>1123</v>
      </c>
      <c r="C107" s="249" t="s">
        <v>136</v>
      </c>
      <c r="D107" s="249" t="s">
        <v>137</v>
      </c>
      <c r="E107" s="252"/>
      <c r="F107" s="251"/>
    </row>
    <row r="108" spans="2:6" ht="17.399999999999999" hidden="1">
      <c r="B108" s="247" t="s">
        <v>63</v>
      </c>
      <c r="C108" s="249" t="s">
        <v>138</v>
      </c>
      <c r="D108" s="249" t="s">
        <v>139</v>
      </c>
      <c r="E108" s="252" t="s">
        <v>140</v>
      </c>
      <c r="F108" s="251"/>
    </row>
    <row r="109" spans="2:6" ht="34.799999999999997" hidden="1">
      <c r="B109" s="247" t="s">
        <v>67</v>
      </c>
      <c r="C109" s="249" t="s">
        <v>138</v>
      </c>
      <c r="D109" s="249" t="s">
        <v>139</v>
      </c>
      <c r="E109" s="252" t="s">
        <v>141</v>
      </c>
      <c r="F109" s="251"/>
    </row>
    <row r="110" spans="2:6" ht="34.799999999999997" hidden="1">
      <c r="B110" s="247" t="s">
        <v>69</v>
      </c>
      <c r="C110" s="249" t="s">
        <v>142</v>
      </c>
      <c r="D110" s="249" t="s">
        <v>143</v>
      </c>
      <c r="E110" s="252" t="s">
        <v>144</v>
      </c>
      <c r="F110" s="251"/>
    </row>
    <row r="111" spans="2:6" ht="52.2" hidden="1">
      <c r="B111" s="247" t="s">
        <v>73</v>
      </c>
      <c r="C111" s="249" t="s">
        <v>142</v>
      </c>
      <c r="D111" s="249" t="s">
        <v>143</v>
      </c>
      <c r="E111" s="252" t="s">
        <v>145</v>
      </c>
      <c r="F111" s="250"/>
    </row>
    <row r="112" spans="2:6" ht="69.599999999999994" hidden="1">
      <c r="B112" s="247" t="s">
        <v>75</v>
      </c>
      <c r="C112" s="249" t="s">
        <v>142</v>
      </c>
      <c r="D112" s="249" t="s">
        <v>143</v>
      </c>
      <c r="E112" s="252" t="s">
        <v>146</v>
      </c>
      <c r="F112" s="250"/>
    </row>
    <row r="113" spans="1:6" ht="34.799999999999997" hidden="1">
      <c r="B113" s="247" t="s">
        <v>77</v>
      </c>
      <c r="C113" s="249" t="s">
        <v>142</v>
      </c>
      <c r="D113" s="249" t="s">
        <v>147</v>
      </c>
      <c r="E113" s="271" t="s">
        <v>148</v>
      </c>
      <c r="F113" s="250"/>
    </row>
    <row r="114" spans="1:6" ht="34.799999999999997" hidden="1">
      <c r="B114" s="247" t="s">
        <v>80</v>
      </c>
      <c r="C114" s="249" t="s">
        <v>142</v>
      </c>
      <c r="D114" s="249" t="s">
        <v>147</v>
      </c>
      <c r="E114" s="252" t="s">
        <v>149</v>
      </c>
      <c r="F114" s="250"/>
    </row>
    <row r="115" spans="1:6" ht="17.399999999999999" hidden="1">
      <c r="B115" s="247" t="s">
        <v>82</v>
      </c>
      <c r="C115" s="248" t="s">
        <v>116</v>
      </c>
      <c r="D115" s="249" t="s">
        <v>150</v>
      </c>
      <c r="E115" s="252"/>
      <c r="F115" s="250"/>
    </row>
    <row r="116" spans="1:6" ht="34.799999999999997">
      <c r="B116" s="247" t="s">
        <v>84</v>
      </c>
      <c r="C116" s="511" t="s">
        <v>118</v>
      </c>
      <c r="D116" s="252" t="s">
        <v>151</v>
      </c>
      <c r="E116" s="252"/>
      <c r="F116" s="249" t="s">
        <v>152</v>
      </c>
    </row>
    <row r="117" spans="1:6" ht="17.399999999999999">
      <c r="B117" s="247" t="s">
        <v>87</v>
      </c>
      <c r="C117" s="511" t="s">
        <v>153</v>
      </c>
      <c r="D117" s="249" t="s">
        <v>154</v>
      </c>
      <c r="E117" s="252"/>
      <c r="F117" s="249" t="s">
        <v>155</v>
      </c>
    </row>
    <row r="118" spans="1:6" ht="17.399999999999999" hidden="1">
      <c r="B118" s="247" t="s">
        <v>91</v>
      </c>
      <c r="C118" s="248" t="s">
        <v>116</v>
      </c>
      <c r="D118" s="249" t="s">
        <v>156</v>
      </c>
      <c r="E118" s="252"/>
      <c r="F118" s="250"/>
    </row>
    <row r="119" spans="1:6" ht="17.100000000000001" customHeight="1"/>
    <row r="120" spans="1:6">
      <c r="A120" s="1" t="s">
        <v>157</v>
      </c>
    </row>
    <row r="121" spans="1:6">
      <c r="A121" t="s">
        <v>158</v>
      </c>
    </row>
    <row r="122" spans="1:6">
      <c r="A122" t="s">
        <v>159</v>
      </c>
    </row>
    <row r="123" spans="1:6">
      <c r="A123" t="s">
        <v>160</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9" r:id="rId6" xr:uid="{9F8F6A8A-F842-478D-9422-3072A58CB803}"/>
    <hyperlink ref="B27" r:id="rId7" xr:uid="{63D07754-A995-4B0C-B2D3-255A0E532AC3}"/>
    <hyperlink ref="B32" r:id="rId8" xr:uid="{84A1DB2B-2FD5-43AE-8FBF-E7524910F699}"/>
    <hyperlink ref="B10" r:id="rId9" xr:uid="{C203D584-F473-47C8-A84E-48F0443BED6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62" t="s">
        <v>1133</v>
      </c>
      <c r="C1" s="562"/>
      <c r="D1" s="562"/>
      <c r="E1" s="562"/>
      <c r="F1" s="562"/>
      <c r="G1" s="562"/>
      <c r="H1" s="562"/>
      <c r="I1" s="562"/>
      <c r="J1" s="562"/>
      <c r="K1" s="562"/>
      <c r="L1" s="562"/>
      <c r="M1" s="562"/>
    </row>
    <row r="2" spans="1:13">
      <c r="B2" s="563" t="s">
        <v>161</v>
      </c>
      <c r="C2" s="563"/>
      <c r="D2" s="563"/>
      <c r="E2" s="563"/>
      <c r="F2" s="563"/>
      <c r="G2" s="563"/>
      <c r="H2" s="563"/>
      <c r="I2" s="563"/>
      <c r="J2" s="563"/>
      <c r="K2" s="563"/>
      <c r="L2" s="563"/>
      <c r="M2" s="563"/>
    </row>
    <row r="3" spans="1:13" ht="15" customHeight="1">
      <c r="B3" s="31"/>
      <c r="C3" s="32"/>
      <c r="D3" s="32"/>
      <c r="E3" s="32"/>
      <c r="F3" s="32"/>
      <c r="G3" s="32"/>
      <c r="H3" s="32"/>
      <c r="I3" s="559" t="s">
        <v>162</v>
      </c>
      <c r="J3" s="559"/>
      <c r="K3" s="33"/>
      <c r="L3" s="559" t="s">
        <v>163</v>
      </c>
      <c r="M3" s="559"/>
    </row>
    <row r="4" spans="1:13" ht="15" customHeight="1">
      <c r="B4" s="31"/>
      <c r="C4" s="34">
        <v>2000</v>
      </c>
      <c r="D4" s="34">
        <v>2018</v>
      </c>
      <c r="E4" s="34">
        <v>2025</v>
      </c>
      <c r="F4" s="34">
        <v>2030</v>
      </c>
      <c r="G4" s="34">
        <v>2035</v>
      </c>
      <c r="H4" s="34">
        <v>2040</v>
      </c>
      <c r="I4" s="35">
        <v>2018</v>
      </c>
      <c r="J4" s="35">
        <v>2040</v>
      </c>
      <c r="K4" s="36"/>
      <c r="L4" s="35" t="s">
        <v>164</v>
      </c>
      <c r="M4" s="35" t="s">
        <v>165</v>
      </c>
    </row>
    <row r="5" spans="1:13" ht="13.5" customHeight="1">
      <c r="A5" s="515" t="s">
        <v>520</v>
      </c>
      <c r="B5" s="37" t="s">
        <v>166</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1086</v>
      </c>
      <c r="B6" s="42" t="s">
        <v>167</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1126</v>
      </c>
      <c r="B7" s="42" t="s">
        <v>168</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389</v>
      </c>
      <c r="B8" s="42" t="s">
        <v>169</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428</v>
      </c>
      <c r="B9" s="42" t="s">
        <v>170</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1127</v>
      </c>
      <c r="B10" s="42" t="s">
        <v>171</v>
      </c>
      <c r="C10" s="83">
        <v>0</v>
      </c>
      <c r="D10" s="83">
        <v>0</v>
      </c>
      <c r="E10" s="45">
        <v>0</v>
      </c>
      <c r="F10" s="45">
        <v>0</v>
      </c>
      <c r="G10" s="45">
        <v>0</v>
      </c>
      <c r="H10" s="45">
        <v>0</v>
      </c>
      <c r="I10" s="45">
        <v>0</v>
      </c>
      <c r="J10" s="45">
        <v>0</v>
      </c>
      <c r="K10" s="46"/>
      <c r="L10" s="47" t="s">
        <v>172</v>
      </c>
      <c r="M10" s="47" t="s">
        <v>172</v>
      </c>
    </row>
    <row r="11" spans="1:13" ht="13.5" customHeight="1">
      <c r="A11" s="515" t="s">
        <v>1128</v>
      </c>
      <c r="B11" s="42" t="s">
        <v>173</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1129</v>
      </c>
      <c r="B13" s="37" t="s">
        <v>174</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1086</v>
      </c>
      <c r="B14" s="42" t="s">
        <v>167</v>
      </c>
      <c r="C14" s="83">
        <v>0</v>
      </c>
      <c r="D14" s="83">
        <v>0</v>
      </c>
      <c r="E14" s="45">
        <v>0</v>
      </c>
      <c r="F14" s="45">
        <v>0</v>
      </c>
      <c r="G14" s="45">
        <v>0</v>
      </c>
      <c r="H14" s="45">
        <v>0</v>
      </c>
      <c r="I14" s="45">
        <v>0</v>
      </c>
      <c r="J14" s="45">
        <v>0</v>
      </c>
      <c r="K14" s="46"/>
      <c r="L14" s="47" t="s">
        <v>172</v>
      </c>
      <c r="M14" s="47" t="s">
        <v>172</v>
      </c>
    </row>
    <row r="15" spans="1:13" ht="13.5" customHeight="1">
      <c r="A15" s="515" t="s">
        <v>1126</v>
      </c>
      <c r="B15" s="42" t="s">
        <v>168</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389</v>
      </c>
      <c r="B16" s="42" t="s">
        <v>169</v>
      </c>
      <c r="C16" s="83">
        <v>0</v>
      </c>
      <c r="D16" s="83">
        <v>1.2390000000000001</v>
      </c>
      <c r="E16" s="45">
        <v>1.452</v>
      </c>
      <c r="F16" s="45">
        <v>1.526</v>
      </c>
      <c r="G16" s="45">
        <v>1.4370000000000001</v>
      </c>
      <c r="H16" s="45">
        <v>1.3149999999999999</v>
      </c>
      <c r="I16" s="45">
        <v>2.88</v>
      </c>
      <c r="J16" s="45">
        <v>2.95</v>
      </c>
      <c r="K16" s="46"/>
      <c r="L16" s="47" t="s">
        <v>172</v>
      </c>
      <c r="M16" s="47">
        <v>0.27</v>
      </c>
    </row>
    <row r="17" spans="1:13" ht="13.5" customHeight="1">
      <c r="A17" s="515" t="s">
        <v>428</v>
      </c>
      <c r="B17" s="42" t="s">
        <v>170</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1127</v>
      </c>
      <c r="B18" s="42" t="s">
        <v>171</v>
      </c>
      <c r="C18" s="83">
        <v>0</v>
      </c>
      <c r="D18" s="83">
        <v>0</v>
      </c>
      <c r="E18" s="45">
        <v>0</v>
      </c>
      <c r="F18" s="45">
        <v>0</v>
      </c>
      <c r="G18" s="45">
        <v>0</v>
      </c>
      <c r="H18" s="45">
        <v>0</v>
      </c>
      <c r="I18" s="45">
        <v>0</v>
      </c>
      <c r="J18" s="45">
        <v>0</v>
      </c>
      <c r="K18" s="46"/>
      <c r="L18" s="47" t="s">
        <v>172</v>
      </c>
      <c r="M18" s="47" t="s">
        <v>172</v>
      </c>
    </row>
    <row r="19" spans="1:13" ht="13.5" customHeight="1">
      <c r="A19" s="515" t="s">
        <v>1128</v>
      </c>
      <c r="B19" s="42" t="s">
        <v>173</v>
      </c>
      <c r="C19" s="83">
        <v>0</v>
      </c>
      <c r="D19" s="83">
        <v>0.68400000000000005</v>
      </c>
      <c r="E19" s="45">
        <v>0.64400000000000002</v>
      </c>
      <c r="F19" s="45">
        <v>0.625</v>
      </c>
      <c r="G19" s="45">
        <v>0.59499999999999997</v>
      </c>
      <c r="H19" s="45">
        <v>0.56599999999999995</v>
      </c>
      <c r="I19" s="45">
        <v>1.59</v>
      </c>
      <c r="J19" s="45">
        <v>1.27</v>
      </c>
      <c r="K19" s="46"/>
      <c r="L19" s="47" t="s">
        <v>172</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1130</v>
      </c>
      <c r="B21" s="37" t="s">
        <v>175</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1086</v>
      </c>
      <c r="B22" s="42" t="s">
        <v>167</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1126</v>
      </c>
      <c r="B23" s="42" t="s">
        <v>168</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389</v>
      </c>
      <c r="B24" s="42" t="s">
        <v>169</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428</v>
      </c>
      <c r="B25" s="42" t="s">
        <v>170</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1127</v>
      </c>
      <c r="B26" s="42" t="s">
        <v>171</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1128</v>
      </c>
      <c r="B27" s="42" t="s">
        <v>173</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1131</v>
      </c>
      <c r="B29" s="37" t="s">
        <v>176</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1086</v>
      </c>
      <c r="B30" s="42" t="s">
        <v>167</v>
      </c>
      <c r="C30" s="83">
        <v>0</v>
      </c>
      <c r="D30" s="83">
        <v>0.113</v>
      </c>
      <c r="E30" s="45">
        <v>0.104</v>
      </c>
      <c r="F30" s="45">
        <v>9.9000000000000005E-2</v>
      </c>
      <c r="G30" s="45">
        <v>9.4E-2</v>
      </c>
      <c r="H30" s="45">
        <v>0.09</v>
      </c>
      <c r="I30" s="45">
        <v>0.44</v>
      </c>
      <c r="J30" s="45">
        <v>0.28000000000000003</v>
      </c>
      <c r="K30" s="46"/>
      <c r="L30" s="47" t="s">
        <v>172</v>
      </c>
      <c r="M30" s="47">
        <v>-1.05</v>
      </c>
    </row>
    <row r="31" spans="1:13" ht="13.5" customHeight="1">
      <c r="A31" s="515" t="s">
        <v>1126</v>
      </c>
      <c r="B31" s="42" t="s">
        <v>168</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389</v>
      </c>
      <c r="B32" s="42" t="s">
        <v>169</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428</v>
      </c>
      <c r="B33" s="42" t="s">
        <v>170</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1127</v>
      </c>
      <c r="B34" s="42" t="s">
        <v>171</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1128</v>
      </c>
      <c r="B35" s="42" t="s">
        <v>173</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57" t="s">
        <v>1132</v>
      </c>
      <c r="C37" s="558"/>
      <c r="D37" s="558"/>
      <c r="E37" s="558"/>
      <c r="F37" s="558"/>
      <c r="G37" s="558"/>
      <c r="H37" s="558"/>
      <c r="I37" s="558"/>
      <c r="J37" s="558"/>
      <c r="K37" s="558"/>
      <c r="L37" s="259"/>
      <c r="M37" s="259"/>
    </row>
    <row r="38" spans="1:13" ht="17.100000000000001" customHeight="1">
      <c r="B38" s="564" t="s">
        <v>161</v>
      </c>
      <c r="C38" s="564"/>
      <c r="D38" s="564"/>
      <c r="E38" s="564"/>
      <c r="F38" s="564"/>
      <c r="G38" s="564"/>
      <c r="H38" s="564"/>
      <c r="I38" s="564"/>
      <c r="J38" s="564"/>
      <c r="K38" s="564"/>
      <c r="L38" s="259"/>
      <c r="M38" s="259"/>
    </row>
    <row r="39" spans="1:13">
      <c r="B39" s="31"/>
      <c r="C39" s="32"/>
      <c r="D39" s="32"/>
      <c r="E39" s="32"/>
      <c r="F39" s="32"/>
      <c r="G39" s="32"/>
      <c r="H39" s="559" t="s">
        <v>162</v>
      </c>
      <c r="I39" s="559"/>
      <c r="J39" s="559" t="s">
        <v>163</v>
      </c>
      <c r="K39" s="559"/>
      <c r="L39" s="259"/>
      <c r="M39" s="259"/>
    </row>
    <row r="40" spans="1:13" ht="17.100000000000001" customHeight="1">
      <c r="B40" s="31"/>
      <c r="C40" s="34">
        <v>2000</v>
      </c>
      <c r="D40" s="34">
        <v>2022</v>
      </c>
      <c r="E40" s="34">
        <v>2030</v>
      </c>
      <c r="F40" s="34">
        <v>2040</v>
      </c>
      <c r="G40" s="34">
        <v>2050</v>
      </c>
      <c r="H40" s="35">
        <v>2022</v>
      </c>
      <c r="I40" s="35">
        <v>2050</v>
      </c>
      <c r="J40" s="35" t="s">
        <v>177</v>
      </c>
      <c r="K40" s="35" t="s">
        <v>178</v>
      </c>
      <c r="L40" s="259"/>
      <c r="M40" s="259"/>
    </row>
    <row r="41" spans="1:13">
      <c r="A41" s="515" t="s">
        <v>520</v>
      </c>
      <c r="B41" s="37" t="s">
        <v>166</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1086</v>
      </c>
      <c r="B42" s="42" t="s">
        <v>167</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1126</v>
      </c>
      <c r="B43" s="42" t="s">
        <v>168</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389</v>
      </c>
      <c r="B44" s="42" t="s">
        <v>169</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428</v>
      </c>
      <c r="B45" s="42" t="s">
        <v>170</v>
      </c>
      <c r="C45" s="83">
        <v>11.016999999999999</v>
      </c>
      <c r="D45" s="83">
        <v>23.57</v>
      </c>
      <c r="E45" s="45">
        <v>27.631</v>
      </c>
      <c r="F45" s="45">
        <v>30.23</v>
      </c>
      <c r="G45" s="45">
        <v>30.279</v>
      </c>
      <c r="H45" s="45">
        <v>18.350000000000001</v>
      </c>
      <c r="I45" s="45">
        <v>20.52</v>
      </c>
      <c r="J45" s="47">
        <v>3.52</v>
      </c>
      <c r="K45" s="47">
        <v>0.9</v>
      </c>
      <c r="L45" s="259"/>
      <c r="M45" s="259"/>
    </row>
    <row r="46" spans="1:13">
      <c r="A46" s="515" t="s">
        <v>1127</v>
      </c>
      <c r="B46" s="42" t="s">
        <v>171</v>
      </c>
      <c r="C46" s="83">
        <v>0</v>
      </c>
      <c r="D46" s="83">
        <v>0</v>
      </c>
      <c r="E46" s="45">
        <v>0</v>
      </c>
      <c r="F46" s="45">
        <v>0</v>
      </c>
      <c r="G46" s="45">
        <v>0</v>
      </c>
      <c r="H46" s="45">
        <v>0</v>
      </c>
      <c r="I46" s="45">
        <v>0</v>
      </c>
      <c r="J46" s="47" t="s">
        <v>172</v>
      </c>
      <c r="K46" s="47" t="s">
        <v>172</v>
      </c>
      <c r="L46" s="259"/>
      <c r="M46" s="259"/>
    </row>
    <row r="47" spans="1:13">
      <c r="A47" s="515" t="s">
        <v>1128</v>
      </c>
      <c r="B47" s="42" t="s">
        <v>173</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1129</v>
      </c>
      <c r="B49" s="37" t="s">
        <v>174</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1086</v>
      </c>
      <c r="B50" s="42" t="s">
        <v>167</v>
      </c>
      <c r="C50" s="83">
        <v>0</v>
      </c>
      <c r="D50" s="83">
        <v>0</v>
      </c>
      <c r="E50" s="45">
        <v>0</v>
      </c>
      <c r="F50" s="45">
        <v>0</v>
      </c>
      <c r="G50" s="45">
        <v>0</v>
      </c>
      <c r="H50" s="45">
        <v>0</v>
      </c>
      <c r="I50" s="45">
        <v>0</v>
      </c>
      <c r="J50" s="47" t="s">
        <v>172</v>
      </c>
      <c r="K50" s="47" t="s">
        <v>172</v>
      </c>
      <c r="L50" s="259"/>
      <c r="M50" s="259"/>
    </row>
    <row r="51" spans="1:13">
      <c r="A51" s="515" t="s">
        <v>1126</v>
      </c>
      <c r="B51" s="42" t="s">
        <v>168</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389</v>
      </c>
      <c r="B52" s="42" t="s">
        <v>169</v>
      </c>
      <c r="C52" s="83">
        <v>0</v>
      </c>
      <c r="D52" s="83">
        <v>1.0249999999999999</v>
      </c>
      <c r="E52" s="45">
        <v>1.419</v>
      </c>
      <c r="F52" s="45">
        <v>0.79100000000000004</v>
      </c>
      <c r="G52" s="45">
        <v>0.129</v>
      </c>
      <c r="H52" s="45">
        <v>2.83</v>
      </c>
      <c r="I52" s="45">
        <v>0.65</v>
      </c>
      <c r="J52" s="47" t="s">
        <v>172</v>
      </c>
      <c r="K52" s="47">
        <v>-7.13</v>
      </c>
      <c r="L52" s="259"/>
      <c r="M52" s="259"/>
    </row>
    <row r="53" spans="1:13">
      <c r="A53" s="515" t="s">
        <v>428</v>
      </c>
      <c r="B53" s="42" t="s">
        <v>170</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1127</v>
      </c>
      <c r="B54" s="42" t="s">
        <v>171</v>
      </c>
      <c r="C54" s="83">
        <v>0</v>
      </c>
      <c r="D54" s="83">
        <v>0</v>
      </c>
      <c r="E54" s="45">
        <v>0</v>
      </c>
      <c r="F54" s="45">
        <v>0</v>
      </c>
      <c r="G54" s="45">
        <v>0</v>
      </c>
      <c r="H54" s="45">
        <v>0</v>
      </c>
      <c r="I54" s="45">
        <v>0</v>
      </c>
      <c r="J54" s="47" t="s">
        <v>172</v>
      </c>
      <c r="K54" s="47" t="s">
        <v>172</v>
      </c>
      <c r="L54" s="259"/>
      <c r="M54" s="259"/>
    </row>
    <row r="55" spans="1:13">
      <c r="A55" s="515" t="s">
        <v>1128</v>
      </c>
      <c r="B55" s="42" t="s">
        <v>173</v>
      </c>
      <c r="C55" s="83">
        <v>0</v>
      </c>
      <c r="D55" s="83">
        <v>0.68200000000000005</v>
      </c>
      <c r="E55" s="45">
        <v>0.69599999999999995</v>
      </c>
      <c r="F55" s="45">
        <v>1.581</v>
      </c>
      <c r="G55" s="45">
        <v>2.5609999999999999</v>
      </c>
      <c r="H55" s="45">
        <v>1.88</v>
      </c>
      <c r="I55" s="45">
        <v>12.9</v>
      </c>
      <c r="J55" s="47" t="s">
        <v>172</v>
      </c>
      <c r="K55" s="47">
        <v>4.84</v>
      </c>
      <c r="L55" s="259"/>
      <c r="M55" s="259"/>
    </row>
    <row r="56" spans="1:13">
      <c r="A56" s="516"/>
      <c r="B56" s="84"/>
      <c r="C56" s="85"/>
      <c r="D56" s="85"/>
      <c r="E56" s="86"/>
      <c r="F56" s="86"/>
      <c r="G56" s="86"/>
      <c r="H56" s="87"/>
      <c r="I56" s="87"/>
      <c r="J56" s="87"/>
      <c r="K56" s="87"/>
      <c r="L56" s="259"/>
      <c r="M56" s="259"/>
    </row>
    <row r="57" spans="1:13">
      <c r="A57" s="515" t="s">
        <v>1130</v>
      </c>
      <c r="B57" s="37" t="s">
        <v>175</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1086</v>
      </c>
      <c r="B58" s="42" t="s">
        <v>167</v>
      </c>
      <c r="C58" s="83">
        <v>0.45</v>
      </c>
      <c r="D58" s="83">
        <v>0.182</v>
      </c>
      <c r="E58" s="45">
        <v>0.05</v>
      </c>
      <c r="F58" s="45">
        <v>1.4999999999999999E-2</v>
      </c>
      <c r="G58" s="45">
        <v>4.0000000000000001E-3</v>
      </c>
      <c r="H58" s="45">
        <v>0.78</v>
      </c>
      <c r="I58" s="45">
        <v>0.02</v>
      </c>
      <c r="J58" s="47">
        <v>-4.03</v>
      </c>
      <c r="K58" s="47">
        <v>-12.57</v>
      </c>
      <c r="L58" s="259"/>
      <c r="M58" s="259"/>
    </row>
    <row r="59" spans="1:13">
      <c r="A59" s="515" t="s">
        <v>1126</v>
      </c>
      <c r="B59" s="42" t="s">
        <v>168</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389</v>
      </c>
      <c r="B60" s="42" t="s">
        <v>169</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428</v>
      </c>
      <c r="B61" s="42" t="s">
        <v>170</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1127</v>
      </c>
      <c r="B62" s="42" t="s">
        <v>171</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1128</v>
      </c>
      <c r="B63" s="42" t="s">
        <v>173</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1131</v>
      </c>
      <c r="B65" s="37" t="s">
        <v>176</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1086</v>
      </c>
      <c r="B66" s="42" t="s">
        <v>167</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1126</v>
      </c>
      <c r="B67" s="42" t="s">
        <v>168</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389</v>
      </c>
      <c r="B68" s="42" t="s">
        <v>169</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428</v>
      </c>
      <c r="B69" s="42" t="s">
        <v>170</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1127</v>
      </c>
      <c r="B70" s="42" t="s">
        <v>171</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1128</v>
      </c>
      <c r="B71" s="42" t="s">
        <v>173</v>
      </c>
      <c r="C71" s="83">
        <v>0.43</v>
      </c>
      <c r="D71" s="83">
        <v>1.4550000000000001</v>
      </c>
      <c r="E71" s="45">
        <v>2.673</v>
      </c>
      <c r="F71" s="45">
        <v>4.258</v>
      </c>
      <c r="G71" s="45">
        <v>4.9400000000000004</v>
      </c>
      <c r="H71" s="45">
        <v>6.01</v>
      </c>
      <c r="I71" s="45">
        <v>15.52</v>
      </c>
      <c r="J71" s="47">
        <v>5.69</v>
      </c>
      <c r="K71" s="47">
        <v>4.46</v>
      </c>
      <c r="L71" s="259"/>
      <c r="M71" s="259"/>
    </row>
    <row r="72" spans="1:13">
      <c r="B72" s="560" t="s">
        <v>179</v>
      </c>
      <c r="C72" s="561"/>
      <c r="D72" s="561"/>
      <c r="E72" s="561"/>
      <c r="F72" s="561"/>
      <c r="G72" s="561"/>
      <c r="H72" s="561"/>
      <c r="I72" s="561"/>
      <c r="J72" s="561"/>
      <c r="K72" s="561"/>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zoomScale="115" zoomScaleNormal="115" workbookViewId="0">
      <selection activeCell="B3" sqref="B3"/>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1272</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113</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1273</v>
      </c>
      <c r="N3" s="491">
        <f>About!C89</f>
        <v>39656668310000</v>
      </c>
      <c r="O3" s="253" t="s">
        <v>114</v>
      </c>
      <c r="P3" s="476" t="s">
        <v>1279</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67" t="s">
        <v>180</v>
      </c>
      <c r="B4" s="568"/>
      <c r="C4" s="568"/>
      <c r="D4" s="568"/>
      <c r="E4" s="568"/>
      <c r="F4" s="568"/>
      <c r="G4" s="568"/>
      <c r="H4" s="568"/>
      <c r="I4" s="568"/>
      <c r="J4" s="568"/>
      <c r="K4" s="568"/>
      <c r="L4" s="568"/>
      <c r="O4" s="30"/>
      <c r="P4" s="476" t="s">
        <v>181</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69" t="s">
        <v>182</v>
      </c>
      <c r="B5" s="569"/>
      <c r="C5" s="569"/>
      <c r="D5" s="569"/>
      <c r="E5" s="569"/>
      <c r="F5" s="569"/>
      <c r="G5" s="569"/>
      <c r="H5" s="569"/>
      <c r="I5" s="569"/>
      <c r="J5" s="569"/>
      <c r="K5" s="569"/>
      <c r="L5" s="569"/>
      <c r="N5" s="153" t="s">
        <v>183</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59" t="s">
        <v>162</v>
      </c>
      <c r="I6" s="559"/>
      <c r="J6" s="33"/>
      <c r="K6" s="559" t="s">
        <v>163</v>
      </c>
      <c r="L6" s="559"/>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177</v>
      </c>
      <c r="L7" s="35" t="s">
        <v>178</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184</v>
      </c>
    </row>
    <row r="8" spans="1:49" ht="22.2" customHeight="1">
      <c r="A8" s="549" t="s">
        <v>1270</v>
      </c>
      <c r="B8" s="38"/>
      <c r="C8" s="38"/>
      <c r="D8" s="38"/>
      <c r="E8" s="39"/>
      <c r="F8" s="39"/>
      <c r="G8" s="39"/>
      <c r="H8" s="40"/>
      <c r="I8" s="40"/>
      <c r="J8" s="41"/>
      <c r="K8" s="40"/>
      <c r="L8" s="40"/>
      <c r="N8" s="37" t="s">
        <v>1270</v>
      </c>
      <c r="O8" s="147"/>
      <c r="P8" s="147"/>
      <c r="Q8" s="148"/>
      <c r="R8" s="157"/>
      <c r="S8" s="148"/>
      <c r="T8" s="553"/>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1271</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1271</v>
      </c>
      <c r="O9" s="483">
        <f>B9*$N$3</f>
        <v>1426133105764220.3</v>
      </c>
      <c r="P9" s="483">
        <f t="shared" ref="P9:Y14" si="0">AK64*$N$3</f>
        <v>2858897520289901.5</v>
      </c>
      <c r="Q9" s="484">
        <f t="shared" si="0"/>
        <v>2855389650037872.5</v>
      </c>
      <c r="R9" s="484">
        <f t="shared" si="0"/>
        <v>2742420254216531.5</v>
      </c>
      <c r="S9" s="484">
        <f t="shared" si="0"/>
        <v>3027811124232944</v>
      </c>
      <c r="T9" s="552">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186</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186</v>
      </c>
      <c r="O10" s="483">
        <f t="shared" ref="O10:O14" si="3">B10*$N$3</f>
        <v>10826270448630</v>
      </c>
      <c r="P10" s="483">
        <f t="shared" si="0"/>
        <v>8673071986070.2402</v>
      </c>
      <c r="Q10" s="484">
        <f t="shared" si="0"/>
        <v>8125611680050.6895</v>
      </c>
      <c r="R10" s="484">
        <f t="shared" si="0"/>
        <v>8063747277487.0898</v>
      </c>
      <c r="S10" s="484">
        <f t="shared" si="0"/>
        <v>9078648069632.9902</v>
      </c>
      <c r="T10" s="552">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187</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187</v>
      </c>
      <c r="O11" s="483">
        <f t="shared" si="3"/>
        <v>1310930484323670</v>
      </c>
      <c r="P11" s="483">
        <f t="shared" si="0"/>
        <v>2460210831358717.5</v>
      </c>
      <c r="Q11" s="484">
        <f t="shared" si="0"/>
        <v>2409341478024074.5</v>
      </c>
      <c r="R11" s="484">
        <f t="shared" si="0"/>
        <v>2291916179638085.5</v>
      </c>
      <c r="S11" s="484">
        <f t="shared" si="0"/>
        <v>2566768914236943</v>
      </c>
      <c r="T11" s="552">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188</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188</v>
      </c>
      <c r="O12" s="483">
        <f t="shared" si="3"/>
        <v>12650477190890</v>
      </c>
      <c r="P12" s="483">
        <f t="shared" si="0"/>
        <v>177485044944805.69</v>
      </c>
      <c r="Q12" s="484">
        <f t="shared" si="0"/>
        <v>225207919245728.03</v>
      </c>
      <c r="R12" s="484">
        <f t="shared" si="0"/>
        <v>239658452267877.22</v>
      </c>
      <c r="S12" s="484">
        <f t="shared" si="0"/>
        <v>269821792546433.97</v>
      </c>
      <c r="T12" s="552">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189</v>
      </c>
      <c r="B13" s="43">
        <v>2.3130000000000002</v>
      </c>
      <c r="C13" s="43">
        <v>5.359</v>
      </c>
      <c r="D13" s="43">
        <v>6.633</v>
      </c>
      <c r="E13" s="44">
        <v>5.7110000000000003</v>
      </c>
      <c r="F13" s="44">
        <v>7.024</v>
      </c>
      <c r="G13" s="44">
        <v>7.9969999999999999</v>
      </c>
      <c r="H13" s="45">
        <v>6.96</v>
      </c>
      <c r="I13" s="45">
        <v>9.81</v>
      </c>
      <c r="J13" s="46"/>
      <c r="K13" s="47">
        <v>3.89</v>
      </c>
      <c r="L13" s="47">
        <v>2</v>
      </c>
      <c r="N13" s="495" t="s">
        <v>189</v>
      </c>
      <c r="O13" s="483">
        <f t="shared" si="3"/>
        <v>91725873801030</v>
      </c>
      <c r="P13" s="483">
        <f t="shared" si="0"/>
        <v>212528572000308.31</v>
      </c>
      <c r="Q13" s="484">
        <f t="shared" si="0"/>
        <v>212714641088018.88</v>
      </c>
      <c r="R13" s="484">
        <f t="shared" si="0"/>
        <v>202781875033081.47</v>
      </c>
      <c r="S13" s="484">
        <f t="shared" si="0"/>
        <v>182141769379934.19</v>
      </c>
      <c r="T13" s="552">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190</v>
      </c>
      <c r="B14" s="43">
        <v>0</v>
      </c>
      <c r="C14" s="43">
        <v>0</v>
      </c>
      <c r="D14" s="43">
        <v>0</v>
      </c>
      <c r="E14" s="44">
        <v>1.7869999999999999</v>
      </c>
      <c r="F14" s="44">
        <v>2.1179999999999999</v>
      </c>
      <c r="G14" s="44">
        <v>2.3639999999999999</v>
      </c>
      <c r="H14" s="45">
        <v>2.23</v>
      </c>
      <c r="I14" s="45">
        <v>2.9</v>
      </c>
      <c r="J14" s="46"/>
      <c r="K14" s="47" t="s">
        <v>172</v>
      </c>
      <c r="L14" s="47">
        <v>1.71</v>
      </c>
      <c r="N14" s="496" t="s">
        <v>190</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52"/>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191</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1269</v>
      </c>
      <c r="O16" s="483">
        <f t="shared" ref="O16:P21" si="9">B16*$N$3</f>
        <v>225606786015590</v>
      </c>
      <c r="P16" s="483">
        <f t="shared" si="9"/>
        <v>171356463767510</v>
      </c>
      <c r="Q16" s="484">
        <f>SUM(Q17:Q21)</f>
        <v>179286945435216.31</v>
      </c>
      <c r="R16" s="503">
        <v>180318803281272.25</v>
      </c>
      <c r="S16" s="503">
        <v>179977769438665.81</v>
      </c>
      <c r="T16" s="552">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186</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186</v>
      </c>
      <c r="O17" s="483">
        <f t="shared" si="9"/>
        <v>139948382465990</v>
      </c>
      <c r="P17" s="483">
        <f t="shared" si="9"/>
        <v>87086043608760</v>
      </c>
      <c r="Q17" s="484">
        <f>P17*P$113</f>
        <v>86284396563339.703</v>
      </c>
      <c r="R17" s="503">
        <v>82115831927154.188</v>
      </c>
      <c r="S17" s="503">
        <v>82856071586291.344</v>
      </c>
      <c r="T17" s="552">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187</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187</v>
      </c>
      <c r="O18" s="483">
        <f t="shared" si="9"/>
        <v>45049975200159.992</v>
      </c>
      <c r="P18" s="483">
        <f t="shared" si="9"/>
        <v>21176660877540</v>
      </c>
      <c r="Q18" s="484">
        <f>P18*P$114</f>
        <v>21152823266981.238</v>
      </c>
      <c r="R18" s="503">
        <v>20318506897424.656</v>
      </c>
      <c r="S18" s="503">
        <v>20609107698377.723</v>
      </c>
      <c r="T18" s="552">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188</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188</v>
      </c>
      <c r="O19" s="483">
        <f t="shared" si="9"/>
        <v>9993480414120</v>
      </c>
      <c r="P19" s="483">
        <f t="shared" si="9"/>
        <v>21692197565570</v>
      </c>
      <c r="Q19" s="484">
        <f>P19*P$115</f>
        <v>30984292008525.156</v>
      </c>
      <c r="R19" s="503">
        <v>38328559094022.359</v>
      </c>
      <c r="S19" s="503">
        <v>35683381483263.883</v>
      </c>
      <c r="T19" s="552">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189</v>
      </c>
      <c r="B20" s="43">
        <v>0.77200000000000002</v>
      </c>
      <c r="C20" s="43">
        <v>1.0449999999999999</v>
      </c>
      <c r="D20" s="43">
        <v>1.157</v>
      </c>
      <c r="E20" s="44">
        <v>1.232</v>
      </c>
      <c r="F20" s="44">
        <v>1.365</v>
      </c>
      <c r="G20" s="44">
        <v>1.3580000000000001</v>
      </c>
      <c r="H20" s="45">
        <v>20.32</v>
      </c>
      <c r="I20" s="45">
        <v>28.3</v>
      </c>
      <c r="J20" s="46"/>
      <c r="K20" s="47">
        <v>1.25</v>
      </c>
      <c r="L20" s="47">
        <v>1.05</v>
      </c>
      <c r="N20" s="48" t="s">
        <v>189</v>
      </c>
      <c r="O20" s="483">
        <f t="shared" si="9"/>
        <v>30614947935320</v>
      </c>
      <c r="P20" s="483">
        <f t="shared" si="9"/>
        <v>41441218383950</v>
      </c>
      <c r="Q20" s="484">
        <f>P20*P$117</f>
        <v>40865433596370.219</v>
      </c>
      <c r="R20" s="503">
        <v>39555905362671.078</v>
      </c>
      <c r="S20" s="503">
        <v>40821277337070.867</v>
      </c>
      <c r="T20" s="552">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190</v>
      </c>
      <c r="B21" s="43">
        <v>0</v>
      </c>
      <c r="C21" s="43">
        <v>0</v>
      </c>
      <c r="D21" s="43">
        <v>0</v>
      </c>
      <c r="E21" s="44">
        <v>0.74</v>
      </c>
      <c r="F21" s="44">
        <v>0.72</v>
      </c>
      <c r="G21" s="44">
        <v>0.69699999999999995</v>
      </c>
      <c r="H21" s="45">
        <v>16.62</v>
      </c>
      <c r="I21" s="45">
        <v>14.52</v>
      </c>
      <c r="J21" s="46"/>
      <c r="K21" s="47" t="s">
        <v>172</v>
      </c>
      <c r="L21" s="47">
        <v>-0.62</v>
      </c>
      <c r="N21" s="49" t="s">
        <v>190</v>
      </c>
      <c r="O21" s="486">
        <f t="shared" si="9"/>
        <v>0</v>
      </c>
      <c r="P21" s="486">
        <f t="shared" si="9"/>
        <v>0</v>
      </c>
      <c r="Q21" s="487">
        <f>P21*P$118</f>
        <v>0</v>
      </c>
      <c r="R21" s="505">
        <v>0</v>
      </c>
      <c r="S21" s="505">
        <v>0</v>
      </c>
      <c r="T21" s="552">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52"/>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192</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1268</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52">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186</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186</v>
      </c>
      <c r="O24" s="483">
        <f t="shared" si="11"/>
        <v>526442955893830.69</v>
      </c>
      <c r="P24" s="483">
        <f t="shared" si="12"/>
        <v>772591212015419.88</v>
      </c>
      <c r="Q24" s="484">
        <f t="shared" si="12"/>
        <v>778944399180864.5</v>
      </c>
      <c r="R24" s="490">
        <f t="shared" si="12"/>
        <v>739444659395065</v>
      </c>
      <c r="S24" s="484">
        <f t="shared" si="12"/>
        <v>767964757409266.63</v>
      </c>
      <c r="T24" s="552">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187</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187</v>
      </c>
      <c r="O25" s="483">
        <f t="shared" si="11"/>
        <v>36595829325918.25</v>
      </c>
      <c r="P25" s="483">
        <f t="shared" si="12"/>
        <v>0</v>
      </c>
      <c r="Q25" s="484">
        <f t="shared" si="12"/>
        <v>0</v>
      </c>
      <c r="R25" s="484">
        <f t="shared" si="12"/>
        <v>0</v>
      </c>
      <c r="S25" s="484">
        <f t="shared" si="12"/>
        <v>0</v>
      </c>
      <c r="T25" s="552">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188</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188</v>
      </c>
      <c r="O26" s="483">
        <f t="shared" si="11"/>
        <v>25658603993433.984</v>
      </c>
      <c r="P26" s="483">
        <f t="shared" si="12"/>
        <v>91461566231037.359</v>
      </c>
      <c r="Q26" s="484">
        <f t="shared" si="12"/>
        <v>89762548928311.75</v>
      </c>
      <c r="R26" s="484">
        <f t="shared" si="12"/>
        <v>84158587719609.094</v>
      </c>
      <c r="S26" s="484">
        <f t="shared" si="12"/>
        <v>88518965936138.891</v>
      </c>
      <c r="T26" s="552">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189</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5" t="s">
        <v>189</v>
      </c>
      <c r="O27" s="483">
        <f t="shared" si="11"/>
        <v>68198225404297.656</v>
      </c>
      <c r="P27" s="483">
        <f t="shared" si="12"/>
        <v>97211434550299.641</v>
      </c>
      <c r="Q27" s="484">
        <f t="shared" si="12"/>
        <v>94807496866442.625</v>
      </c>
      <c r="R27" s="484">
        <f t="shared" si="12"/>
        <v>88624821284395.469</v>
      </c>
      <c r="S27" s="484">
        <f t="shared" si="12"/>
        <v>93499452277686.141</v>
      </c>
      <c r="T27" s="552">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190</v>
      </c>
      <c r="B28" s="56">
        <v>0</v>
      </c>
      <c r="C28" s="56">
        <v>0</v>
      </c>
      <c r="D28" s="43">
        <v>0</v>
      </c>
      <c r="E28" s="44">
        <v>1.0999999999999999E-2</v>
      </c>
      <c r="F28" s="44">
        <v>1.2E-2</v>
      </c>
      <c r="G28" s="44">
        <v>1.2999999999999999E-2</v>
      </c>
      <c r="H28" s="45">
        <v>0.04</v>
      </c>
      <c r="I28" s="45">
        <v>0.05</v>
      </c>
      <c r="J28" s="57"/>
      <c r="K28" s="47" t="s">
        <v>172</v>
      </c>
      <c r="L28" s="47">
        <v>0.47</v>
      </c>
      <c r="N28" s="496" t="s">
        <v>190</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52"/>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193</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1267</v>
      </c>
      <c r="O30" s="483">
        <f t="shared" ref="O30:P35" si="21">B30*$N$3</f>
        <v>202557059593443.84</v>
      </c>
      <c r="P30" s="483">
        <f t="shared" si="21"/>
        <v>453041367029179.94</v>
      </c>
      <c r="Q30" s="484">
        <f>SUM(Q31:Q35)</f>
        <v>481384618057926.56</v>
      </c>
      <c r="R30" s="503">
        <v>495852240569989.63</v>
      </c>
      <c r="S30" s="503">
        <v>500804340770727.69</v>
      </c>
      <c r="T30" s="552">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186</v>
      </c>
      <c r="B31" s="43">
        <v>0</v>
      </c>
      <c r="C31" s="43">
        <v>0</v>
      </c>
      <c r="D31" s="43">
        <v>0</v>
      </c>
      <c r="E31" s="44">
        <f t="shared" ref="E31:G35" si="22">E38+E45</f>
        <v>0.09</v>
      </c>
      <c r="F31" s="44">
        <f t="shared" si="22"/>
        <v>9.0999999999999998E-2</v>
      </c>
      <c r="G31" s="44">
        <f t="shared" si="22"/>
        <v>8.4000000000000005E-2</v>
      </c>
      <c r="H31" s="45"/>
      <c r="I31" s="45"/>
      <c r="J31" s="41"/>
      <c r="K31" s="47"/>
      <c r="L31" s="47"/>
      <c r="N31" s="48" t="s">
        <v>186</v>
      </c>
      <c r="O31" s="483">
        <f t="shared" si="21"/>
        <v>0</v>
      </c>
      <c r="P31" s="483">
        <f t="shared" si="21"/>
        <v>0</v>
      </c>
      <c r="Q31" s="484">
        <f>P31*P$113</f>
        <v>0</v>
      </c>
      <c r="R31" s="503">
        <v>0</v>
      </c>
      <c r="S31" s="503">
        <v>0</v>
      </c>
      <c r="T31" s="552">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187</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187</v>
      </c>
      <c r="O32" s="483">
        <f t="shared" si="21"/>
        <v>61409800049226.93</v>
      </c>
      <c r="P32" s="483">
        <f t="shared" si="21"/>
        <v>11264184927151.188</v>
      </c>
      <c r="Q32" s="484">
        <f>P32*P$114</f>
        <v>11251505343003.902</v>
      </c>
      <c r="R32" s="503">
        <v>10807719897848.939</v>
      </c>
      <c r="S32" s="503">
        <v>10803498674343.15</v>
      </c>
      <c r="T32" s="552">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188</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188</v>
      </c>
      <c r="O33" s="483">
        <f t="shared" si="21"/>
        <v>28611126228116.938</v>
      </c>
      <c r="P33" s="483">
        <f t="shared" si="21"/>
        <v>77995673021520.797</v>
      </c>
      <c r="Q33" s="484">
        <f>P33*P$115</f>
        <v>111405988305027.98</v>
      </c>
      <c r="R33" s="503">
        <v>137812766707800</v>
      </c>
      <c r="S33" s="503">
        <v>126969464725736</v>
      </c>
      <c r="T33" s="552">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189</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189</v>
      </c>
      <c r="O34" s="483">
        <f t="shared" si="21"/>
        <v>112536133316099.98</v>
      </c>
      <c r="P34" s="483">
        <f t="shared" si="21"/>
        <v>363781509080507.94</v>
      </c>
      <c r="Q34" s="484">
        <f>P34*P$117</f>
        <v>358727124409894.69</v>
      </c>
      <c r="R34" s="503">
        <v>347231753964340.75</v>
      </c>
      <c r="S34" s="503">
        <v>363023446036986.56</v>
      </c>
      <c r="T34" s="552">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190</v>
      </c>
      <c r="B35" s="56">
        <v>0</v>
      </c>
      <c r="C35" s="56">
        <v>0</v>
      </c>
      <c r="D35" s="43">
        <v>0</v>
      </c>
      <c r="E35" s="409">
        <f t="shared" si="22"/>
        <v>0.46599999999999997</v>
      </c>
      <c r="F35" s="409">
        <f t="shared" si="22"/>
        <v>0.52500000000000002</v>
      </c>
      <c r="G35" s="409">
        <f t="shared" si="22"/>
        <v>0.55900000000000005</v>
      </c>
      <c r="H35" s="45"/>
      <c r="I35" s="45"/>
      <c r="J35" s="57"/>
      <c r="K35" s="47"/>
      <c r="L35" s="47"/>
      <c r="N35" s="49" t="s">
        <v>190</v>
      </c>
      <c r="O35" s="486">
        <f t="shared" si="21"/>
        <v>0</v>
      </c>
      <c r="P35" s="486">
        <f t="shared" si="21"/>
        <v>0</v>
      </c>
      <c r="Q35" s="487">
        <f>P35*P$118</f>
        <v>0</v>
      </c>
      <c r="R35" s="505">
        <v>0</v>
      </c>
      <c r="S35" s="505">
        <v>0</v>
      </c>
      <c r="T35" s="552">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544</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1086</v>
      </c>
      <c r="B38" s="43">
        <v>0</v>
      </c>
      <c r="C38" s="404"/>
      <c r="D38" s="43">
        <v>8.5574999999999998E-2</v>
      </c>
      <c r="E38" s="44">
        <v>0.09</v>
      </c>
      <c r="F38" s="44">
        <v>9.0999999999999998E-2</v>
      </c>
      <c r="G38" s="44">
        <v>8.4000000000000005E-2</v>
      </c>
      <c r="H38" s="45">
        <v>0.86</v>
      </c>
      <c r="I38" s="45">
        <v>0.76</v>
      </c>
      <c r="K38" s="47" t="s">
        <v>172</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1274</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1275</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428</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1276</v>
      </c>
      <c r="B42" s="56">
        <v>0</v>
      </c>
      <c r="C42" s="407"/>
      <c r="D42" s="408">
        <v>0.31311800000000001</v>
      </c>
      <c r="E42" s="409">
        <v>0.34899999999999998</v>
      </c>
      <c r="F42" s="409">
        <v>0.40400000000000003</v>
      </c>
      <c r="G42" s="409">
        <v>0.442</v>
      </c>
      <c r="H42" s="45">
        <v>3.16</v>
      </c>
      <c r="I42" s="45">
        <v>3.97</v>
      </c>
      <c r="J42" s="410"/>
      <c r="K42" s="47" t="s">
        <v>172</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1277</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1086</v>
      </c>
      <c r="B45" s="43">
        <v>0</v>
      </c>
      <c r="C45" s="404"/>
      <c r="D45" s="43">
        <v>0</v>
      </c>
      <c r="E45" s="44">
        <v>0</v>
      </c>
      <c r="F45" s="44">
        <v>0</v>
      </c>
      <c r="G45" s="44">
        <v>0</v>
      </c>
      <c r="H45" s="45">
        <v>0</v>
      </c>
      <c r="I45" s="45">
        <v>0</v>
      </c>
      <c r="K45" s="47" t="s">
        <v>172</v>
      </c>
      <c r="L45" s="47" t="s">
        <v>172</v>
      </c>
    </row>
    <row r="46" spans="1:49">
      <c r="A46" s="48" t="s">
        <v>1274</v>
      </c>
      <c r="B46" s="43">
        <v>0.97194100000000005</v>
      </c>
      <c r="C46" s="404"/>
      <c r="D46" s="43">
        <v>0.24479400000000001</v>
      </c>
      <c r="E46" s="44">
        <v>0.26</v>
      </c>
      <c r="F46" s="44">
        <v>0.247</v>
      </c>
      <c r="G46" s="44">
        <v>0.21199999999999999</v>
      </c>
      <c r="H46" s="45">
        <v>7.9</v>
      </c>
      <c r="I46" s="45">
        <v>7.06</v>
      </c>
      <c r="K46" s="47">
        <v>-6.08</v>
      </c>
      <c r="L46" s="47">
        <v>-0.51</v>
      </c>
    </row>
    <row r="47" spans="1:49">
      <c r="A47" s="48" t="s">
        <v>1275</v>
      </c>
      <c r="B47" s="43">
        <v>0</v>
      </c>
      <c r="C47" s="404"/>
      <c r="D47" s="43">
        <v>0.79857</v>
      </c>
      <c r="E47" s="44">
        <v>0.62</v>
      </c>
      <c r="F47" s="44">
        <v>0.56899999999999995</v>
      </c>
      <c r="G47" s="44">
        <v>0.52600000000000002</v>
      </c>
      <c r="H47" s="45">
        <v>25.76</v>
      </c>
      <c r="I47" s="45">
        <v>17.48</v>
      </c>
      <c r="K47" s="47" t="s">
        <v>172</v>
      </c>
      <c r="L47" s="47">
        <v>-1.48</v>
      </c>
    </row>
    <row r="48" spans="1:49">
      <c r="A48" s="48" t="s">
        <v>428</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1276</v>
      </c>
      <c r="B49" s="408">
        <v>0</v>
      </c>
      <c r="C49" s="407"/>
      <c r="D49" s="408">
        <v>0.100434</v>
      </c>
      <c r="E49" s="409">
        <v>0.11700000000000001</v>
      </c>
      <c r="F49" s="409">
        <v>0.121</v>
      </c>
      <c r="G49" s="409">
        <v>0.11700000000000001</v>
      </c>
      <c r="H49" s="411">
        <v>3.24</v>
      </c>
      <c r="I49" s="411">
        <v>3.89</v>
      </c>
      <c r="J49" s="410"/>
      <c r="K49" s="412" t="s">
        <v>172</v>
      </c>
      <c r="L49" s="412">
        <v>0.55000000000000004</v>
      </c>
      <c r="T49" s="515" t="s">
        <v>1207</v>
      </c>
    </row>
    <row r="50" spans="1:69">
      <c r="A50" s="550" t="s">
        <v>1278</v>
      </c>
      <c r="T50" s="468" t="s">
        <v>198</v>
      </c>
    </row>
    <row r="51" spans="1:69">
      <c r="A51" s="42" t="s">
        <v>199</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200</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186</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186</v>
      </c>
      <c r="O52" s="149">
        <f t="shared" si="25"/>
        <v>145499631950809.28</v>
      </c>
      <c r="P52" s="149">
        <f t="shared" si="25"/>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187</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187</v>
      </c>
      <c r="O53" s="149">
        <f t="shared" si="25"/>
        <v>307602774099534.38</v>
      </c>
      <c r="P53" s="149">
        <f t="shared" si="25"/>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188</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188</v>
      </c>
      <c r="O54" s="149">
        <f t="shared" si="25"/>
        <v>62519157951399.086</v>
      </c>
      <c r="P54" s="149">
        <f t="shared" si="25"/>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189</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189</v>
      </c>
      <c r="O55" s="149">
        <f t="shared" si="25"/>
        <v>133822334314522.34</v>
      </c>
      <c r="P55" s="149">
        <f t="shared" si="25"/>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190</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190</v>
      </c>
      <c r="O56" s="149">
        <f t="shared" si="25"/>
        <v>0</v>
      </c>
      <c r="P56" s="149">
        <f t="shared" si="25"/>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60" t="s">
        <v>201</v>
      </c>
      <c r="B57" s="561"/>
      <c r="C57" s="561"/>
      <c r="D57" s="561"/>
      <c r="E57" s="561"/>
      <c r="F57" s="561"/>
      <c r="G57" s="561"/>
      <c r="H57" s="561"/>
      <c r="I57" s="561"/>
      <c r="J57" s="561"/>
      <c r="K57" s="561"/>
      <c r="L57" s="561"/>
      <c r="N57" s="565" t="s">
        <v>202</v>
      </c>
      <c r="O57" s="566"/>
      <c r="P57" s="566"/>
      <c r="Q57" s="566"/>
      <c r="R57" s="566"/>
      <c r="S57" s="566"/>
      <c r="T57" s="566"/>
      <c r="U57" s="566"/>
      <c r="V57" s="566"/>
      <c r="W57" s="566"/>
      <c r="X57" s="566"/>
      <c r="Y57" s="566"/>
      <c r="Z57" s="566"/>
      <c r="AA57" s="566"/>
      <c r="AB57" s="566"/>
      <c r="AC57" s="566"/>
      <c r="AD57" s="566"/>
      <c r="AE57" s="566"/>
      <c r="AF57" s="566"/>
      <c r="AG57" s="566"/>
      <c r="AH57" s="566"/>
      <c r="AI57" s="566"/>
      <c r="AJ57" s="566"/>
      <c r="AK57" s="566"/>
      <c r="AL57" s="566"/>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203</v>
      </c>
      <c r="B61"/>
      <c r="C61"/>
      <c r="D61"/>
      <c r="E61"/>
      <c r="F61" t="s">
        <v>204</v>
      </c>
      <c r="G61"/>
      <c r="H61"/>
      <c r="I61"/>
      <c r="J61"/>
      <c r="K61"/>
      <c r="L61"/>
      <c r="M61"/>
      <c r="N61"/>
      <c r="O61"/>
      <c r="P61"/>
      <c r="Q61"/>
      <c r="R61"/>
      <c r="S61"/>
      <c r="T61"/>
      <c r="AK61" s="468" t="s">
        <v>205</v>
      </c>
      <c r="AM61" s="468" t="s">
        <v>206</v>
      </c>
      <c r="AW61" s="150"/>
      <c r="AX61" s="150"/>
      <c r="AY61" s="150"/>
      <c r="AZ61" s="150"/>
      <c r="BA61" s="150"/>
      <c r="BB61" s="150"/>
    </row>
    <row r="62" spans="1:69">
      <c r="A62"/>
      <c r="B62" s="457" t="s">
        <v>207</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185</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208</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209</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210</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211</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212</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213</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30" t="s">
        <v>214</v>
      </c>
      <c r="F71" t="s">
        <v>204</v>
      </c>
      <c r="AK71" s="468" t="s">
        <v>205</v>
      </c>
      <c r="AM71" s="468" t="s">
        <v>206</v>
      </c>
      <c r="AW71" s="150"/>
      <c r="AX71" s="150"/>
      <c r="AY71" s="150"/>
      <c r="AZ71" s="150"/>
      <c r="BA71" s="150"/>
      <c r="BB71" s="150"/>
    </row>
    <row r="72" spans="1:69">
      <c r="A72" s="463"/>
      <c r="B72" s="457" t="s">
        <v>207</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185</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215</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209</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210</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211</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212</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213</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466" t="s">
        <v>216</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217</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57" t="s">
        <v>218</v>
      </c>
      <c r="B84" s="558"/>
      <c r="C84" s="558"/>
      <c r="D84" s="558"/>
      <c r="E84" s="558"/>
      <c r="F84" s="558"/>
      <c r="G84" s="558"/>
      <c r="H84" s="558"/>
      <c r="I84" s="558"/>
      <c r="J84" s="558"/>
      <c r="K84" s="558"/>
      <c r="L84" s="558"/>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64"/>
      <c r="B85" s="564"/>
      <c r="C85" s="564"/>
      <c r="D85" s="564"/>
      <c r="E85" s="564"/>
      <c r="F85" s="564"/>
      <c r="G85" s="564"/>
      <c r="H85" s="564"/>
      <c r="I85" s="564"/>
      <c r="J85" s="564"/>
      <c r="K85" s="564"/>
      <c r="L85" s="564"/>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59" t="s">
        <v>162</v>
      </c>
      <c r="I86" s="559"/>
      <c r="J86" s="33"/>
      <c r="K86" s="559" t="s">
        <v>163</v>
      </c>
      <c r="L86" s="559"/>
      <c r="M86" s="58"/>
      <c r="N86" s="391" t="s">
        <v>219</v>
      </c>
      <c r="O86" s="390" t="s">
        <v>220</v>
      </c>
      <c r="P86" s="390" t="s">
        <v>221</v>
      </c>
      <c r="Q86" s="390" t="s">
        <v>222</v>
      </c>
      <c r="R86" s="390" t="s">
        <v>223</v>
      </c>
      <c r="S86" s="390" t="s">
        <v>224</v>
      </c>
      <c r="T86" s="390" t="s">
        <v>225</v>
      </c>
      <c r="U86" s="390" t="s">
        <v>226</v>
      </c>
      <c r="V86" s="390" t="s">
        <v>227</v>
      </c>
      <c r="W86" s="390" t="s">
        <v>228</v>
      </c>
      <c r="X86" s="390" t="s">
        <v>229</v>
      </c>
      <c r="Y86" s="390" t="s">
        <v>230</v>
      </c>
      <c r="Z86" s="390" t="s">
        <v>231</v>
      </c>
      <c r="AA86" s="390" t="s">
        <v>232</v>
      </c>
      <c r="AB86" s="390" t="s">
        <v>233</v>
      </c>
      <c r="AC86" s="390" t="s">
        <v>234</v>
      </c>
      <c r="AD86" s="390" t="s">
        <v>235</v>
      </c>
      <c r="AE86" s="390" t="s">
        <v>236</v>
      </c>
      <c r="AF86" s="390" t="s">
        <v>237</v>
      </c>
      <c r="AG86" s="390" t="s">
        <v>238</v>
      </c>
      <c r="AH86" s="390" t="s">
        <v>239</v>
      </c>
      <c r="AI86" s="390" t="s">
        <v>240</v>
      </c>
      <c r="AJ86" s="390" t="s">
        <v>241</v>
      </c>
      <c r="AK86" s="390" t="s">
        <v>242</v>
      </c>
      <c r="AL86" s="390" t="s">
        <v>243</v>
      </c>
      <c r="AM86" s="390" t="s">
        <v>244</v>
      </c>
      <c r="AN86" s="390" t="s">
        <v>245</v>
      </c>
      <c r="AO86" s="390" t="s">
        <v>246</v>
      </c>
      <c r="AP86" s="390" t="s">
        <v>247</v>
      </c>
      <c r="AQ86" s="390" t="s">
        <v>248</v>
      </c>
      <c r="AR86" s="390" t="s">
        <v>249</v>
      </c>
      <c r="AS86" s="390" t="s">
        <v>250</v>
      </c>
      <c r="AT86" s="390" t="s">
        <v>251</v>
      </c>
      <c r="AU86" s="390" t="s">
        <v>252</v>
      </c>
      <c r="AV86" s="390" t="s">
        <v>253</v>
      </c>
      <c r="AW86" s="390" t="s">
        <v>254</v>
      </c>
      <c r="AX86" s="390" t="s">
        <v>255</v>
      </c>
      <c r="AY86" s="390" t="s">
        <v>256</v>
      </c>
      <c r="AZ86" s="390" t="s">
        <v>257</v>
      </c>
      <c r="BA86" s="390" t="s">
        <v>258</v>
      </c>
      <c r="BB86" s="390" t="s">
        <v>259</v>
      </c>
      <c r="BC86" s="390" t="s">
        <v>260</v>
      </c>
      <c r="BD86" s="390" t="s">
        <v>261</v>
      </c>
      <c r="BE86" s="390" t="s">
        <v>262</v>
      </c>
      <c r="BF86" s="390" t="s">
        <v>263</v>
      </c>
      <c r="BG86" s="390" t="s">
        <v>264</v>
      </c>
    </row>
    <row r="87" spans="1:59">
      <c r="A87" s="31"/>
      <c r="B87" s="34">
        <v>2000</v>
      </c>
      <c r="C87" s="34">
        <v>2018</v>
      </c>
      <c r="D87" s="34">
        <v>2025</v>
      </c>
      <c r="E87" s="34">
        <v>2030</v>
      </c>
      <c r="F87" s="34">
        <v>2035</v>
      </c>
      <c r="G87" s="34">
        <v>2040</v>
      </c>
      <c r="H87" s="35">
        <v>2018</v>
      </c>
      <c r="I87" s="35">
        <v>2040</v>
      </c>
      <c r="J87" s="36"/>
      <c r="K87" s="35" t="s">
        <v>164</v>
      </c>
      <c r="L87" s="35" t="s">
        <v>165</v>
      </c>
      <c r="M87" s="58"/>
      <c r="N87" s="392" t="s">
        <v>265</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185</v>
      </c>
      <c r="B88" s="38"/>
      <c r="C88" s="38"/>
      <c r="D88" s="39"/>
      <c r="E88" s="39"/>
      <c r="F88" s="39"/>
      <c r="G88" s="39"/>
      <c r="H88" s="40"/>
      <c r="I88" s="40"/>
      <c r="J88" s="41"/>
      <c r="K88" s="40"/>
      <c r="L88" s="40"/>
      <c r="M88" s="58"/>
      <c r="N88" s="392" t="s">
        <v>167</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266</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168</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167</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267</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168</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169</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195</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268</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170</v>
      </c>
      <c r="B93" s="43">
        <v>2.3130000000000002</v>
      </c>
      <c r="C93" s="43">
        <v>5.359</v>
      </c>
      <c r="D93" s="44">
        <v>6.633</v>
      </c>
      <c r="E93" s="44">
        <v>7.3479999999999999</v>
      </c>
      <c r="F93" s="44">
        <v>7.98</v>
      </c>
      <c r="G93" s="44">
        <v>8.5749999999999993</v>
      </c>
      <c r="H93" s="45">
        <v>7.49</v>
      </c>
      <c r="I93" s="45">
        <v>9.84</v>
      </c>
      <c r="J93" s="46"/>
      <c r="K93" s="47">
        <v>4.78</v>
      </c>
      <c r="L93" s="47">
        <v>2.16</v>
      </c>
      <c r="M93" s="58"/>
      <c r="N93" s="393" t="s">
        <v>269</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196</v>
      </c>
      <c r="B94" s="43">
        <v>0</v>
      </c>
      <c r="C94" s="43">
        <v>0</v>
      </c>
      <c r="D94" s="44">
        <v>0</v>
      </c>
      <c r="E94" s="44">
        <v>0</v>
      </c>
      <c r="F94" s="44">
        <v>0</v>
      </c>
      <c r="G94" s="44">
        <v>0</v>
      </c>
      <c r="H94" s="45">
        <v>0</v>
      </c>
      <c r="I94" s="45">
        <v>0</v>
      </c>
      <c r="J94" s="46"/>
      <c r="K94" s="47" t="s">
        <v>172</v>
      </c>
      <c r="L94" s="47" t="s">
        <v>172</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270</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265</v>
      </c>
      <c r="O96" s="395">
        <f t="shared" ref="O96:O102" si="32">SUM(O87:Z87)</f>
        <v>143496</v>
      </c>
      <c r="P96" s="395">
        <f t="shared" ref="P96:P102" si="33">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167</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167</v>
      </c>
      <c r="O97" s="395">
        <f>SUM(O88:Z88)</f>
        <v>32047</v>
      </c>
      <c r="P97" s="395">
        <f t="shared" si="33"/>
        <v>31752</v>
      </c>
      <c r="Q97" s="395">
        <f t="shared" ref="Q97:Q102" si="34">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168</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168</v>
      </c>
      <c r="O98" s="395">
        <f t="shared" si="32"/>
        <v>69293</v>
      </c>
      <c r="P98" s="395">
        <f t="shared" si="33"/>
        <v>69215</v>
      </c>
      <c r="Q98" s="395">
        <f t="shared" si="34"/>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195</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267</v>
      </c>
      <c r="O99" s="395">
        <f t="shared" si="32"/>
        <v>2038</v>
      </c>
      <c r="P99" s="395">
        <f t="shared" si="33"/>
        <v>2911</v>
      </c>
      <c r="Q99" s="395">
        <f t="shared" si="34"/>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170</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169</v>
      </c>
      <c r="O100" s="395">
        <f t="shared" si="32"/>
        <v>9028</v>
      </c>
      <c r="P100" s="395">
        <f t="shared" si="33"/>
        <v>8541</v>
      </c>
      <c r="Q100" s="395">
        <f t="shared" si="34"/>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196</v>
      </c>
      <c r="B101" s="43">
        <v>0</v>
      </c>
      <c r="C101" s="43">
        <v>0</v>
      </c>
      <c r="D101" s="44">
        <v>0</v>
      </c>
      <c r="E101" s="44">
        <v>0</v>
      </c>
      <c r="F101" s="44">
        <v>0</v>
      </c>
      <c r="G101" s="44">
        <v>0</v>
      </c>
      <c r="H101" s="45">
        <v>0</v>
      </c>
      <c r="I101" s="45">
        <v>0</v>
      </c>
      <c r="J101" s="46"/>
      <c r="K101" s="47" t="s">
        <v>172</v>
      </c>
      <c r="L101" s="47" t="s">
        <v>172</v>
      </c>
      <c r="M101" s="58"/>
      <c r="N101" s="392" t="s">
        <v>268</v>
      </c>
      <c r="O101" s="395">
        <f t="shared" si="32"/>
        <v>24399</v>
      </c>
      <c r="P101" s="395">
        <f t="shared" si="33"/>
        <v>24060</v>
      </c>
      <c r="Q101" s="395">
        <f t="shared" si="34"/>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269</v>
      </c>
      <c r="O102" s="395">
        <f t="shared" si="32"/>
        <v>6692</v>
      </c>
      <c r="P102" s="395">
        <f t="shared" si="33"/>
        <v>6426</v>
      </c>
      <c r="Q102" s="395">
        <f t="shared" si="34"/>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215</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167</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265</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168</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167</v>
      </c>
      <c r="O105" s="172"/>
      <c r="P105" s="396">
        <f t="shared" ref="P105:P110" si="35">(P97-O97)/O97</f>
        <v>-9.2052298187037789E-3</v>
      </c>
      <c r="Q105" s="396">
        <f t="shared" ref="Q105:Q110" si="36">(Q97-P97)/P97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195</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168</v>
      </c>
      <c r="O106" s="172"/>
      <c r="P106" s="396">
        <f t="shared" si="35"/>
        <v>-1.1256548280490094E-3</v>
      </c>
      <c r="Q106" s="396">
        <f t="shared" si="36"/>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170</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267</v>
      </c>
      <c r="O107" s="172"/>
      <c r="P107" s="396">
        <f t="shared" si="35"/>
        <v>0.42836113837095191</v>
      </c>
      <c r="Q107" s="396">
        <f t="shared" si="36"/>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196</v>
      </c>
      <c r="B108" s="56">
        <v>0</v>
      </c>
      <c r="C108" s="56">
        <v>0</v>
      </c>
      <c r="D108" s="44">
        <v>0</v>
      </c>
      <c r="E108" s="44">
        <v>0</v>
      </c>
      <c r="F108" s="44">
        <v>0</v>
      </c>
      <c r="G108" s="44">
        <v>0</v>
      </c>
      <c r="H108" s="45">
        <v>0</v>
      </c>
      <c r="I108" s="45">
        <v>0</v>
      </c>
      <c r="J108" s="57"/>
      <c r="K108" s="47" t="s">
        <v>172</v>
      </c>
      <c r="L108" s="47" t="s">
        <v>172</v>
      </c>
      <c r="M108" s="58"/>
      <c r="N108" s="392" t="s">
        <v>169</v>
      </c>
      <c r="O108" s="172"/>
      <c r="P108" s="396">
        <f t="shared" si="35"/>
        <v>-5.3943287549844926E-2</v>
      </c>
      <c r="Q108" s="396">
        <f t="shared" si="36"/>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268</v>
      </c>
      <c r="O109" s="172"/>
      <c r="P109" s="396">
        <f t="shared" si="35"/>
        <v>-1.3894012049674167E-2</v>
      </c>
      <c r="Q109" s="396">
        <f t="shared" si="36"/>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271</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269</v>
      </c>
      <c r="O110" s="172"/>
      <c r="P110" s="396">
        <f t="shared" si="35"/>
        <v>-3.9748953974895397E-2</v>
      </c>
      <c r="Q110" s="396">
        <f t="shared" si="36"/>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167</v>
      </c>
      <c r="B111" s="43">
        <v>0</v>
      </c>
      <c r="C111" s="43">
        <v>0</v>
      </c>
      <c r="D111" s="44">
        <v>0</v>
      </c>
      <c r="E111" s="44">
        <v>0</v>
      </c>
      <c r="F111" s="44">
        <v>0</v>
      </c>
      <c r="G111" s="44">
        <v>0</v>
      </c>
      <c r="H111" s="45">
        <v>0</v>
      </c>
      <c r="I111" s="45">
        <v>0</v>
      </c>
      <c r="J111" s="41"/>
      <c r="K111" s="47" t="s">
        <v>172</v>
      </c>
      <c r="L111" s="47" t="s">
        <v>172</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168</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265</v>
      </c>
      <c r="O112" s="172"/>
      <c r="P112" s="397">
        <f>P104+1</f>
        <v>0.99586051179126944</v>
      </c>
      <c r="Q112" s="397">
        <f t="shared" ref="Q112:Q118" si="37">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195</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167</v>
      </c>
      <c r="O113" s="172"/>
      <c r="P113" s="397">
        <f t="shared" ref="P113:P118" si="38">P105+1</f>
        <v>0.99079477018129625</v>
      </c>
      <c r="Q113" s="397">
        <f t="shared" si="37"/>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170</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168</v>
      </c>
      <c r="O114" s="172"/>
      <c r="P114" s="397">
        <f t="shared" si="38"/>
        <v>0.99887434517195095</v>
      </c>
      <c r="Q114" s="397">
        <f t="shared" si="37"/>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196</v>
      </c>
      <c r="B115" s="56">
        <v>0</v>
      </c>
      <c r="C115" s="56">
        <v>0</v>
      </c>
      <c r="D115" s="44">
        <v>0</v>
      </c>
      <c r="E115" s="44">
        <v>0</v>
      </c>
      <c r="F115" s="44">
        <v>0</v>
      </c>
      <c r="G115" s="44">
        <v>0</v>
      </c>
      <c r="H115" s="45">
        <v>0</v>
      </c>
      <c r="I115" s="45">
        <v>0</v>
      </c>
      <c r="J115" s="57"/>
      <c r="K115" s="47" t="s">
        <v>172</v>
      </c>
      <c r="L115" s="47" t="s">
        <v>172</v>
      </c>
      <c r="N115" s="392" t="s">
        <v>267</v>
      </c>
      <c r="O115" s="172"/>
      <c r="P115" s="397">
        <f t="shared" si="38"/>
        <v>1.4283611383709518</v>
      </c>
      <c r="Q115" s="397">
        <f t="shared" si="37"/>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60" t="s">
        <v>202</v>
      </c>
      <c r="B116" s="561"/>
      <c r="C116" s="561"/>
      <c r="D116" s="561"/>
      <c r="E116" s="561"/>
      <c r="F116" s="561"/>
      <c r="G116" s="561"/>
      <c r="H116" s="561"/>
      <c r="I116" s="561"/>
      <c r="J116" s="561"/>
      <c r="K116" s="561"/>
      <c r="L116" s="561"/>
      <c r="N116" s="392" t="s">
        <v>169</v>
      </c>
      <c r="O116" s="172"/>
      <c r="P116" s="397">
        <f t="shared" si="38"/>
        <v>0.9460567124501551</v>
      </c>
      <c r="Q116" s="397">
        <f t="shared" si="37"/>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268</v>
      </c>
      <c r="O117" s="172"/>
      <c r="P117" s="397">
        <f t="shared" si="38"/>
        <v>0.98610598795032578</v>
      </c>
      <c r="Q117" s="397">
        <f t="shared" si="37"/>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269</v>
      </c>
      <c r="O118" s="172"/>
      <c r="P118" s="397">
        <f t="shared" si="38"/>
        <v>0.96025104602510458</v>
      </c>
      <c r="Q118" s="397">
        <f t="shared" si="37"/>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N57:AL57"/>
    <mergeCell ref="A4:L4"/>
    <mergeCell ref="A5:L5"/>
    <mergeCell ref="H6:I6"/>
    <mergeCell ref="K6:L6"/>
    <mergeCell ref="A57:L57"/>
    <mergeCell ref="A84:L84"/>
    <mergeCell ref="A85:L85"/>
    <mergeCell ref="H86:I86"/>
    <mergeCell ref="K86:L86"/>
    <mergeCell ref="A116:L116"/>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570" t="s">
        <v>1149</v>
      </c>
      <c r="C1" s="571"/>
      <c r="D1" s="571"/>
      <c r="E1" s="571"/>
      <c r="F1" s="571"/>
      <c r="G1" s="571"/>
      <c r="H1" s="571"/>
      <c r="I1" s="571"/>
      <c r="J1" s="571"/>
      <c r="K1" s="571"/>
      <c r="L1" s="571"/>
      <c r="M1" s="571"/>
      <c r="N1" s="159">
        <v>1</v>
      </c>
      <c r="O1" s="159"/>
      <c r="P1" s="160" t="s">
        <v>272</v>
      </c>
      <c r="Q1" s="161" t="s">
        <v>273</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2" t="s">
        <v>161</v>
      </c>
      <c r="C2" s="572"/>
      <c r="D2" s="572"/>
      <c r="E2" s="572"/>
      <c r="F2" s="572"/>
      <c r="G2" s="572"/>
      <c r="H2" s="572"/>
      <c r="I2" s="572"/>
      <c r="J2" s="572"/>
      <c r="K2" s="572"/>
      <c r="L2" s="572"/>
      <c r="M2" s="572"/>
      <c r="P2" s="153" t="s">
        <v>183</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9" t="s">
        <v>162</v>
      </c>
      <c r="J3" s="559"/>
      <c r="K3" s="33"/>
      <c r="L3" s="559" t="s">
        <v>163</v>
      </c>
      <c r="M3" s="559"/>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184</v>
      </c>
    </row>
    <row r="5" spans="1:51" ht="13.5" customHeight="1">
      <c r="A5" s="515" t="s">
        <v>1134</v>
      </c>
      <c r="B5" s="37" t="s">
        <v>274</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1143</v>
      </c>
      <c r="P5" s="37" t="s">
        <v>274</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1135</v>
      </c>
      <c r="B6" s="42" t="s">
        <v>275</v>
      </c>
      <c r="C6" s="43">
        <v>6.7649999999999997</v>
      </c>
      <c r="D6" s="43">
        <v>27.69</v>
      </c>
      <c r="E6" s="44">
        <v>27.73</v>
      </c>
      <c r="F6" s="44">
        <v>31.283000000000001</v>
      </c>
      <c r="G6" s="44">
        <v>33.979999999999997</v>
      </c>
      <c r="H6" s="44">
        <v>39.469000000000001</v>
      </c>
      <c r="I6" s="45">
        <v>51.79</v>
      </c>
      <c r="J6" s="45">
        <v>55.48</v>
      </c>
      <c r="K6" s="46"/>
      <c r="L6" s="47">
        <v>8.14</v>
      </c>
      <c r="M6" s="47">
        <v>1.62</v>
      </c>
      <c r="O6" s="515" t="s">
        <v>1144</v>
      </c>
      <c r="P6" s="42" t="s">
        <v>275</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1136</v>
      </c>
      <c r="B7" s="42" t="s">
        <v>276</v>
      </c>
      <c r="C7" s="43">
        <v>12.561</v>
      </c>
      <c r="D7" s="43">
        <v>25.864999999999998</v>
      </c>
      <c r="E7" s="44">
        <v>28.533999999999999</v>
      </c>
      <c r="F7" s="44">
        <v>30.09</v>
      </c>
      <c r="G7" s="44">
        <v>31.105</v>
      </c>
      <c r="H7" s="44">
        <v>31.792999999999999</v>
      </c>
      <c r="I7" s="45">
        <v>48.38</v>
      </c>
      <c r="J7" s="45">
        <v>44.69</v>
      </c>
      <c r="K7" s="46"/>
      <c r="L7" s="47">
        <v>4.09</v>
      </c>
      <c r="M7" s="47">
        <v>0.94</v>
      </c>
      <c r="O7" s="517" t="s">
        <v>1145</v>
      </c>
      <c r="P7" s="42" t="s">
        <v>276</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1137</v>
      </c>
      <c r="B9" s="37" t="s">
        <v>277</v>
      </c>
      <c r="C9" s="67"/>
      <c r="D9" s="67"/>
      <c r="E9" s="68"/>
      <c r="F9" s="68"/>
      <c r="G9" s="68"/>
      <c r="H9" s="68"/>
      <c r="I9" s="60"/>
      <c r="J9" s="60"/>
      <c r="K9" s="46"/>
      <c r="L9" s="60"/>
      <c r="M9" s="60"/>
      <c r="P9" s="37" t="s">
        <v>278</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1088</v>
      </c>
      <c r="B10" s="42" t="s">
        <v>267</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1138</v>
      </c>
      <c r="B11" s="42" t="s">
        <v>169</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1124</v>
      </c>
      <c r="Q11" s="512">
        <v>24000000</v>
      </c>
      <c r="R11" s="217" t="s">
        <v>1125</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1139</v>
      </c>
      <c r="B13" s="37" t="s">
        <v>279</v>
      </c>
      <c r="C13" s="67"/>
      <c r="D13" s="67"/>
      <c r="E13" s="68"/>
      <c r="F13" s="68"/>
      <c r="G13" s="68"/>
      <c r="H13" s="68"/>
      <c r="I13" s="39"/>
      <c r="J13" s="39"/>
      <c r="K13" s="74"/>
      <c r="L13" s="75"/>
      <c r="M13" s="75"/>
      <c r="P13" t="s">
        <v>1150</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1140</v>
      </c>
      <c r="B14" s="42" t="s">
        <v>280</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114</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1141</v>
      </c>
      <c r="B15" s="42" t="s">
        <v>281</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520</v>
      </c>
      <c r="B16" s="42" t="s">
        <v>166</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550</v>
      </c>
      <c r="B17" s="42" t="s">
        <v>282</v>
      </c>
      <c r="C17" s="43">
        <v>0</v>
      </c>
      <c r="D17" s="43">
        <v>1.2390000000000001</v>
      </c>
      <c r="E17" s="44">
        <v>1.452</v>
      </c>
      <c r="F17" s="44">
        <v>1.526</v>
      </c>
      <c r="G17" s="44">
        <v>1.4370000000000001</v>
      </c>
      <c r="H17" s="44">
        <v>1.3149999999999999</v>
      </c>
      <c r="I17" s="45">
        <v>2.3199999999999998</v>
      </c>
      <c r="J17" s="45">
        <v>1.85</v>
      </c>
      <c r="K17" s="46"/>
      <c r="L17" s="47" t="s">
        <v>172</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1130</v>
      </c>
      <c r="B18" s="42" t="s">
        <v>283</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1142</v>
      </c>
      <c r="B19" s="42" t="s">
        <v>284</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113</v>
      </c>
      <c r="C21" s="30"/>
      <c r="I21" s="211"/>
      <c r="J21" s="211"/>
      <c r="K21" s="212"/>
      <c r="L21" s="211"/>
      <c r="M21" s="211"/>
      <c r="O21" s="515" t="s">
        <v>1151</v>
      </c>
      <c r="P21" s="31" t="s">
        <v>285</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114</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1152</v>
      </c>
      <c r="P23" s="37" t="s">
        <v>274</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57" t="s">
        <v>1148</v>
      </c>
      <c r="C24" s="558"/>
      <c r="D24" s="558"/>
      <c r="E24" s="558"/>
      <c r="F24" s="558"/>
      <c r="G24" s="558"/>
      <c r="H24" s="558"/>
      <c r="I24" s="558"/>
      <c r="J24" s="558"/>
      <c r="K24" s="558"/>
      <c r="L24" s="211"/>
      <c r="M24" s="211"/>
      <c r="O24" s="515" t="s">
        <v>1135</v>
      </c>
      <c r="P24" s="42" t="s">
        <v>275</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64" t="s">
        <v>161</v>
      </c>
      <c r="C25" s="564"/>
      <c r="D25" s="564"/>
      <c r="E25" s="564"/>
      <c r="F25" s="564"/>
      <c r="G25" s="564"/>
      <c r="H25" s="564"/>
      <c r="I25" s="564"/>
      <c r="J25" s="564"/>
      <c r="K25" s="564"/>
      <c r="L25" s="211"/>
      <c r="M25" s="211"/>
      <c r="O25" s="515" t="s">
        <v>1136</v>
      </c>
      <c r="P25" s="42" t="s">
        <v>276</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59" t="s">
        <v>162</v>
      </c>
      <c r="I26" s="559"/>
      <c r="J26" s="559" t="s">
        <v>163</v>
      </c>
      <c r="K26" s="559"/>
      <c r="O26" s="516"/>
    </row>
    <row r="27" spans="1:51" ht="51">
      <c r="B27" s="31"/>
      <c r="C27" s="34">
        <v>2000</v>
      </c>
      <c r="D27" s="34">
        <v>2022</v>
      </c>
      <c r="E27" s="34">
        <v>2030</v>
      </c>
      <c r="F27" s="34">
        <v>2040</v>
      </c>
      <c r="G27" s="34">
        <v>2050</v>
      </c>
      <c r="H27" s="35">
        <v>2022</v>
      </c>
      <c r="I27" s="35">
        <v>2050</v>
      </c>
      <c r="J27" s="35" t="s">
        <v>177</v>
      </c>
      <c r="K27" s="35" t="s">
        <v>178</v>
      </c>
      <c r="O27" s="515" t="s">
        <v>1153</v>
      </c>
      <c r="P27" s="31" t="s">
        <v>286</v>
      </c>
      <c r="Q27" s="146"/>
      <c r="R27" s="146"/>
      <c r="S27" s="146"/>
      <c r="T27" s="146"/>
      <c r="U27" s="146"/>
      <c r="AW27" s="30"/>
      <c r="AX27" s="207"/>
      <c r="AY27" s="207"/>
    </row>
    <row r="28" spans="1:51">
      <c r="A28" s="515" t="s">
        <v>1134</v>
      </c>
      <c r="B28" s="37" t="s">
        <v>274</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1135</v>
      </c>
      <c r="B29" s="42" t="s">
        <v>275</v>
      </c>
      <c r="C29" s="43">
        <v>6.1669999999999998</v>
      </c>
      <c r="D29" s="43">
        <v>30.994</v>
      </c>
      <c r="E29" s="44">
        <v>39.746000000000002</v>
      </c>
      <c r="F29" s="44">
        <v>51.463999999999999</v>
      </c>
      <c r="G29" s="44">
        <v>58.578000000000003</v>
      </c>
      <c r="H29" s="45">
        <v>51.48</v>
      </c>
      <c r="I29" s="45">
        <v>63.45</v>
      </c>
      <c r="J29" s="47">
        <v>7.61</v>
      </c>
      <c r="K29" s="47">
        <v>2.2999999999999998</v>
      </c>
      <c r="O29" s="515" t="s">
        <v>1152</v>
      </c>
      <c r="P29" s="37" t="s">
        <v>274</v>
      </c>
      <c r="Q29" s="147">
        <f>Q5</f>
        <v>750304164425200.13</v>
      </c>
      <c r="R29" s="147">
        <f>V5</f>
        <v>2387569372271860</v>
      </c>
      <c r="S29" s="148">
        <f>AD5</f>
        <v>2894143653263800</v>
      </c>
      <c r="T29" s="148">
        <f>AN5</f>
        <v>3421022148430460</v>
      </c>
      <c r="U29" s="148">
        <f>AX5</f>
        <v>3660905335037650</v>
      </c>
      <c r="AW29" s="30"/>
      <c r="AX29" s="207"/>
      <c r="AY29" s="207"/>
    </row>
    <row r="30" spans="1:51">
      <c r="A30" s="515" t="s">
        <v>1136</v>
      </c>
      <c r="B30" s="42" t="s">
        <v>276</v>
      </c>
      <c r="C30" s="43">
        <v>12.717000000000001</v>
      </c>
      <c r="D30" s="43">
        <v>26.064</v>
      </c>
      <c r="E30" s="44">
        <v>28.777999999999999</v>
      </c>
      <c r="F30" s="44">
        <v>30.654</v>
      </c>
      <c r="G30" s="44">
        <v>30.244</v>
      </c>
      <c r="H30" s="45">
        <v>43.29</v>
      </c>
      <c r="I30" s="45">
        <v>32.76</v>
      </c>
      <c r="J30" s="47">
        <v>3.32</v>
      </c>
      <c r="K30" s="47">
        <v>0.53</v>
      </c>
      <c r="O30" s="515" t="s">
        <v>1135</v>
      </c>
      <c r="P30" s="42" t="s">
        <v>275</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1136</v>
      </c>
      <c r="P31" s="42" t="s">
        <v>276</v>
      </c>
      <c r="Q31" s="147">
        <f>Q7</f>
        <v>504313850898270</v>
      </c>
      <c r="R31" s="147">
        <f>V7</f>
        <v>1033611402831840</v>
      </c>
      <c r="S31" s="148">
        <f>AD7</f>
        <v>1141239600625180</v>
      </c>
      <c r="T31" s="148">
        <f>AN7</f>
        <v>1215635510374740</v>
      </c>
      <c r="U31" s="148">
        <f>AX7</f>
        <v>1199376276367640</v>
      </c>
      <c r="AW31" s="30"/>
      <c r="AX31" s="207"/>
      <c r="AY31" s="207"/>
    </row>
    <row r="32" spans="1:51">
      <c r="A32" s="515" t="s">
        <v>1139</v>
      </c>
      <c r="B32" s="37" t="s">
        <v>279</v>
      </c>
      <c r="C32" s="67"/>
      <c r="D32" s="67"/>
      <c r="E32" s="68"/>
      <c r="F32" s="68"/>
      <c r="G32" s="68"/>
      <c r="H32" s="39"/>
      <c r="I32" s="39"/>
      <c r="J32" s="75"/>
      <c r="K32" s="75"/>
    </row>
    <row r="33" spans="1:11">
      <c r="A33" s="515" t="s">
        <v>1140</v>
      </c>
      <c r="B33" s="42" t="s">
        <v>280</v>
      </c>
      <c r="C33" s="43">
        <v>5.8380000000000001</v>
      </c>
      <c r="D33" s="43">
        <v>14.004</v>
      </c>
      <c r="E33" s="44">
        <v>20.587</v>
      </c>
      <c r="F33" s="44">
        <v>26.1</v>
      </c>
      <c r="G33" s="44">
        <v>29.808</v>
      </c>
      <c r="H33" s="45">
        <v>23.26</v>
      </c>
      <c r="I33" s="45">
        <v>32.29</v>
      </c>
      <c r="J33" s="47">
        <v>4.0599999999999996</v>
      </c>
      <c r="K33" s="47">
        <v>2.73</v>
      </c>
    </row>
    <row r="34" spans="1:11">
      <c r="A34" s="515" t="s">
        <v>1141</v>
      </c>
      <c r="B34" s="42" t="s">
        <v>281</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1146</v>
      </c>
      <c r="B35" s="42" t="s">
        <v>287</v>
      </c>
      <c r="C35" s="43">
        <v>0</v>
      </c>
      <c r="D35" s="43">
        <v>0.61</v>
      </c>
      <c r="E35" s="44">
        <v>2.4380000000000002</v>
      </c>
      <c r="F35" s="44">
        <v>7.7519999999999998</v>
      </c>
      <c r="G35" s="44">
        <v>11.093</v>
      </c>
      <c r="H35" s="45">
        <v>1.01</v>
      </c>
      <c r="I35" s="45">
        <v>12.02</v>
      </c>
      <c r="J35" s="47">
        <v>429.64</v>
      </c>
      <c r="K35" s="47">
        <v>10.91</v>
      </c>
    </row>
    <row r="36" spans="1:11">
      <c r="A36" s="515" t="s">
        <v>1147</v>
      </c>
      <c r="B36" s="42" t="s">
        <v>288</v>
      </c>
      <c r="C36" s="43">
        <v>0.438</v>
      </c>
      <c r="D36" s="43">
        <v>2.8029999999999999</v>
      </c>
      <c r="E36" s="44">
        <v>4.0890000000000004</v>
      </c>
      <c r="F36" s="44">
        <v>3.7930000000000001</v>
      </c>
      <c r="G36" s="44">
        <v>3.13</v>
      </c>
      <c r="H36" s="45">
        <v>4.66</v>
      </c>
      <c r="I36" s="45">
        <v>3.39</v>
      </c>
      <c r="J36" s="47">
        <v>8.8000000000000007</v>
      </c>
      <c r="K36" s="47">
        <v>0.39</v>
      </c>
    </row>
    <row r="37" spans="1:11">
      <c r="A37" s="515" t="s">
        <v>520</v>
      </c>
      <c r="B37" s="42" t="s">
        <v>166</v>
      </c>
      <c r="C37" s="43">
        <v>3.516</v>
      </c>
      <c r="D37" s="43">
        <v>10.010999999999999</v>
      </c>
      <c r="E37" s="44">
        <v>12.151</v>
      </c>
      <c r="F37" s="44">
        <v>14.108000000000001</v>
      </c>
      <c r="G37" s="44">
        <v>14.766999999999999</v>
      </c>
      <c r="H37" s="45">
        <v>16.63</v>
      </c>
      <c r="I37" s="45">
        <v>16</v>
      </c>
      <c r="J37" s="47">
        <v>4.87</v>
      </c>
      <c r="K37" s="47">
        <v>1.4</v>
      </c>
    </row>
    <row r="38" spans="1:11">
      <c r="A38" s="515" t="s">
        <v>550</v>
      </c>
      <c r="B38" s="42" t="s">
        <v>282</v>
      </c>
      <c r="C38" s="43">
        <v>0</v>
      </c>
      <c r="D38" s="43">
        <v>1.0249999999999999</v>
      </c>
      <c r="E38" s="44">
        <v>1.419</v>
      </c>
      <c r="F38" s="44">
        <v>0.79100000000000004</v>
      </c>
      <c r="G38" s="44">
        <v>0.129</v>
      </c>
      <c r="H38" s="45">
        <v>1.7</v>
      </c>
      <c r="I38" s="45">
        <v>0.14000000000000001</v>
      </c>
      <c r="J38" s="47" t="s">
        <v>172</v>
      </c>
      <c r="K38" s="47">
        <v>-7.13</v>
      </c>
    </row>
    <row r="39" spans="1:11">
      <c r="A39" s="515" t="s">
        <v>1130</v>
      </c>
      <c r="B39" s="42" t="s">
        <v>283</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1142</v>
      </c>
      <c r="B40" s="42" t="s">
        <v>284</v>
      </c>
      <c r="C40" s="43">
        <v>1.849</v>
      </c>
      <c r="D40" s="43">
        <v>3.5579999999999998</v>
      </c>
      <c r="E40" s="44">
        <v>4.5839999999999996</v>
      </c>
      <c r="F40" s="44">
        <v>5.6710000000000003</v>
      </c>
      <c r="G40" s="44">
        <v>6.1449999999999996</v>
      </c>
      <c r="H40" s="45">
        <v>5.91</v>
      </c>
      <c r="I40" s="45">
        <v>6.66</v>
      </c>
      <c r="J40" s="47">
        <v>3.02</v>
      </c>
      <c r="K40" s="47">
        <v>1.97</v>
      </c>
    </row>
    <row r="41" spans="1:11">
      <c r="B41" s="560" t="s">
        <v>289</v>
      </c>
      <c r="C41" s="561"/>
      <c r="D41" s="561"/>
      <c r="E41" s="561"/>
      <c r="F41" s="561"/>
      <c r="G41" s="561"/>
      <c r="H41" s="561"/>
      <c r="I41" s="561"/>
      <c r="J41" s="561"/>
      <c r="K41" s="561"/>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570" t="s">
        <v>1157</v>
      </c>
      <c r="C1" s="571"/>
      <c r="D1" s="571"/>
      <c r="E1" s="571"/>
      <c r="F1" s="571"/>
      <c r="G1" s="571"/>
      <c r="H1" s="571"/>
      <c r="I1" s="571"/>
      <c r="J1" s="571"/>
      <c r="K1" s="571"/>
      <c r="L1" s="571"/>
      <c r="M1" s="571"/>
      <c r="N1" s="159">
        <v>1</v>
      </c>
      <c r="O1"/>
      <c r="P1" s="160" t="s">
        <v>272</v>
      </c>
      <c r="Q1" s="161" t="s">
        <v>273</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2" t="s">
        <v>161</v>
      </c>
      <c r="C2" s="572"/>
      <c r="D2" s="572"/>
      <c r="E2" s="572"/>
      <c r="F2" s="572"/>
      <c r="G2" s="572"/>
      <c r="H2" s="572"/>
      <c r="I2" s="572"/>
      <c r="J2" s="572"/>
      <c r="K2" s="572"/>
      <c r="L2" s="572"/>
      <c r="M2" s="572"/>
      <c r="P2" s="153" t="s">
        <v>183</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9" t="s">
        <v>162</v>
      </c>
      <c r="J3" s="559"/>
      <c r="K3" s="33"/>
      <c r="L3" s="559" t="s">
        <v>163</v>
      </c>
      <c r="M3" s="559"/>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184</v>
      </c>
    </row>
    <row r="5" spans="1:51" ht="13.5" customHeight="1">
      <c r="A5" s="515" t="s">
        <v>1134</v>
      </c>
      <c r="B5" s="80" t="s">
        <v>290</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1143</v>
      </c>
      <c r="P5" s="37" t="s">
        <v>274</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1159</v>
      </c>
      <c r="B6" s="224" t="s">
        <v>291</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1144</v>
      </c>
      <c r="P6" s="42" t="s">
        <v>275</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1136</v>
      </c>
      <c r="B7" s="224" t="s">
        <v>292</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1145</v>
      </c>
      <c r="P7" s="42" t="s">
        <v>276</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1160</v>
      </c>
      <c r="B9" s="228" t="s">
        <v>293</v>
      </c>
      <c r="C9" s="229"/>
      <c r="D9" s="229"/>
      <c r="E9" s="230"/>
      <c r="F9" s="230"/>
      <c r="G9" s="230"/>
      <c r="H9" s="230"/>
      <c r="I9" s="40"/>
      <c r="J9" s="40"/>
      <c r="K9" s="41"/>
      <c r="L9" s="40"/>
      <c r="M9" s="40"/>
      <c r="O9" s="515"/>
      <c r="P9" s="37" t="s">
        <v>278</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1161</v>
      </c>
      <c r="B10" s="224" t="s">
        <v>294</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1162</v>
      </c>
      <c r="B11" s="224" t="s">
        <v>295</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1163</v>
      </c>
      <c r="B12" s="224" t="s">
        <v>296</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1164</v>
      </c>
      <c r="B13" s="224" t="s">
        <v>297</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1165</v>
      </c>
      <c r="B15" s="228" t="s">
        <v>298</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1166</v>
      </c>
      <c r="B16" s="224" t="s">
        <v>280</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1167</v>
      </c>
      <c r="B17" s="224" t="s">
        <v>299</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1168</v>
      </c>
      <c r="B18" s="224" t="s">
        <v>300</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1169</v>
      </c>
      <c r="B19" s="224" t="s">
        <v>301</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1170</v>
      </c>
      <c r="B20" s="224" t="s">
        <v>302</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60"/>
      <c r="C21" s="561"/>
      <c r="D21" s="561"/>
      <c r="E21" s="561"/>
      <c r="F21" s="561"/>
      <c r="G21" s="561"/>
      <c r="H21" s="561"/>
      <c r="I21" s="561"/>
      <c r="J21" s="561"/>
      <c r="K21" s="561"/>
      <c r="L21" s="561"/>
      <c r="M21" s="561"/>
      <c r="O21" s="515" t="s">
        <v>1154</v>
      </c>
      <c r="P21" s="31" t="s">
        <v>303</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1155</v>
      </c>
      <c r="P22" s="31" t="s">
        <v>217</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113</v>
      </c>
      <c r="C23" s="349"/>
      <c r="I23" s="209"/>
      <c r="J23" s="209"/>
      <c r="K23" s="210"/>
      <c r="L23" s="209"/>
      <c r="M23" s="209"/>
      <c r="O23" s="515" t="s">
        <v>1143</v>
      </c>
      <c r="P23" s="37" t="s">
        <v>274</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114</v>
      </c>
      <c r="I24" s="209"/>
      <c r="J24" s="209"/>
      <c r="K24" s="210"/>
      <c r="L24" s="209"/>
      <c r="M24" s="209"/>
      <c r="O24" s="515" t="s">
        <v>1144</v>
      </c>
      <c r="P24" s="42" t="s">
        <v>275</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1145</v>
      </c>
      <c r="P25" s="42" t="s">
        <v>276</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557" t="s">
        <v>1158</v>
      </c>
      <c r="C27" s="558"/>
      <c r="D27" s="558"/>
      <c r="E27" s="558"/>
      <c r="F27" s="558"/>
      <c r="G27" s="558"/>
      <c r="H27" s="558"/>
      <c r="I27" s="558"/>
      <c r="J27" s="558"/>
      <c r="K27" s="558"/>
      <c r="L27" s="209"/>
      <c r="M27" s="209"/>
      <c r="AX27" s="30"/>
      <c r="AY27" s="207"/>
    </row>
    <row r="28" spans="1:51">
      <c r="B28" s="564" t="s">
        <v>161</v>
      </c>
      <c r="C28" s="564"/>
      <c r="D28" s="564"/>
      <c r="E28" s="564"/>
      <c r="F28" s="564"/>
      <c r="G28" s="564"/>
      <c r="H28" s="564"/>
      <c r="I28" s="564"/>
      <c r="J28" s="564"/>
      <c r="K28" s="564"/>
      <c r="L28" s="209"/>
      <c r="M28" s="209"/>
      <c r="O28" s="515" t="s">
        <v>1154</v>
      </c>
      <c r="P28" s="31" t="s">
        <v>303</v>
      </c>
      <c r="Q28" s="146"/>
      <c r="R28" s="146"/>
      <c r="S28" s="146"/>
      <c r="T28" s="146"/>
      <c r="U28" s="146"/>
      <c r="AX28" s="30"/>
      <c r="AY28" s="207"/>
    </row>
    <row r="29" spans="1:51">
      <c r="B29" s="31"/>
      <c r="C29" s="32"/>
      <c r="D29" s="32"/>
      <c r="E29" s="32"/>
      <c r="F29" s="32"/>
      <c r="G29" s="32"/>
      <c r="H29" s="559" t="s">
        <v>162</v>
      </c>
      <c r="I29" s="559"/>
      <c r="J29" s="559" t="s">
        <v>163</v>
      </c>
      <c r="K29" s="559"/>
      <c r="L29" s="209"/>
      <c r="M29" s="209"/>
      <c r="O29" s="515" t="s">
        <v>1156</v>
      </c>
      <c r="P29" s="31" t="s">
        <v>304</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177</v>
      </c>
      <c r="K30" s="425" t="s">
        <v>178</v>
      </c>
      <c r="L30" s="211"/>
      <c r="M30" s="211"/>
      <c r="O30" s="515" t="s">
        <v>1143</v>
      </c>
      <c r="P30" s="37" t="s">
        <v>274</v>
      </c>
      <c r="Q30" s="147">
        <f>Q5</f>
        <v>1702262487206750</v>
      </c>
      <c r="R30" s="147">
        <f>V5</f>
        <v>2739680930196350</v>
      </c>
      <c r="S30" s="148">
        <f>AD5</f>
        <v>2320708229501200</v>
      </c>
      <c r="T30" s="148">
        <f>AN5</f>
        <v>1798905787878220</v>
      </c>
      <c r="U30" s="148">
        <f>AX5</f>
        <v>1298557603810950</v>
      </c>
      <c r="AX30" s="30"/>
      <c r="AY30" s="207"/>
    </row>
    <row r="31" spans="1:51">
      <c r="A31" s="515" t="s">
        <v>1134</v>
      </c>
      <c r="B31" s="80" t="s">
        <v>290</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1144</v>
      </c>
      <c r="P31" s="42" t="s">
        <v>275</v>
      </c>
      <c r="Q31" s="147">
        <f>Q6</f>
        <v>922572731563840</v>
      </c>
      <c r="R31" s="147">
        <f>V6</f>
        <v>1550456760916070</v>
      </c>
      <c r="S31" s="148">
        <f>AD6</f>
        <v>1052369006942470</v>
      </c>
      <c r="T31" s="148">
        <f>AN6</f>
        <v>617850892269800</v>
      </c>
      <c r="U31" s="148">
        <f>AX6</f>
        <v>236433056464220</v>
      </c>
      <c r="AX31" s="30"/>
      <c r="AY31" s="207"/>
    </row>
    <row r="32" spans="1:51">
      <c r="A32" s="515" t="s">
        <v>1159</v>
      </c>
      <c r="B32" s="224" t="s">
        <v>291</v>
      </c>
      <c r="C32" s="225">
        <v>22.988</v>
      </c>
      <c r="D32" s="225">
        <v>39.097000000000001</v>
      </c>
      <c r="E32" s="226">
        <v>26.536999999999999</v>
      </c>
      <c r="F32" s="226">
        <v>15.58</v>
      </c>
      <c r="G32" s="226">
        <v>5.9619999999999997</v>
      </c>
      <c r="H32" s="45">
        <v>56.59</v>
      </c>
      <c r="I32" s="45">
        <v>18.21</v>
      </c>
      <c r="J32" s="227">
        <v>2.44</v>
      </c>
      <c r="K32" s="227">
        <v>-6.5</v>
      </c>
      <c r="L32" s="211"/>
      <c r="M32" s="211"/>
      <c r="O32" s="517" t="s">
        <v>1145</v>
      </c>
      <c r="P32" s="42" t="s">
        <v>276</v>
      </c>
      <c r="Q32" s="147">
        <f>Q7</f>
        <v>779689755642910</v>
      </c>
      <c r="R32" s="147">
        <f>V7</f>
        <v>1189224169280280</v>
      </c>
      <c r="S32" s="148">
        <f>AD7</f>
        <v>1268339222558730</v>
      </c>
      <c r="T32" s="148">
        <f>AN7</f>
        <v>1181054895608420</v>
      </c>
      <c r="U32" s="148">
        <f>AX7</f>
        <v>1062164204015040</v>
      </c>
      <c r="AX32" s="30"/>
      <c r="AY32" s="207"/>
    </row>
    <row r="33" spans="1:51">
      <c r="A33" s="515" t="s">
        <v>1136</v>
      </c>
      <c r="B33" s="224" t="s">
        <v>292</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1160</v>
      </c>
      <c r="B35" s="228" t="s">
        <v>293</v>
      </c>
      <c r="C35" s="229"/>
      <c r="D35" s="229"/>
      <c r="E35" s="230"/>
      <c r="F35" s="230"/>
      <c r="G35" s="230"/>
      <c r="H35" s="40"/>
      <c r="I35" s="40"/>
      <c r="J35" s="40"/>
      <c r="K35" s="40"/>
      <c r="L35" s="211"/>
      <c r="M35" s="211"/>
    </row>
    <row r="36" spans="1:51">
      <c r="A36" s="515" t="s">
        <v>1161</v>
      </c>
      <c r="B36" s="224" t="s">
        <v>294</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1162</v>
      </c>
      <c r="B37" s="224" t="s">
        <v>295</v>
      </c>
      <c r="C37" s="225">
        <v>1.2230000000000001</v>
      </c>
      <c r="D37" s="225">
        <v>2.68</v>
      </c>
      <c r="E37" s="226">
        <v>2.7890000000000001</v>
      </c>
      <c r="F37" s="226">
        <v>2.548</v>
      </c>
      <c r="G37" s="226">
        <v>2.024</v>
      </c>
      <c r="H37" s="45">
        <v>3.88</v>
      </c>
      <c r="I37" s="45">
        <v>6.18</v>
      </c>
      <c r="J37" s="227">
        <v>3.63</v>
      </c>
      <c r="K37" s="227">
        <v>-1</v>
      </c>
      <c r="L37" s="211"/>
      <c r="M37" s="211"/>
    </row>
    <row r="38" spans="1:51">
      <c r="A38" s="515" t="s">
        <v>1163</v>
      </c>
      <c r="B38" s="224" t="s">
        <v>296</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1164</v>
      </c>
      <c r="B39" s="224" t="s">
        <v>297</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1165</v>
      </c>
      <c r="B41" s="228" t="s">
        <v>298</v>
      </c>
      <c r="C41" s="225"/>
      <c r="D41" s="225"/>
      <c r="E41" s="226"/>
      <c r="F41" s="226"/>
      <c r="G41" s="226"/>
      <c r="H41" s="45"/>
      <c r="I41" s="45"/>
      <c r="J41" s="227"/>
      <c r="K41" s="227"/>
      <c r="L41" s="211"/>
      <c r="M41" s="211"/>
    </row>
    <row r="42" spans="1:51">
      <c r="A42" s="515" t="s">
        <v>1171</v>
      </c>
      <c r="B42" s="224" t="s">
        <v>305</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1172</v>
      </c>
      <c r="B43" s="224" t="s">
        <v>299</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1168</v>
      </c>
      <c r="B44" s="224" t="s">
        <v>300</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1169</v>
      </c>
      <c r="B45" s="224" t="s">
        <v>301</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1170</v>
      </c>
      <c r="B46" s="224" t="s">
        <v>302</v>
      </c>
      <c r="C46" s="225">
        <v>0.45</v>
      </c>
      <c r="D46" s="225">
        <v>0.182</v>
      </c>
      <c r="E46" s="226">
        <v>0.05</v>
      </c>
      <c r="F46" s="226">
        <v>1.4999999999999999E-2</v>
      </c>
      <c r="G46" s="226">
        <v>4.0000000000000001E-3</v>
      </c>
      <c r="H46" s="45">
        <v>0.26</v>
      </c>
      <c r="I46" s="45">
        <v>0.01</v>
      </c>
      <c r="J46" s="227">
        <v>-4.03</v>
      </c>
      <c r="K46" s="227">
        <v>-12.57</v>
      </c>
      <c r="L46" s="211"/>
      <c r="M46" s="211"/>
    </row>
    <row r="47" spans="1:51">
      <c r="B47" s="560"/>
      <c r="C47" s="561"/>
      <c r="D47" s="561"/>
      <c r="E47" s="561"/>
      <c r="F47" s="561"/>
      <c r="G47" s="561"/>
      <c r="H47" s="561"/>
      <c r="I47" s="561"/>
      <c r="J47" s="561"/>
      <c r="K47" s="561"/>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1:M1"/>
    <mergeCell ref="B2:M2"/>
    <mergeCell ref="I3:J3"/>
    <mergeCell ref="L3:M3"/>
    <mergeCell ref="B21:M21"/>
    <mergeCell ref="B27:K27"/>
    <mergeCell ref="B28:K28"/>
    <mergeCell ref="H29:I29"/>
    <mergeCell ref="J29:K29"/>
    <mergeCell ref="B47:K47"/>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73" t="s">
        <v>306</v>
      </c>
      <c r="E1" s="573"/>
      <c r="F1" s="573"/>
      <c r="G1" s="573"/>
      <c r="H1" s="573"/>
      <c r="I1" s="573"/>
      <c r="J1" s="573"/>
      <c r="K1" s="573"/>
      <c r="L1" s="573"/>
      <c r="M1" s="573"/>
      <c r="N1" s="573"/>
      <c r="O1" s="573"/>
      <c r="P1" s="573"/>
      <c r="Q1" s="574" t="s">
        <v>307</v>
      </c>
      <c r="R1" s="574"/>
      <c r="S1" s="142" t="s">
        <v>308</v>
      </c>
      <c r="T1" s="575" t="s">
        <v>309</v>
      </c>
      <c r="U1" s="575"/>
      <c r="V1" s="575"/>
      <c r="W1" s="574" t="s">
        <v>310</v>
      </c>
      <c r="X1" s="574"/>
      <c r="Y1" s="574"/>
      <c r="Z1" s="573" t="s">
        <v>311</v>
      </c>
      <c r="AA1" s="573"/>
      <c r="AB1" s="573"/>
      <c r="AC1" s="573"/>
      <c r="AD1" s="573"/>
      <c r="AE1" s="573"/>
      <c r="AF1" s="574" t="s">
        <v>312</v>
      </c>
      <c r="AG1" s="574"/>
      <c r="AH1" s="574"/>
      <c r="AI1" s="573" t="s">
        <v>313</v>
      </c>
      <c r="AJ1" s="573"/>
      <c r="AK1" s="573"/>
      <c r="AL1" s="573"/>
      <c r="AM1" s="573"/>
      <c r="AN1" s="573"/>
      <c r="AO1" s="573"/>
      <c r="AP1" s="574" t="s">
        <v>314</v>
      </c>
      <c r="AQ1" s="574"/>
      <c r="AR1" s="574"/>
      <c r="AS1" s="574"/>
      <c r="AT1" s="574"/>
      <c r="AU1" s="574"/>
      <c r="AV1" s="574"/>
      <c r="AW1" s="574"/>
      <c r="AX1" s="574"/>
      <c r="AY1" s="573" t="s">
        <v>315</v>
      </c>
      <c r="AZ1" s="573"/>
      <c r="BA1" s="573"/>
      <c r="BB1" s="573"/>
      <c r="BC1" s="573"/>
      <c r="BD1" s="573"/>
      <c r="BE1" s="573"/>
      <c r="BF1" s="573"/>
      <c r="BG1" s="573"/>
      <c r="BH1" s="213" t="s">
        <v>189</v>
      </c>
      <c r="BI1" s="143" t="s">
        <v>316</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317</v>
      </c>
      <c r="D3" s="97" t="s">
        <v>318</v>
      </c>
      <c r="E3" s="97" t="s">
        <v>319</v>
      </c>
      <c r="F3" s="97" t="s">
        <v>320</v>
      </c>
      <c r="G3" s="97" t="s">
        <v>321</v>
      </c>
      <c r="H3" s="97" t="s">
        <v>322</v>
      </c>
      <c r="I3" s="97" t="s">
        <v>323</v>
      </c>
      <c r="J3" s="97" t="s">
        <v>324</v>
      </c>
      <c r="K3" s="97" t="s">
        <v>325</v>
      </c>
      <c r="L3" s="97" t="s">
        <v>326</v>
      </c>
      <c r="M3" s="97" t="s">
        <v>327</v>
      </c>
      <c r="N3" s="97" t="s">
        <v>328</v>
      </c>
      <c r="O3" s="97" t="s">
        <v>329</v>
      </c>
      <c r="P3" s="97" t="s">
        <v>330</v>
      </c>
      <c r="Q3" s="97" t="s">
        <v>267</v>
      </c>
      <c r="R3" s="97" t="s">
        <v>169</v>
      </c>
      <c r="S3" s="97" t="s">
        <v>331</v>
      </c>
      <c r="T3" s="97" t="s">
        <v>332</v>
      </c>
      <c r="U3" s="97" t="s">
        <v>333</v>
      </c>
      <c r="V3" s="97" t="s">
        <v>334</v>
      </c>
      <c r="W3" s="97" t="s">
        <v>335</v>
      </c>
      <c r="X3" s="97" t="s">
        <v>336</v>
      </c>
      <c r="Y3" s="97" t="s">
        <v>337</v>
      </c>
      <c r="Z3" s="97" t="s">
        <v>338</v>
      </c>
      <c r="AA3" s="97" t="s">
        <v>339</v>
      </c>
      <c r="AB3" s="97" t="s">
        <v>340</v>
      </c>
      <c r="AC3" s="97" t="s">
        <v>341</v>
      </c>
      <c r="AD3" s="97" t="s">
        <v>342</v>
      </c>
      <c r="AE3" s="97" t="s">
        <v>343</v>
      </c>
      <c r="AF3" s="97" t="s">
        <v>344</v>
      </c>
      <c r="AG3" s="97" t="s">
        <v>345</v>
      </c>
      <c r="AH3" s="97" t="s">
        <v>346</v>
      </c>
      <c r="AI3" s="97" t="s">
        <v>347</v>
      </c>
      <c r="AJ3" s="97" t="s">
        <v>348</v>
      </c>
      <c r="AK3" s="97" t="s">
        <v>349</v>
      </c>
      <c r="AL3" s="97" t="s">
        <v>350</v>
      </c>
      <c r="AM3" s="97" t="s">
        <v>351</v>
      </c>
      <c r="AN3" s="97" t="s">
        <v>352</v>
      </c>
      <c r="AO3" s="97" t="s">
        <v>353</v>
      </c>
      <c r="AP3" s="97" t="s">
        <v>354</v>
      </c>
      <c r="AQ3" s="97" t="s">
        <v>355</v>
      </c>
      <c r="AR3" s="97" t="s">
        <v>356</v>
      </c>
      <c r="AS3" s="97" t="s">
        <v>357</v>
      </c>
      <c r="AT3" s="97" t="s">
        <v>358</v>
      </c>
      <c r="AU3" s="97" t="s">
        <v>359</v>
      </c>
      <c r="AV3" s="97" t="s">
        <v>360</v>
      </c>
      <c r="AW3" s="97" t="s">
        <v>361</v>
      </c>
      <c r="AX3" s="97" t="s">
        <v>362</v>
      </c>
      <c r="AY3" s="97" t="s">
        <v>363</v>
      </c>
      <c r="AZ3" s="97" t="s">
        <v>364</v>
      </c>
      <c r="BA3" s="97" t="s">
        <v>365</v>
      </c>
      <c r="BB3" s="97" t="s">
        <v>366</v>
      </c>
      <c r="BC3" s="97" t="s">
        <v>367</v>
      </c>
      <c r="BD3" s="97" t="s">
        <v>368</v>
      </c>
      <c r="BE3" s="97" t="s">
        <v>369</v>
      </c>
      <c r="BF3" s="97" t="s">
        <v>370</v>
      </c>
      <c r="BG3" s="97" t="s">
        <v>371</v>
      </c>
      <c r="BH3" s="97" t="s">
        <v>170</v>
      </c>
      <c r="BI3" s="97" t="s">
        <v>372</v>
      </c>
      <c r="BJ3" s="97" t="s">
        <v>373</v>
      </c>
      <c r="BK3" s="97" t="s">
        <v>374</v>
      </c>
      <c r="BL3" s="94"/>
      <c r="BM3" s="94"/>
    </row>
    <row r="4" spans="2:65">
      <c r="B4" s="96">
        <v>2019</v>
      </c>
      <c r="D4" s="97" t="s">
        <v>375</v>
      </c>
      <c r="E4" s="97" t="s">
        <v>376</v>
      </c>
      <c r="F4" s="97" t="s">
        <v>377</v>
      </c>
      <c r="G4" s="97" t="s">
        <v>378</v>
      </c>
      <c r="H4" s="97" t="s">
        <v>379</v>
      </c>
      <c r="I4" s="97" t="s">
        <v>380</v>
      </c>
      <c r="J4" s="97" t="s">
        <v>381</v>
      </c>
      <c r="K4" s="97" t="s">
        <v>382</v>
      </c>
      <c r="L4" s="97" t="s">
        <v>383</v>
      </c>
      <c r="M4" s="97" t="s">
        <v>384</v>
      </c>
      <c r="N4" s="97" t="s">
        <v>385</v>
      </c>
      <c r="O4" s="97" t="s">
        <v>386</v>
      </c>
      <c r="P4" s="97" t="s">
        <v>387</v>
      </c>
      <c r="Q4" s="97" t="s">
        <v>388</v>
      </c>
      <c r="R4" s="97" t="s">
        <v>389</v>
      </c>
      <c r="S4" s="97" t="s">
        <v>390</v>
      </c>
      <c r="T4" s="97" t="s">
        <v>391</v>
      </c>
      <c r="U4" s="97" t="s">
        <v>392</v>
      </c>
      <c r="V4" s="97" t="s">
        <v>393</v>
      </c>
      <c r="W4" s="97" t="s">
        <v>394</v>
      </c>
      <c r="X4" s="97" t="s">
        <v>395</v>
      </c>
      <c r="Y4" s="97" t="s">
        <v>396</v>
      </c>
      <c r="Z4" s="97" t="s">
        <v>397</v>
      </c>
      <c r="AA4" s="97" t="s">
        <v>398</v>
      </c>
      <c r="AB4" s="97" t="s">
        <v>399</v>
      </c>
      <c r="AC4" s="97" t="s">
        <v>400</v>
      </c>
      <c r="AD4" s="97" t="s">
        <v>401</v>
      </c>
      <c r="AE4" s="97" t="s">
        <v>402</v>
      </c>
      <c r="AF4" s="97" t="s">
        <v>344</v>
      </c>
      <c r="AG4" s="97" t="s">
        <v>345</v>
      </c>
      <c r="AH4" s="97" t="s">
        <v>346</v>
      </c>
      <c r="AI4" s="97" t="s">
        <v>403</v>
      </c>
      <c r="AJ4" s="97" t="s">
        <v>404</v>
      </c>
      <c r="AK4" s="97" t="s">
        <v>405</v>
      </c>
      <c r="AL4" s="97" t="s">
        <v>406</v>
      </c>
      <c r="AM4" s="97" t="s">
        <v>407</v>
      </c>
      <c r="AN4" s="97" t="s">
        <v>408</v>
      </c>
      <c r="AO4" s="97" t="s">
        <v>409</v>
      </c>
      <c r="AP4" s="97" t="s">
        <v>410</v>
      </c>
      <c r="AQ4" s="97" t="s">
        <v>411</v>
      </c>
      <c r="AR4" s="97" t="s">
        <v>412</v>
      </c>
      <c r="AS4" s="97" t="s">
        <v>413</v>
      </c>
      <c r="AT4" s="97" t="s">
        <v>414</v>
      </c>
      <c r="AU4" s="97" t="s">
        <v>415</v>
      </c>
      <c r="AV4" s="97" t="s">
        <v>416</v>
      </c>
      <c r="AW4" s="97" t="s">
        <v>417</v>
      </c>
      <c r="AX4" s="97" t="s">
        <v>418</v>
      </c>
      <c r="AY4" s="97" t="s">
        <v>419</v>
      </c>
      <c r="AZ4" s="97" t="s">
        <v>420</v>
      </c>
      <c r="BA4" s="97" t="s">
        <v>421</v>
      </c>
      <c r="BB4" s="97" t="s">
        <v>422</v>
      </c>
      <c r="BC4" s="97" t="s">
        <v>423</v>
      </c>
      <c r="BD4" s="97" t="s">
        <v>424</v>
      </c>
      <c r="BE4" s="97" t="s">
        <v>425</v>
      </c>
      <c r="BF4" s="97" t="s">
        <v>426</v>
      </c>
      <c r="BG4" s="97" t="s">
        <v>427</v>
      </c>
      <c r="BH4" s="97" t="s">
        <v>428</v>
      </c>
      <c r="BI4" s="97" t="s">
        <v>429</v>
      </c>
      <c r="BJ4" s="97" t="s">
        <v>430</v>
      </c>
      <c r="BK4" s="97" t="s">
        <v>431</v>
      </c>
      <c r="BL4" s="94"/>
      <c r="BM4" s="94"/>
    </row>
    <row r="5" spans="2:65" ht="14.4" thickBot="1">
      <c r="B5" s="98" t="s">
        <v>432</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433</v>
      </c>
      <c r="C6" s="101" t="s">
        <v>434</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435</v>
      </c>
      <c r="C7" s="101" t="s">
        <v>436</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437</v>
      </c>
      <c r="C8" s="105" t="s">
        <v>438</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439</v>
      </c>
      <c r="C9" s="106" t="s">
        <v>440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441</v>
      </c>
      <c r="C10" s="106" t="s">
        <v>442</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443</v>
      </c>
      <c r="C11" s="101" t="s">
        <v>444</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445</v>
      </c>
      <c r="C12" s="108" t="s">
        <v>446</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447</v>
      </c>
      <c r="C13" s="110" t="s">
        <v>448</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449</v>
      </c>
      <c r="C14" s="112" t="s">
        <v>450</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451</v>
      </c>
      <c r="C15" s="108" t="s">
        <v>452</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453</v>
      </c>
      <c r="C16" s="108" t="s">
        <v>454</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455</v>
      </c>
      <c r="C17" s="115" t="s">
        <v>456</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457</v>
      </c>
      <c r="C18" s="117" t="s">
        <v>458</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459</v>
      </c>
      <c r="C19" s="117" t="s">
        <v>460</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461</v>
      </c>
      <c r="C20" s="115" t="s">
        <v>462</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463</v>
      </c>
      <c r="C21" s="117" t="s">
        <v>464</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465</v>
      </c>
      <c r="C22" s="117" t="s">
        <v>466</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467</v>
      </c>
      <c r="C23" s="115" t="s">
        <v>468</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469</v>
      </c>
      <c r="C24" s="117" t="s">
        <v>470</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471</v>
      </c>
      <c r="C25" s="117" t="s">
        <v>472</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473</v>
      </c>
      <c r="C26" s="115" t="s">
        <v>474</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475</v>
      </c>
      <c r="C27" s="115" t="s">
        <v>476</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477</v>
      </c>
      <c r="C28" s="115" t="s">
        <v>478</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479</v>
      </c>
      <c r="C29" s="115" t="s">
        <v>480</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481</v>
      </c>
      <c r="C30" s="241" t="s">
        <v>482</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208</v>
      </c>
      <c r="C31" s="115" t="s">
        <v>483</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484</v>
      </c>
      <c r="C32" s="203" t="s">
        <v>485</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486</v>
      </c>
      <c r="C33" s="115" t="s">
        <v>487</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488</v>
      </c>
      <c r="C34" s="115" t="s">
        <v>489</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490</v>
      </c>
      <c r="C35" s="119" t="s">
        <v>491</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492</v>
      </c>
      <c r="C36" s="220" t="s">
        <v>493</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494</v>
      </c>
      <c r="C37" s="232" t="s">
        <v>495</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496</v>
      </c>
      <c r="C38" s="115" t="s">
        <v>497</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498</v>
      </c>
      <c r="C39" s="115" t="s">
        <v>499</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500</v>
      </c>
      <c r="C40" s="115" t="s">
        <v>501</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502</v>
      </c>
      <c r="C41" s="115" t="s">
        <v>503</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504</v>
      </c>
      <c r="C42" s="115" t="s">
        <v>505</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506</v>
      </c>
      <c r="C43" s="245" t="s">
        <v>507</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508</v>
      </c>
      <c r="C44" s="203" t="s">
        <v>509</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510</v>
      </c>
      <c r="C45" s="115" t="s">
        <v>511</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512</v>
      </c>
      <c r="C46" s="115" t="s">
        <v>513</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514</v>
      </c>
      <c r="C47" s="121" t="s">
        <v>515</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516</v>
      </c>
      <c r="C48" s="119" t="s">
        <v>517</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518</v>
      </c>
      <c r="C49" s="122" t="s">
        <v>519</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166</v>
      </c>
      <c r="C50" s="123" t="s">
        <v>520</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521</v>
      </c>
      <c r="C51" s="136" t="s">
        <v>522</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523</v>
      </c>
      <c r="C52" s="136" t="s">
        <v>524</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525</v>
      </c>
      <c r="C53" s="136" t="s">
        <v>526</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527</v>
      </c>
      <c r="C54" s="125" t="s">
        <v>528</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529</v>
      </c>
      <c r="C55" s="138" t="s">
        <v>530</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531</v>
      </c>
      <c r="C56" s="138" t="s">
        <v>532</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533</v>
      </c>
      <c r="C57" s="138" t="s">
        <v>534</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535</v>
      </c>
      <c r="C58" s="138" t="s">
        <v>536</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537</v>
      </c>
      <c r="C59" s="177" t="s">
        <v>538</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539</v>
      </c>
      <c r="C60" s="138" t="s">
        <v>540</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215</v>
      </c>
      <c r="C61" s="183" t="s">
        <v>541</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542</v>
      </c>
      <c r="C62" s="188" t="s">
        <v>543</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194</v>
      </c>
      <c r="C63" s="193" t="s">
        <v>544</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197</v>
      </c>
      <c r="C64" s="193" t="s">
        <v>545</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546</v>
      </c>
      <c r="C65" s="138" t="s">
        <v>547</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548</v>
      </c>
      <c r="C66" s="136" t="s">
        <v>549</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174</v>
      </c>
      <c r="C67" s="117" t="s">
        <v>550</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551</v>
      </c>
      <c r="C68" s="126" t="s">
        <v>552</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553</v>
      </c>
      <c r="C69" s="126" t="s">
        <v>554</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555</v>
      </c>
      <c r="C70" s="126" t="s">
        <v>556</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557</v>
      </c>
      <c r="C71" s="126" t="s">
        <v>558</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175</v>
      </c>
      <c r="C72" s="123" t="s">
        <v>559</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560</v>
      </c>
      <c r="C73" s="117" t="s">
        <v>561</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562</v>
      </c>
      <c r="C74" s="262" t="s">
        <v>563</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564</v>
      </c>
      <c r="C75" s="128" t="s">
        <v>565</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566</v>
      </c>
      <c r="C76" s="130" t="s">
        <v>567</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568</v>
      </c>
      <c r="C77" s="130" t="s">
        <v>569</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570</v>
      </c>
      <c r="C78" s="130" t="s">
        <v>571</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572</v>
      </c>
      <c r="C79" s="130" t="s">
        <v>573</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574</v>
      </c>
      <c r="C80" s="130" t="s">
        <v>575</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576</v>
      </c>
      <c r="C81" s="130" t="s">
        <v>577</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578</v>
      </c>
      <c r="C82" s="132" t="s">
        <v>579</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580</v>
      </c>
      <c r="C83" s="115" t="s">
        <v>581</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582</v>
      </c>
      <c r="C84" s="115" t="s">
        <v>583</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584</v>
      </c>
      <c r="C85" s="115" t="s">
        <v>585</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586</v>
      </c>
      <c r="C86" s="115" t="s">
        <v>587</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588</v>
      </c>
      <c r="C87" s="115" t="s">
        <v>589</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590</v>
      </c>
      <c r="C88" s="134" t="s">
        <v>591</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592</v>
      </c>
      <c r="C89" s="115" t="s">
        <v>585</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593</v>
      </c>
      <c r="C90" s="115" t="s">
        <v>587</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594</v>
      </c>
      <c r="C91" s="115" t="s">
        <v>595</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596</v>
      </c>
      <c r="C92" s="115" t="s">
        <v>597</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598</v>
      </c>
      <c r="C93" s="115" t="s">
        <v>599</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573" t="s">
        <v>306</v>
      </c>
      <c r="E1" s="573"/>
      <c r="F1" s="573"/>
      <c r="G1" s="573"/>
      <c r="H1" s="573"/>
      <c r="I1" s="573"/>
      <c r="J1" s="573"/>
      <c r="K1" s="573"/>
      <c r="L1" s="573"/>
      <c r="M1" s="573"/>
      <c r="N1" s="573"/>
      <c r="O1" s="573"/>
      <c r="P1" s="573"/>
      <c r="Q1" s="574" t="s">
        <v>307</v>
      </c>
      <c r="R1" s="574"/>
      <c r="S1" s="142" t="s">
        <v>308</v>
      </c>
      <c r="T1" s="575" t="s">
        <v>309</v>
      </c>
      <c r="U1" s="575"/>
      <c r="V1" s="575"/>
      <c r="W1" s="574" t="s">
        <v>310</v>
      </c>
      <c r="X1" s="574"/>
      <c r="Y1" s="574"/>
      <c r="Z1" s="573" t="s">
        <v>311</v>
      </c>
      <c r="AA1" s="573"/>
      <c r="AB1" s="573"/>
      <c r="AC1" s="573"/>
      <c r="AD1" s="573"/>
      <c r="AE1" s="573"/>
      <c r="AF1" s="574" t="s">
        <v>312</v>
      </c>
      <c r="AG1" s="574"/>
      <c r="AH1" s="574"/>
      <c r="AI1" s="573" t="s">
        <v>313</v>
      </c>
      <c r="AJ1" s="573"/>
      <c r="AK1" s="573"/>
      <c r="AL1" s="573"/>
      <c r="AM1" s="573"/>
      <c r="AN1" s="573"/>
      <c r="AO1" s="573"/>
      <c r="AP1" s="574" t="s">
        <v>314</v>
      </c>
      <c r="AQ1" s="574"/>
      <c r="AR1" s="574"/>
      <c r="AS1" s="574"/>
      <c r="AT1" s="574"/>
      <c r="AU1" s="574"/>
      <c r="AV1" s="574"/>
      <c r="AW1" s="574"/>
      <c r="AX1" s="574"/>
      <c r="AY1" s="573" t="s">
        <v>315</v>
      </c>
      <c r="AZ1" s="573"/>
      <c r="BA1" s="573"/>
      <c r="BB1" s="573"/>
      <c r="BC1" s="573"/>
      <c r="BD1" s="573"/>
      <c r="BE1" s="573"/>
      <c r="BF1" s="573"/>
      <c r="BG1" s="573"/>
      <c r="BH1" s="213" t="s">
        <v>189</v>
      </c>
      <c r="BI1" s="143" t="s">
        <v>316</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600</v>
      </c>
      <c r="C3" s="97"/>
      <c r="D3" s="97" t="s">
        <v>601</v>
      </c>
      <c r="E3" s="97" t="s">
        <v>295</v>
      </c>
      <c r="F3" s="97" t="s">
        <v>602</v>
      </c>
      <c r="G3" s="97" t="s">
        <v>603</v>
      </c>
      <c r="H3" s="97" t="s">
        <v>604</v>
      </c>
      <c r="I3" s="97" t="s">
        <v>605</v>
      </c>
      <c r="J3" s="97" t="s">
        <v>606</v>
      </c>
      <c r="K3" s="97" t="s">
        <v>607</v>
      </c>
      <c r="L3" s="97" t="s">
        <v>608</v>
      </c>
      <c r="M3" s="97" t="s">
        <v>609</v>
      </c>
      <c r="N3" s="97" t="s">
        <v>610</v>
      </c>
      <c r="O3" s="97" t="s">
        <v>611</v>
      </c>
      <c r="P3" s="97" t="s">
        <v>612</v>
      </c>
      <c r="Q3" s="97" t="s">
        <v>613</v>
      </c>
      <c r="R3" s="97" t="s">
        <v>614</v>
      </c>
      <c r="S3" s="97" t="s">
        <v>615</v>
      </c>
      <c r="T3" s="97" t="s">
        <v>616</v>
      </c>
      <c r="U3" s="97" t="s">
        <v>617</v>
      </c>
      <c r="V3" s="97" t="s">
        <v>618</v>
      </c>
      <c r="W3" s="97" t="s">
        <v>619</v>
      </c>
      <c r="X3" s="97" t="s">
        <v>620</v>
      </c>
      <c r="Y3" s="97" t="s">
        <v>621</v>
      </c>
      <c r="Z3" s="97" t="s">
        <v>622</v>
      </c>
      <c r="AA3" s="97" t="s">
        <v>623</v>
      </c>
      <c r="AB3" s="97" t="s">
        <v>624</v>
      </c>
      <c r="AC3" s="97" t="s">
        <v>625</v>
      </c>
      <c r="AD3" s="97" t="s">
        <v>626</v>
      </c>
      <c r="AE3" s="97" t="s">
        <v>627</v>
      </c>
      <c r="AF3" s="97" t="s">
        <v>628</v>
      </c>
      <c r="AG3" s="97" t="s">
        <v>629</v>
      </c>
      <c r="AH3" s="97" t="s">
        <v>630</v>
      </c>
      <c r="AI3" s="97" t="s">
        <v>631</v>
      </c>
      <c r="AJ3" s="97" t="s">
        <v>632</v>
      </c>
      <c r="AK3" s="97" t="s">
        <v>633</v>
      </c>
      <c r="AL3" s="97" t="s">
        <v>634</v>
      </c>
      <c r="AM3" s="97" t="s">
        <v>635</v>
      </c>
      <c r="AN3" s="97" t="s">
        <v>636</v>
      </c>
      <c r="AO3" s="97" t="s">
        <v>637</v>
      </c>
      <c r="AP3" s="97" t="s">
        <v>638</v>
      </c>
      <c r="AQ3" s="97" t="s">
        <v>639</v>
      </c>
      <c r="AR3" s="97" t="s">
        <v>640</v>
      </c>
      <c r="AS3" s="97" t="s">
        <v>641</v>
      </c>
      <c r="AT3" s="97" t="s">
        <v>642</v>
      </c>
      <c r="AU3" s="97" t="s">
        <v>643</v>
      </c>
      <c r="AV3" s="97" t="s">
        <v>644</v>
      </c>
      <c r="AW3" s="97" t="s">
        <v>645</v>
      </c>
      <c r="AX3" s="97" t="s">
        <v>646</v>
      </c>
      <c r="AY3" s="97" t="s">
        <v>647</v>
      </c>
      <c r="AZ3" s="97" t="s">
        <v>648</v>
      </c>
      <c r="BA3" s="97" t="s">
        <v>649</v>
      </c>
      <c r="BB3" s="97" t="s">
        <v>650</v>
      </c>
      <c r="BC3" s="97" t="s">
        <v>651</v>
      </c>
      <c r="BD3" s="97" t="s">
        <v>652</v>
      </c>
      <c r="BE3" s="97" t="s">
        <v>653</v>
      </c>
      <c r="BF3" s="97" t="s">
        <v>654</v>
      </c>
      <c r="BG3" s="97" t="s">
        <v>655</v>
      </c>
      <c r="BH3" s="97" t="s">
        <v>656</v>
      </c>
      <c r="BI3" s="97" t="s">
        <v>657</v>
      </c>
      <c r="BJ3" s="97" t="s">
        <v>658</v>
      </c>
      <c r="BK3" s="97" t="s">
        <v>659</v>
      </c>
      <c r="BL3" s="94"/>
      <c r="BM3" s="94"/>
    </row>
    <row r="4" spans="1:65">
      <c r="A4" s="427"/>
      <c r="B4" s="96">
        <v>2022</v>
      </c>
      <c r="C4" s="97"/>
      <c r="D4" s="97" t="s">
        <v>660</v>
      </c>
      <c r="E4" s="97" t="s">
        <v>661</v>
      </c>
      <c r="F4" s="97" t="s">
        <v>662</v>
      </c>
      <c r="G4" s="97" t="s">
        <v>663</v>
      </c>
      <c r="H4" s="97" t="s">
        <v>664</v>
      </c>
      <c r="I4" s="97" t="s">
        <v>665</v>
      </c>
      <c r="J4" s="97" t="s">
        <v>666</v>
      </c>
      <c r="K4" s="97" t="s">
        <v>667</v>
      </c>
      <c r="L4" s="97" t="s">
        <v>668</v>
      </c>
      <c r="M4" s="97" t="s">
        <v>669</v>
      </c>
      <c r="N4" s="97" t="s">
        <v>670</v>
      </c>
      <c r="O4" s="97" t="s">
        <v>671</v>
      </c>
      <c r="P4" s="97" t="s">
        <v>672</v>
      </c>
      <c r="Q4" s="97" t="s">
        <v>673</v>
      </c>
      <c r="R4" s="97" t="s">
        <v>674</v>
      </c>
      <c r="S4" s="97" t="s">
        <v>675</v>
      </c>
      <c r="T4" s="97" t="s">
        <v>676</v>
      </c>
      <c r="U4" s="97" t="s">
        <v>677</v>
      </c>
      <c r="V4" s="97" t="s">
        <v>678</v>
      </c>
      <c r="W4" s="97" t="s">
        <v>679</v>
      </c>
      <c r="X4" s="97" t="s">
        <v>680</v>
      </c>
      <c r="Y4" s="97" t="s">
        <v>681</v>
      </c>
      <c r="Z4" s="97" t="s">
        <v>682</v>
      </c>
      <c r="AA4" s="97" t="s">
        <v>683</v>
      </c>
      <c r="AB4" s="97" t="s">
        <v>684</v>
      </c>
      <c r="AC4" s="97" t="s">
        <v>685</v>
      </c>
      <c r="AD4" s="97" t="s">
        <v>686</v>
      </c>
      <c r="AE4" s="97" t="s">
        <v>687</v>
      </c>
      <c r="AF4" s="97" t="s">
        <v>628</v>
      </c>
      <c r="AG4" s="97" t="s">
        <v>629</v>
      </c>
      <c r="AH4" s="97" t="s">
        <v>630</v>
      </c>
      <c r="AI4" s="97" t="s">
        <v>688</v>
      </c>
      <c r="AJ4" s="97" t="s">
        <v>689</v>
      </c>
      <c r="AK4" s="97" t="s">
        <v>690</v>
      </c>
      <c r="AL4" s="97" t="s">
        <v>691</v>
      </c>
      <c r="AM4" s="97" t="s">
        <v>692</v>
      </c>
      <c r="AN4" s="97" t="s">
        <v>693</v>
      </c>
      <c r="AO4" s="97" t="s">
        <v>694</v>
      </c>
      <c r="AP4" s="97" t="s">
        <v>695</v>
      </c>
      <c r="AQ4" s="97" t="s">
        <v>696</v>
      </c>
      <c r="AR4" s="97" t="s">
        <v>697</v>
      </c>
      <c r="AS4" s="97" t="s">
        <v>698</v>
      </c>
      <c r="AT4" s="97" t="s">
        <v>699</v>
      </c>
      <c r="AU4" s="97" t="s">
        <v>700</v>
      </c>
      <c r="AV4" s="97" t="s">
        <v>701</v>
      </c>
      <c r="AW4" s="97" t="s">
        <v>702</v>
      </c>
      <c r="AX4" s="97" t="s">
        <v>703</v>
      </c>
      <c r="AY4" s="97" t="s">
        <v>704</v>
      </c>
      <c r="AZ4" s="97" t="s">
        <v>705</v>
      </c>
      <c r="BA4" s="97" t="s">
        <v>706</v>
      </c>
      <c r="BB4" s="97" t="s">
        <v>707</v>
      </c>
      <c r="BC4" s="97" t="s">
        <v>708</v>
      </c>
      <c r="BD4" s="97" t="s">
        <v>709</v>
      </c>
      <c r="BE4" s="97" t="s">
        <v>710</v>
      </c>
      <c r="BF4" s="97" t="s">
        <v>711</v>
      </c>
      <c r="BG4" s="97" t="s">
        <v>712</v>
      </c>
      <c r="BH4" s="97" t="s">
        <v>713</v>
      </c>
      <c r="BI4" s="97" t="s">
        <v>714</v>
      </c>
      <c r="BJ4" s="97" t="s">
        <v>715</v>
      </c>
      <c r="BK4" s="97" t="s">
        <v>716</v>
      </c>
      <c r="BL4" s="94"/>
      <c r="BM4" s="94"/>
    </row>
    <row r="5" spans="1:65" ht="15" thickBot="1">
      <c r="A5" s="427"/>
      <c r="B5" s="98" t="s">
        <v>717</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718</v>
      </c>
      <c r="C6" s="134" t="s">
        <v>719</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720</v>
      </c>
      <c r="C7" s="134" t="s">
        <v>721</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722</v>
      </c>
      <c r="C8" s="134" t="s">
        <v>723</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724</v>
      </c>
      <c r="C9" s="134" t="s">
        <v>725</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726</v>
      </c>
      <c r="C10" s="134" t="s">
        <v>727</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728</v>
      </c>
      <c r="C11" s="134" t="s">
        <v>729</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730</v>
      </c>
      <c r="C12" s="121" t="s">
        <v>731</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732</v>
      </c>
      <c r="C13" s="441" t="s">
        <v>733</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734</v>
      </c>
      <c r="C14" s="442" t="s">
        <v>735</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736</v>
      </c>
      <c r="C15" s="121" t="s">
        <v>737</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738</v>
      </c>
      <c r="C16" s="121" t="s">
        <v>739</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740</v>
      </c>
      <c r="C17" s="134" t="s">
        <v>741</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742</v>
      </c>
      <c r="C18" s="134" t="s">
        <v>743</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744</v>
      </c>
      <c r="C19" s="134" t="s">
        <v>745</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746</v>
      </c>
      <c r="C20" s="134" t="s">
        <v>747</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748</v>
      </c>
      <c r="C21" s="134" t="s">
        <v>749</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750</v>
      </c>
      <c r="C22" s="134" t="s">
        <v>751</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752</v>
      </c>
      <c r="C23" s="134" t="s">
        <v>753</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754</v>
      </c>
      <c r="C24" s="134" t="s">
        <v>755</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756</v>
      </c>
      <c r="C25" s="134" t="s">
        <v>757</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758</v>
      </c>
      <c r="C26" s="134" t="s">
        <v>759</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760</v>
      </c>
      <c r="C27" s="134" t="s">
        <v>761</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762</v>
      </c>
      <c r="C28" s="134" t="s">
        <v>763</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764</v>
      </c>
      <c r="C29" s="134" t="s">
        <v>765</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766</v>
      </c>
      <c r="C30" s="443" t="s">
        <v>767</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768</v>
      </c>
      <c r="C31" s="134" t="s">
        <v>769</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770</v>
      </c>
      <c r="C32" s="134" t="s">
        <v>771</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772</v>
      </c>
      <c r="C33" s="134" t="s">
        <v>773</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774</v>
      </c>
      <c r="C34" s="134" t="s">
        <v>775</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776</v>
      </c>
      <c r="C35" s="444" t="s">
        <v>777</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778</v>
      </c>
      <c r="C36" s="134" t="s">
        <v>779</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780</v>
      </c>
      <c r="C37" s="134" t="s">
        <v>781</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782</v>
      </c>
      <c r="C38" s="134" t="s">
        <v>783</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784</v>
      </c>
      <c r="C39" s="134" t="s">
        <v>785</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786</v>
      </c>
      <c r="C40" s="134" t="s">
        <v>787</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788</v>
      </c>
      <c r="C41" s="134" t="s">
        <v>789</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790</v>
      </c>
      <c r="C42" s="134" t="s">
        <v>791</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792</v>
      </c>
      <c r="C43" s="134" t="s">
        <v>793</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794</v>
      </c>
      <c r="C44" s="134" t="s">
        <v>795</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796</v>
      </c>
      <c r="C45" s="134" t="s">
        <v>797</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798</v>
      </c>
      <c r="C46" s="134" t="s">
        <v>799</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800</v>
      </c>
      <c r="C47" s="121" t="s">
        <v>801</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802</v>
      </c>
      <c r="C48" s="444" t="s">
        <v>803</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804</v>
      </c>
      <c r="C49" s="134" t="s">
        <v>805</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806</v>
      </c>
      <c r="C50" s="134" t="s">
        <v>807</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808</v>
      </c>
      <c r="C51" s="451" t="s">
        <v>809</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810</v>
      </c>
      <c r="C52" s="451" t="s">
        <v>811</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812</v>
      </c>
      <c r="C53" s="451" t="s">
        <v>813</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814</v>
      </c>
      <c r="C54" s="134" t="s">
        <v>815</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816</v>
      </c>
      <c r="C55" s="451" t="s">
        <v>817</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818</v>
      </c>
      <c r="C56" s="451" t="s">
        <v>819</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820</v>
      </c>
      <c r="C57" s="451" t="s">
        <v>821</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822</v>
      </c>
      <c r="C58" s="451" t="s">
        <v>823</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824</v>
      </c>
      <c r="C59" s="447" t="s">
        <v>825</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826</v>
      </c>
      <c r="C60" s="451" t="s">
        <v>827</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828</v>
      </c>
      <c r="C61" s="447" t="s">
        <v>829</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830</v>
      </c>
      <c r="C62" s="447" t="s">
        <v>831</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832</v>
      </c>
      <c r="C63" s="447" t="s">
        <v>833</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834</v>
      </c>
      <c r="C64" s="447" t="s">
        <v>835</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836</v>
      </c>
      <c r="C65" s="451" t="s">
        <v>837</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838</v>
      </c>
      <c r="C66" s="451" t="s">
        <v>839</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282</v>
      </c>
      <c r="C67" s="134" t="s">
        <v>840</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841</v>
      </c>
      <c r="C68" s="134" t="s">
        <v>842</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843</v>
      </c>
      <c r="C69" s="134" t="s">
        <v>844</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845</v>
      </c>
      <c r="C70" s="134" t="s">
        <v>846</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847</v>
      </c>
      <c r="C71" s="134" t="s">
        <v>848</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283</v>
      </c>
      <c r="C72" s="134" t="s">
        <v>849</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850</v>
      </c>
      <c r="C73" s="134" t="s">
        <v>851</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852</v>
      </c>
      <c r="C74" s="134" t="s">
        <v>853</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854</v>
      </c>
      <c r="C75" s="445" t="s">
        <v>855</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856</v>
      </c>
      <c r="C76" s="441" t="s">
        <v>857</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858</v>
      </c>
      <c r="C77" s="441" t="s">
        <v>859</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860</v>
      </c>
      <c r="C78" s="441" t="s">
        <v>861</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862</v>
      </c>
      <c r="C79" s="441" t="s">
        <v>863</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864</v>
      </c>
      <c r="C80" s="441" t="s">
        <v>865</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866</v>
      </c>
      <c r="C81" s="441" t="s">
        <v>867</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868</v>
      </c>
      <c r="C82" s="132" t="s">
        <v>869</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870</v>
      </c>
      <c r="C83" s="134" t="s">
        <v>871</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872</v>
      </c>
      <c r="C84" s="134" t="s">
        <v>873</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874</v>
      </c>
      <c r="C85" s="134" t="s">
        <v>875</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876</v>
      </c>
      <c r="C86" s="134" t="s">
        <v>877</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878</v>
      </c>
      <c r="C87" s="134" t="s">
        <v>879</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880</v>
      </c>
      <c r="C88" s="134" t="s">
        <v>881</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882</v>
      </c>
      <c r="C89" s="134" t="s">
        <v>875</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883</v>
      </c>
      <c r="C90" s="134" t="s">
        <v>877</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884</v>
      </c>
      <c r="C91" s="134" t="s">
        <v>885</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886</v>
      </c>
      <c r="C92" s="134" t="s">
        <v>887</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888</v>
      </c>
      <c r="C93" s="134" t="s">
        <v>889</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7" t="s">
        <v>890</v>
      </c>
      <c r="B1" s="568"/>
      <c r="C1" s="568"/>
      <c r="D1" s="568"/>
      <c r="E1" s="568"/>
      <c r="F1" s="568"/>
      <c r="G1" s="568"/>
      <c r="H1" s="568"/>
      <c r="I1" s="568"/>
      <c r="J1" s="568"/>
      <c r="K1" s="568"/>
      <c r="L1" s="568"/>
    </row>
    <row r="2" spans="1:12">
      <c r="A2" s="569" t="s">
        <v>161</v>
      </c>
      <c r="B2" s="569"/>
      <c r="C2" s="569"/>
      <c r="D2" s="569"/>
      <c r="E2" s="569"/>
      <c r="F2" s="569"/>
      <c r="G2" s="569"/>
      <c r="H2" s="569"/>
      <c r="I2" s="569"/>
      <c r="J2" s="569"/>
      <c r="K2" s="569"/>
      <c r="L2" s="569"/>
    </row>
    <row r="3" spans="1:12" ht="15" customHeight="1">
      <c r="A3" s="31"/>
      <c r="B3" s="32"/>
      <c r="C3" s="32"/>
      <c r="D3" s="32"/>
      <c r="E3" s="32"/>
      <c r="F3" s="32"/>
      <c r="G3" s="32"/>
      <c r="H3" s="559" t="s">
        <v>162</v>
      </c>
      <c r="I3" s="559"/>
      <c r="J3" s="33"/>
      <c r="K3" s="559" t="s">
        <v>163</v>
      </c>
      <c r="L3" s="559"/>
    </row>
    <row r="4" spans="1:12" ht="15" customHeight="1">
      <c r="A4" s="31"/>
      <c r="B4" s="34">
        <v>2000</v>
      </c>
      <c r="C4" s="34">
        <v>2018</v>
      </c>
      <c r="D4" s="34">
        <v>2025</v>
      </c>
      <c r="E4" s="34">
        <v>2030</v>
      </c>
      <c r="F4" s="34">
        <v>2035</v>
      </c>
      <c r="G4" s="34">
        <v>2040</v>
      </c>
      <c r="H4" s="35">
        <v>2018</v>
      </c>
      <c r="I4" s="35">
        <v>2040</v>
      </c>
      <c r="J4" s="33"/>
      <c r="K4" s="35" t="s">
        <v>164</v>
      </c>
      <c r="L4" s="35" t="s">
        <v>165</v>
      </c>
    </row>
    <row r="5" spans="1:12" ht="13.5" customHeight="1">
      <c r="A5" s="37" t="s">
        <v>891</v>
      </c>
      <c r="B5" s="38"/>
      <c r="C5" s="38"/>
      <c r="D5" s="39"/>
      <c r="E5" s="39"/>
      <c r="F5" s="39"/>
      <c r="G5" s="39"/>
      <c r="H5" s="60"/>
      <c r="I5" s="60"/>
      <c r="J5" s="46"/>
      <c r="K5" s="60"/>
      <c r="L5" s="60"/>
    </row>
    <row r="6" spans="1:12" ht="13.5" customHeight="1">
      <c r="A6" s="42" t="s">
        <v>892</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893</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894</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895</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896</v>
      </c>
      <c r="B10" s="61"/>
      <c r="C10" s="61"/>
      <c r="D10" s="62"/>
      <c r="E10" s="62"/>
      <c r="F10" s="62"/>
      <c r="G10" s="62"/>
      <c r="H10" s="63"/>
      <c r="I10" s="63"/>
      <c r="J10" s="64"/>
      <c r="K10" s="65"/>
      <c r="L10" s="65"/>
    </row>
    <row r="11" spans="1:12" ht="13.5" customHeight="1">
      <c r="A11" s="48" t="s">
        <v>338</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343</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897</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898</v>
      </c>
      <c r="B14" s="43">
        <v>0</v>
      </c>
      <c r="C14" s="43">
        <v>0</v>
      </c>
      <c r="D14" s="44">
        <v>1.2E-2</v>
      </c>
      <c r="E14" s="44">
        <v>0.185</v>
      </c>
      <c r="F14" s="44">
        <v>0.52</v>
      </c>
      <c r="G14" s="44">
        <v>0.91800000000000004</v>
      </c>
      <c r="H14" s="45">
        <v>0</v>
      </c>
      <c r="I14" s="45">
        <v>3.31</v>
      </c>
      <c r="J14" s="66"/>
      <c r="K14" s="47" t="s">
        <v>172</v>
      </c>
      <c r="L14" s="47">
        <v>49.25</v>
      </c>
    </row>
    <row r="15" spans="1:12" ht="13.5" customHeight="1">
      <c r="A15" s="48" t="s">
        <v>899</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900</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901</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902</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903</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904</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681</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905</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906</v>
      </c>
      <c r="B24" s="43">
        <v>0</v>
      </c>
      <c r="C24" s="43">
        <v>1.2390000000000001</v>
      </c>
      <c r="D24" s="44">
        <v>1.452</v>
      </c>
      <c r="E24" s="44">
        <v>1.526</v>
      </c>
      <c r="F24" s="44">
        <v>1.4370000000000001</v>
      </c>
      <c r="G24" s="44">
        <v>1.3149999999999999</v>
      </c>
      <c r="H24" s="45">
        <v>2.88</v>
      </c>
      <c r="I24" s="45">
        <v>2.95</v>
      </c>
      <c r="J24" s="66"/>
      <c r="K24" s="47" t="s">
        <v>172</v>
      </c>
      <c r="L24" s="47">
        <v>0.27</v>
      </c>
    </row>
    <row r="25" spans="1:12" ht="13.5" customHeight="1">
      <c r="A25" s="42" t="s">
        <v>189</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907</v>
      </c>
      <c r="B26" s="43">
        <v>0</v>
      </c>
      <c r="C26" s="43">
        <v>0.68400000000000005</v>
      </c>
      <c r="D26" s="44">
        <v>0.64400000000000002</v>
      </c>
      <c r="E26" s="44">
        <v>0.625</v>
      </c>
      <c r="F26" s="44">
        <v>0.59499999999999997</v>
      </c>
      <c r="G26" s="44">
        <v>0.56599999999999995</v>
      </c>
      <c r="H26" s="45">
        <v>1.59</v>
      </c>
      <c r="I26" s="45">
        <v>1.27</v>
      </c>
      <c r="J26" s="66"/>
      <c r="K26" s="47" t="s">
        <v>172</v>
      </c>
      <c r="L26" s="47">
        <v>-0.86</v>
      </c>
    </row>
    <row r="27" spans="1:12" s="55" customFormat="1" ht="3" customHeight="1">
      <c r="A27" s="50"/>
      <c r="B27" s="51"/>
      <c r="C27" s="51"/>
      <c r="D27" s="52"/>
      <c r="E27" s="52"/>
      <c r="F27" s="52"/>
      <c r="G27" s="52"/>
      <c r="H27" s="52"/>
      <c r="I27" s="52"/>
      <c r="J27" s="54"/>
      <c r="K27" s="54"/>
      <c r="L27" s="54"/>
    </row>
    <row r="28" spans="1:12" ht="13.5" customHeight="1">
      <c r="A28" s="37" t="s">
        <v>908</v>
      </c>
      <c r="B28" s="43"/>
      <c r="C28" s="43"/>
      <c r="D28" s="68"/>
      <c r="E28" s="68"/>
      <c r="F28" s="68"/>
      <c r="G28" s="68"/>
      <c r="H28" s="69"/>
      <c r="I28" s="69"/>
      <c r="J28" s="70"/>
      <c r="K28" s="71"/>
      <c r="L28" s="71"/>
    </row>
    <row r="29" spans="1:12" ht="13.5" customHeight="1">
      <c r="A29" s="42" t="s">
        <v>843</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841</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909</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910</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60" t="s">
        <v>911</v>
      </c>
      <c r="B33" s="561"/>
      <c r="C33" s="561"/>
      <c r="D33" s="561"/>
      <c r="E33" s="561"/>
      <c r="F33" s="561"/>
      <c r="G33" s="561"/>
      <c r="H33" s="561"/>
      <c r="I33" s="561"/>
      <c r="J33" s="561"/>
      <c r="K33" s="561"/>
      <c r="L33" s="561"/>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7" t="s">
        <v>912</v>
      </c>
      <c r="B1" s="568"/>
      <c r="C1" s="568"/>
      <c r="D1" s="568"/>
      <c r="E1" s="568"/>
      <c r="F1" s="568"/>
      <c r="G1" s="568"/>
      <c r="H1" s="568"/>
      <c r="I1" s="568"/>
      <c r="J1" s="568"/>
      <c r="K1" s="568"/>
      <c r="L1" s="568"/>
    </row>
    <row r="2" spans="1:12">
      <c r="A2" s="569" t="s">
        <v>161</v>
      </c>
      <c r="B2" s="569"/>
      <c r="C2" s="569"/>
      <c r="D2" s="569"/>
      <c r="E2" s="569"/>
      <c r="F2" s="569"/>
      <c r="G2" s="569"/>
      <c r="H2" s="569"/>
      <c r="I2" s="569"/>
      <c r="J2" s="569"/>
      <c r="K2" s="569"/>
      <c r="L2" s="569"/>
    </row>
    <row r="3" spans="1:12" ht="15" customHeight="1">
      <c r="A3" s="31"/>
      <c r="B3" s="32"/>
      <c r="C3" s="32"/>
      <c r="D3" s="32"/>
      <c r="E3" s="32"/>
      <c r="F3" s="32"/>
      <c r="G3" s="32"/>
      <c r="H3" s="559" t="s">
        <v>162</v>
      </c>
      <c r="I3" s="559"/>
      <c r="J3" s="33"/>
      <c r="K3" s="559" t="s">
        <v>163</v>
      </c>
      <c r="L3" s="559"/>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37" t="s">
        <v>891</v>
      </c>
      <c r="B5" s="38"/>
      <c r="C5" s="38"/>
      <c r="D5" s="39"/>
      <c r="E5" s="39"/>
      <c r="F5" s="39"/>
      <c r="G5" s="39"/>
      <c r="H5" s="45"/>
      <c r="I5" s="45"/>
      <c r="J5" s="46"/>
      <c r="K5" s="47"/>
      <c r="L5" s="47"/>
    </row>
    <row r="6" spans="1:12" ht="13.5" customHeight="1">
      <c r="A6" s="42" t="s">
        <v>913</v>
      </c>
      <c r="B6" s="72">
        <v>47.008000000000003</v>
      </c>
      <c r="C6" s="72">
        <v>51.606999999999999</v>
      </c>
      <c r="D6" s="73">
        <v>51.905000000000001</v>
      </c>
      <c r="E6" s="73">
        <v>51.927</v>
      </c>
      <c r="F6" s="73">
        <v>51.63</v>
      </c>
      <c r="G6" s="73">
        <v>50.854999999999997</v>
      </c>
      <c r="H6" s="39" t="s">
        <v>172</v>
      </c>
      <c r="I6" s="39" t="s">
        <v>172</v>
      </c>
      <c r="J6" s="74"/>
      <c r="K6" s="75">
        <v>0.52</v>
      </c>
      <c r="L6" s="75">
        <v>-7.0000000000000007E-2</v>
      </c>
    </row>
    <row r="7" spans="1:12" ht="13.5" customHeight="1">
      <c r="A7" s="42" t="s">
        <v>914</v>
      </c>
      <c r="B7" s="72">
        <v>14.507</v>
      </c>
      <c r="C7" s="72">
        <v>19.751999999999999</v>
      </c>
      <c r="D7" s="73">
        <v>21.013999999999999</v>
      </c>
      <c r="E7" s="73">
        <v>21.640999999999998</v>
      </c>
      <c r="F7" s="73">
        <v>22.067</v>
      </c>
      <c r="G7" s="73">
        <v>22.306000000000001</v>
      </c>
      <c r="H7" s="39" t="s">
        <v>172</v>
      </c>
      <c r="I7" s="39" t="s">
        <v>172</v>
      </c>
      <c r="J7" s="74"/>
      <c r="K7" s="75">
        <v>1.73</v>
      </c>
      <c r="L7" s="75">
        <v>0.55000000000000004</v>
      </c>
    </row>
    <row r="8" spans="1:12" ht="13.5" customHeight="1">
      <c r="A8" s="42" t="s">
        <v>915</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916</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917</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918</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919</v>
      </c>
      <c r="B12" s="76">
        <v>85.533000000000001</v>
      </c>
      <c r="C12" s="76">
        <v>76.766999999999996</v>
      </c>
      <c r="D12" s="77">
        <v>75.245999999999995</v>
      </c>
      <c r="E12" s="77">
        <v>74.905000000000001</v>
      </c>
      <c r="F12" s="77">
        <v>74.394000000000005</v>
      </c>
      <c r="G12" s="77">
        <v>73.525000000000006</v>
      </c>
      <c r="H12" s="45" t="s">
        <v>172</v>
      </c>
      <c r="I12" s="45" t="s">
        <v>172</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920</v>
      </c>
      <c r="B14" s="67"/>
      <c r="C14" s="67"/>
      <c r="D14" s="68"/>
      <c r="E14" s="68"/>
      <c r="F14" s="68"/>
      <c r="G14" s="68"/>
      <c r="H14" s="45"/>
      <c r="I14" s="45"/>
      <c r="J14" s="46"/>
      <c r="K14" s="47"/>
      <c r="L14" s="47"/>
    </row>
    <row r="15" spans="1:12" ht="13.5" customHeight="1">
      <c r="A15" s="42" t="s">
        <v>921</v>
      </c>
      <c r="B15" s="78">
        <v>1.931</v>
      </c>
      <c r="C15" s="78">
        <v>1.4319999999999999</v>
      </c>
      <c r="D15" s="60">
        <v>1.24</v>
      </c>
      <c r="E15" s="60">
        <v>1.1839999999999999</v>
      </c>
      <c r="F15" s="60">
        <v>1.1459999999999999</v>
      </c>
      <c r="G15" s="60">
        <v>1.117</v>
      </c>
      <c r="H15" s="45" t="s">
        <v>172</v>
      </c>
      <c r="I15" s="45" t="s">
        <v>172</v>
      </c>
      <c r="J15" s="46"/>
      <c r="K15" s="47">
        <v>-1.648258306376682</v>
      </c>
      <c r="L15" s="47">
        <v>-1.1200000000000001</v>
      </c>
    </row>
    <row r="16" spans="1:12" ht="13.5" customHeight="1">
      <c r="A16" s="42" t="s">
        <v>922</v>
      </c>
      <c r="B16" s="78">
        <v>2.3E-2</v>
      </c>
      <c r="C16" s="78">
        <v>1.9E-2</v>
      </c>
      <c r="D16" s="60">
        <v>1.6E-2</v>
      </c>
      <c r="E16" s="60">
        <v>1.6E-2</v>
      </c>
      <c r="F16" s="60">
        <v>1.4999999999999999E-2</v>
      </c>
      <c r="G16" s="60">
        <v>1.4999999999999999E-2</v>
      </c>
      <c r="H16" s="45" t="s">
        <v>172</v>
      </c>
      <c r="I16" s="45" t="s">
        <v>172</v>
      </c>
      <c r="J16" s="46"/>
      <c r="K16" s="47">
        <v>-1.0556516173888864</v>
      </c>
      <c r="L16" s="47">
        <v>-0.93</v>
      </c>
    </row>
    <row r="17" spans="1:12" ht="13.5" customHeight="1">
      <c r="A17" s="42" t="s">
        <v>923</v>
      </c>
      <c r="B17" s="78">
        <v>1.4590000000000001</v>
      </c>
      <c r="C17" s="78">
        <v>1.1739999999999999</v>
      </c>
      <c r="D17" s="60">
        <v>1.046</v>
      </c>
      <c r="E17" s="60">
        <v>1.0109999999999999</v>
      </c>
      <c r="F17" s="60">
        <v>0.98899999999999999</v>
      </c>
      <c r="G17" s="60">
        <v>0.97199999999999998</v>
      </c>
      <c r="H17" s="45" t="s">
        <v>172</v>
      </c>
      <c r="I17" s="45" t="s">
        <v>172</v>
      </c>
      <c r="J17" s="46"/>
      <c r="K17" s="47">
        <v>-1.198853439235481</v>
      </c>
      <c r="L17" s="47">
        <v>-0.85</v>
      </c>
    </row>
    <row r="18" spans="1:12" ht="13.5" customHeight="1">
      <c r="A18" s="42" t="s">
        <v>924</v>
      </c>
      <c r="B18" s="78">
        <v>0.78900000000000003</v>
      </c>
      <c r="C18" s="78">
        <v>1.37</v>
      </c>
      <c r="D18" s="60">
        <v>1.4690000000000001</v>
      </c>
      <c r="E18" s="60">
        <v>1.526</v>
      </c>
      <c r="F18" s="60">
        <v>1.575</v>
      </c>
      <c r="G18" s="60">
        <v>1.6220000000000001</v>
      </c>
      <c r="H18" s="45" t="s">
        <v>172</v>
      </c>
      <c r="I18" s="45" t="s">
        <v>172</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900</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167</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168</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169</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170</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281</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925</v>
      </c>
      <c r="B28" s="67"/>
      <c r="C28" s="67"/>
      <c r="D28" s="68"/>
      <c r="E28" s="68"/>
      <c r="F28" s="68"/>
      <c r="G28" s="68"/>
      <c r="H28" s="69"/>
      <c r="I28" s="69"/>
      <c r="J28" s="79"/>
      <c r="K28" s="71"/>
      <c r="L28" s="71"/>
    </row>
    <row r="29" spans="1:12" ht="13.5" customHeight="1">
      <c r="A29" s="42" t="s">
        <v>926</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927</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928</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929</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930</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60" t="s">
        <v>931</v>
      </c>
      <c r="B34" s="561"/>
      <c r="C34" s="561"/>
      <c r="D34" s="561"/>
      <c r="E34" s="561"/>
      <c r="F34" s="561"/>
      <c r="G34" s="561"/>
      <c r="H34" s="561"/>
      <c r="I34" s="561"/>
      <c r="J34" s="561"/>
      <c r="K34" s="561"/>
      <c r="L34" s="561"/>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7" t="s">
        <v>932</v>
      </c>
      <c r="B1" s="568"/>
      <c r="C1" s="568"/>
      <c r="D1" s="568"/>
      <c r="E1" s="568"/>
      <c r="F1" s="568"/>
      <c r="G1" s="568"/>
      <c r="H1" s="568"/>
      <c r="I1" s="568"/>
      <c r="J1" s="568"/>
      <c r="K1" s="568"/>
      <c r="L1" s="568"/>
    </row>
    <row r="2" spans="1:12">
      <c r="A2" s="569" t="s">
        <v>161</v>
      </c>
      <c r="B2" s="569"/>
      <c r="C2" s="569"/>
      <c r="D2" s="569"/>
      <c r="E2" s="569"/>
      <c r="F2" s="569"/>
      <c r="G2" s="569"/>
      <c r="H2" s="569"/>
      <c r="I2" s="569"/>
      <c r="J2" s="569"/>
      <c r="K2" s="569"/>
      <c r="L2" s="569"/>
    </row>
    <row r="3" spans="1:12" ht="15" customHeight="1">
      <c r="A3" s="31"/>
      <c r="B3" s="32"/>
      <c r="C3" s="32"/>
      <c r="D3" s="32"/>
      <c r="E3" s="32"/>
      <c r="F3" s="32"/>
      <c r="G3" s="32"/>
      <c r="H3" s="559" t="s">
        <v>162</v>
      </c>
      <c r="I3" s="559"/>
      <c r="J3" s="33"/>
      <c r="K3" s="559" t="s">
        <v>163</v>
      </c>
      <c r="L3" s="559"/>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80" t="s">
        <v>933</v>
      </c>
      <c r="B5" s="38"/>
      <c r="C5" s="38"/>
      <c r="D5" s="39"/>
      <c r="E5" s="39"/>
      <c r="F5" s="39"/>
      <c r="G5" s="39"/>
      <c r="H5" s="60"/>
      <c r="I5" s="60"/>
      <c r="J5" s="46"/>
      <c r="K5" s="60"/>
      <c r="L5" s="60"/>
    </row>
    <row r="6" spans="1:12" ht="13.5" customHeight="1">
      <c r="A6" s="42" t="s">
        <v>934</v>
      </c>
      <c r="B6" s="43">
        <v>134.37799999999999</v>
      </c>
      <c r="C6" s="43">
        <v>253.982</v>
      </c>
      <c r="D6" s="44">
        <v>294.09800000000001</v>
      </c>
      <c r="E6" s="44">
        <v>325.851</v>
      </c>
      <c r="F6" s="44">
        <v>355.07</v>
      </c>
      <c r="G6" s="44">
        <v>385.41500000000002</v>
      </c>
      <c r="H6" s="81" t="s">
        <v>172</v>
      </c>
      <c r="I6" s="81" t="s">
        <v>172</v>
      </c>
      <c r="J6" s="46"/>
      <c r="K6" s="47">
        <v>3.6</v>
      </c>
      <c r="L6" s="47">
        <v>1.91</v>
      </c>
    </row>
    <row r="7" spans="1:12" ht="13.5" customHeight="1">
      <c r="A7" s="42" t="s">
        <v>935</v>
      </c>
      <c r="B7" s="43">
        <v>60.713000000000001</v>
      </c>
      <c r="C7" s="43">
        <v>133.59399999999999</v>
      </c>
      <c r="D7" s="44">
        <v>152.941</v>
      </c>
      <c r="E7" s="44">
        <v>167.72399999999999</v>
      </c>
      <c r="F7" s="44">
        <v>180.529</v>
      </c>
      <c r="G7" s="44">
        <v>193.14</v>
      </c>
      <c r="H7" s="81" t="s">
        <v>172</v>
      </c>
      <c r="I7" s="81" t="s">
        <v>172</v>
      </c>
      <c r="J7" s="46"/>
      <c r="K7" s="47">
        <v>4.4800000000000004</v>
      </c>
      <c r="L7" s="47">
        <v>1.69</v>
      </c>
    </row>
    <row r="8" spans="1:12" ht="13.5" customHeight="1">
      <c r="A8" s="42" t="s">
        <v>936</v>
      </c>
      <c r="B8" s="43">
        <v>69.081000000000003</v>
      </c>
      <c r="C8" s="43">
        <v>151.90899999999999</v>
      </c>
      <c r="D8" s="44">
        <v>181.34399999999999</v>
      </c>
      <c r="E8" s="44">
        <v>204.148</v>
      </c>
      <c r="F8" s="44">
        <v>224.75800000000001</v>
      </c>
      <c r="G8" s="44">
        <v>245.01599999999999</v>
      </c>
      <c r="H8" s="81" t="s">
        <v>172</v>
      </c>
      <c r="I8" s="81" t="s">
        <v>172</v>
      </c>
      <c r="J8" s="46"/>
      <c r="K8" s="47">
        <v>4.4800000000000004</v>
      </c>
      <c r="L8" s="47">
        <v>2.2000000000000002</v>
      </c>
    </row>
    <row r="9" spans="1:12" ht="13.5" customHeight="1">
      <c r="A9" s="42" t="s">
        <v>937</v>
      </c>
      <c r="B9" s="43">
        <v>56.167000000000002</v>
      </c>
      <c r="C9" s="43">
        <v>148.08199999999999</v>
      </c>
      <c r="D9" s="44">
        <v>193.99</v>
      </c>
      <c r="E9" s="44">
        <v>227.83699999999999</v>
      </c>
      <c r="F9" s="44">
        <v>256.67099999999999</v>
      </c>
      <c r="G9" s="44">
        <v>282.01299999999998</v>
      </c>
      <c r="H9" s="81" t="s">
        <v>172</v>
      </c>
      <c r="I9" s="81" t="s">
        <v>172</v>
      </c>
      <c r="J9" s="46"/>
      <c r="K9" s="47">
        <v>5.53</v>
      </c>
      <c r="L9" s="47">
        <v>2.97</v>
      </c>
    </row>
    <row r="10" spans="1:12" ht="13.5" customHeight="1">
      <c r="A10" s="42" t="s">
        <v>938</v>
      </c>
      <c r="B10" s="43">
        <v>72.938000000000002</v>
      </c>
      <c r="C10" s="43">
        <v>145.285</v>
      </c>
      <c r="D10" s="44">
        <v>169.85400000000001</v>
      </c>
      <c r="E10" s="44">
        <v>182.83699999999999</v>
      </c>
      <c r="F10" s="44">
        <v>188.202</v>
      </c>
      <c r="G10" s="44">
        <v>189.215</v>
      </c>
      <c r="H10" s="81" t="s">
        <v>172</v>
      </c>
      <c r="I10" s="81" t="s">
        <v>172</v>
      </c>
      <c r="J10" s="46"/>
      <c r="K10" s="47">
        <v>3.9</v>
      </c>
      <c r="L10" s="47">
        <v>1.21</v>
      </c>
    </row>
    <row r="11" spans="1:12" ht="13.5" customHeight="1">
      <c r="A11" s="42" t="s">
        <v>939</v>
      </c>
      <c r="B11" s="43">
        <v>65.349000000000004</v>
      </c>
      <c r="C11" s="43">
        <v>127.735</v>
      </c>
      <c r="D11" s="44">
        <v>142.875</v>
      </c>
      <c r="E11" s="44">
        <v>151.63</v>
      </c>
      <c r="F11" s="44">
        <v>155.69</v>
      </c>
      <c r="G11" s="44">
        <v>157.684</v>
      </c>
      <c r="H11" s="81" t="s">
        <v>172</v>
      </c>
      <c r="I11" s="81" t="s">
        <v>172</v>
      </c>
      <c r="J11" s="46"/>
      <c r="K11" s="47">
        <v>3.79</v>
      </c>
      <c r="L11" s="47">
        <v>0.96</v>
      </c>
    </row>
    <row r="12" spans="1:12" ht="13.5" customHeight="1">
      <c r="A12" s="42" t="s">
        <v>940</v>
      </c>
      <c r="B12" s="43">
        <v>41.045999999999999</v>
      </c>
      <c r="C12" s="43">
        <v>148.143</v>
      </c>
      <c r="D12" s="44">
        <v>209.715</v>
      </c>
      <c r="E12" s="44">
        <v>254.54599999999999</v>
      </c>
      <c r="F12" s="44">
        <v>293.08</v>
      </c>
      <c r="G12" s="44">
        <v>327.08800000000002</v>
      </c>
      <c r="H12" s="81" t="s">
        <v>172</v>
      </c>
      <c r="I12" s="81" t="s">
        <v>172</v>
      </c>
      <c r="J12" s="46"/>
      <c r="K12" s="47">
        <v>7.39</v>
      </c>
      <c r="L12" s="47">
        <v>3.67</v>
      </c>
    </row>
    <row r="13" spans="1:12" ht="13.5" customHeight="1">
      <c r="A13" s="42" t="s">
        <v>941</v>
      </c>
      <c r="B13" s="43">
        <v>15.548</v>
      </c>
      <c r="C13" s="43">
        <v>40.884</v>
      </c>
      <c r="D13" s="44">
        <v>53.927999999999997</v>
      </c>
      <c r="E13" s="44">
        <v>63.49</v>
      </c>
      <c r="F13" s="44">
        <v>71.534000000000006</v>
      </c>
      <c r="G13" s="44">
        <v>78.622</v>
      </c>
      <c r="H13" s="81" t="s">
        <v>172</v>
      </c>
      <c r="I13" s="81" t="s">
        <v>172</v>
      </c>
      <c r="J13" s="46"/>
      <c r="K13" s="47">
        <v>5.52</v>
      </c>
      <c r="L13" s="47">
        <v>3.02</v>
      </c>
    </row>
    <row r="14" spans="1:12" ht="13.5" customHeight="1">
      <c r="A14" s="42" t="s">
        <v>942</v>
      </c>
      <c r="B14" s="43">
        <v>283.90199999999999</v>
      </c>
      <c r="C14" s="43">
        <v>708.05700000000002</v>
      </c>
      <c r="D14" s="44">
        <v>901.47799999999995</v>
      </c>
      <c r="E14" s="44">
        <v>1036.441</v>
      </c>
      <c r="F14" s="44">
        <v>1146.75</v>
      </c>
      <c r="G14" s="44">
        <v>1242.6189999999999</v>
      </c>
      <c r="H14" s="81" t="s">
        <v>172</v>
      </c>
      <c r="I14" s="81" t="s">
        <v>172</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900</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943</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614</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170</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281</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944</v>
      </c>
      <c r="B23" s="67"/>
      <c r="C23" s="67"/>
      <c r="D23" s="68"/>
      <c r="E23" s="68"/>
      <c r="F23" s="68"/>
      <c r="G23" s="68"/>
      <c r="H23" s="45"/>
      <c r="I23" s="45"/>
      <c r="J23" s="46"/>
      <c r="K23" s="47"/>
      <c r="L23" s="47"/>
    </row>
    <row r="24" spans="1:12" ht="13.5" customHeight="1">
      <c r="A24" s="42" t="s">
        <v>945</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946</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60"/>
      <c r="B26" s="561"/>
      <c r="C26" s="561"/>
      <c r="D26" s="561"/>
      <c r="E26" s="561"/>
      <c r="F26" s="561"/>
      <c r="G26" s="561"/>
      <c r="H26" s="561"/>
      <c r="I26" s="561"/>
      <c r="J26" s="561"/>
      <c r="K26" s="561"/>
      <c r="L26" s="561"/>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947</v>
      </c>
    </row>
    <row r="4" spans="2:5">
      <c r="B4" s="175" t="s">
        <v>948</v>
      </c>
      <c r="C4" s="267" t="s">
        <v>949</v>
      </c>
      <c r="D4" s="267" t="s">
        <v>950</v>
      </c>
    </row>
    <row r="5" spans="2:5">
      <c r="B5" s="165" t="s">
        <v>108</v>
      </c>
      <c r="C5" s="166">
        <f>SUM('2019 KESIS Energy Balance'!Z61:AE61)</f>
        <v>13.368</v>
      </c>
      <c r="D5" s="167">
        <f>C5/SUM($C$5:$C$7)</f>
        <v>0.17361264432005613</v>
      </c>
    </row>
    <row r="6" spans="2:5">
      <c r="B6" s="165" t="s">
        <v>951</v>
      </c>
      <c r="C6" s="166">
        <f>SUM('2019 KESIS Energy Balance'!AF61:AH61)</f>
        <v>17.835000000000001</v>
      </c>
      <c r="D6" s="167">
        <f t="shared" ref="D6:D7" si="0">C6/SUM($C$5:$C$7)</f>
        <v>0.23162638475824363</v>
      </c>
    </row>
    <row r="7" spans="2:5">
      <c r="B7" s="165" t="s">
        <v>952</v>
      </c>
      <c r="C7" s="166">
        <f>SUM('2019 KESIS Energy Balance'!W61:Y61)</f>
        <v>45.795999999999999</v>
      </c>
      <c r="D7" s="167">
        <f t="shared" si="0"/>
        <v>0.59476097092170033</v>
      </c>
      <c r="E7" s="453"/>
    </row>
    <row r="9" spans="2:5">
      <c r="B9" s="175" t="s">
        <v>953</v>
      </c>
      <c r="C9" s="267" t="s">
        <v>949</v>
      </c>
      <c r="D9" s="267" t="s">
        <v>950</v>
      </c>
      <c r="E9" s="454" t="s">
        <v>954</v>
      </c>
    </row>
    <row r="10" spans="2:5">
      <c r="B10" s="165" t="s">
        <v>108</v>
      </c>
      <c r="C10" s="166">
        <f>SUM('2022 Energy Balance'!Z61:AE61)</f>
        <v>3.7439999999999998</v>
      </c>
      <c r="D10" s="167">
        <f>C10/SUM($C$5:$C$7)</f>
        <v>4.8624008104001352E-2</v>
      </c>
    </row>
    <row r="11" spans="2:5">
      <c r="B11" s="165" t="s">
        <v>951</v>
      </c>
      <c r="C11" s="166">
        <f>SUM('2022 Energy Balance'!AF61:AH61)</f>
        <v>1.8000000000000002E-2</v>
      </c>
      <c r="D11" s="167">
        <f t="shared" ref="D11:D12" si="1">C11/SUM($C$5:$C$7)</f>
        <v>2.3376926973077576E-4</v>
      </c>
    </row>
    <row r="12" spans="2:5">
      <c r="B12" s="165" t="s">
        <v>952</v>
      </c>
      <c r="C12" s="166">
        <f>SUM('2022 Energy Balance'!W61:Y61)</f>
        <v>51.706999999999994</v>
      </c>
      <c r="D12" s="167">
        <f t="shared" si="1"/>
        <v>0.67152820166495664</v>
      </c>
    </row>
    <row r="14" spans="2:5" ht="17.399999999999999">
      <c r="B14" s="139" t="s">
        <v>955</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956</v>
      </c>
    </row>
    <row r="4" spans="2:14">
      <c r="B4" s="175" t="s">
        <v>957</v>
      </c>
      <c r="C4" s="175"/>
    </row>
    <row r="5" spans="2:14" s="280" customFormat="1" ht="28.8">
      <c r="B5" s="277"/>
      <c r="C5" s="277" t="s">
        <v>958</v>
      </c>
      <c r="D5" s="277" t="s">
        <v>959</v>
      </c>
      <c r="E5" s="278" t="s">
        <v>960</v>
      </c>
      <c r="F5" s="279" t="s">
        <v>961</v>
      </c>
      <c r="G5" s="279" t="s">
        <v>962</v>
      </c>
      <c r="H5" s="279" t="s">
        <v>963</v>
      </c>
      <c r="I5" s="279" t="s">
        <v>964</v>
      </c>
      <c r="J5" s="279" t="s">
        <v>965</v>
      </c>
      <c r="K5" s="279" t="s">
        <v>966</v>
      </c>
      <c r="L5" s="279" t="s">
        <v>951</v>
      </c>
      <c r="M5" s="279" t="s">
        <v>952</v>
      </c>
      <c r="N5" s="279" t="s">
        <v>967</v>
      </c>
    </row>
    <row r="6" spans="2:14" s="290" customFormat="1" ht="226.2">
      <c r="B6" s="286" t="s">
        <v>49</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309</v>
      </c>
      <c r="L6" s="288">
        <f t="shared" si="0"/>
        <v>0.97435897435897434</v>
      </c>
      <c r="M6" s="288">
        <f t="shared" si="0"/>
        <v>0.69558576447227738</v>
      </c>
      <c r="N6" s="289" t="s">
        <v>309</v>
      </c>
    </row>
    <row r="7" spans="2:14" s="290" customFormat="1" ht="69.599999999999994">
      <c r="B7" s="291" t="s">
        <v>53</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968</v>
      </c>
      <c r="L7" s="293">
        <f>SUM(E23:E25,L23:M25)/SUM(D23:M25)</f>
        <v>2.5641025641025637E-2</v>
      </c>
      <c r="M7" s="293">
        <f>SUM(E27:E28,L27:M28)/SUM(D27:M28)</f>
        <v>0.30441423552772262</v>
      </c>
      <c r="N7" s="297" t="s">
        <v>968</v>
      </c>
    </row>
    <row r="8" spans="2:14" s="141" customFormat="1">
      <c r="B8" s="268" t="s">
        <v>969</v>
      </c>
      <c r="C8" s="268"/>
      <c r="D8" s="268"/>
      <c r="E8" s="269">
        <f t="shared" ref="E8:M8" si="1">SUM(E6:E7)</f>
        <v>1</v>
      </c>
      <c r="F8" s="269">
        <f t="shared" si="1"/>
        <v>1</v>
      </c>
      <c r="G8" s="269">
        <f t="shared" si="1"/>
        <v>1</v>
      </c>
      <c r="H8" s="269">
        <f t="shared" si="1"/>
        <v>1</v>
      </c>
      <c r="I8" s="269">
        <f t="shared" si="1"/>
        <v>1</v>
      </c>
      <c r="J8" s="269">
        <f t="shared" si="1"/>
        <v>1</v>
      </c>
      <c r="K8" s="270" t="s">
        <v>968</v>
      </c>
      <c r="L8" s="269">
        <f t="shared" si="1"/>
        <v>1</v>
      </c>
      <c r="M8" s="269">
        <f t="shared" si="1"/>
        <v>1</v>
      </c>
      <c r="N8" s="270" t="s">
        <v>968</v>
      </c>
    </row>
    <row r="10" spans="2:14">
      <c r="B10" s="175" t="s">
        <v>970</v>
      </c>
    </row>
    <row r="11" spans="2:14" s="172" customFormat="1">
      <c r="B11" s="2" t="s">
        <v>971</v>
      </c>
      <c r="C11" s="2" t="s">
        <v>972</v>
      </c>
    </row>
    <row r="12" spans="2:14" s="172" customFormat="1">
      <c r="B12" s="2" t="s">
        <v>973</v>
      </c>
      <c r="C12" s="2" t="s">
        <v>974</v>
      </c>
    </row>
    <row r="13" spans="2:14" s="172" customFormat="1">
      <c r="B13" s="2" t="s">
        <v>975</v>
      </c>
      <c r="C13" s="2" t="s">
        <v>976</v>
      </c>
    </row>
    <row r="14" spans="2:14" s="172" customFormat="1">
      <c r="B14" s="2" t="s">
        <v>977</v>
      </c>
      <c r="C14" s="2" t="s">
        <v>978</v>
      </c>
    </row>
    <row r="15" spans="2:14" s="172" customFormat="1" ht="20.100000000000001" customHeight="1">
      <c r="B15" s="576" t="s">
        <v>979</v>
      </c>
      <c r="C15" s="576" t="s">
        <v>980</v>
      </c>
      <c r="D15" s="577" t="s">
        <v>981</v>
      </c>
      <c r="E15" s="577" t="s">
        <v>981</v>
      </c>
      <c r="F15" s="577" t="s">
        <v>981</v>
      </c>
      <c r="G15" s="577" t="s">
        <v>981</v>
      </c>
      <c r="H15" s="577" t="s">
        <v>981</v>
      </c>
      <c r="I15" s="577" t="s">
        <v>981</v>
      </c>
      <c r="J15" s="577" t="s">
        <v>981</v>
      </c>
      <c r="K15" s="577" t="s">
        <v>981</v>
      </c>
      <c r="L15" s="577" t="s">
        <v>981</v>
      </c>
      <c r="M15" s="577" t="s">
        <v>981</v>
      </c>
    </row>
    <row r="16" spans="2:14" s="172" customFormat="1" ht="20.100000000000001" customHeight="1">
      <c r="B16" s="577" t="s">
        <v>979</v>
      </c>
      <c r="C16" s="577" t="s">
        <v>980</v>
      </c>
      <c r="D16" s="273" t="s">
        <v>982</v>
      </c>
      <c r="E16" s="272" t="s">
        <v>983</v>
      </c>
      <c r="F16" s="273" t="s">
        <v>984</v>
      </c>
      <c r="G16" s="273" t="s">
        <v>985</v>
      </c>
      <c r="H16" s="273" t="s">
        <v>986</v>
      </c>
      <c r="I16" s="273" t="s">
        <v>987</v>
      </c>
      <c r="J16" s="273" t="s">
        <v>988</v>
      </c>
      <c r="K16" s="273" t="s">
        <v>989</v>
      </c>
      <c r="L16" s="272" t="s">
        <v>990</v>
      </c>
      <c r="M16" s="272" t="s">
        <v>991</v>
      </c>
    </row>
    <row r="17" spans="2:13" s="172" customFormat="1" ht="20.100000000000001" customHeight="1">
      <c r="B17" s="274" t="s">
        <v>265</v>
      </c>
      <c r="C17" s="274" t="s">
        <v>992</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993</v>
      </c>
      <c r="C18" s="274" t="s">
        <v>992</v>
      </c>
      <c r="D18" s="173">
        <v>100.8</v>
      </c>
      <c r="E18" s="173">
        <v>206.9</v>
      </c>
      <c r="F18" s="174" t="s">
        <v>172</v>
      </c>
      <c r="G18" s="173">
        <v>1.3</v>
      </c>
      <c r="H18" s="173">
        <v>63.4</v>
      </c>
      <c r="I18" s="174" t="s">
        <v>172</v>
      </c>
      <c r="J18" s="174" t="s">
        <v>172</v>
      </c>
      <c r="K18" s="174" t="s">
        <v>172</v>
      </c>
      <c r="L18" s="174" t="s">
        <v>172</v>
      </c>
      <c r="M18" s="173">
        <v>0</v>
      </c>
    </row>
    <row r="19" spans="2:13" s="172" customFormat="1" ht="20.100000000000001" customHeight="1">
      <c r="B19" s="274" t="s">
        <v>994</v>
      </c>
      <c r="C19" s="274" t="s">
        <v>992</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995</v>
      </c>
      <c r="C20" s="274" t="s">
        <v>338</v>
      </c>
      <c r="D20" s="173">
        <v>0</v>
      </c>
      <c r="E20" s="173">
        <v>0</v>
      </c>
      <c r="F20" s="174" t="s">
        <v>172</v>
      </c>
      <c r="G20" s="173">
        <v>0</v>
      </c>
      <c r="H20" s="174" t="s">
        <v>172</v>
      </c>
      <c r="I20" s="174" t="s">
        <v>172</v>
      </c>
      <c r="J20" s="173">
        <v>0</v>
      </c>
      <c r="K20" s="173">
        <v>0</v>
      </c>
      <c r="L20" s="173">
        <v>0</v>
      </c>
      <c r="M20" s="173">
        <v>0</v>
      </c>
    </row>
    <row r="21" spans="2:13" s="172" customFormat="1" ht="20.100000000000001" customHeight="1">
      <c r="B21" s="275" t="s">
        <v>995</v>
      </c>
      <c r="C21" s="274" t="s">
        <v>996</v>
      </c>
      <c r="D21" s="173">
        <v>0.9</v>
      </c>
      <c r="E21" s="173">
        <v>0.3</v>
      </c>
      <c r="F21" s="173">
        <v>0.3</v>
      </c>
      <c r="G21" s="173">
        <v>2.5</v>
      </c>
      <c r="H21" s="174" t="s">
        <v>172</v>
      </c>
      <c r="I21" s="173">
        <v>0</v>
      </c>
      <c r="J21" s="173">
        <v>0.2</v>
      </c>
      <c r="K21" s="173">
        <v>0</v>
      </c>
      <c r="L21" s="173">
        <v>0.8</v>
      </c>
      <c r="M21" s="173">
        <v>0.5</v>
      </c>
    </row>
    <row r="22" spans="2:13" s="172" customFormat="1" ht="20.100000000000001" customHeight="1">
      <c r="B22" s="275" t="s">
        <v>995</v>
      </c>
      <c r="C22" s="274" t="s">
        <v>343</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995</v>
      </c>
      <c r="C23" s="274" t="s">
        <v>997</v>
      </c>
      <c r="D23" s="174" t="s">
        <v>172</v>
      </c>
      <c r="E23" s="174" t="s">
        <v>172</v>
      </c>
      <c r="F23" s="174" t="s">
        <v>172</v>
      </c>
      <c r="G23" s="174" t="s">
        <v>172</v>
      </c>
      <c r="H23" s="174" t="s">
        <v>172</v>
      </c>
      <c r="I23" s="174" t="s">
        <v>172</v>
      </c>
      <c r="J23" s="174" t="s">
        <v>172</v>
      </c>
      <c r="K23" s="174" t="s">
        <v>172</v>
      </c>
      <c r="L23" s="173">
        <v>0.2</v>
      </c>
      <c r="M23" s="173">
        <v>0.1</v>
      </c>
    </row>
    <row r="24" spans="2:13" s="172" customFormat="1" ht="20.100000000000001" customHeight="1">
      <c r="B24" s="275" t="s">
        <v>995</v>
      </c>
      <c r="C24" s="274" t="s">
        <v>998</v>
      </c>
      <c r="D24" s="174" t="s">
        <v>172</v>
      </c>
      <c r="E24" s="174" t="s">
        <v>172</v>
      </c>
      <c r="F24" s="174" t="s">
        <v>172</v>
      </c>
      <c r="G24" s="173">
        <v>0.2</v>
      </c>
      <c r="H24" s="174" t="s">
        <v>172</v>
      </c>
      <c r="I24" s="174" t="s">
        <v>172</v>
      </c>
      <c r="J24" s="174" t="s">
        <v>172</v>
      </c>
      <c r="K24" s="174" t="s">
        <v>172</v>
      </c>
      <c r="L24" s="174" t="s">
        <v>172</v>
      </c>
      <c r="M24" s="173">
        <v>0.1</v>
      </c>
    </row>
    <row r="25" spans="2:13" s="172" customFormat="1" ht="20.100000000000001" customHeight="1">
      <c r="B25" s="275" t="s">
        <v>995</v>
      </c>
      <c r="C25" s="274" t="s">
        <v>999</v>
      </c>
      <c r="D25" s="173">
        <v>340</v>
      </c>
      <c r="E25" s="174" t="s">
        <v>172</v>
      </c>
      <c r="F25" s="173">
        <v>5.3</v>
      </c>
      <c r="G25" s="173">
        <v>3</v>
      </c>
      <c r="H25" s="173">
        <v>8.6999999999999993</v>
      </c>
      <c r="I25" s="174" t="s">
        <v>172</v>
      </c>
      <c r="J25" s="173">
        <v>0</v>
      </c>
      <c r="K25" s="174" t="s">
        <v>172</v>
      </c>
      <c r="L25" s="173">
        <v>0.8</v>
      </c>
      <c r="M25" s="173">
        <v>8.1999999999999993</v>
      </c>
    </row>
    <row r="26" spans="2:13" s="172" customFormat="1" ht="20.100000000000001" customHeight="1">
      <c r="B26" s="275" t="s">
        <v>995</v>
      </c>
      <c r="C26" s="274" t="s">
        <v>347</v>
      </c>
      <c r="D26" s="173">
        <v>16323.8</v>
      </c>
      <c r="E26" s="173">
        <v>4525.5</v>
      </c>
      <c r="F26" s="174" t="s">
        <v>172</v>
      </c>
      <c r="G26" s="174" t="s">
        <v>172</v>
      </c>
      <c r="H26" s="174" t="s">
        <v>172</v>
      </c>
      <c r="I26" s="174" t="s">
        <v>172</v>
      </c>
      <c r="J26" s="174" t="s">
        <v>172</v>
      </c>
      <c r="K26" s="174" t="s">
        <v>172</v>
      </c>
      <c r="L26" s="174" t="s">
        <v>172</v>
      </c>
      <c r="M26" s="173">
        <v>0.3</v>
      </c>
    </row>
    <row r="27" spans="2:13" s="172" customFormat="1" ht="20.100000000000001" customHeight="1">
      <c r="B27" s="275" t="s">
        <v>995</v>
      </c>
      <c r="C27" s="274" t="s">
        <v>336</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995</v>
      </c>
      <c r="C28" s="274" t="s">
        <v>337</v>
      </c>
      <c r="D28" s="173">
        <v>142</v>
      </c>
      <c r="E28" s="173">
        <v>160.4</v>
      </c>
      <c r="F28" s="173">
        <v>0</v>
      </c>
      <c r="G28" s="173">
        <v>0</v>
      </c>
      <c r="H28" s="174" t="s">
        <v>172</v>
      </c>
      <c r="I28" s="174" t="s">
        <v>172</v>
      </c>
      <c r="J28" s="174" t="s">
        <v>172</v>
      </c>
      <c r="K28" s="173">
        <v>0</v>
      </c>
      <c r="L28" s="173">
        <v>0</v>
      </c>
      <c r="M28" s="173">
        <v>0</v>
      </c>
    </row>
    <row r="29" spans="2:13" s="172" customFormat="1" ht="20.100000000000001" customHeight="1">
      <c r="B29" s="275" t="s">
        <v>995</v>
      </c>
      <c r="C29" s="274" t="s">
        <v>1000</v>
      </c>
      <c r="D29" s="173">
        <v>861</v>
      </c>
      <c r="E29" s="173">
        <v>222</v>
      </c>
      <c r="F29" s="173">
        <v>0.1</v>
      </c>
      <c r="G29" s="173">
        <v>0.9</v>
      </c>
      <c r="H29" s="174" t="s">
        <v>172</v>
      </c>
      <c r="I29" s="173">
        <v>0</v>
      </c>
      <c r="J29" s="173">
        <v>0.9</v>
      </c>
      <c r="K29" s="174" t="s">
        <v>172</v>
      </c>
      <c r="L29" s="173">
        <v>0.3</v>
      </c>
      <c r="M29" s="173">
        <v>1.3</v>
      </c>
    </row>
    <row r="30" spans="2:13" s="172" customFormat="1" ht="20.100000000000001" customHeight="1">
      <c r="B30" s="274" t="s">
        <v>169</v>
      </c>
      <c r="C30" s="274" t="s">
        <v>992</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1001</v>
      </c>
      <c r="C31" s="274" t="s">
        <v>992</v>
      </c>
      <c r="D31" s="173">
        <v>162.6</v>
      </c>
      <c r="E31" s="173">
        <v>3.6</v>
      </c>
      <c r="F31" s="173">
        <v>2</v>
      </c>
      <c r="G31" s="174" t="s">
        <v>172</v>
      </c>
      <c r="H31" s="173">
        <v>0.2</v>
      </c>
      <c r="I31" s="174" t="s">
        <v>172</v>
      </c>
      <c r="J31" s="174" t="s">
        <v>172</v>
      </c>
      <c r="K31" s="174" t="s">
        <v>172</v>
      </c>
      <c r="L31" s="174" t="s">
        <v>172</v>
      </c>
      <c r="M31" s="173">
        <v>1.9</v>
      </c>
    </row>
    <row r="32" spans="2:13" s="172" customFormat="1" ht="20.100000000000001" customHeight="1">
      <c r="B32" s="274" t="s">
        <v>171</v>
      </c>
      <c r="C32" s="274" t="s">
        <v>992</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268</v>
      </c>
      <c r="C33" s="276" t="s">
        <v>992</v>
      </c>
      <c r="D33" s="173">
        <v>2203.4</v>
      </c>
      <c r="E33" s="173">
        <v>1137.7</v>
      </c>
      <c r="F33" s="173">
        <v>67.400000000000006</v>
      </c>
      <c r="G33" s="173">
        <v>311.5</v>
      </c>
      <c r="H33" s="173">
        <v>216.1</v>
      </c>
      <c r="I33" s="173">
        <v>53.7</v>
      </c>
      <c r="J33" s="173">
        <v>117.3</v>
      </c>
      <c r="K33" s="173">
        <v>9.6</v>
      </c>
      <c r="L33" s="173">
        <v>239.3</v>
      </c>
      <c r="M33" s="173">
        <v>1039.8</v>
      </c>
    </row>
    <row r="35" spans="2:13">
      <c r="B35" s="175" t="s">
        <v>948</v>
      </c>
      <c r="C35" s="175"/>
    </row>
    <row r="36" spans="2:13">
      <c r="C36" s="267" t="s">
        <v>949</v>
      </c>
      <c r="D36" s="267" t="s">
        <v>950</v>
      </c>
    </row>
    <row r="37" spans="2:13">
      <c r="B37" s="165" t="s">
        <v>108</v>
      </c>
      <c r="C37" s="166">
        <f>SUM('2019 KESIS Energy Balance'!Z59:AE59)</f>
        <v>50.731999999999999</v>
      </c>
      <c r="D37" s="167">
        <f>C37/SUM($C$37:$C$39)</f>
        <v>4.8876454289358787E-2</v>
      </c>
    </row>
    <row r="38" spans="2:13">
      <c r="B38" s="165" t="s">
        <v>951</v>
      </c>
      <c r="C38" s="166">
        <f>SUM('2019 KESIS Energy Balance'!AF59:AH59)</f>
        <v>174.44899999999998</v>
      </c>
      <c r="D38" s="167">
        <f>C38/SUM($C$37:$C$39)</f>
        <v>0.16806844938745466</v>
      </c>
    </row>
    <row r="39" spans="2:13">
      <c r="B39" s="165" t="s">
        <v>952</v>
      </c>
      <c r="C39" s="166">
        <f>SUM('2019 KESIS Energy Balance'!W59:Z59)</f>
        <v>812.7829999999999</v>
      </c>
      <c r="D39" s="167">
        <f>C39/SUM($C$37:$C$39)</f>
        <v>0.78305509632318648</v>
      </c>
    </row>
    <row r="41" spans="2:13">
      <c r="B41" s="175" t="s">
        <v>953</v>
      </c>
      <c r="C41" s="175"/>
    </row>
    <row r="42" spans="2:13">
      <c r="C42" s="267" t="s">
        <v>949</v>
      </c>
      <c r="D42" s="267" t="s">
        <v>950</v>
      </c>
    </row>
    <row r="43" spans="2:13">
      <c r="B43" s="165" t="s">
        <v>108</v>
      </c>
      <c r="C43" s="166">
        <f>SUM('2022 Energy Balance'!Z59:AE59)</f>
        <v>15.571999999999999</v>
      </c>
      <c r="D43" s="167">
        <f>C43/SUM($C$37:$C$39)</f>
        <v>1.5002447098357938E-2</v>
      </c>
    </row>
    <row r="44" spans="2:13">
      <c r="B44" s="165" t="s">
        <v>951</v>
      </c>
      <c r="C44" s="166">
        <f>SUM('2022 Energy Balance'!AF59:AH59)</f>
        <v>186.02199999999999</v>
      </c>
      <c r="D44" s="167">
        <f>C44/SUM($C$37:$C$39)</f>
        <v>0.17921816170888394</v>
      </c>
    </row>
    <row r="45" spans="2:13">
      <c r="B45" s="165" t="s">
        <v>952</v>
      </c>
      <c r="C45" s="166">
        <f>SUM('2022 Energy Balance'!W59:Z59)</f>
        <v>307.72999999999996</v>
      </c>
      <c r="D45" s="167">
        <f>C45/SUM($C$37:$C$39)</f>
        <v>0.29647463688528697</v>
      </c>
    </row>
    <row r="46" spans="2:13" ht="17.399999999999999">
      <c r="B46" s="139" t="s">
        <v>955</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1002</v>
      </c>
    </row>
    <row r="4" spans="2:14">
      <c r="B4" s="175" t="s">
        <v>957</v>
      </c>
      <c r="C4" s="175"/>
    </row>
    <row r="5" spans="2:14" s="280" customFormat="1" ht="28.8">
      <c r="B5" s="277"/>
      <c r="C5" s="277" t="s">
        <v>958</v>
      </c>
      <c r="D5" s="277" t="s">
        <v>959</v>
      </c>
      <c r="E5" s="277" t="s">
        <v>960</v>
      </c>
      <c r="F5" s="282" t="s">
        <v>961</v>
      </c>
      <c r="G5" s="282" t="s">
        <v>962</v>
      </c>
      <c r="H5" s="282" t="s">
        <v>963</v>
      </c>
      <c r="I5" s="282" t="s">
        <v>964</v>
      </c>
      <c r="J5" s="282" t="s">
        <v>965</v>
      </c>
      <c r="K5" s="282" t="s">
        <v>966</v>
      </c>
      <c r="L5" s="282" t="s">
        <v>951</v>
      </c>
      <c r="M5" s="282" t="s">
        <v>952</v>
      </c>
      <c r="N5" s="282" t="s">
        <v>967</v>
      </c>
    </row>
    <row r="6" spans="2:14" s="285" customFormat="1" ht="28.8">
      <c r="B6" s="298" t="s">
        <v>63</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309</v>
      </c>
      <c r="L6" s="300">
        <f>SUM(D30:D32)/SUM(D30:H32)</f>
        <v>0.93931398416886547</v>
      </c>
      <c r="M6" s="300">
        <f>SUM(D34:D35)/SUM(D34:H35)</f>
        <v>0.38990825688073388</v>
      </c>
      <c r="N6" s="298" t="s">
        <v>309</v>
      </c>
    </row>
    <row r="7" spans="2:14" s="285" customFormat="1" ht="100.8">
      <c r="B7" s="302" t="s">
        <v>67</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968</v>
      </c>
      <c r="L7" s="304">
        <f t="shared" si="0"/>
        <v>6.0686015831134532E-2</v>
      </c>
      <c r="M7" s="304">
        <f t="shared" si="0"/>
        <v>0.61009174311926606</v>
      </c>
      <c r="N7" s="302" t="s">
        <v>968</v>
      </c>
    </row>
    <row r="8" spans="2:14" s="141" customFormat="1">
      <c r="B8" s="141" t="s">
        <v>1003</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970</v>
      </c>
      <c r="C10" s="2"/>
    </row>
    <row r="11" spans="2:14" s="172" customFormat="1">
      <c r="B11" s="2" t="s">
        <v>971</v>
      </c>
      <c r="C11" s="2" t="s">
        <v>972</v>
      </c>
    </row>
    <row r="12" spans="2:14" s="172" customFormat="1">
      <c r="B12" s="2" t="s">
        <v>973</v>
      </c>
      <c r="C12" s="2" t="s">
        <v>1004</v>
      </c>
    </row>
    <row r="13" spans="2:14" s="172" customFormat="1">
      <c r="B13" s="2" t="s">
        <v>975</v>
      </c>
      <c r="C13" s="2" t="s">
        <v>976</v>
      </c>
    </row>
    <row r="14" spans="2:14" s="172" customFormat="1">
      <c r="B14" s="2" t="s">
        <v>977</v>
      </c>
      <c r="C14" s="2" t="s">
        <v>978</v>
      </c>
    </row>
    <row r="15" spans="2:14" s="172" customFormat="1" ht="20.100000000000001" customHeight="1">
      <c r="B15" s="576" t="s">
        <v>979</v>
      </c>
      <c r="C15" s="576" t="s">
        <v>980</v>
      </c>
      <c r="D15" s="578" t="s">
        <v>981</v>
      </c>
      <c r="E15" s="578" t="s">
        <v>981</v>
      </c>
      <c r="F15" s="578" t="s">
        <v>981</v>
      </c>
      <c r="G15" s="578" t="s">
        <v>981</v>
      </c>
      <c r="H15" s="578" t="s">
        <v>981</v>
      </c>
    </row>
    <row r="16" spans="2:14" s="172" customFormat="1" ht="20.100000000000001" customHeight="1">
      <c r="B16" s="577" t="s">
        <v>979</v>
      </c>
      <c r="C16" s="577" t="s">
        <v>980</v>
      </c>
      <c r="D16" s="273" t="s">
        <v>1005</v>
      </c>
      <c r="E16" s="272" t="s">
        <v>1006</v>
      </c>
      <c r="F16" s="272" t="s">
        <v>1007</v>
      </c>
      <c r="G16" s="272" t="s">
        <v>1008</v>
      </c>
      <c r="H16" s="272" t="s">
        <v>1009</v>
      </c>
    </row>
    <row r="17" spans="2:8" s="172" customFormat="1" ht="20.100000000000001" customHeight="1">
      <c r="B17" s="274" t="s">
        <v>265</v>
      </c>
      <c r="C17" s="274" t="s">
        <v>992</v>
      </c>
      <c r="D17" s="173">
        <v>1798.8</v>
      </c>
      <c r="E17" s="173">
        <v>307.2</v>
      </c>
      <c r="F17" s="173">
        <v>335.9</v>
      </c>
      <c r="G17" s="173">
        <v>47.5</v>
      </c>
      <c r="H17" s="173">
        <v>1404.5</v>
      </c>
    </row>
    <row r="18" spans="2:8" s="172" customFormat="1" ht="20.100000000000001" customHeight="1">
      <c r="B18" s="274" t="s">
        <v>993</v>
      </c>
      <c r="C18" s="274" t="s">
        <v>992</v>
      </c>
      <c r="D18" s="173">
        <v>284.2</v>
      </c>
      <c r="E18" s="173">
        <v>6.1</v>
      </c>
      <c r="F18" s="174" t="s">
        <v>172</v>
      </c>
      <c r="G18" s="174" t="s">
        <v>172</v>
      </c>
      <c r="H18" s="173">
        <v>2.6</v>
      </c>
    </row>
    <row r="19" spans="2:8" s="172" customFormat="1" ht="20.100000000000001" customHeight="1">
      <c r="B19" s="275" t="s">
        <v>995</v>
      </c>
      <c r="C19" s="274" t="s">
        <v>1010</v>
      </c>
      <c r="D19" s="174" t="s">
        <v>172</v>
      </c>
      <c r="E19" s="173">
        <v>0.1</v>
      </c>
      <c r="F19" s="174" t="s">
        <v>172</v>
      </c>
      <c r="G19" s="174" t="s">
        <v>172</v>
      </c>
      <c r="H19" s="173">
        <v>0</v>
      </c>
    </row>
    <row r="20" spans="2:8" s="172" customFormat="1" ht="20.100000000000001" customHeight="1">
      <c r="B20" s="275" t="s">
        <v>995</v>
      </c>
      <c r="C20" s="274" t="s">
        <v>318</v>
      </c>
      <c r="D20" s="174" t="s">
        <v>172</v>
      </c>
      <c r="E20" s="174" t="s">
        <v>172</v>
      </c>
      <c r="F20" s="174" t="s">
        <v>172</v>
      </c>
      <c r="G20" s="174" t="s">
        <v>172</v>
      </c>
      <c r="H20" s="173">
        <v>0</v>
      </c>
    </row>
    <row r="21" spans="2:8" s="172" customFormat="1" ht="20.100000000000001" customHeight="1">
      <c r="B21" s="275" t="s">
        <v>995</v>
      </c>
      <c r="C21" s="274" t="s">
        <v>319</v>
      </c>
      <c r="D21" s="173">
        <v>131.6</v>
      </c>
      <c r="E21" s="173">
        <v>4.5</v>
      </c>
      <c r="F21" s="174" t="s">
        <v>172</v>
      </c>
      <c r="G21" s="174" t="s">
        <v>172</v>
      </c>
      <c r="H21" s="174" t="s">
        <v>172</v>
      </c>
    </row>
    <row r="22" spans="2:8" s="172" customFormat="1" ht="20.100000000000001" customHeight="1">
      <c r="B22" s="275" t="s">
        <v>995</v>
      </c>
      <c r="C22" s="274" t="s">
        <v>1011</v>
      </c>
      <c r="D22" s="173">
        <v>131.1</v>
      </c>
      <c r="E22" s="174" t="s">
        <v>172</v>
      </c>
      <c r="F22" s="174" t="s">
        <v>172</v>
      </c>
      <c r="G22" s="174" t="s">
        <v>172</v>
      </c>
      <c r="H22" s="174" t="s">
        <v>172</v>
      </c>
    </row>
    <row r="23" spans="2:8" s="172" customFormat="1" ht="20.100000000000001" customHeight="1">
      <c r="B23" s="275" t="s">
        <v>995</v>
      </c>
      <c r="C23" s="274" t="s">
        <v>1012</v>
      </c>
      <c r="D23" s="174" t="s">
        <v>172</v>
      </c>
      <c r="E23" s="174" t="s">
        <v>172</v>
      </c>
      <c r="F23" s="174" t="s">
        <v>172</v>
      </c>
      <c r="G23" s="174" t="s">
        <v>172</v>
      </c>
      <c r="H23" s="174" t="s">
        <v>172</v>
      </c>
    </row>
    <row r="24" spans="2:8" s="172" customFormat="1" ht="20.100000000000001" customHeight="1">
      <c r="B24" s="275" t="s">
        <v>995</v>
      </c>
      <c r="C24" s="274" t="s">
        <v>1013</v>
      </c>
      <c r="D24" s="173">
        <v>21.4</v>
      </c>
      <c r="E24" s="173">
        <v>1.5</v>
      </c>
      <c r="F24" s="174" t="s">
        <v>172</v>
      </c>
      <c r="G24" s="174" t="s">
        <v>172</v>
      </c>
      <c r="H24" s="173">
        <v>2.6</v>
      </c>
    </row>
    <row r="25" spans="2:8" s="172" customFormat="1" ht="20.100000000000001" customHeight="1">
      <c r="B25" s="275" t="s">
        <v>995</v>
      </c>
      <c r="C25" s="274" t="s">
        <v>1014</v>
      </c>
      <c r="D25" s="174" t="s">
        <v>172</v>
      </c>
      <c r="E25" s="174" t="s">
        <v>172</v>
      </c>
      <c r="F25" s="174" t="s">
        <v>172</v>
      </c>
      <c r="G25" s="174" t="s">
        <v>172</v>
      </c>
      <c r="H25" s="173">
        <v>0</v>
      </c>
    </row>
    <row r="26" spans="2:8" s="172" customFormat="1" ht="20.100000000000001" customHeight="1">
      <c r="B26" s="274" t="s">
        <v>994</v>
      </c>
      <c r="C26" s="274" t="s">
        <v>992</v>
      </c>
      <c r="D26" s="173">
        <v>335.5</v>
      </c>
      <c r="E26" s="173">
        <v>17.600000000000001</v>
      </c>
      <c r="F26" s="173">
        <v>13.5</v>
      </c>
      <c r="G26" s="173">
        <v>5.4</v>
      </c>
      <c r="H26" s="173">
        <v>26.6</v>
      </c>
    </row>
    <row r="27" spans="2:8" s="172" customFormat="1" ht="20.100000000000001" customHeight="1">
      <c r="B27" s="275" t="s">
        <v>995</v>
      </c>
      <c r="C27" s="274" t="s">
        <v>338</v>
      </c>
      <c r="D27" s="173">
        <v>0</v>
      </c>
      <c r="E27" s="173">
        <v>0</v>
      </c>
      <c r="F27" s="173">
        <v>0</v>
      </c>
      <c r="G27" s="174" t="s">
        <v>172</v>
      </c>
      <c r="H27" s="173">
        <v>0.1</v>
      </c>
    </row>
    <row r="28" spans="2:8" s="172" customFormat="1" ht="20.100000000000001" customHeight="1">
      <c r="B28" s="275" t="s">
        <v>995</v>
      </c>
      <c r="C28" s="274" t="s">
        <v>996</v>
      </c>
      <c r="D28" s="173">
        <v>0.1</v>
      </c>
      <c r="E28" s="173">
        <v>0.4</v>
      </c>
      <c r="F28" s="173">
        <v>0</v>
      </c>
      <c r="G28" s="173">
        <v>0</v>
      </c>
      <c r="H28" s="173">
        <v>0.9</v>
      </c>
    </row>
    <row r="29" spans="2:8" s="172" customFormat="1" ht="20.100000000000001" customHeight="1">
      <c r="B29" s="275" t="s">
        <v>995</v>
      </c>
      <c r="C29" s="274" t="s">
        <v>343</v>
      </c>
      <c r="D29" s="173">
        <v>0.3</v>
      </c>
      <c r="E29" s="173">
        <v>0.5</v>
      </c>
      <c r="F29" s="173">
        <v>0.4</v>
      </c>
      <c r="G29" s="173">
        <v>0.1</v>
      </c>
      <c r="H29" s="173">
        <v>1</v>
      </c>
    </row>
    <row r="30" spans="2:8" s="172" customFormat="1" ht="20.100000000000001" customHeight="1">
      <c r="B30" s="275" t="s">
        <v>995</v>
      </c>
      <c r="C30" s="274" t="s">
        <v>997</v>
      </c>
      <c r="D30" s="173">
        <v>0</v>
      </c>
      <c r="E30" s="173">
        <v>0.2</v>
      </c>
      <c r="F30" s="173">
        <v>0.4</v>
      </c>
      <c r="G30" s="174" t="s">
        <v>172</v>
      </c>
      <c r="H30" s="173">
        <v>0</v>
      </c>
    </row>
    <row r="31" spans="2:8" s="172" customFormat="1" ht="20.100000000000001" customHeight="1">
      <c r="B31" s="275" t="s">
        <v>995</v>
      </c>
      <c r="C31" s="274" t="s">
        <v>998</v>
      </c>
      <c r="D31" s="174" t="s">
        <v>172</v>
      </c>
      <c r="E31" s="173">
        <v>0.3</v>
      </c>
      <c r="F31" s="174" t="s">
        <v>172</v>
      </c>
      <c r="G31" s="174" t="s">
        <v>172</v>
      </c>
      <c r="H31" s="174" t="s">
        <v>172</v>
      </c>
    </row>
    <row r="32" spans="2:8" s="172" customFormat="1" ht="20.100000000000001" customHeight="1">
      <c r="B32" s="275" t="s">
        <v>995</v>
      </c>
      <c r="C32" s="274" t="s">
        <v>999</v>
      </c>
      <c r="D32" s="173">
        <v>35.6</v>
      </c>
      <c r="E32" s="173">
        <v>0.1</v>
      </c>
      <c r="F32" s="173">
        <v>0.4</v>
      </c>
      <c r="G32" s="174" t="s">
        <v>172</v>
      </c>
      <c r="H32" s="173">
        <v>0.9</v>
      </c>
    </row>
    <row r="33" spans="2:8" s="172" customFormat="1" ht="20.100000000000001" customHeight="1">
      <c r="B33" s="275" t="s">
        <v>995</v>
      </c>
      <c r="C33" s="274" t="s">
        <v>347</v>
      </c>
      <c r="D33" s="174" t="s">
        <v>172</v>
      </c>
      <c r="E33" s="174" t="s">
        <v>172</v>
      </c>
      <c r="F33" s="174" t="s">
        <v>172</v>
      </c>
      <c r="G33" s="174" t="s">
        <v>172</v>
      </c>
      <c r="H33" s="174" t="s">
        <v>172</v>
      </c>
    </row>
    <row r="34" spans="2:8" s="172" customFormat="1" ht="20.100000000000001" customHeight="1">
      <c r="B34" s="275" t="s">
        <v>995</v>
      </c>
      <c r="C34" s="274" t="s">
        <v>336</v>
      </c>
      <c r="D34" s="173">
        <v>24.3</v>
      </c>
      <c r="E34" s="173">
        <v>11.1</v>
      </c>
      <c r="F34" s="173">
        <v>4.4000000000000004</v>
      </c>
      <c r="G34" s="173">
        <v>0.4</v>
      </c>
      <c r="H34" s="173">
        <v>23.3</v>
      </c>
    </row>
    <row r="35" spans="2:8" s="172" customFormat="1" ht="20.100000000000001" customHeight="1">
      <c r="B35" s="275" t="s">
        <v>995</v>
      </c>
      <c r="C35" s="274" t="s">
        <v>337</v>
      </c>
      <c r="D35" s="173">
        <v>1.2</v>
      </c>
      <c r="E35" s="173">
        <v>0</v>
      </c>
      <c r="F35" s="173">
        <v>0.4</v>
      </c>
      <c r="G35" s="173">
        <v>0</v>
      </c>
      <c r="H35" s="173">
        <v>0.3</v>
      </c>
    </row>
    <row r="36" spans="2:8" s="172" customFormat="1" ht="20.100000000000001" customHeight="1">
      <c r="B36" s="275" t="s">
        <v>995</v>
      </c>
      <c r="C36" s="274" t="s">
        <v>1000</v>
      </c>
      <c r="D36" s="173">
        <v>274.2</v>
      </c>
      <c r="E36" s="173">
        <v>5</v>
      </c>
      <c r="F36" s="173">
        <v>7.4</v>
      </c>
      <c r="G36" s="173">
        <v>4.8</v>
      </c>
      <c r="H36" s="173">
        <v>0.1</v>
      </c>
    </row>
    <row r="37" spans="2:8" s="172" customFormat="1" ht="20.100000000000001" customHeight="1">
      <c r="B37" s="274" t="s">
        <v>169</v>
      </c>
      <c r="C37" s="274" t="s">
        <v>992</v>
      </c>
      <c r="D37" s="173">
        <v>257.2</v>
      </c>
      <c r="E37" s="173">
        <v>22.8</v>
      </c>
      <c r="F37" s="173">
        <v>62.4</v>
      </c>
      <c r="G37" s="173">
        <v>13</v>
      </c>
      <c r="H37" s="173">
        <v>273</v>
      </c>
    </row>
    <row r="38" spans="2:8" s="172" customFormat="1" ht="20.100000000000001" customHeight="1">
      <c r="B38" s="274" t="s">
        <v>1001</v>
      </c>
      <c r="C38" s="274" t="s">
        <v>992</v>
      </c>
      <c r="D38" s="173">
        <v>84.7</v>
      </c>
      <c r="E38" s="173">
        <v>0.1</v>
      </c>
      <c r="F38" s="173">
        <v>9.1999999999999993</v>
      </c>
      <c r="G38" s="174" t="s">
        <v>172</v>
      </c>
      <c r="H38" s="173">
        <v>16.600000000000001</v>
      </c>
    </row>
    <row r="39" spans="2:8" s="172" customFormat="1" ht="20.100000000000001" customHeight="1">
      <c r="B39" s="274" t="s">
        <v>171</v>
      </c>
      <c r="C39" s="274" t="s">
        <v>992</v>
      </c>
      <c r="D39" s="173">
        <v>8.5</v>
      </c>
      <c r="E39" s="173">
        <v>0</v>
      </c>
      <c r="F39" s="174" t="s">
        <v>172</v>
      </c>
      <c r="G39" s="173">
        <v>1.8</v>
      </c>
      <c r="H39" s="173">
        <v>4.0999999999999996</v>
      </c>
    </row>
    <row r="40" spans="2:8" s="172" customFormat="1" ht="20.100000000000001" customHeight="1">
      <c r="B40" s="276" t="s">
        <v>268</v>
      </c>
      <c r="C40" s="276" t="s">
        <v>992</v>
      </c>
      <c r="D40" s="173">
        <v>828.7</v>
      </c>
      <c r="E40" s="173">
        <v>260.7</v>
      </c>
      <c r="F40" s="173">
        <v>250.8</v>
      </c>
      <c r="G40" s="173">
        <v>27.3</v>
      </c>
      <c r="H40" s="173">
        <v>1081.5</v>
      </c>
    </row>
    <row r="42" spans="2:8">
      <c r="B42" s="175" t="s">
        <v>948</v>
      </c>
      <c r="C42" s="175"/>
    </row>
    <row r="43" spans="2:8">
      <c r="C43" s="139" t="s">
        <v>949</v>
      </c>
      <c r="D43" s="139" t="s">
        <v>950</v>
      </c>
    </row>
    <row r="44" spans="2:8">
      <c r="B44" s="165" t="s">
        <v>108</v>
      </c>
      <c r="C44" s="166">
        <f>SUM('2019 KESIS Energy Balance'!Z62:AE62)</f>
        <v>3.2590000000000003</v>
      </c>
      <c r="D44" s="167">
        <f>C44/SUM($C$44:$C$46)</f>
        <v>0.1176789196215787</v>
      </c>
    </row>
    <row r="45" spans="2:8">
      <c r="B45" s="165" t="s">
        <v>951</v>
      </c>
      <c r="C45" s="166">
        <f>SUM('2019 KESIS Energy Balance'!AF62:AH62)</f>
        <v>12.266999999999999</v>
      </c>
      <c r="D45" s="167">
        <f>C45/SUM($C$44:$C$46)</f>
        <v>0.44294793095977469</v>
      </c>
    </row>
    <row r="46" spans="2:8">
      <c r="B46" s="165" t="s">
        <v>952</v>
      </c>
      <c r="C46" s="166">
        <f>SUM('2019 KESIS Energy Balance'!W62:Y62)</f>
        <v>12.167999999999999</v>
      </c>
      <c r="D46" s="167">
        <f>C46/SUM($C$44:$C$46)</f>
        <v>0.43937314941864664</v>
      </c>
    </row>
    <row r="48" spans="2:8">
      <c r="B48" s="175" t="s">
        <v>953</v>
      </c>
      <c r="C48" s="175"/>
    </row>
    <row r="49" spans="2:4">
      <c r="C49" s="139" t="s">
        <v>949</v>
      </c>
      <c r="D49" s="139" t="s">
        <v>950</v>
      </c>
    </row>
    <row r="50" spans="2:4">
      <c r="B50" s="165" t="s">
        <v>108</v>
      </c>
      <c r="C50" s="166">
        <f>SUM('2022 Energy Balance'!Z62:AE62)</f>
        <v>3.1829999999999998</v>
      </c>
      <c r="D50" s="167">
        <f>C50/SUM($C$44:$C$46)</f>
        <v>0.11493464288293492</v>
      </c>
    </row>
    <row r="51" spans="2:4">
      <c r="B51" s="165" t="s">
        <v>951</v>
      </c>
      <c r="C51" s="166">
        <f>SUM('2022 Energy Balance'!AF62:AH62)</f>
        <v>23.244</v>
      </c>
      <c r="D51" s="167">
        <f>C51/SUM($C$44:$C$46)</f>
        <v>0.83931537517151733</v>
      </c>
    </row>
    <row r="52" spans="2:4">
      <c r="B52" s="165" t="s">
        <v>952</v>
      </c>
      <c r="C52" s="166">
        <f>SUM('2022 Energy Balance'!W62:Y62)</f>
        <v>17.863</v>
      </c>
      <c r="D52" s="167">
        <f>C52/SUM($C$44:$C$46)</f>
        <v>0.64501336029464862</v>
      </c>
    </row>
    <row r="53" spans="2:4" ht="17.399999999999999">
      <c r="B53" s="139" t="s">
        <v>955</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1015</v>
      </c>
    </row>
    <row r="4" spans="2:14">
      <c r="B4" s="175" t="s">
        <v>957</v>
      </c>
    </row>
    <row r="5" spans="2:14" s="280" customFormat="1" ht="28.8">
      <c r="B5" s="277"/>
      <c r="C5" s="277" t="s">
        <v>958</v>
      </c>
      <c r="D5" s="277" t="s">
        <v>959</v>
      </c>
      <c r="E5" s="277" t="s">
        <v>960</v>
      </c>
      <c r="F5" s="328" t="s">
        <v>961</v>
      </c>
      <c r="G5" s="328" t="s">
        <v>962</v>
      </c>
      <c r="H5" s="328" t="s">
        <v>963</v>
      </c>
      <c r="I5" s="328" t="s">
        <v>964</v>
      </c>
      <c r="J5" s="328"/>
      <c r="K5" s="328" t="s">
        <v>966</v>
      </c>
      <c r="L5" s="328" t="s">
        <v>951</v>
      </c>
      <c r="M5" s="328" t="s">
        <v>952</v>
      </c>
      <c r="N5" s="328" t="s">
        <v>967</v>
      </c>
    </row>
    <row r="6" spans="2:14" s="280" customFormat="1" ht="28.8">
      <c r="B6" s="277" t="s">
        <v>27</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309</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309</v>
      </c>
    </row>
    <row r="7" spans="2:14" s="280" customFormat="1" ht="28.8">
      <c r="B7" s="277" t="s">
        <v>36</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968</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968</v>
      </c>
    </row>
    <row r="8" spans="2:14" s="280" customFormat="1" ht="28.8">
      <c r="B8" s="277" t="s">
        <v>38</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968</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968</v>
      </c>
    </row>
    <row r="9" spans="2:14" s="280" customFormat="1" ht="28.8">
      <c r="B9" s="277" t="s">
        <v>40</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968</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968</v>
      </c>
    </row>
    <row r="10" spans="2:14" s="280" customFormat="1" ht="28.8">
      <c r="B10" s="277" t="s">
        <v>42</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968</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968</v>
      </c>
    </row>
    <row r="11" spans="2:14" s="280" customFormat="1" ht="28.8">
      <c r="B11" s="277" t="s">
        <v>44</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968</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968</v>
      </c>
    </row>
    <row r="12" spans="2:14" s="280" customFormat="1" ht="28.8">
      <c r="B12" s="336" t="s">
        <v>55</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309</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309</v>
      </c>
    </row>
    <row r="13" spans="2:14" s="280" customFormat="1" ht="115.2">
      <c r="B13" s="342" t="s">
        <v>58</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309</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309</v>
      </c>
    </row>
    <row r="14" spans="2:14" s="280" customFormat="1" ht="28.8">
      <c r="B14" s="277" t="s">
        <v>82</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309</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309</v>
      </c>
    </row>
    <row r="15" spans="2:14" s="280" customFormat="1">
      <c r="B15" s="277" t="s">
        <v>91</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309</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309</v>
      </c>
    </row>
    <row r="16" spans="2:14" s="141" customFormat="1">
      <c r="B16" s="141" t="s">
        <v>1016</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970</v>
      </c>
      <c r="C19" s="2" t="s">
        <v>1017</v>
      </c>
    </row>
    <row r="20" spans="2:10">
      <c r="B20" s="515" t="s">
        <v>1208</v>
      </c>
      <c r="C20" s="2" t="s">
        <v>972</v>
      </c>
      <c r="D20" s="515" t="s">
        <v>1228</v>
      </c>
      <c r="I20"/>
      <c r="J20" s="515"/>
    </row>
    <row r="21" spans="2:10">
      <c r="B21" s="515" t="s">
        <v>1209</v>
      </c>
      <c r="C21" s="2" t="s">
        <v>1018</v>
      </c>
      <c r="J21" s="515"/>
    </row>
    <row r="22" spans="2:10">
      <c r="B22" s="515" t="s">
        <v>1210</v>
      </c>
      <c r="C22" s="2" t="s">
        <v>976</v>
      </c>
      <c r="J22" s="515"/>
    </row>
    <row r="23" spans="2:10">
      <c r="B23" s="515" t="s">
        <v>1211</v>
      </c>
      <c r="C23" s="2" t="s">
        <v>978</v>
      </c>
      <c r="J23" s="515"/>
    </row>
    <row r="24" spans="2:10" s="172" customFormat="1" ht="20.100000000000001" customHeight="1">
      <c r="B24" s="582" t="s">
        <v>1212</v>
      </c>
      <c r="C24" s="582" t="s">
        <v>1222</v>
      </c>
      <c r="D24" s="579" t="s">
        <v>981</v>
      </c>
      <c r="E24" s="580"/>
      <c r="F24" s="580"/>
      <c r="G24" s="580"/>
      <c r="H24" s="581"/>
      <c r="J24" s="515"/>
    </row>
    <row r="25" spans="2:10" s="172" customFormat="1" ht="20.100000000000001" customHeight="1">
      <c r="B25" s="583"/>
      <c r="C25" s="583"/>
      <c r="D25" s="526" t="s">
        <v>1223</v>
      </c>
      <c r="E25" s="327" t="s">
        <v>1224</v>
      </c>
      <c r="F25" s="327" t="s">
        <v>1225</v>
      </c>
      <c r="G25" s="327" t="s">
        <v>1227</v>
      </c>
      <c r="H25" s="527" t="s">
        <v>1226</v>
      </c>
      <c r="J25" s="516"/>
    </row>
    <row r="26" spans="2:10" s="172" customFormat="1" ht="20.100000000000001" customHeight="1">
      <c r="B26" s="524" t="s">
        <v>1213</v>
      </c>
      <c r="C26" s="274" t="s">
        <v>1216</v>
      </c>
      <c r="D26" s="173">
        <v>840.2</v>
      </c>
      <c r="E26" s="173">
        <v>241.3</v>
      </c>
      <c r="F26" s="173">
        <v>630.70000000000005</v>
      </c>
      <c r="G26" s="173">
        <v>4400.2</v>
      </c>
      <c r="H26" s="173">
        <v>265.39999999999998</v>
      </c>
      <c r="J26" s="515"/>
    </row>
    <row r="27" spans="2:10" s="172" customFormat="1" ht="20.100000000000001" customHeight="1">
      <c r="B27" s="524" t="s">
        <v>1086</v>
      </c>
      <c r="C27" s="274" t="s">
        <v>1216</v>
      </c>
      <c r="D27" s="173">
        <v>0</v>
      </c>
      <c r="E27" s="173">
        <v>1.1000000000000001</v>
      </c>
      <c r="F27" s="173">
        <v>154.69999999999999</v>
      </c>
      <c r="G27" s="173">
        <v>2192</v>
      </c>
      <c r="H27" s="173">
        <v>2.6</v>
      </c>
      <c r="J27" s="515"/>
    </row>
    <row r="28" spans="2:10" s="172" customFormat="1" ht="20.100000000000001" customHeight="1">
      <c r="B28" s="524" t="s">
        <v>1126</v>
      </c>
      <c r="C28" s="274" t="s">
        <v>1216</v>
      </c>
      <c r="D28" s="173">
        <v>251</v>
      </c>
      <c r="E28" s="173">
        <v>45</v>
      </c>
      <c r="F28" s="173">
        <v>101.9</v>
      </c>
      <c r="G28" s="173">
        <v>1070.7</v>
      </c>
      <c r="H28" s="173">
        <v>80</v>
      </c>
      <c r="J28" s="515"/>
    </row>
    <row r="29" spans="2:10" s="172" customFormat="1" ht="20.100000000000001" customHeight="1">
      <c r="B29" s="275" t="s">
        <v>995</v>
      </c>
      <c r="C29" s="515" t="s">
        <v>1178</v>
      </c>
      <c r="D29" s="173">
        <v>0</v>
      </c>
      <c r="E29" s="173">
        <v>0</v>
      </c>
      <c r="F29" s="173">
        <v>0</v>
      </c>
      <c r="G29" s="174" t="s">
        <v>172</v>
      </c>
      <c r="H29" s="173">
        <v>0</v>
      </c>
      <c r="J29" s="516"/>
    </row>
    <row r="30" spans="2:10" s="172" customFormat="1" ht="20.100000000000001" customHeight="1">
      <c r="B30" s="275" t="s">
        <v>995</v>
      </c>
      <c r="C30" s="515" t="s">
        <v>401</v>
      </c>
      <c r="D30" s="173">
        <v>0.1</v>
      </c>
      <c r="E30" s="173">
        <v>0</v>
      </c>
      <c r="F30" s="173">
        <v>0.9</v>
      </c>
      <c r="G30" s="173">
        <v>0.2</v>
      </c>
      <c r="H30" s="173">
        <v>0.1</v>
      </c>
      <c r="J30" s="515"/>
    </row>
    <row r="31" spans="2:10" s="172" customFormat="1" ht="20.100000000000001" customHeight="1">
      <c r="B31" s="275" t="s">
        <v>995</v>
      </c>
      <c r="C31" s="515" t="s">
        <v>1221</v>
      </c>
      <c r="D31" s="173">
        <v>0.2</v>
      </c>
      <c r="E31" s="173">
        <v>0.3</v>
      </c>
      <c r="F31" s="173">
        <v>4.0999999999999996</v>
      </c>
      <c r="G31" s="173">
        <v>0.1</v>
      </c>
      <c r="H31" s="173">
        <v>29</v>
      </c>
      <c r="J31" s="515"/>
    </row>
    <row r="32" spans="2:10" s="172" customFormat="1" ht="20.100000000000001" customHeight="1">
      <c r="B32" s="275" t="s">
        <v>995</v>
      </c>
      <c r="C32" s="515" t="s">
        <v>1217</v>
      </c>
      <c r="D32" s="174" t="s">
        <v>172</v>
      </c>
      <c r="E32" s="174" t="s">
        <v>172</v>
      </c>
      <c r="F32" s="173">
        <v>0</v>
      </c>
      <c r="G32" s="173">
        <v>1.6</v>
      </c>
      <c r="H32" s="174" t="s">
        <v>172</v>
      </c>
      <c r="J32" s="515"/>
    </row>
    <row r="33" spans="2:10" s="172" customFormat="1" ht="20.100000000000001" customHeight="1">
      <c r="B33" s="275" t="s">
        <v>995</v>
      </c>
      <c r="C33" s="515" t="s">
        <v>1218</v>
      </c>
      <c r="D33" s="174" t="s">
        <v>172</v>
      </c>
      <c r="E33" s="174" t="s">
        <v>172</v>
      </c>
      <c r="F33" s="174" t="s">
        <v>172</v>
      </c>
      <c r="G33" s="174" t="s">
        <v>172</v>
      </c>
      <c r="H33" s="174" t="s">
        <v>172</v>
      </c>
      <c r="J33" s="517"/>
    </row>
    <row r="34" spans="2:10" s="172" customFormat="1" ht="20.100000000000001" customHeight="1">
      <c r="B34" s="275" t="s">
        <v>995</v>
      </c>
      <c r="C34" s="515" t="s">
        <v>1219</v>
      </c>
      <c r="D34" s="173">
        <v>235.1</v>
      </c>
      <c r="E34" s="173">
        <v>13.1</v>
      </c>
      <c r="F34" s="173">
        <v>11.2</v>
      </c>
      <c r="G34" s="173">
        <v>2.9</v>
      </c>
      <c r="H34" s="173">
        <v>8.8000000000000007</v>
      </c>
    </row>
    <row r="35" spans="2:10" s="172" customFormat="1" ht="20.100000000000001" customHeight="1">
      <c r="B35" s="275" t="s">
        <v>995</v>
      </c>
      <c r="C35" s="515" t="s">
        <v>403</v>
      </c>
      <c r="D35" s="174" t="s">
        <v>172</v>
      </c>
      <c r="E35" s="174" t="s">
        <v>172</v>
      </c>
      <c r="F35" s="174" t="s">
        <v>172</v>
      </c>
      <c r="G35" s="174" t="s">
        <v>172</v>
      </c>
      <c r="H35" s="174" t="s">
        <v>172</v>
      </c>
    </row>
    <row r="36" spans="2:10" s="172" customFormat="1" ht="20.100000000000001" customHeight="1">
      <c r="B36" s="275" t="s">
        <v>995</v>
      </c>
      <c r="C36" s="515" t="s">
        <v>395</v>
      </c>
      <c r="D36" s="173">
        <v>1.2</v>
      </c>
      <c r="E36" s="173">
        <v>14.4</v>
      </c>
      <c r="F36" s="173">
        <v>15.3</v>
      </c>
      <c r="G36" s="173">
        <v>2.2000000000000002</v>
      </c>
      <c r="H36" s="173">
        <v>0.5</v>
      </c>
    </row>
    <row r="37" spans="2:10" s="172" customFormat="1" ht="20.100000000000001" customHeight="1">
      <c r="B37" s="275" t="s">
        <v>995</v>
      </c>
      <c r="C37" s="515" t="s">
        <v>396</v>
      </c>
      <c r="D37" s="173">
        <v>0</v>
      </c>
      <c r="E37" s="173">
        <v>0</v>
      </c>
      <c r="F37" s="173">
        <v>0.8</v>
      </c>
      <c r="G37" s="174" t="s">
        <v>172</v>
      </c>
      <c r="H37" s="173">
        <v>0</v>
      </c>
    </row>
    <row r="38" spans="2:10" s="172" customFormat="1" ht="20.100000000000001" customHeight="1">
      <c r="B38" s="275" t="s">
        <v>995</v>
      </c>
      <c r="C38" s="517" t="s">
        <v>1220</v>
      </c>
      <c r="D38" s="173">
        <v>14.5</v>
      </c>
      <c r="E38" s="173">
        <v>17.100000000000001</v>
      </c>
      <c r="F38" s="173">
        <v>69.599999999999994</v>
      </c>
      <c r="G38" s="173">
        <v>1063.7</v>
      </c>
      <c r="H38" s="173">
        <v>41.5</v>
      </c>
    </row>
    <row r="39" spans="2:10" s="172" customFormat="1" ht="20.100000000000001" customHeight="1">
      <c r="B39" s="524" t="s">
        <v>1138</v>
      </c>
      <c r="C39" s="274" t="s">
        <v>1216</v>
      </c>
      <c r="D39" s="173">
        <v>248.1</v>
      </c>
      <c r="E39" s="173">
        <v>129.69999999999999</v>
      </c>
      <c r="F39" s="173">
        <v>162.5</v>
      </c>
      <c r="G39" s="173">
        <v>24.6</v>
      </c>
      <c r="H39" s="173">
        <v>68.599999999999994</v>
      </c>
    </row>
    <row r="40" spans="2:10" s="172" customFormat="1" ht="20.100000000000001" customHeight="1">
      <c r="B40" s="524" t="s">
        <v>1214</v>
      </c>
      <c r="C40" s="274" t="s">
        <v>1216</v>
      </c>
      <c r="D40" s="174" t="s">
        <v>172</v>
      </c>
      <c r="E40" s="173">
        <v>0.1</v>
      </c>
      <c r="F40" s="173">
        <v>4.5</v>
      </c>
      <c r="G40" s="173">
        <v>612.6</v>
      </c>
      <c r="H40" s="173">
        <v>0.1</v>
      </c>
    </row>
    <row r="41" spans="2:10" s="172" customFormat="1" ht="20.100000000000001" customHeight="1">
      <c r="B41" s="524" t="s">
        <v>1215</v>
      </c>
      <c r="C41" s="274" t="s">
        <v>1216</v>
      </c>
      <c r="D41" s="173">
        <v>1.5</v>
      </c>
      <c r="E41" s="173">
        <v>2</v>
      </c>
      <c r="F41" s="173">
        <v>3.1</v>
      </c>
      <c r="G41" s="173">
        <v>26.3</v>
      </c>
      <c r="H41" s="174" t="s">
        <v>172</v>
      </c>
    </row>
    <row r="42" spans="2:10" s="172" customFormat="1" ht="20.100000000000001" customHeight="1">
      <c r="B42" s="525" t="s">
        <v>428</v>
      </c>
      <c r="C42" s="274" t="s">
        <v>1216</v>
      </c>
      <c r="D42" s="173">
        <v>339.5</v>
      </c>
      <c r="E42" s="173">
        <v>63.5</v>
      </c>
      <c r="F42" s="173">
        <v>203.9</v>
      </c>
      <c r="G42" s="173">
        <v>474</v>
      </c>
      <c r="H42" s="173">
        <v>114.2</v>
      </c>
    </row>
    <row r="44" spans="2:10">
      <c r="B44" s="175" t="s">
        <v>948</v>
      </c>
      <c r="C44" s="326"/>
      <c r="D44" s="267"/>
    </row>
    <row r="45" spans="2:10">
      <c r="C45" s="267" t="s">
        <v>949</v>
      </c>
      <c r="D45" s="267" t="s">
        <v>950</v>
      </c>
    </row>
    <row r="46" spans="2:10">
      <c r="B46" s="165" t="s">
        <v>108</v>
      </c>
      <c r="C46" s="166">
        <f>SUM('2019 KESIS Energy Balance'!Z51:AE53,'2019 KESIS Energy Balance'!Z55:AE58,'2019 KESIS Energy Balance'!Z60:AE60,'2019 KESIS Energy Balance'!Z65:AE66)</f>
        <v>2420.297</v>
      </c>
      <c r="D46" s="167">
        <f>C46/SUM($C$46:$C$48)</f>
        <v>0.62041144123886605</v>
      </c>
    </row>
    <row r="47" spans="2:10">
      <c r="B47" s="165" t="s">
        <v>951</v>
      </c>
      <c r="C47" s="166">
        <f>SUM('2019 KESIS Energy Balance'!AF51:AH53,'2019 KESIS Energy Balance'!AF55:AH58,'2019 KESIS Energy Balance'!AF60:AH60,'2019 KESIS Energy Balance'!AF65:AH66)</f>
        <v>542.42100000000005</v>
      </c>
      <c r="D47" s="167">
        <f>C47/SUM($C$46:$C$48)</f>
        <v>0.13904252014039062</v>
      </c>
    </row>
    <row r="48" spans="2:10">
      <c r="B48" s="165" t="s">
        <v>952</v>
      </c>
      <c r="C48" s="166">
        <f>SUM('2019 KESIS Energy Balance'!W51:Y53,'2019 KESIS Energy Balance'!W55:Y58,'2019 KESIS Energy Balance'!W60:Y60,'2019 KESIS Energy Balance'!W65:Y66)</f>
        <v>938.39800000000002</v>
      </c>
      <c r="D48" s="167">
        <f>C48/SUM($C$46:$C$48)</f>
        <v>0.24054603862074339</v>
      </c>
    </row>
    <row r="50" spans="2:5">
      <c r="B50" s="175" t="s">
        <v>953</v>
      </c>
      <c r="C50" s="326"/>
      <c r="D50" s="267"/>
    </row>
    <row r="51" spans="2:5">
      <c r="C51" s="267" t="s">
        <v>949</v>
      </c>
      <c r="D51" s="267" t="s">
        <v>950</v>
      </c>
    </row>
    <row r="52" spans="2:5">
      <c r="B52" s="165" t="s">
        <v>108</v>
      </c>
      <c r="C52" s="166">
        <f>SUM('2022 Energy Balance'!Z51:AE53,'2022 Energy Balance'!Z55:AE58,'2022 Energy Balance'!Z60:AE60,'2022 Energy Balance'!Z65:AE66)</f>
        <v>2200.857</v>
      </c>
      <c r="D52" s="167">
        <f>C52/SUM($C$46:$C$48)</f>
        <v>0.56416087088925326</v>
      </c>
    </row>
    <row r="53" spans="2:5">
      <c r="B53" s="165" t="s">
        <v>951</v>
      </c>
      <c r="C53" s="166">
        <f>SUM('2022 Energy Balance'!AF51:AH53,'2022 Energy Balance'!AF55:AH58,'2022 Energy Balance'!AF60:AH60,'2022 Energy Balance'!AF65:AH66)</f>
        <v>352.24999999999994</v>
      </c>
      <c r="D53" s="167">
        <f>C53/SUM($C$46:$C$48)</f>
        <v>9.02946746520739E-2</v>
      </c>
    </row>
    <row r="54" spans="2:5">
      <c r="B54" s="165" t="s">
        <v>952</v>
      </c>
      <c r="C54" s="166">
        <f>SUM('2022 Energy Balance'!W51:Y53,'2022 Energy Balance'!W55:Y58,'2022 Energy Balance'!W60:Y60,'2022 Energy Balance'!W65:Y66)</f>
        <v>831.9860000000001</v>
      </c>
      <c r="D54" s="167">
        <f>C54/SUM($C$46:$C$48)</f>
        <v>0.21326871592641697</v>
      </c>
    </row>
    <row r="55" spans="2:5" ht="17.399999999999999">
      <c r="B55" s="139" t="s">
        <v>955</v>
      </c>
    </row>
    <row r="56" spans="2:5">
      <c r="B56" s="515" t="s">
        <v>1229</v>
      </c>
      <c r="E56" s="515"/>
    </row>
    <row r="57" spans="2:5">
      <c r="E57" s="515"/>
    </row>
    <row r="59" spans="2:5" ht="17.399999999999999">
      <c r="B59" s="452" t="s">
        <v>1019</v>
      </c>
    </row>
    <row r="60" spans="2:5">
      <c r="B60" s="515" t="s">
        <v>1230</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1020</v>
      </c>
    </row>
    <row r="4" spans="2:14">
      <c r="B4" s="175" t="s">
        <v>957</v>
      </c>
    </row>
    <row r="5" spans="2:14" s="280" customFormat="1" ht="28.8">
      <c r="B5" s="277"/>
      <c r="C5" s="277" t="s">
        <v>958</v>
      </c>
      <c r="D5" s="277" t="s">
        <v>959</v>
      </c>
      <c r="E5" s="278" t="s">
        <v>960</v>
      </c>
      <c r="F5" s="279" t="s">
        <v>961</v>
      </c>
      <c r="G5" s="279" t="s">
        <v>962</v>
      </c>
      <c r="H5" s="279" t="s">
        <v>963</v>
      </c>
      <c r="I5" s="279" t="s">
        <v>964</v>
      </c>
      <c r="J5" s="279" t="s">
        <v>965</v>
      </c>
      <c r="K5" s="279" t="s">
        <v>966</v>
      </c>
      <c r="L5" s="279" t="s">
        <v>951</v>
      </c>
      <c r="M5" s="279" t="s">
        <v>952</v>
      </c>
      <c r="N5" s="279" t="s">
        <v>967</v>
      </c>
    </row>
    <row r="6" spans="2:14" ht="129.6">
      <c r="B6" s="307" t="s">
        <v>69</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309</v>
      </c>
      <c r="L6" s="309">
        <f>SUM(E27:I29)/SUM($E$27:$AD$29)</f>
        <v>0</v>
      </c>
      <c r="M6" s="309">
        <f>SUM(E31:I32)/SUM($E$31:$AD$32)</f>
        <v>4.0089086859688192E-2</v>
      </c>
      <c r="N6" s="181" t="s">
        <v>309</v>
      </c>
    </row>
    <row r="7" spans="2:14" ht="144">
      <c r="B7" s="310" t="s">
        <v>73</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968</v>
      </c>
      <c r="L7" s="312">
        <f>SUM(O27:T29)/SUM($E$27:$AD$29)</f>
        <v>1.515151515151515E-2</v>
      </c>
      <c r="M7" s="312">
        <f>SUM(O31:T32)/SUM($E$31:$AD$32)</f>
        <v>5.1224944320712694E-2</v>
      </c>
      <c r="N7" s="313" t="s">
        <v>968</v>
      </c>
    </row>
    <row r="8" spans="2:14" ht="187.2">
      <c r="B8" s="314" t="s">
        <v>75</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968</v>
      </c>
      <c r="L8" s="316">
        <f>SUM(J27:N29,,U27:V29)/SUM($E$27:$AD$29)</f>
        <v>0.33333333333333337</v>
      </c>
      <c r="M8" s="316">
        <f>SUM(J31:N32,U31:V32)/SUM($E$31:$AD$32)</f>
        <v>0.19376391982182625</v>
      </c>
      <c r="N8" s="317" t="s">
        <v>968</v>
      </c>
    </row>
    <row r="9" spans="2:14" ht="115.2">
      <c r="B9" s="318" t="s">
        <v>77</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968</v>
      </c>
      <c r="L9" s="320">
        <f>SUM(W27:Z29)/SUM($E$27:$AD$29)</f>
        <v>0.10101010101010101</v>
      </c>
      <c r="M9" s="320">
        <f>SUM(W31:Z32)/SUM($E$31:$AD$32)</f>
        <v>0.47216035634743875</v>
      </c>
      <c r="N9" s="321" t="s">
        <v>968</v>
      </c>
    </row>
    <row r="10" spans="2:14" ht="86.4">
      <c r="B10" s="322" t="s">
        <v>80</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968</v>
      </c>
      <c r="L10" s="324">
        <f>SUM(AA27:AD29)/SUM($E$27:$AD$29)</f>
        <v>0.5505050505050505</v>
      </c>
      <c r="M10" s="324">
        <f>SUM(AA31:AD32)/SUM($E$31:$AD$32)</f>
        <v>0.24276169265033407</v>
      </c>
      <c r="N10" s="325" t="s">
        <v>968</v>
      </c>
    </row>
    <row r="11" spans="2:14" s="141" customFormat="1">
      <c r="B11" s="306" t="s">
        <v>1021</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968</v>
      </c>
      <c r="L11" s="269">
        <f t="shared" si="0"/>
        <v>1</v>
      </c>
      <c r="M11" s="269">
        <f t="shared" si="0"/>
        <v>0.99999999999999989</v>
      </c>
      <c r="N11" s="140" t="s">
        <v>968</v>
      </c>
    </row>
    <row r="13" spans="2:14" s="172" customFormat="1">
      <c r="B13" s="175" t="s">
        <v>970</v>
      </c>
      <c r="C13" s="2"/>
    </row>
    <row r="14" spans="2:14" s="172" customFormat="1">
      <c r="B14" s="529" t="s">
        <v>1264</v>
      </c>
      <c r="C14" s="2" t="s">
        <v>972</v>
      </c>
      <c r="D14" s="547" t="s">
        <v>1263</v>
      </c>
    </row>
    <row r="15" spans="2:14" s="172" customFormat="1">
      <c r="B15" s="529" t="s">
        <v>1265</v>
      </c>
      <c r="C15" s="2" t="s">
        <v>1022</v>
      </c>
    </row>
    <row r="16" spans="2:14" s="172" customFormat="1">
      <c r="B16" s="529" t="s">
        <v>1266</v>
      </c>
      <c r="C16" s="2" t="s">
        <v>976</v>
      </c>
    </row>
    <row r="17" spans="2:30" s="172" customFormat="1">
      <c r="B17" s="530" t="s">
        <v>1211</v>
      </c>
      <c r="C17" s="2" t="s">
        <v>978</v>
      </c>
    </row>
    <row r="18" spans="2:30" s="172" customFormat="1" ht="20.100000000000001" customHeight="1">
      <c r="B18" s="543" t="s">
        <v>979</v>
      </c>
      <c r="C18" s="542" t="s">
        <v>1231</v>
      </c>
      <c r="D18" s="584" t="s">
        <v>980</v>
      </c>
      <c r="E18" s="578" t="s">
        <v>981</v>
      </c>
      <c r="F18" s="578" t="s">
        <v>981</v>
      </c>
      <c r="G18" s="578" t="s">
        <v>981</v>
      </c>
      <c r="H18" s="578" t="s">
        <v>981</v>
      </c>
      <c r="I18" s="578" t="s">
        <v>981</v>
      </c>
      <c r="J18" s="578" t="s">
        <v>981</v>
      </c>
      <c r="K18" s="578" t="s">
        <v>981</v>
      </c>
      <c r="L18" s="578" t="s">
        <v>981</v>
      </c>
      <c r="M18" s="578" t="s">
        <v>981</v>
      </c>
      <c r="N18" s="578" t="s">
        <v>981</v>
      </c>
      <c r="O18" s="578" t="s">
        <v>981</v>
      </c>
      <c r="P18" s="578" t="s">
        <v>981</v>
      </c>
      <c r="Q18" s="578" t="s">
        <v>981</v>
      </c>
      <c r="R18" s="578" t="s">
        <v>981</v>
      </c>
      <c r="S18" s="578" t="s">
        <v>981</v>
      </c>
      <c r="T18" s="578" t="s">
        <v>981</v>
      </c>
      <c r="U18" s="578" t="s">
        <v>981</v>
      </c>
      <c r="V18" s="578" t="s">
        <v>981</v>
      </c>
      <c r="W18" s="578" t="s">
        <v>981</v>
      </c>
      <c r="X18" s="578" t="s">
        <v>981</v>
      </c>
      <c r="Y18" s="578" t="s">
        <v>981</v>
      </c>
      <c r="Z18" s="578" t="s">
        <v>981</v>
      </c>
      <c r="AA18" s="578" t="s">
        <v>981</v>
      </c>
      <c r="AB18" s="578" t="s">
        <v>981</v>
      </c>
      <c r="AC18" s="578" t="s">
        <v>981</v>
      </c>
      <c r="AD18" s="578" t="s">
        <v>981</v>
      </c>
    </row>
    <row r="19" spans="2:30" s="172" customFormat="1" ht="20.100000000000001" customHeight="1">
      <c r="B19" s="544" t="s">
        <v>979</v>
      </c>
      <c r="C19" s="541"/>
      <c r="D19" s="585" t="s">
        <v>980</v>
      </c>
      <c r="E19" s="197" t="s">
        <v>1023</v>
      </c>
      <c r="F19" s="197" t="s">
        <v>1024</v>
      </c>
      <c r="G19" s="197" t="s">
        <v>1025</v>
      </c>
      <c r="H19" s="197" t="s">
        <v>1026</v>
      </c>
      <c r="I19" s="197" t="s">
        <v>1027</v>
      </c>
      <c r="J19" s="199" t="s">
        <v>1028</v>
      </c>
      <c r="K19" s="199" t="s">
        <v>1029</v>
      </c>
      <c r="L19" s="199" t="s">
        <v>1030</v>
      </c>
      <c r="M19" s="199" t="s">
        <v>1031</v>
      </c>
      <c r="N19" s="199" t="s">
        <v>1032</v>
      </c>
      <c r="O19" s="198" t="s">
        <v>1033</v>
      </c>
      <c r="P19" s="198" t="s">
        <v>1034</v>
      </c>
      <c r="Q19" s="198" t="s">
        <v>1035</v>
      </c>
      <c r="R19" s="198" t="s">
        <v>1036</v>
      </c>
      <c r="S19" s="198" t="s">
        <v>1037</v>
      </c>
      <c r="T19" s="198" t="s">
        <v>1038</v>
      </c>
      <c r="U19" s="199" t="s">
        <v>1039</v>
      </c>
      <c r="V19" s="199" t="s">
        <v>1040</v>
      </c>
      <c r="W19" s="200" t="s">
        <v>1041</v>
      </c>
      <c r="X19" s="200" t="s">
        <v>1042</v>
      </c>
      <c r="Y19" s="200" t="s">
        <v>1043</v>
      </c>
      <c r="Z19" s="200" t="s">
        <v>1044</v>
      </c>
      <c r="AA19" s="201" t="s">
        <v>1045</v>
      </c>
      <c r="AB19" s="201" t="s">
        <v>1046</v>
      </c>
      <c r="AC19" s="201" t="s">
        <v>1047</v>
      </c>
      <c r="AD19" s="201" t="s">
        <v>1048</v>
      </c>
    </row>
    <row r="20" spans="2:30" s="172" customFormat="1" ht="20.100000000000001" customHeight="1">
      <c r="B20" s="276"/>
      <c r="C20" s="541"/>
      <c r="D20" s="274"/>
      <c r="E20" s="531" t="s">
        <v>1237</v>
      </c>
      <c r="F20" s="197" t="s">
        <v>1238</v>
      </c>
      <c r="G20" s="197" t="s">
        <v>1239</v>
      </c>
      <c r="H20" s="197" t="s">
        <v>1240</v>
      </c>
      <c r="I20" s="197" t="s">
        <v>1241</v>
      </c>
      <c r="J20" s="532" t="s">
        <v>1242</v>
      </c>
      <c r="K20" s="199" t="s">
        <v>1243</v>
      </c>
      <c r="L20" s="199" t="s">
        <v>1244</v>
      </c>
      <c r="M20" s="199" t="s">
        <v>1245</v>
      </c>
      <c r="N20" s="199" t="s">
        <v>1246</v>
      </c>
      <c r="O20" s="533" t="s">
        <v>1247</v>
      </c>
      <c r="P20" s="198" t="s">
        <v>1248</v>
      </c>
      <c r="Q20" s="198" t="s">
        <v>1249</v>
      </c>
      <c r="R20" s="198" t="s">
        <v>1250</v>
      </c>
      <c r="S20" s="198" t="s">
        <v>1251</v>
      </c>
      <c r="T20" s="198" t="s">
        <v>1252</v>
      </c>
      <c r="U20" s="534" t="s">
        <v>1253</v>
      </c>
      <c r="V20" s="199" t="s">
        <v>1254</v>
      </c>
      <c r="W20" s="535" t="s">
        <v>1255</v>
      </c>
      <c r="X20" s="200" t="s">
        <v>1256</v>
      </c>
      <c r="Y20" s="200" t="s">
        <v>1257</v>
      </c>
      <c r="Z20" s="200" t="s">
        <v>1258</v>
      </c>
      <c r="AA20" s="536" t="s">
        <v>1259</v>
      </c>
      <c r="AB20" s="201" t="s">
        <v>1260</v>
      </c>
      <c r="AC20" s="201" t="s">
        <v>1261</v>
      </c>
      <c r="AD20" s="201" t="s">
        <v>1262</v>
      </c>
    </row>
    <row r="21" spans="2:30" s="172" customFormat="1" ht="20.100000000000001" customHeight="1">
      <c r="B21" s="542" t="s">
        <v>1213</v>
      </c>
      <c r="C21" s="537" t="s">
        <v>1216</v>
      </c>
      <c r="D21" s="274" t="s">
        <v>992</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1086</v>
      </c>
      <c r="C22" s="537" t="s">
        <v>1216</v>
      </c>
      <c r="D22" s="274" t="s">
        <v>992</v>
      </c>
      <c r="E22" s="174" t="s">
        <v>172</v>
      </c>
      <c r="F22" s="174" t="s">
        <v>172</v>
      </c>
      <c r="G22" s="174" t="s">
        <v>172</v>
      </c>
      <c r="H22" s="174" t="s">
        <v>172</v>
      </c>
      <c r="I22" s="174" t="s">
        <v>172</v>
      </c>
      <c r="J22" s="174" t="s">
        <v>172</v>
      </c>
      <c r="K22" s="173">
        <v>0.1</v>
      </c>
      <c r="L22" s="173">
        <v>0</v>
      </c>
      <c r="M22" s="174" t="s">
        <v>172</v>
      </c>
      <c r="N22" s="174" t="s">
        <v>172</v>
      </c>
      <c r="O22" s="173">
        <v>0</v>
      </c>
      <c r="P22" s="174" t="s">
        <v>172</v>
      </c>
      <c r="Q22" s="174" t="s">
        <v>172</v>
      </c>
      <c r="R22" s="173">
        <v>0</v>
      </c>
      <c r="S22" s="173">
        <v>0</v>
      </c>
      <c r="T22" s="174" t="s">
        <v>172</v>
      </c>
      <c r="U22" s="173">
        <v>0</v>
      </c>
      <c r="V22" s="173">
        <v>0</v>
      </c>
      <c r="W22" s="174" t="s">
        <v>172</v>
      </c>
      <c r="X22" s="174" t="s">
        <v>172</v>
      </c>
      <c r="Y22" s="174" t="s">
        <v>172</v>
      </c>
      <c r="Z22" s="174" t="s">
        <v>172</v>
      </c>
      <c r="AA22" s="174" t="s">
        <v>172</v>
      </c>
      <c r="AB22" s="174" t="s">
        <v>172</v>
      </c>
      <c r="AC22" s="174" t="s">
        <v>172</v>
      </c>
      <c r="AD22" s="174" t="s">
        <v>172</v>
      </c>
    </row>
    <row r="23" spans="2:30" s="172" customFormat="1" ht="20.100000000000001" customHeight="1">
      <c r="B23" s="546" t="s">
        <v>1126</v>
      </c>
      <c r="C23" s="537" t="s">
        <v>1216</v>
      </c>
      <c r="D23" s="274" t="s">
        <v>992</v>
      </c>
      <c r="E23" s="173">
        <v>1.7</v>
      </c>
      <c r="F23" s="173">
        <v>0.8</v>
      </c>
      <c r="G23" s="173">
        <v>0</v>
      </c>
      <c r="H23" s="173">
        <v>0.3</v>
      </c>
      <c r="I23" s="173">
        <v>0.1</v>
      </c>
      <c r="J23" s="174" t="s">
        <v>172</v>
      </c>
      <c r="K23" s="173">
        <v>1.4</v>
      </c>
      <c r="L23" s="173">
        <v>0.3</v>
      </c>
      <c r="M23" s="173">
        <v>0</v>
      </c>
      <c r="N23" s="174" t="s">
        <v>172</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995</v>
      </c>
      <c r="C24" s="537" t="s">
        <v>1178</v>
      </c>
      <c r="D24" s="274" t="s">
        <v>338</v>
      </c>
      <c r="E24" s="173">
        <v>0</v>
      </c>
      <c r="F24" s="173">
        <v>0</v>
      </c>
      <c r="G24" s="173">
        <v>0</v>
      </c>
      <c r="H24" s="173">
        <v>0</v>
      </c>
      <c r="I24" s="173">
        <v>0</v>
      </c>
      <c r="J24" s="174" t="s">
        <v>172</v>
      </c>
      <c r="K24" s="173">
        <v>0</v>
      </c>
      <c r="L24" s="173">
        <v>0</v>
      </c>
      <c r="M24" s="174" t="s">
        <v>172</v>
      </c>
      <c r="N24" s="174" t="s">
        <v>172</v>
      </c>
      <c r="O24" s="173">
        <v>0</v>
      </c>
      <c r="P24" s="174" t="s">
        <v>172</v>
      </c>
      <c r="Q24" s="173">
        <v>0</v>
      </c>
      <c r="R24" s="173">
        <v>0</v>
      </c>
      <c r="S24" s="173">
        <v>0</v>
      </c>
      <c r="T24" s="173">
        <v>0</v>
      </c>
      <c r="U24" s="173">
        <v>0.6</v>
      </c>
      <c r="V24" s="173">
        <v>0.1</v>
      </c>
      <c r="W24" s="173">
        <v>0.6</v>
      </c>
      <c r="X24" s="173">
        <v>0</v>
      </c>
      <c r="Y24" s="173">
        <v>0.1</v>
      </c>
      <c r="Z24" s="173">
        <v>0</v>
      </c>
      <c r="AA24" s="174" t="s">
        <v>172</v>
      </c>
      <c r="AB24" s="174" t="s">
        <v>172</v>
      </c>
      <c r="AC24" s="174" t="s">
        <v>172</v>
      </c>
      <c r="AD24" s="174" t="s">
        <v>172</v>
      </c>
    </row>
    <row r="25" spans="2:30" s="172" customFormat="1" ht="20.100000000000001" customHeight="1">
      <c r="B25" s="275" t="s">
        <v>995</v>
      </c>
      <c r="C25" s="539" t="s">
        <v>401</v>
      </c>
      <c r="D25" s="274" t="s">
        <v>996</v>
      </c>
      <c r="E25" s="173">
        <v>0</v>
      </c>
      <c r="F25" s="173">
        <v>0.2</v>
      </c>
      <c r="G25" s="173">
        <v>0</v>
      </c>
      <c r="H25" s="173">
        <v>0</v>
      </c>
      <c r="I25" s="173">
        <v>0</v>
      </c>
      <c r="J25" s="174" t="s">
        <v>172</v>
      </c>
      <c r="K25" s="173">
        <v>0.1</v>
      </c>
      <c r="L25" s="173">
        <v>0</v>
      </c>
      <c r="M25" s="174" t="s">
        <v>172</v>
      </c>
      <c r="N25" s="174" t="s">
        <v>172</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995</v>
      </c>
      <c r="C26" s="539" t="s">
        <v>1232</v>
      </c>
      <c r="D26" s="274" t="s">
        <v>343</v>
      </c>
      <c r="E26" s="173">
        <v>0.2</v>
      </c>
      <c r="F26" s="173">
        <v>0.2</v>
      </c>
      <c r="G26" s="173">
        <v>0</v>
      </c>
      <c r="H26" s="173">
        <v>0.1</v>
      </c>
      <c r="I26" s="173">
        <v>0.1</v>
      </c>
      <c r="J26" s="174" t="s">
        <v>172</v>
      </c>
      <c r="K26" s="173">
        <v>0.1</v>
      </c>
      <c r="L26" s="173">
        <v>0.1</v>
      </c>
      <c r="M26" s="173">
        <v>0</v>
      </c>
      <c r="N26" s="174" t="s">
        <v>172</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995</v>
      </c>
      <c r="C27" s="539" t="s">
        <v>1233</v>
      </c>
      <c r="D27" s="274" t="s">
        <v>997</v>
      </c>
      <c r="E27" s="174" t="s">
        <v>172</v>
      </c>
      <c r="F27" s="174" t="s">
        <v>172</v>
      </c>
      <c r="G27" s="174" t="s">
        <v>172</v>
      </c>
      <c r="H27" s="174" t="s">
        <v>172</v>
      </c>
      <c r="I27" s="174" t="s">
        <v>172</v>
      </c>
      <c r="J27" s="174" t="s">
        <v>172</v>
      </c>
      <c r="K27" s="174" t="s">
        <v>172</v>
      </c>
      <c r="L27" s="174" t="s">
        <v>172</v>
      </c>
      <c r="M27" s="174" t="s">
        <v>172</v>
      </c>
      <c r="N27" s="174" t="s">
        <v>172</v>
      </c>
      <c r="O27" s="174" t="s">
        <v>172</v>
      </c>
      <c r="P27" s="174" t="s">
        <v>172</v>
      </c>
      <c r="Q27" s="173">
        <v>0.3</v>
      </c>
      <c r="R27" s="174" t="s">
        <v>172</v>
      </c>
      <c r="S27" s="173">
        <v>0</v>
      </c>
      <c r="T27" s="174" t="s">
        <v>172</v>
      </c>
      <c r="U27" s="173">
        <v>5.4</v>
      </c>
      <c r="V27" s="173">
        <v>0</v>
      </c>
      <c r="W27" s="174" t="s">
        <v>172</v>
      </c>
      <c r="X27" s="174" t="s">
        <v>172</v>
      </c>
      <c r="Y27" s="174" t="s">
        <v>172</v>
      </c>
      <c r="Z27" s="174" t="s">
        <v>172</v>
      </c>
      <c r="AA27" s="173">
        <v>10.9</v>
      </c>
      <c r="AB27" s="174" t="s">
        <v>172</v>
      </c>
      <c r="AC27" s="174" t="s">
        <v>172</v>
      </c>
      <c r="AD27" s="174" t="s">
        <v>172</v>
      </c>
    </row>
    <row r="28" spans="2:30" s="172" customFormat="1" ht="20.100000000000001" customHeight="1">
      <c r="B28" s="275" t="s">
        <v>995</v>
      </c>
      <c r="C28" s="539" t="s">
        <v>1234</v>
      </c>
      <c r="D28" s="274" t="s">
        <v>998</v>
      </c>
      <c r="E28" s="174" t="s">
        <v>172</v>
      </c>
      <c r="F28" s="174" t="s">
        <v>172</v>
      </c>
      <c r="G28" s="174" t="s">
        <v>172</v>
      </c>
      <c r="H28" s="174" t="s">
        <v>172</v>
      </c>
      <c r="I28" s="174" t="s">
        <v>172</v>
      </c>
      <c r="J28" s="174" t="s">
        <v>172</v>
      </c>
      <c r="K28" s="174" t="s">
        <v>172</v>
      </c>
      <c r="L28" s="174" t="s">
        <v>172</v>
      </c>
      <c r="M28" s="174" t="s">
        <v>172</v>
      </c>
      <c r="N28" s="174" t="s">
        <v>172</v>
      </c>
      <c r="O28" s="174" t="s">
        <v>172</v>
      </c>
      <c r="P28" s="174" t="s">
        <v>172</v>
      </c>
      <c r="Q28" s="174" t="s">
        <v>172</v>
      </c>
      <c r="R28" s="174" t="s">
        <v>172</v>
      </c>
      <c r="S28" s="173">
        <v>0</v>
      </c>
      <c r="T28" s="174" t="s">
        <v>172</v>
      </c>
      <c r="U28" s="174" t="s">
        <v>172</v>
      </c>
      <c r="V28" s="174" t="s">
        <v>172</v>
      </c>
      <c r="W28" s="174" t="s">
        <v>172</v>
      </c>
      <c r="X28" s="174" t="s">
        <v>172</v>
      </c>
      <c r="Y28" s="173">
        <v>0</v>
      </c>
      <c r="Z28" s="174" t="s">
        <v>172</v>
      </c>
      <c r="AA28" s="174" t="s">
        <v>172</v>
      </c>
      <c r="AB28" s="174" t="s">
        <v>172</v>
      </c>
      <c r="AC28" s="174" t="s">
        <v>172</v>
      </c>
      <c r="AD28" s="174" t="s">
        <v>172</v>
      </c>
    </row>
    <row r="29" spans="2:30" s="172" customFormat="1" ht="20.100000000000001" customHeight="1">
      <c r="B29" s="275" t="s">
        <v>995</v>
      </c>
      <c r="C29" s="539" t="s">
        <v>1235</v>
      </c>
      <c r="D29" s="274" t="s">
        <v>999</v>
      </c>
      <c r="E29" s="174" t="s">
        <v>172</v>
      </c>
      <c r="F29" s="173">
        <v>0</v>
      </c>
      <c r="G29" s="174" t="s">
        <v>172</v>
      </c>
      <c r="H29" s="173">
        <v>0</v>
      </c>
      <c r="I29" s="174" t="s">
        <v>172</v>
      </c>
      <c r="J29" s="174" t="s">
        <v>172</v>
      </c>
      <c r="K29" s="174" t="s">
        <v>172</v>
      </c>
      <c r="L29" s="173">
        <v>0</v>
      </c>
      <c r="M29" s="173">
        <v>0</v>
      </c>
      <c r="N29" s="174" t="s">
        <v>172</v>
      </c>
      <c r="O29" s="173">
        <v>0</v>
      </c>
      <c r="P29" s="174" t="s">
        <v>172</v>
      </c>
      <c r="Q29" s="174" t="s">
        <v>172</v>
      </c>
      <c r="R29" s="173">
        <v>0</v>
      </c>
      <c r="S29" s="174" t="s">
        <v>172</v>
      </c>
      <c r="T29" s="173">
        <v>0</v>
      </c>
      <c r="U29" s="173">
        <v>0.9</v>
      </c>
      <c r="V29" s="173">
        <v>0.3</v>
      </c>
      <c r="W29" s="174" t="s">
        <v>172</v>
      </c>
      <c r="X29" s="174" t="s">
        <v>172</v>
      </c>
      <c r="Y29" s="173">
        <v>2</v>
      </c>
      <c r="Z29" s="174" t="s">
        <v>172</v>
      </c>
      <c r="AA29" s="174" t="s">
        <v>172</v>
      </c>
      <c r="AB29" s="173">
        <v>0</v>
      </c>
      <c r="AC29" s="174" t="s">
        <v>172</v>
      </c>
      <c r="AD29" s="174" t="s">
        <v>172</v>
      </c>
    </row>
    <row r="30" spans="2:30" s="172" customFormat="1" ht="20.100000000000001" customHeight="1">
      <c r="B30" s="275" t="s">
        <v>995</v>
      </c>
      <c r="C30" s="539" t="s">
        <v>403</v>
      </c>
      <c r="D30" s="274" t="s">
        <v>347</v>
      </c>
      <c r="E30" s="174" t="s">
        <v>172</v>
      </c>
      <c r="F30" s="174" t="s">
        <v>172</v>
      </c>
      <c r="G30" s="174" t="s">
        <v>172</v>
      </c>
      <c r="H30" s="174" t="s">
        <v>172</v>
      </c>
      <c r="I30" s="174" t="s">
        <v>172</v>
      </c>
      <c r="J30" s="174" t="s">
        <v>172</v>
      </c>
      <c r="K30" s="174" t="s">
        <v>172</v>
      </c>
      <c r="L30" s="174" t="s">
        <v>172</v>
      </c>
      <c r="M30" s="174" t="s">
        <v>172</v>
      </c>
      <c r="N30" s="174" t="s">
        <v>172</v>
      </c>
      <c r="O30" s="174" t="s">
        <v>172</v>
      </c>
      <c r="P30" s="174" t="s">
        <v>172</v>
      </c>
      <c r="Q30" s="174" t="s">
        <v>172</v>
      </c>
      <c r="R30" s="174" t="s">
        <v>172</v>
      </c>
      <c r="S30" s="174" t="s">
        <v>172</v>
      </c>
      <c r="T30" s="174" t="s">
        <v>172</v>
      </c>
      <c r="U30" s="174" t="s">
        <v>172</v>
      </c>
      <c r="V30" s="174" t="s">
        <v>172</v>
      </c>
      <c r="W30" s="174" t="s">
        <v>172</v>
      </c>
      <c r="X30" s="174" t="s">
        <v>172</v>
      </c>
      <c r="Y30" s="173">
        <v>0.2</v>
      </c>
      <c r="Z30" s="174" t="s">
        <v>172</v>
      </c>
      <c r="AA30" s="174" t="s">
        <v>172</v>
      </c>
      <c r="AB30" s="174" t="s">
        <v>172</v>
      </c>
      <c r="AC30" s="174" t="s">
        <v>172</v>
      </c>
      <c r="AD30" s="174" t="s">
        <v>172</v>
      </c>
    </row>
    <row r="31" spans="2:30" s="172" customFormat="1" ht="20.100000000000001" customHeight="1">
      <c r="B31" s="275" t="s">
        <v>995</v>
      </c>
      <c r="C31" s="539" t="s">
        <v>395</v>
      </c>
      <c r="D31" s="274" t="s">
        <v>336</v>
      </c>
      <c r="E31" s="173">
        <v>1.5</v>
      </c>
      <c r="F31" s="173">
        <v>0.1</v>
      </c>
      <c r="G31" s="173">
        <v>0</v>
      </c>
      <c r="H31" s="173">
        <v>0</v>
      </c>
      <c r="I31" s="174" t="s">
        <v>172</v>
      </c>
      <c r="J31" s="174" t="s">
        <v>172</v>
      </c>
      <c r="K31" s="173">
        <v>1.2</v>
      </c>
      <c r="L31" s="173">
        <v>0.1</v>
      </c>
      <c r="M31" s="173">
        <v>0</v>
      </c>
      <c r="N31" s="174" t="s">
        <v>172</v>
      </c>
      <c r="O31" s="173">
        <v>0.1</v>
      </c>
      <c r="P31" s="174" t="s">
        <v>172</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995</v>
      </c>
      <c r="C32" s="539" t="s">
        <v>396</v>
      </c>
      <c r="D32" s="274" t="s">
        <v>337</v>
      </c>
      <c r="E32" s="174" t="s">
        <v>172</v>
      </c>
      <c r="F32" s="174" t="s">
        <v>172</v>
      </c>
      <c r="G32" s="174" t="s">
        <v>172</v>
      </c>
      <c r="H32" s="173">
        <v>0.2</v>
      </c>
      <c r="I32" s="173">
        <v>0</v>
      </c>
      <c r="J32" s="174" t="s">
        <v>172</v>
      </c>
      <c r="K32" s="173">
        <v>0</v>
      </c>
      <c r="L32" s="173">
        <v>0</v>
      </c>
      <c r="M32" s="173">
        <v>0</v>
      </c>
      <c r="N32" s="174" t="s">
        <v>172</v>
      </c>
      <c r="O32" s="173">
        <v>0.2</v>
      </c>
      <c r="P32" s="174" t="s">
        <v>172</v>
      </c>
      <c r="Q32" s="173">
        <v>0</v>
      </c>
      <c r="R32" s="173">
        <v>0</v>
      </c>
      <c r="S32" s="173">
        <v>0</v>
      </c>
      <c r="T32" s="173">
        <v>0</v>
      </c>
      <c r="U32" s="173">
        <v>0.6</v>
      </c>
      <c r="V32" s="173">
        <v>0</v>
      </c>
      <c r="W32" s="173">
        <v>0.1</v>
      </c>
      <c r="X32" s="173">
        <v>0</v>
      </c>
      <c r="Y32" s="173">
        <v>0.6</v>
      </c>
      <c r="Z32" s="173">
        <v>0</v>
      </c>
      <c r="AA32" s="173">
        <v>2.5</v>
      </c>
      <c r="AB32" s="173">
        <v>0</v>
      </c>
      <c r="AC32" s="173">
        <v>0</v>
      </c>
      <c r="AD32" s="174" t="s">
        <v>172</v>
      </c>
    </row>
    <row r="33" spans="2:30" s="172" customFormat="1" ht="20.100000000000001" customHeight="1">
      <c r="B33" s="541" t="s">
        <v>995</v>
      </c>
      <c r="C33" s="539" t="s">
        <v>1236</v>
      </c>
      <c r="D33" s="274" t="s">
        <v>1000</v>
      </c>
      <c r="E33" s="174" t="s">
        <v>172</v>
      </c>
      <c r="F33" s="173">
        <v>0.3</v>
      </c>
      <c r="G33" s="174" t="s">
        <v>172</v>
      </c>
      <c r="H33" s="174" t="s">
        <v>172</v>
      </c>
      <c r="I33" s="174" t="s">
        <v>172</v>
      </c>
      <c r="J33" s="174" t="s">
        <v>172</v>
      </c>
      <c r="K33" s="174" t="s">
        <v>172</v>
      </c>
      <c r="L33" s="174" t="s">
        <v>172</v>
      </c>
      <c r="M33" s="174" t="s">
        <v>172</v>
      </c>
      <c r="N33" s="174" t="s">
        <v>172</v>
      </c>
      <c r="O33" s="173">
        <v>0</v>
      </c>
      <c r="P33" s="174" t="s">
        <v>172</v>
      </c>
      <c r="Q33" s="173">
        <v>0</v>
      </c>
      <c r="R33" s="173">
        <v>0.1</v>
      </c>
      <c r="S33" s="173">
        <v>0.3</v>
      </c>
      <c r="T33" s="174" t="s">
        <v>172</v>
      </c>
      <c r="U33" s="173">
        <v>0.1</v>
      </c>
      <c r="V33" s="173">
        <v>0.2</v>
      </c>
      <c r="W33" s="174" t="s">
        <v>172</v>
      </c>
      <c r="X33" s="174" t="s">
        <v>172</v>
      </c>
      <c r="Y33" s="173">
        <v>1</v>
      </c>
      <c r="Z33" s="174" t="s">
        <v>172</v>
      </c>
      <c r="AA33" s="173">
        <v>5.7</v>
      </c>
      <c r="AB33" s="174" t="s">
        <v>172</v>
      </c>
      <c r="AC33" s="173">
        <v>7.1</v>
      </c>
      <c r="AD33" s="174" t="s">
        <v>172</v>
      </c>
    </row>
    <row r="34" spans="2:30" s="172" customFormat="1" ht="20.100000000000001" customHeight="1">
      <c r="B34" s="540" t="s">
        <v>1138</v>
      </c>
      <c r="C34" s="537" t="s">
        <v>1216</v>
      </c>
      <c r="D34" s="274" t="s">
        <v>992</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1214</v>
      </c>
      <c r="C35" s="537" t="s">
        <v>1216</v>
      </c>
      <c r="D35" s="274" t="s">
        <v>992</v>
      </c>
      <c r="E35" s="173">
        <v>3</v>
      </c>
      <c r="F35" s="174" t="s">
        <v>172</v>
      </c>
      <c r="G35" s="174" t="s">
        <v>172</v>
      </c>
      <c r="H35" s="174" t="s">
        <v>172</v>
      </c>
      <c r="I35" s="174" t="s">
        <v>172</v>
      </c>
      <c r="J35" s="174" t="s">
        <v>172</v>
      </c>
      <c r="K35" s="173">
        <v>0</v>
      </c>
      <c r="L35" s="173">
        <v>0.2</v>
      </c>
      <c r="M35" s="174" t="s">
        <v>172</v>
      </c>
      <c r="N35" s="174" t="s">
        <v>172</v>
      </c>
      <c r="O35" s="173">
        <v>0</v>
      </c>
      <c r="P35" s="174" t="s">
        <v>172</v>
      </c>
      <c r="Q35" s="174" t="s">
        <v>172</v>
      </c>
      <c r="R35" s="174" t="s">
        <v>172</v>
      </c>
      <c r="S35" s="173">
        <v>0</v>
      </c>
      <c r="T35" s="174" t="s">
        <v>172</v>
      </c>
      <c r="U35" s="174" t="s">
        <v>172</v>
      </c>
      <c r="V35" s="173">
        <v>0</v>
      </c>
      <c r="W35" s="174" t="s">
        <v>172</v>
      </c>
      <c r="X35" s="174" t="s">
        <v>172</v>
      </c>
      <c r="Y35" s="174" t="s">
        <v>172</v>
      </c>
      <c r="Z35" s="174" t="s">
        <v>172</v>
      </c>
      <c r="AA35" s="174" t="s">
        <v>172</v>
      </c>
      <c r="AB35" s="174" t="s">
        <v>172</v>
      </c>
      <c r="AC35" s="174" t="s">
        <v>172</v>
      </c>
      <c r="AD35" s="174" t="s">
        <v>172</v>
      </c>
    </row>
    <row r="36" spans="2:30" s="172" customFormat="1" ht="20.100000000000001" customHeight="1">
      <c r="B36" s="537" t="s">
        <v>1215</v>
      </c>
      <c r="C36" s="538" t="s">
        <v>1216</v>
      </c>
      <c r="D36" s="274" t="s">
        <v>992</v>
      </c>
      <c r="E36" s="173">
        <v>80.599999999999994</v>
      </c>
      <c r="F36" s="173">
        <v>59.3</v>
      </c>
      <c r="G36" s="174" t="s">
        <v>172</v>
      </c>
      <c r="H36" s="173">
        <v>4.2</v>
      </c>
      <c r="I36" s="173">
        <v>1.1000000000000001</v>
      </c>
      <c r="J36" s="174" t="s">
        <v>172</v>
      </c>
      <c r="K36" s="174" t="s">
        <v>172</v>
      </c>
      <c r="L36" s="174" t="s">
        <v>172</v>
      </c>
      <c r="M36" s="174" t="s">
        <v>172</v>
      </c>
      <c r="N36" s="174" t="s">
        <v>172</v>
      </c>
      <c r="O36" s="173">
        <v>2</v>
      </c>
      <c r="P36" s="173">
        <v>24.7</v>
      </c>
      <c r="Q36" s="173">
        <v>0.3</v>
      </c>
      <c r="R36" s="173">
        <v>0</v>
      </c>
      <c r="S36" s="173">
        <v>2.6</v>
      </c>
      <c r="T36" s="174" t="s">
        <v>172</v>
      </c>
      <c r="U36" s="173">
        <v>0.8</v>
      </c>
      <c r="V36" s="173">
        <v>0.5</v>
      </c>
      <c r="W36" s="173">
        <v>4.5999999999999996</v>
      </c>
      <c r="X36" s="174" t="s">
        <v>172</v>
      </c>
      <c r="Y36" s="173">
        <v>0.7</v>
      </c>
      <c r="Z36" s="174" t="s">
        <v>172</v>
      </c>
      <c r="AA36" s="174" t="s">
        <v>172</v>
      </c>
      <c r="AB36" s="173">
        <v>0</v>
      </c>
      <c r="AC36" s="174" t="s">
        <v>172</v>
      </c>
      <c r="AD36" s="174" t="s">
        <v>172</v>
      </c>
    </row>
    <row r="37" spans="2:30" s="172" customFormat="1" ht="20.100000000000001" customHeight="1">
      <c r="B37" s="538" t="s">
        <v>428</v>
      </c>
      <c r="C37" s="538" t="s">
        <v>1216</v>
      </c>
      <c r="D37" s="276" t="s">
        <v>992</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948</v>
      </c>
      <c r="C39" s="326"/>
      <c r="D39" s="267"/>
    </row>
    <row r="40" spans="2:30">
      <c r="C40" s="267" t="s">
        <v>949</v>
      </c>
      <c r="D40" s="267" t="s">
        <v>950</v>
      </c>
    </row>
    <row r="41" spans="2:30">
      <c r="B41" s="165" t="s">
        <v>108</v>
      </c>
      <c r="C41" s="166">
        <f>SUM('2019 KESIS Energy Balance'!Z63:AE64)</f>
        <v>162.25</v>
      </c>
      <c r="D41" s="167">
        <f>C41/SUM($C$41:$C$43)</f>
        <v>0.53352756257645306</v>
      </c>
    </row>
    <row r="42" spans="2:30">
      <c r="B42" s="165" t="s">
        <v>951</v>
      </c>
      <c r="C42" s="166">
        <f>SUM('2019 KESIS Energy Balance'!AF63:AH64)</f>
        <v>84.221000000000004</v>
      </c>
      <c r="D42" s="167">
        <f>C42/SUM($C$41:$C$43)</f>
        <v>0.27694437502466229</v>
      </c>
    </row>
    <row r="43" spans="2:30">
      <c r="B43" s="165" t="s">
        <v>952</v>
      </c>
      <c r="C43" s="166">
        <f>SUM('2019 KESIS Energy Balance'!W63:Y64)</f>
        <v>57.636999999999993</v>
      </c>
      <c r="D43" s="167">
        <f>C43/SUM($C$41:$C$43)</f>
        <v>0.18952806239888459</v>
      </c>
    </row>
    <row r="45" spans="2:30">
      <c r="B45" s="175" t="s">
        <v>953</v>
      </c>
      <c r="C45" s="326"/>
      <c r="D45" s="267"/>
    </row>
    <row r="46" spans="2:30">
      <c r="C46" s="267" t="s">
        <v>949</v>
      </c>
      <c r="D46" s="267" t="s">
        <v>950</v>
      </c>
    </row>
    <row r="47" spans="2:30">
      <c r="B47" s="165" t="s">
        <v>108</v>
      </c>
      <c r="C47" s="166">
        <f>SUM('2022 Energy Balance'!Z63:AE64)</f>
        <v>169.16900000000001</v>
      </c>
      <c r="D47" s="167">
        <f>C47/SUM($C$41:$C$43)</f>
        <v>0.55627934812632363</v>
      </c>
    </row>
    <row r="48" spans="2:30">
      <c r="B48" s="165" t="s">
        <v>951</v>
      </c>
      <c r="C48" s="166">
        <f>SUM('2022 Energy Balance'!AF63:AH64)</f>
        <v>103.83099999999999</v>
      </c>
      <c r="D48" s="167">
        <f>C48/SUM($C$41:$C$43)</f>
        <v>0.34142804529969611</v>
      </c>
    </row>
    <row r="49" spans="2:4">
      <c r="B49" s="165" t="s">
        <v>952</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1202</v>
      </c>
    </row>
    <row r="2" spans="1:12" s="352" customFormat="1" ht="17.399999999999999">
      <c r="B2" s="366" t="s">
        <v>1201</v>
      </c>
    </row>
    <row r="3" spans="1:12">
      <c r="C3" s="519" t="s">
        <v>1173</v>
      </c>
      <c r="D3" t="s">
        <v>1174</v>
      </c>
      <c r="E3" t="s">
        <v>1175</v>
      </c>
      <c r="F3" t="s">
        <v>1176</v>
      </c>
      <c r="G3" t="s">
        <v>1177</v>
      </c>
      <c r="H3" t="s">
        <v>1178</v>
      </c>
      <c r="I3" t="s">
        <v>1179</v>
      </c>
      <c r="J3" t="s">
        <v>1180</v>
      </c>
    </row>
    <row r="4" spans="1:12">
      <c r="B4" s="276"/>
      <c r="C4" s="354" t="s">
        <v>1049</v>
      </c>
      <c r="D4" s="354" t="s">
        <v>1050</v>
      </c>
      <c r="E4" s="354" t="s">
        <v>1051</v>
      </c>
      <c r="F4" s="354" t="s">
        <v>1052</v>
      </c>
      <c r="G4" s="354" t="s">
        <v>1053</v>
      </c>
      <c r="H4" s="354" t="s">
        <v>1054</v>
      </c>
      <c r="I4" s="354" t="s">
        <v>1055</v>
      </c>
      <c r="J4" s="355" t="s">
        <v>200</v>
      </c>
      <c r="K4" s="357"/>
    </row>
    <row r="5" spans="1:12">
      <c r="A5" s="515" t="s">
        <v>1184</v>
      </c>
      <c r="B5" s="273" t="s">
        <v>1056</v>
      </c>
      <c r="C5" s="273">
        <v>20.6</v>
      </c>
      <c r="D5" s="368">
        <v>4569</v>
      </c>
      <c r="E5" s="358">
        <f>D5/$D$24</f>
        <v>0.27649016641452345</v>
      </c>
      <c r="F5" s="369">
        <f>C5*D5</f>
        <v>94121.400000000009</v>
      </c>
      <c r="G5" s="376">
        <v>0</v>
      </c>
      <c r="H5" s="376">
        <v>0</v>
      </c>
      <c r="I5" s="377">
        <v>1</v>
      </c>
      <c r="J5" s="378">
        <v>0</v>
      </c>
      <c r="K5" t="s">
        <v>1057</v>
      </c>
    </row>
    <row r="6" spans="1:12">
      <c r="A6" s="515" t="s">
        <v>1185</v>
      </c>
      <c r="B6" s="276" t="s">
        <v>1058</v>
      </c>
      <c r="C6" s="276">
        <v>19.399999999999999</v>
      </c>
      <c r="D6" s="371"/>
      <c r="E6" s="372"/>
      <c r="F6" s="371"/>
      <c r="G6" s="372"/>
      <c r="H6" s="372"/>
      <c r="I6" s="372"/>
      <c r="J6" s="373"/>
    </row>
    <row r="7" spans="1:12">
      <c r="A7" s="515" t="s">
        <v>1186</v>
      </c>
      <c r="B7" s="276" t="s">
        <v>1059</v>
      </c>
      <c r="C7" s="276">
        <v>35</v>
      </c>
      <c r="D7" s="371"/>
      <c r="E7" s="372"/>
      <c r="F7" s="371"/>
      <c r="G7" s="372"/>
      <c r="H7" s="372"/>
      <c r="I7" s="372"/>
      <c r="J7" s="373"/>
    </row>
    <row r="8" spans="1:12">
      <c r="A8" s="515" t="s">
        <v>1187</v>
      </c>
      <c r="B8" s="276" t="s">
        <v>1060</v>
      </c>
      <c r="C8" s="276">
        <v>62.6</v>
      </c>
      <c r="D8" s="371"/>
      <c r="E8" s="372"/>
      <c r="F8" s="371"/>
      <c r="G8" s="372"/>
      <c r="H8" s="372"/>
      <c r="I8" s="372"/>
      <c r="J8" s="374"/>
    </row>
    <row r="9" spans="1:12">
      <c r="A9" s="515" t="s">
        <v>1188</v>
      </c>
      <c r="B9" s="273" t="s">
        <v>1061</v>
      </c>
      <c r="C9" s="273">
        <v>1.9</v>
      </c>
      <c r="D9" s="368">
        <v>6742</v>
      </c>
      <c r="E9" s="358">
        <f>D9/$D$24</f>
        <v>0.40798789712556732</v>
      </c>
      <c r="F9" s="369">
        <f>C9*D9</f>
        <v>12809.8</v>
      </c>
      <c r="G9" s="378">
        <v>0.75</v>
      </c>
      <c r="H9" s="378">
        <v>0.25</v>
      </c>
      <c r="I9" s="378">
        <v>0</v>
      </c>
      <c r="J9" s="378">
        <v>0</v>
      </c>
    </row>
    <row r="10" spans="1:12">
      <c r="A10" s="515" t="s">
        <v>1189</v>
      </c>
      <c r="B10" s="276" t="s">
        <v>1062</v>
      </c>
      <c r="C10" s="276">
        <v>1.7</v>
      </c>
      <c r="D10" s="371"/>
      <c r="E10" s="372"/>
      <c r="F10" s="371">
        <f>C10*E10</f>
        <v>0</v>
      </c>
      <c r="G10" s="379">
        <v>0.75</v>
      </c>
      <c r="H10" s="379">
        <v>0.25</v>
      </c>
      <c r="I10" s="276">
        <v>0</v>
      </c>
      <c r="J10" s="276">
        <v>0</v>
      </c>
    </row>
    <row r="11" spans="1:12">
      <c r="A11" s="515" t="s">
        <v>1190</v>
      </c>
      <c r="B11" s="276" t="s">
        <v>1063</v>
      </c>
      <c r="C11" s="276">
        <v>9.6</v>
      </c>
      <c r="D11" s="371"/>
      <c r="E11" s="372"/>
      <c r="F11" s="371">
        <f>C11*E11</f>
        <v>0</v>
      </c>
      <c r="G11" s="379">
        <v>0.75</v>
      </c>
      <c r="H11" s="379">
        <v>0.25</v>
      </c>
      <c r="I11" s="276">
        <v>0</v>
      </c>
      <c r="J11" s="276">
        <v>0</v>
      </c>
    </row>
    <row r="12" spans="1:12">
      <c r="A12" s="515" t="s">
        <v>1191</v>
      </c>
      <c r="B12" s="273" t="s">
        <v>1064</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1192</v>
      </c>
      <c r="B13" s="276" t="s">
        <v>1065</v>
      </c>
      <c r="C13" s="276">
        <v>8.6</v>
      </c>
      <c r="D13" s="371"/>
      <c r="E13" s="372"/>
      <c r="F13" s="371">
        <f>C13*E13</f>
        <v>0</v>
      </c>
      <c r="G13" s="379">
        <v>0.76</v>
      </c>
      <c r="H13" s="379">
        <v>0.22</v>
      </c>
      <c r="I13" s="379">
        <v>0.01</v>
      </c>
      <c r="J13" s="379">
        <v>0.01</v>
      </c>
    </row>
    <row r="14" spans="1:12">
      <c r="A14" s="515" t="s">
        <v>1193</v>
      </c>
      <c r="B14" s="276" t="s">
        <v>1066</v>
      </c>
      <c r="C14" s="276">
        <v>13.4</v>
      </c>
      <c r="D14" s="371"/>
      <c r="E14" s="372"/>
      <c r="F14" s="371">
        <f>C14*E14</f>
        <v>0</v>
      </c>
      <c r="G14" s="379">
        <v>0.86</v>
      </c>
      <c r="H14" s="379">
        <v>0.12</v>
      </c>
      <c r="I14" s="379">
        <v>0</v>
      </c>
      <c r="J14" s="379">
        <v>0.02</v>
      </c>
    </row>
    <row r="15" spans="1:12">
      <c r="A15" s="515" t="s">
        <v>1194</v>
      </c>
      <c r="B15" s="273" t="s">
        <v>1067</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1057</v>
      </c>
      <c r="L15" s="515" t="s">
        <v>1181</v>
      </c>
    </row>
    <row r="16" spans="1:12">
      <c r="A16" s="515" t="s">
        <v>1195</v>
      </c>
      <c r="B16" s="276" t="s">
        <v>1068</v>
      </c>
      <c r="C16" s="276">
        <v>24.4</v>
      </c>
      <c r="D16" s="371"/>
      <c r="E16" s="372"/>
      <c r="F16" s="371">
        <f>C16*E16</f>
        <v>0</v>
      </c>
      <c r="G16" s="379">
        <f>1-I16</f>
        <v>0.43000000000000005</v>
      </c>
      <c r="H16" s="276">
        <v>0</v>
      </c>
      <c r="I16" s="379">
        <v>0.56999999999999995</v>
      </c>
      <c r="J16" s="276">
        <v>0</v>
      </c>
      <c r="L16" s="516"/>
    </row>
    <row r="17" spans="1:12">
      <c r="A17" s="515" t="s">
        <v>1196</v>
      </c>
      <c r="B17" s="276" t="s">
        <v>1069</v>
      </c>
      <c r="C17" s="276">
        <v>20</v>
      </c>
      <c r="D17" s="371"/>
      <c r="E17" s="372"/>
      <c r="F17" s="371">
        <f>C17*E17</f>
        <v>0</v>
      </c>
      <c r="G17" s="379">
        <v>0.77</v>
      </c>
      <c r="H17" s="276">
        <v>0</v>
      </c>
      <c r="I17" s="379">
        <f>1-G17</f>
        <v>0.22999999999999998</v>
      </c>
      <c r="J17" s="276">
        <v>0</v>
      </c>
    </row>
    <row r="18" spans="1:12">
      <c r="A18" s="515" t="s">
        <v>1197</v>
      </c>
      <c r="B18" s="273" t="s">
        <v>1070</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1071</v>
      </c>
      <c r="L18" s="515" t="s">
        <v>1182</v>
      </c>
    </row>
    <row r="19" spans="1:12">
      <c r="A19" s="515" t="s">
        <v>1198</v>
      </c>
      <c r="B19" s="276" t="s">
        <v>1072</v>
      </c>
      <c r="C19" s="276">
        <v>21.6</v>
      </c>
      <c r="D19" s="371"/>
      <c r="E19" s="372"/>
      <c r="F19" s="371">
        <f>C19*E19</f>
        <v>0</v>
      </c>
      <c r="G19" s="372"/>
      <c r="H19" s="372"/>
      <c r="I19" s="372"/>
      <c r="J19" s="372"/>
    </row>
    <row r="20" spans="1:12">
      <c r="A20" s="515" t="s">
        <v>1199</v>
      </c>
      <c r="B20" s="276" t="s">
        <v>1073</v>
      </c>
      <c r="C20" s="276">
        <v>58.3</v>
      </c>
      <c r="D20" s="371"/>
      <c r="E20" s="372"/>
      <c r="F20" s="371">
        <f>C20*E20</f>
        <v>0</v>
      </c>
      <c r="G20" s="372"/>
      <c r="H20" s="372"/>
      <c r="I20" s="372"/>
      <c r="J20" s="372"/>
      <c r="L20" s="520"/>
    </row>
    <row r="21" spans="1:12">
      <c r="A21" s="515" t="s">
        <v>1200</v>
      </c>
      <c r="B21" s="273" t="s">
        <v>1074</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1075</v>
      </c>
      <c r="L21" s="517" t="s">
        <v>1183</v>
      </c>
    </row>
    <row r="22" spans="1:12">
      <c r="A22" s="515" t="s">
        <v>1198</v>
      </c>
      <c r="B22" s="276" t="s">
        <v>1072</v>
      </c>
      <c r="C22" s="276">
        <v>10.6</v>
      </c>
      <c r="D22" s="371"/>
      <c r="E22" s="372"/>
      <c r="F22" s="371">
        <f>C22*E22</f>
        <v>0</v>
      </c>
      <c r="G22" s="372"/>
      <c r="H22" s="372"/>
      <c r="I22" s="372"/>
      <c r="J22" s="372"/>
    </row>
    <row r="23" spans="1:12">
      <c r="A23" s="515" t="s">
        <v>1199</v>
      </c>
      <c r="B23" s="276" t="s">
        <v>1073</v>
      </c>
      <c r="C23" s="276">
        <v>16</v>
      </c>
      <c r="D23" s="371"/>
      <c r="E23" s="372"/>
      <c r="F23" s="371">
        <f>C23*E23</f>
        <v>0</v>
      </c>
      <c r="G23" s="372"/>
      <c r="H23" s="372"/>
      <c r="I23" s="372"/>
      <c r="J23" s="372"/>
    </row>
    <row r="24" spans="1:12" s="353" customFormat="1">
      <c r="B24" s="356" t="s">
        <v>1076</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1206</v>
      </c>
    </row>
    <row r="28" spans="1:12" s="352" customFormat="1">
      <c r="B28" s="366" t="s">
        <v>1077</v>
      </c>
    </row>
    <row r="30" spans="1:12">
      <c r="B30" s="276" t="s">
        <v>1078</v>
      </c>
      <c r="C30" s="351">
        <v>250.2</v>
      </c>
    </row>
    <row r="31" spans="1:12">
      <c r="B31" s="276" t="s">
        <v>114</v>
      </c>
      <c r="C31" s="389">
        <f>C30*About!$C$89/1000</f>
        <v>9922098411162</v>
      </c>
    </row>
    <row r="32" spans="1:12">
      <c r="C32" s="521"/>
    </row>
    <row r="33" spans="1:35">
      <c r="C33" s="521"/>
    </row>
    <row r="34" spans="1:35">
      <c r="C34" s="521"/>
    </row>
    <row r="35" spans="1:35" ht="21">
      <c r="B35" s="518" t="s">
        <v>1203</v>
      </c>
    </row>
    <row r="36" spans="1:35" s="352" customFormat="1" ht="17.399999999999999">
      <c r="B36" s="366" t="s">
        <v>1079</v>
      </c>
    </row>
    <row r="37" spans="1:35" s="383" customFormat="1">
      <c r="B37" s="382"/>
      <c r="C37" t="s">
        <v>1177</v>
      </c>
      <c r="D37" t="s">
        <v>1178</v>
      </c>
      <c r="E37" t="s">
        <v>1179</v>
      </c>
      <c r="F37" t="s">
        <v>1180</v>
      </c>
    </row>
    <row r="38" spans="1:35">
      <c r="C38" s="354" t="s">
        <v>1053</v>
      </c>
      <c r="D38" s="354" t="s">
        <v>1054</v>
      </c>
      <c r="E38" s="354" t="s">
        <v>1055</v>
      </c>
      <c r="F38" s="355" t="s">
        <v>200</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1204</v>
      </c>
    </row>
    <row r="42" spans="1:35" s="352" customFormat="1" ht="17.399999999999999">
      <c r="B42" s="366" t="s">
        <v>1080</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1205</v>
      </c>
      <c r="B45" s="363" t="s">
        <v>1081</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1082</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1055</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4.4"/>
  <cols>
    <col min="1" max="1" width="29.6640625" customWidth="1"/>
    <col min="2" max="2" width="11.6640625" bestFit="1" customWidth="1"/>
    <col min="6" max="6" width="8.6640625"/>
  </cols>
  <sheetData>
    <row r="1" spans="1:33">
      <c r="A1" t="s">
        <v>1083</v>
      </c>
      <c r="B1" t="s">
        <v>1084</v>
      </c>
      <c r="C1" t="s">
        <v>1085</v>
      </c>
      <c r="D1">
        <v>2019</v>
      </c>
    </row>
    <row r="3" spans="1:33" ht="43.2">
      <c r="B3" s="403" t="s">
        <v>1086</v>
      </c>
      <c r="C3" s="403" t="s">
        <v>1087</v>
      </c>
      <c r="D3" s="403" t="s">
        <v>1088</v>
      </c>
      <c r="E3" s="403" t="s">
        <v>1089</v>
      </c>
      <c r="F3" s="403"/>
      <c r="G3" s="403" t="s">
        <v>1090</v>
      </c>
    </row>
    <row r="4" spans="1:33">
      <c r="A4" t="s">
        <v>1091</v>
      </c>
      <c r="B4">
        <v>229305</v>
      </c>
      <c r="C4">
        <v>57226</v>
      </c>
      <c r="D4">
        <v>381380</v>
      </c>
      <c r="E4">
        <v>20813</v>
      </c>
      <c r="G4">
        <v>242421</v>
      </c>
    </row>
    <row r="5" spans="1:33">
      <c r="A5" t="s">
        <v>1092</v>
      </c>
      <c r="B5">
        <f>B4*$B$7</f>
        <v>217339177185000</v>
      </c>
      <c r="C5">
        <f t="shared" ref="C5:G5" si="0">C4*$B$7</f>
        <v>54239775642000</v>
      </c>
      <c r="D5">
        <f t="shared" si="0"/>
        <v>361478447460000</v>
      </c>
      <c r="E5">
        <f t="shared" si="0"/>
        <v>19726915221000</v>
      </c>
      <c r="G5">
        <f t="shared" si="0"/>
        <v>229770744957000</v>
      </c>
    </row>
    <row r="7" spans="1:33">
      <c r="A7" t="s">
        <v>1093</v>
      </c>
      <c r="B7">
        <f>947817000</f>
        <v>947817000</v>
      </c>
    </row>
    <row r="9" spans="1:33">
      <c r="A9" s="1" t="s">
        <v>1094</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27</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30</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36</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38</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40</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42</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44</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1095</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1096</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53</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55</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58</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60</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63</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67</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69</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73</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75</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77</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80</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82</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87</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91</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1097</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27</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30</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36</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38</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40</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42</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44</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1095</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1096</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53</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55</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58</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60</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63</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67</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69</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73</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75</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77</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80</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82</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87</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91</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1098</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27</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30</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36</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38</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40</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42</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44</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1095</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1096</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53</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55</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58</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60</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63</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67</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69</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73</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75</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77</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80</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82</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87</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91</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1099</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27</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30</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36</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38</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40</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42</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44</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1095</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1096</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53</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55</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58</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60</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63</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67</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69</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73</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75</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77</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80</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82</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87</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91</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1100</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27</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30</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36</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38</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40</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42</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44</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1095</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1096</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53</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55</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58</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60</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63</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67</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69</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73</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75</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77</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80</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82</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87</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91</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30</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38</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40</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42</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44</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53</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55</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58</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60</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63</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67</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69</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73</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75</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77</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80</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82</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30</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38</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40</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42</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44</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46</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53</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55</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58</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60</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63</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69</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73</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75</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77</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80</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82</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84</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87</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91</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38</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40</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42</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44</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53</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55</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58</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60</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63</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69</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73</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75</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77</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80</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82</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91</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30</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38</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40</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42</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44</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49</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53</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55</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58</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60</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63</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69</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73</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75</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77</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80</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82</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91</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1102</v>
      </c>
    </row>
    <row r="2" spans="1:32">
      <c r="A2" s="24" t="s">
        <v>1101</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27</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30</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34</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36</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38</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40</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42</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44</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1095</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1096</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53</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55</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58</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60</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63</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69</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73</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75</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77</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80</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82</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84</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87</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91</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1103</v>
      </c>
    </row>
    <row r="30" spans="1:32">
      <c r="A30" t="s">
        <v>1101</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27</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30</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36</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38</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40</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42</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44</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46</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49</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53</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55</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58</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60</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63</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69</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73</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75</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77</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80</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82</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87</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91</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1104</v>
      </c>
      <c r="B57" s="402"/>
      <c r="C57" s="402"/>
      <c r="D57" s="402"/>
      <c r="E57" s="402"/>
      <c r="F57" s="402"/>
      <c r="G57" s="402"/>
      <c r="H57" s="402"/>
      <c r="I57" s="402"/>
      <c r="J57" s="402"/>
      <c r="K57" s="402"/>
      <c r="L57" s="402"/>
    </row>
    <row r="58" spans="1:32">
      <c r="A58" t="s">
        <v>1101</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27</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30</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34</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36</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38</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40</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42</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44</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46</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49</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53</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55</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58</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60</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63</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67</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69</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73</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75</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77</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80</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82</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84</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87</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91</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6640625" customWidth="1"/>
    <col min="2" max="33" width="11"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30</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36</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38</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40</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42</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44</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46</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49</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53</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55</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58</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60</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63</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67</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69</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73</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75</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77</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80</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82</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87</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91</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4" sqref="B4"/>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30</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36</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38</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40</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42</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44</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46</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49</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53</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55</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58</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60</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63</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67</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69</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73</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75</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77</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80</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82</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84</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87</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91</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1101</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30</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36</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38</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40</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42</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44</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46</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49</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53</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55</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58</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60</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63</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67</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69</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73</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75</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77</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80</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82</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87</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91</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30</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36</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38</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40</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42</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44</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46</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49</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53</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55</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58</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60</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63</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67</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69</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73</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75</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77</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80</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82</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87</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91</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B15" sqref="B15"/>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27</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38</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40</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42</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44</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1095</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1096</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53</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55</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58</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s="402" t="s">
        <v>60</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14"/>
    </row>
    <row r="16" spans="1:35">
      <c r="A16" t="s">
        <v>63</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67</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69</v>
      </c>
      <c r="B18" s="16">
        <f>'KEEI BAU - Industry'!R$34*'Machinery Split'!$E6</f>
        <v>192637186829205.59</v>
      </c>
      <c r="C18" s="16">
        <f>'KEEI BAU - Industry'!S$34*'Machinery Split'!$E6</f>
        <v>201398099681835.91</v>
      </c>
      <c r="D18" s="16">
        <f>'KEEI BAU - Industry'!T$34*'Machinery Split'!$E6</f>
        <v>210159012534466.25</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73</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75</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77</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80</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82</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91</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1101</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38</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40</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42</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44</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53</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55</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58</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60</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63</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69</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73</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75</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77</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80</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82</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70" t="s">
        <v>1105</v>
      </c>
      <c r="B1" s="571"/>
      <c r="C1" s="571"/>
      <c r="D1" s="571"/>
      <c r="E1" s="571"/>
      <c r="F1" s="571"/>
      <c r="G1" s="571"/>
      <c r="H1" s="571"/>
      <c r="I1" s="571"/>
      <c r="J1" s="571"/>
      <c r="K1" s="571"/>
      <c r="L1" s="571"/>
      <c r="M1" s="159">
        <v>1</v>
      </c>
      <c r="N1" s="160" t="s">
        <v>272</v>
      </c>
      <c r="O1" s="161" t="s">
        <v>273</v>
      </c>
      <c r="Q1" s="162" t="s">
        <v>114</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72" t="s">
        <v>161</v>
      </c>
      <c r="B2" s="572"/>
      <c r="C2" s="572"/>
      <c r="D2" s="572"/>
      <c r="E2" s="572"/>
      <c r="F2" s="572"/>
      <c r="G2" s="572"/>
      <c r="H2" s="572"/>
      <c r="I2" s="572"/>
      <c r="J2" s="572"/>
      <c r="K2" s="572"/>
      <c r="L2" s="572"/>
      <c r="N2" s="153" t="s">
        <v>183</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59" t="s">
        <v>162</v>
      </c>
      <c r="I3" s="559"/>
      <c r="J3" s="33"/>
      <c r="K3" s="559" t="s">
        <v>163</v>
      </c>
      <c r="L3" s="559"/>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164</v>
      </c>
      <c r="L4" s="35" t="s">
        <v>165</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184</v>
      </c>
    </row>
    <row r="5" spans="1:49" ht="13.5" customHeight="1">
      <c r="A5" s="80" t="s">
        <v>1106</v>
      </c>
      <c r="B5" s="225">
        <v>130.33099999999999</v>
      </c>
      <c r="C5" s="225">
        <v>163.71100000000001</v>
      </c>
      <c r="D5" s="226">
        <v>192.869</v>
      </c>
      <c r="E5" s="226">
        <v>199.166</v>
      </c>
      <c r="F5" s="226">
        <v>200.482</v>
      </c>
      <c r="G5" s="226">
        <v>198.499</v>
      </c>
      <c r="H5" s="236" t="s">
        <v>172</v>
      </c>
      <c r="I5" s="236" t="s">
        <v>172</v>
      </c>
      <c r="J5" s="41"/>
      <c r="K5" s="227">
        <v>1.27</v>
      </c>
      <c r="L5" s="227">
        <v>0.88</v>
      </c>
      <c r="N5" s="37" t="s">
        <v>274</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1107</v>
      </c>
      <c r="B6" s="225">
        <v>7.1630000000000003</v>
      </c>
      <c r="C6" s="225">
        <v>8.8350000000000009</v>
      </c>
      <c r="D6" s="226">
        <v>9.9939999999999998</v>
      </c>
      <c r="E6" s="226">
        <v>10.558</v>
      </c>
      <c r="F6" s="226">
        <v>11.04</v>
      </c>
      <c r="G6" s="226">
        <v>11.282999999999999</v>
      </c>
      <c r="H6" s="236" t="s">
        <v>172</v>
      </c>
      <c r="I6" s="236" t="s">
        <v>172</v>
      </c>
      <c r="J6" s="41"/>
      <c r="K6" s="227">
        <v>1.17</v>
      </c>
      <c r="L6" s="227">
        <v>1.1200000000000001</v>
      </c>
      <c r="N6" s="42" t="s">
        <v>275</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290</v>
      </c>
      <c r="B7" s="67">
        <v>100.61799999999999</v>
      </c>
      <c r="C7" s="67">
        <v>118.521</v>
      </c>
      <c r="D7" s="68">
        <v>125.675</v>
      </c>
      <c r="E7" s="68">
        <v>127.51</v>
      </c>
      <c r="F7" s="68">
        <v>127.178</v>
      </c>
      <c r="G7" s="68">
        <v>125.77200000000001</v>
      </c>
      <c r="H7" s="39">
        <v>100</v>
      </c>
      <c r="I7" s="39">
        <v>99.990000000000009</v>
      </c>
      <c r="J7" s="74"/>
      <c r="K7" s="75">
        <v>0.91</v>
      </c>
      <c r="L7" s="75">
        <v>0.27</v>
      </c>
      <c r="N7" s="42" t="s">
        <v>802</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1108</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802</v>
      </c>
      <c r="B9" s="225">
        <v>93.838999999999999</v>
      </c>
      <c r="C9" s="225">
        <v>116.83</v>
      </c>
      <c r="D9" s="226">
        <v>124.858</v>
      </c>
      <c r="E9" s="226">
        <v>126.675</v>
      </c>
      <c r="F9" s="226">
        <v>126.33199999999999</v>
      </c>
      <c r="G9" s="226">
        <v>124.985</v>
      </c>
      <c r="H9" s="45">
        <v>98.57</v>
      </c>
      <c r="I9" s="45">
        <v>99.37</v>
      </c>
      <c r="J9" s="41"/>
      <c r="K9" s="227">
        <v>1.22</v>
      </c>
      <c r="L9" s="227">
        <v>0.31</v>
      </c>
      <c r="N9" s="37" t="s">
        <v>278</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1109</v>
      </c>
      <c r="B11" s="237"/>
      <c r="C11" s="237"/>
      <c r="D11" s="238"/>
      <c r="E11" s="238"/>
      <c r="F11" s="238"/>
      <c r="G11" s="238"/>
      <c r="H11" s="236"/>
      <c r="I11" s="236"/>
      <c r="J11" s="41"/>
      <c r="K11" s="227"/>
      <c r="L11" s="227"/>
      <c r="N11" s="424" t="s">
        <v>1110</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622</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626</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627</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1111</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1112</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620</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621</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631</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1113</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1114</v>
      </c>
      <c r="B22" s="237"/>
      <c r="C22" s="237"/>
      <c r="D22" s="238"/>
      <c r="E22" s="238"/>
      <c r="F22" s="238"/>
      <c r="G22" s="238"/>
      <c r="H22" s="236"/>
      <c r="I22" s="236"/>
      <c r="J22" s="41"/>
      <c r="K22" s="227"/>
      <c r="L22" s="227"/>
      <c r="N22" s="31" t="s">
        <v>217</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806</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274</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1115</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275</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1116</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802</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282</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283</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284</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1117</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60" t="s">
        <v>1118</v>
      </c>
      <c r="B30" s="561"/>
      <c r="C30" s="561"/>
      <c r="D30" s="561"/>
      <c r="E30" s="561"/>
      <c r="F30" s="561"/>
      <c r="G30" s="561"/>
      <c r="H30" s="561"/>
      <c r="I30" s="561"/>
      <c r="J30" s="561"/>
      <c r="K30" s="561"/>
      <c r="L30" s="561"/>
      <c r="N30" s="31" t="s">
        <v>304</v>
      </c>
      <c r="O30" s="144">
        <v>2000</v>
      </c>
      <c r="P30" s="144">
        <v>2022</v>
      </c>
      <c r="Q30" s="156">
        <v>2030</v>
      </c>
      <c r="R30" s="156">
        <v>2040</v>
      </c>
      <c r="S30" s="156">
        <v>2050</v>
      </c>
      <c r="AV30" s="30"/>
      <c r="AW30" s="207"/>
    </row>
    <row r="31" spans="1:49">
      <c r="H31" s="211"/>
      <c r="I31" s="211"/>
      <c r="J31" s="212"/>
      <c r="K31" s="211"/>
      <c r="L31" s="211"/>
      <c r="N31" s="37" t="s">
        <v>274</v>
      </c>
      <c r="O31" s="147">
        <f>O5</f>
        <v>3853676399692560</v>
      </c>
      <c r="P31" s="147">
        <f>T5</f>
        <v>4381308371557110</v>
      </c>
      <c r="Q31" s="148">
        <f>AB5</f>
        <v>4336099769683710</v>
      </c>
      <c r="R31" s="148">
        <f>AL5</f>
        <v>4112079250400519.5</v>
      </c>
      <c r="S31" s="148">
        <f>AV5</f>
        <v>3752274298823890</v>
      </c>
      <c r="AV31" s="30"/>
      <c r="AW31" s="207"/>
    </row>
    <row r="32" spans="1:49">
      <c r="A32" s="254" t="s">
        <v>113</v>
      </c>
      <c r="B32" s="30"/>
      <c r="H32" s="211"/>
      <c r="I32" s="211"/>
      <c r="J32" s="212"/>
      <c r="K32" s="211"/>
      <c r="L32" s="211"/>
      <c r="N32" s="42" t="s">
        <v>275</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114</v>
      </c>
      <c r="H33" s="211"/>
      <c r="I33" s="211"/>
      <c r="J33" s="212"/>
      <c r="K33" s="211"/>
      <c r="L33" s="211"/>
      <c r="N33" s="42" t="s">
        <v>802</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57" t="s">
        <v>1119</v>
      </c>
      <c r="B36" s="558"/>
      <c r="C36" s="558"/>
      <c r="D36" s="558"/>
      <c r="E36" s="558"/>
      <c r="F36" s="558"/>
      <c r="G36" s="558"/>
      <c r="H36" s="558"/>
      <c r="I36" s="558"/>
      <c r="J36" s="558"/>
      <c r="K36" s="211"/>
      <c r="L36" s="211"/>
    </row>
    <row r="37" spans="1:49">
      <c r="A37" s="564" t="s">
        <v>161</v>
      </c>
      <c r="B37" s="564"/>
      <c r="C37" s="564"/>
      <c r="D37" s="564"/>
      <c r="E37" s="564"/>
      <c r="F37" s="564"/>
      <c r="G37" s="564"/>
      <c r="H37" s="564"/>
      <c r="I37" s="564"/>
      <c r="J37" s="564"/>
      <c r="K37" s="211"/>
      <c r="L37" s="211"/>
    </row>
    <row r="38" spans="1:49">
      <c r="A38" s="31"/>
      <c r="B38" s="32"/>
      <c r="C38" s="32"/>
      <c r="D38" s="32"/>
      <c r="E38" s="32"/>
      <c r="F38" s="32"/>
      <c r="G38" s="559" t="s">
        <v>162</v>
      </c>
      <c r="H38" s="559"/>
      <c r="I38" s="559" t="s">
        <v>163</v>
      </c>
      <c r="J38" s="559"/>
      <c r="K38" s="211"/>
      <c r="L38" s="211"/>
    </row>
    <row r="39" spans="1:49" ht="51">
      <c r="A39" s="31"/>
      <c r="B39" s="34">
        <v>2000</v>
      </c>
      <c r="C39" s="34">
        <v>2022</v>
      </c>
      <c r="D39" s="34">
        <v>2030</v>
      </c>
      <c r="E39" s="34">
        <v>2040</v>
      </c>
      <c r="F39" s="34">
        <v>2050</v>
      </c>
      <c r="G39" s="35">
        <v>2022</v>
      </c>
      <c r="H39" s="35">
        <v>2050</v>
      </c>
      <c r="I39" s="35" t="s">
        <v>177</v>
      </c>
      <c r="J39" s="35" t="s">
        <v>178</v>
      </c>
      <c r="K39" s="211"/>
      <c r="L39" s="211"/>
    </row>
    <row r="40" spans="1:49">
      <c r="A40" s="80" t="s">
        <v>1106</v>
      </c>
      <c r="B40" s="225">
        <v>121.72199999999999</v>
      </c>
      <c r="C40" s="225">
        <v>152.86500000000001</v>
      </c>
      <c r="D40" s="226">
        <v>151.131</v>
      </c>
      <c r="E40" s="226">
        <v>136.42599999999999</v>
      </c>
      <c r="F40" s="226">
        <v>108.063</v>
      </c>
      <c r="G40" s="236" t="s">
        <v>172</v>
      </c>
      <c r="H40" s="236" t="s">
        <v>172</v>
      </c>
      <c r="I40" s="227">
        <v>1.04</v>
      </c>
      <c r="J40" s="227">
        <v>-1.23</v>
      </c>
      <c r="K40" s="211"/>
      <c r="L40" s="211"/>
    </row>
    <row r="41" spans="1:49">
      <c r="A41" s="80" t="s">
        <v>1107</v>
      </c>
      <c r="B41" s="225">
        <v>13.098000000000001</v>
      </c>
      <c r="C41" s="225">
        <v>15.504</v>
      </c>
      <c r="D41" s="226">
        <v>17.596</v>
      </c>
      <c r="E41" s="226">
        <v>18.521999999999998</v>
      </c>
      <c r="F41" s="226">
        <v>18.088000000000001</v>
      </c>
      <c r="G41" s="236" t="s">
        <v>172</v>
      </c>
      <c r="H41" s="236" t="s">
        <v>172</v>
      </c>
      <c r="I41" s="227">
        <v>0.77</v>
      </c>
      <c r="J41" s="227">
        <v>0.55000000000000004</v>
      </c>
      <c r="K41" s="211"/>
      <c r="L41" s="211"/>
    </row>
    <row r="42" spans="1:49">
      <c r="A42" s="80" t="s">
        <v>290</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1108</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490</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802</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1120</v>
      </c>
      <c r="B47" s="237"/>
      <c r="C47" s="237"/>
      <c r="D47" s="238"/>
      <c r="E47" s="238"/>
      <c r="F47" s="238"/>
      <c r="G47" s="236"/>
      <c r="H47" s="236"/>
      <c r="I47" s="227"/>
      <c r="J47" s="227"/>
      <c r="K47" s="211"/>
      <c r="L47" s="211"/>
    </row>
    <row r="48" spans="1:49">
      <c r="A48" s="42" t="s">
        <v>335</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622</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626</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627</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1111</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1112</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620</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621</v>
      </c>
      <c r="B55" s="225">
        <v>4.056</v>
      </c>
      <c r="C55" s="225">
        <v>4.0259999999999998</v>
      </c>
      <c r="D55" s="226">
        <v>3.319</v>
      </c>
      <c r="E55" s="226">
        <v>2.9260000000000002</v>
      </c>
      <c r="F55" s="226">
        <v>2.66</v>
      </c>
      <c r="G55" s="45">
        <v>3.64</v>
      </c>
      <c r="H55" s="45">
        <v>2.81</v>
      </c>
      <c r="I55" s="227">
        <v>-0.03</v>
      </c>
      <c r="J55" s="227">
        <v>-1.47</v>
      </c>
      <c r="K55" s="211"/>
      <c r="L55" s="211"/>
    </row>
    <row r="56" spans="1:12">
      <c r="A56" s="42" t="s">
        <v>631</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1113</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1114</v>
      </c>
      <c r="B59" s="237"/>
      <c r="C59" s="237"/>
      <c r="D59" s="238"/>
      <c r="E59" s="238"/>
      <c r="F59" s="238"/>
      <c r="G59" s="236"/>
      <c r="H59" s="236"/>
      <c r="I59" s="227"/>
      <c r="J59" s="227"/>
      <c r="K59" s="211"/>
      <c r="L59" s="211"/>
    </row>
    <row r="60" spans="1:12">
      <c r="A60" s="42" t="s">
        <v>288</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806</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1115</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1121</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282</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283</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284</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1117</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60" t="s">
        <v>1122</v>
      </c>
      <c r="B68" s="561"/>
      <c r="C68" s="561"/>
      <c r="D68" s="561"/>
      <c r="E68" s="561"/>
      <c r="F68" s="561"/>
      <c r="G68" s="561"/>
      <c r="H68" s="561"/>
      <c r="I68" s="561"/>
      <c r="J68" s="561"/>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1:L1"/>
    <mergeCell ref="A2:L2"/>
    <mergeCell ref="H3:I3"/>
    <mergeCell ref="K3:L3"/>
    <mergeCell ref="A30:L30"/>
    <mergeCell ref="A36:J36"/>
    <mergeCell ref="A37:J37"/>
    <mergeCell ref="G38:H38"/>
    <mergeCell ref="I38:J38"/>
    <mergeCell ref="A68:J68"/>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38</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40</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42</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44</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46</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49</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53</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55</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58</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60</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69</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73</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75</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77</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80</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30</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38</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40</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42</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44</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53</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55</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58</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60</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63</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69</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73</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75</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77</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80</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82</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36</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38</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40</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42</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44</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53</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55</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58</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60</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63</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69</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73</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75</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77</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80</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82</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84</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1101</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2025-08-07T14:26:13Z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